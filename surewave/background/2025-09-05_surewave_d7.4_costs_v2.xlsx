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12" documentId="11_B92E4CD6FF089AC2D1B8D4BCA3A63FD818F42795" xr6:coauthVersionLast="47" xr6:coauthVersionMax="47" xr10:uidLastSave="{6C82765D-F407-4CC2-AA9E-296A3421DCC7}"/>
  <bookViews>
    <workbookView xWindow="0" yWindow="0" windowWidth="0" windowHeight="0" activeTab="5" xr2:uid="{00000000-000D-0000-FFFF-FFFF00000000}"/>
  </bookViews>
  <sheets>
    <sheet name="summary" sheetId="1" r:id="rId1"/>
    <sheet name="in_loc" sheetId="2" r:id="rId2"/>
    <sheet name="in_gen" sheetId="3" r:id="rId3"/>
    <sheet name="inter_gen" sheetId="4" r:id="rId4"/>
    <sheet name="out_loc" sheetId="5" r:id="rId5"/>
    <sheet name="pontoons" sheetId="6" r:id="rId6"/>
    <sheet name="freight" sheetId="7" r:id="rId7"/>
    <sheet name="harbors" sheetId="8" r:id="rId8"/>
    <sheet name="aggregates" sheetId="9" r:id="rId9"/>
    <sheet name="sens_discounts" sheetId="10" r:id="rId10"/>
    <sheet name="sens_subsea_cable" sheetId="11" r:id="rId11"/>
    <sheet name="sens_pontoons" sheetId="12" r:id="rId12"/>
  </sheets>
  <definedNames>
    <definedName name="V">_xludf.LAMBDA(loc, input_param, INDEX(in_loc!$D:$AD, MATCH(input_param, in_loc!$A:$A, 0), MATCH(loc, in_loc!$D$1:$AD$1, 0)))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tVcBD/7KnrkvOwTYa6Tmpll5Na64VVl4ip/jiI2QAQc="/>
    </ext>
  </extLst>
</workbook>
</file>

<file path=xl/calcChain.xml><?xml version="1.0" encoding="utf-8"?>
<calcChain xmlns="http://schemas.openxmlformats.org/spreadsheetml/2006/main">
  <c r="M69" i="6" l="1" a="1"/>
  <c r="M69" i="6"/>
  <c r="L3" i="6" a="1"/>
  <c r="L3" i="6"/>
  <c r="Q3" i="6" a="1"/>
  <c r="Q3" i="6"/>
  <c r="T3" i="6" a="1"/>
  <c r="T3" i="6"/>
  <c r="T4" i="6" a="1"/>
  <c r="T4" i="6"/>
  <c r="T5" i="6" a="1"/>
  <c r="T5" i="6"/>
  <c r="T6" i="6" a="1"/>
  <c r="T6" i="6"/>
  <c r="T16" i="6" a="1"/>
  <c r="T16" i="6"/>
  <c r="V24" i="5" a="1"/>
  <c r="V24" i="5"/>
  <c r="W24" i="5" a="1"/>
  <c r="W24" i="5"/>
  <c r="X24" i="5" a="1"/>
  <c r="X24" i="5"/>
  <c r="Y24" i="5" a="1"/>
  <c r="Y24" i="5"/>
  <c r="Z24" i="5" a="1"/>
  <c r="Z24" i="5"/>
  <c r="AA24" i="5" a="1"/>
  <c r="AA24" i="5"/>
  <c r="AB24" i="5" a="1"/>
  <c r="AB24" i="5"/>
  <c r="AC24" i="5" a="1"/>
  <c r="AC24" i="5"/>
  <c r="AD24" i="5" a="1"/>
  <c r="AD24" i="5"/>
  <c r="M24" i="5" a="1"/>
  <c r="M24" i="5"/>
  <c r="N24" i="5" a="1"/>
  <c r="N24" i="5"/>
  <c r="O24" i="5" a="1"/>
  <c r="O24" i="5"/>
  <c r="P24" i="5" a="1"/>
  <c r="P24" i="5"/>
  <c r="Q24" i="5" a="1"/>
  <c r="Q24" i="5"/>
  <c r="R24" i="5" a="1"/>
  <c r="R24" i="5"/>
  <c r="S24" i="5" a="1"/>
  <c r="S24" i="5"/>
  <c r="T24" i="5" a="1"/>
  <c r="T24" i="5"/>
  <c r="U24" i="5" a="1"/>
  <c r="U24" i="5"/>
  <c r="D24" i="5" a="1"/>
  <c r="D24" i="5"/>
  <c r="E24" i="5" a="1"/>
  <c r="E24" i="5"/>
  <c r="F24" i="5" a="1"/>
  <c r="F24" i="5"/>
  <c r="G24" i="5" a="1"/>
  <c r="G24" i="5"/>
  <c r="H24" i="5" a="1"/>
  <c r="H24" i="5"/>
  <c r="I24" i="5" a="1"/>
  <c r="I24" i="5"/>
  <c r="J24" i="5" a="1"/>
  <c r="J24" i="5"/>
  <c r="K24" i="5" a="1"/>
  <c r="K24" i="5"/>
  <c r="L24" i="5" a="1"/>
  <c r="L24" i="5"/>
  <c r="V25" i="5" a="1"/>
  <c r="V25" i="5"/>
  <c r="W25" i="5" a="1"/>
  <c r="W25" i="5"/>
  <c r="X25" i="5" a="1"/>
  <c r="X25" i="5"/>
  <c r="Y25" i="5" a="1"/>
  <c r="Y25" i="5"/>
  <c r="Z25" i="5" a="1"/>
  <c r="Z25" i="5"/>
  <c r="AA25" i="5" a="1"/>
  <c r="AA25" i="5"/>
  <c r="AB25" i="5" a="1"/>
  <c r="AB25" i="5"/>
  <c r="AC25" i="5" a="1"/>
  <c r="AC25" i="5"/>
  <c r="AD25" i="5" a="1"/>
  <c r="AD25" i="5"/>
  <c r="M25" i="5" a="1"/>
  <c r="M25" i="5"/>
  <c r="N25" i="5" a="1"/>
  <c r="N25" i="5"/>
  <c r="O25" i="5" a="1"/>
  <c r="O25" i="5"/>
  <c r="P25" i="5" a="1"/>
  <c r="P25" i="5"/>
  <c r="Q25" i="5" a="1"/>
  <c r="Q25" i="5"/>
  <c r="R25" i="5" a="1"/>
  <c r="R25" i="5"/>
  <c r="S25" i="5" a="1"/>
  <c r="S25" i="5"/>
  <c r="T25" i="5" a="1"/>
  <c r="T25" i="5"/>
  <c r="U25" i="5" a="1"/>
  <c r="U25" i="5"/>
  <c r="D25" i="5" a="1"/>
  <c r="D25" i="5"/>
  <c r="E25" i="5" a="1"/>
  <c r="E25" i="5"/>
  <c r="F25" i="5" a="1"/>
  <c r="F25" i="5"/>
  <c r="G25" i="5" a="1"/>
  <c r="G25" i="5"/>
  <c r="H25" i="5" a="1"/>
  <c r="H25" i="5"/>
  <c r="I25" i="5" a="1"/>
  <c r="I25" i="5"/>
  <c r="J25" i="5" a="1"/>
  <c r="J25" i="5"/>
  <c r="K25" i="5" a="1"/>
  <c r="K25" i="5"/>
  <c r="L25" i="5" a="1"/>
  <c r="L25" i="5"/>
  <c r="V29" i="5" a="1"/>
  <c r="V29" i="5"/>
  <c r="W29" i="5" a="1"/>
  <c r="W29" i="5"/>
  <c r="X29" i="5" a="1"/>
  <c r="X29" i="5"/>
  <c r="Y29" i="5" a="1"/>
  <c r="Y29" i="5"/>
  <c r="Z29" i="5" a="1"/>
  <c r="Z29" i="5"/>
  <c r="AA29" i="5" a="1"/>
  <c r="AA29" i="5"/>
  <c r="AB29" i="5" a="1"/>
  <c r="AB29" i="5"/>
  <c r="AC29" i="5" a="1"/>
  <c r="AC29" i="5"/>
  <c r="AD29" i="5" a="1"/>
  <c r="AD29" i="5"/>
  <c r="M29" i="5" a="1"/>
  <c r="M29" i="5"/>
  <c r="N29" i="5" a="1"/>
  <c r="N29" i="5"/>
  <c r="O29" i="5" a="1"/>
  <c r="O29" i="5"/>
  <c r="P29" i="5" a="1"/>
  <c r="P29" i="5"/>
  <c r="Q29" i="5" a="1"/>
  <c r="Q29" i="5"/>
  <c r="R29" i="5" a="1"/>
  <c r="R29" i="5"/>
  <c r="S29" i="5" a="1"/>
  <c r="S29" i="5"/>
  <c r="T29" i="5" a="1"/>
  <c r="T29" i="5"/>
  <c r="U29" i="5" a="1"/>
  <c r="U29" i="5"/>
  <c r="D29" i="5" a="1"/>
  <c r="D29" i="5"/>
  <c r="E29" i="5" a="1"/>
  <c r="E29" i="5"/>
  <c r="F29" i="5" a="1"/>
  <c r="F29" i="5"/>
  <c r="G29" i="5" a="1"/>
  <c r="G29" i="5"/>
  <c r="H29" i="5" a="1"/>
  <c r="H29" i="5"/>
  <c r="I29" i="5" a="1"/>
  <c r="I29" i="5"/>
  <c r="J29" i="5" a="1"/>
  <c r="J29" i="5"/>
  <c r="K29" i="5" a="1"/>
  <c r="K29" i="5"/>
  <c r="L29" i="5" a="1"/>
  <c r="L29" i="5"/>
  <c r="M28" i="5" a="1"/>
  <c r="M28" i="5"/>
  <c r="N28" i="5" a="1"/>
  <c r="N28" i="5"/>
  <c r="O28" i="5" a="1"/>
  <c r="O28" i="5"/>
  <c r="P28" i="5" a="1"/>
  <c r="P28" i="5"/>
  <c r="Q28" i="5" a="1"/>
  <c r="Q28" i="5"/>
  <c r="R28" i="5" a="1"/>
  <c r="R28" i="5"/>
  <c r="S28" i="5" a="1"/>
  <c r="S28" i="5"/>
  <c r="T28" i="5" a="1"/>
  <c r="T28" i="5"/>
  <c r="U28" i="5" a="1"/>
  <c r="U28" i="5"/>
  <c r="V28" i="5" a="1"/>
  <c r="V28" i="5"/>
  <c r="W28" i="5" a="1"/>
  <c r="W28" i="5"/>
  <c r="X28" i="5" a="1"/>
  <c r="X28" i="5"/>
  <c r="Y28" i="5" a="1"/>
  <c r="Y28" i="5"/>
  <c r="Z28" i="5" a="1"/>
  <c r="Z28" i="5"/>
  <c r="AA28" i="5" a="1"/>
  <c r="AA28" i="5"/>
  <c r="AB28" i="5" a="1"/>
  <c r="AB28" i="5"/>
  <c r="AC28" i="5" a="1"/>
  <c r="AC28" i="5"/>
  <c r="AD28" i="5" a="1"/>
  <c r="AD28" i="5"/>
  <c r="D28" i="5" a="1"/>
  <c r="D28" i="5"/>
  <c r="E28" i="5" a="1"/>
  <c r="E28" i="5"/>
  <c r="F28" i="5" a="1"/>
  <c r="F28" i="5"/>
  <c r="G28" i="5" a="1"/>
  <c r="G28" i="5"/>
  <c r="H28" i="5" a="1"/>
  <c r="H28" i="5"/>
  <c r="I28" i="5" a="1"/>
  <c r="I28" i="5"/>
  <c r="J28" i="5" a="1"/>
  <c r="J28" i="5"/>
  <c r="K28" i="5" a="1"/>
  <c r="K28" i="5"/>
  <c r="L28" i="5" a="1"/>
  <c r="L28" i="5"/>
  <c r="V27" i="5" a="1"/>
  <c r="V27" i="5"/>
  <c r="W27" i="5" a="1"/>
  <c r="W27" i="5"/>
  <c r="X27" i="5" a="1"/>
  <c r="X27" i="5"/>
  <c r="Y27" i="5" a="1"/>
  <c r="Y27" i="5"/>
  <c r="Z27" i="5" a="1"/>
  <c r="Z27" i="5"/>
  <c r="AA27" i="5" a="1"/>
  <c r="AA27" i="5"/>
  <c r="AB27" i="5" a="1"/>
  <c r="AB27" i="5"/>
  <c r="AC27" i="5" a="1"/>
  <c r="AC27" i="5"/>
  <c r="AD27" i="5" a="1"/>
  <c r="AD27" i="5"/>
  <c r="M27" i="5" a="1"/>
  <c r="M27" i="5"/>
  <c r="N27" i="5" a="1"/>
  <c r="N27" i="5"/>
  <c r="O27" i="5" a="1"/>
  <c r="O27" i="5"/>
  <c r="P27" i="5" a="1"/>
  <c r="P27" i="5"/>
  <c r="Q27" i="5" a="1"/>
  <c r="Q27" i="5"/>
  <c r="R27" i="5" a="1"/>
  <c r="R27" i="5"/>
  <c r="S27" i="5" a="1"/>
  <c r="S27" i="5"/>
  <c r="T27" i="5" a="1"/>
  <c r="T27" i="5"/>
  <c r="U27" i="5" a="1"/>
  <c r="U27" i="5"/>
  <c r="D27" i="5" a="1"/>
  <c r="D27" i="5"/>
  <c r="E27" i="5" a="1"/>
  <c r="E27" i="5"/>
  <c r="F27" i="5" a="1"/>
  <c r="F27" i="5"/>
  <c r="G27" i="5" a="1"/>
  <c r="G27" i="5"/>
  <c r="H27" i="5" a="1"/>
  <c r="H27" i="5"/>
  <c r="I27" i="5" a="1"/>
  <c r="I27" i="5"/>
  <c r="J27" i="5" a="1"/>
  <c r="J27" i="5"/>
  <c r="K27" i="5" a="1"/>
  <c r="K27" i="5"/>
  <c r="L27" i="5" a="1"/>
  <c r="L27" i="5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Y6" i="6"/>
  <c r="F6" i="6"/>
  <c r="AA5" i="6"/>
  <c r="Y5" i="6"/>
  <c r="F5" i="6"/>
  <c r="AA4" i="6"/>
  <c r="Y4" i="6"/>
  <c r="F4" i="6"/>
  <c r="AA3" i="6"/>
  <c r="Z3" i="6" a="1"/>
  <c r="Z3" i="6"/>
  <c r="Y3" i="6"/>
  <c r="F3" i="6"/>
  <c r="T2" i="6"/>
  <c r="S2" i="6"/>
  <c r="R2" i="6"/>
  <c r="Q2" i="6"/>
  <c r="P2" i="6"/>
  <c r="O2" i="6"/>
  <c r="N2" i="6"/>
  <c r="M2" i="6"/>
  <c r="L2" i="6"/>
  <c r="J2" i="6"/>
  <c r="I2" i="6"/>
  <c r="L21" i="5"/>
  <c r="K21" i="5"/>
  <c r="J21" i="5"/>
  <c r="I21" i="5"/>
  <c r="H21" i="5"/>
  <c r="G21" i="5"/>
  <c r="F21" i="5"/>
  <c r="E21" i="5"/>
  <c r="D21" i="5"/>
  <c r="L20" i="5"/>
  <c r="K20" i="5"/>
  <c r="J20" i="5"/>
  <c r="I20" i="5"/>
  <c r="H20" i="5"/>
  <c r="G20" i="5"/>
  <c r="F20" i="5"/>
  <c r="E20" i="5"/>
  <c r="D20" i="5"/>
  <c r="D16" i="5" a="1"/>
  <c r="D16" i="5"/>
  <c r="L14" i="5"/>
  <c r="K14" i="5"/>
  <c r="J14" i="5"/>
  <c r="I14" i="5"/>
  <c r="H14" i="5"/>
  <c r="G14" i="5"/>
  <c r="F14" i="5"/>
  <c r="E14" i="5"/>
  <c r="D14" i="5"/>
  <c r="L13" i="5"/>
  <c r="K13" i="5"/>
  <c r="J13" i="5"/>
  <c r="I13" i="5"/>
  <c r="H13" i="5"/>
  <c r="G13" i="5"/>
  <c r="F13" i="5"/>
  <c r="E13" i="5"/>
  <c r="D13" i="5"/>
  <c r="L11" i="5"/>
  <c r="K11" i="5"/>
  <c r="J11" i="5"/>
  <c r="I11" i="5"/>
  <c r="H11" i="5"/>
  <c r="G11" i="5"/>
  <c r="F11" i="5"/>
  <c r="E11" i="5"/>
  <c r="D11" i="5"/>
  <c r="L7" i="5"/>
  <c r="K7" i="5"/>
  <c r="J7" i="5"/>
  <c r="I7" i="5"/>
  <c r="H7" i="5"/>
  <c r="G7" i="5"/>
  <c r="F7" i="5"/>
  <c r="E7" i="5"/>
  <c r="D7" i="5"/>
  <c r="L5" i="5"/>
  <c r="K5" i="5"/>
  <c r="J5" i="5"/>
  <c r="I5" i="5"/>
  <c r="H5" i="5"/>
  <c r="G5" i="5"/>
  <c r="F5" i="5"/>
  <c r="E5" i="5"/>
  <c r="D5" i="5"/>
  <c r="L3" i="5"/>
  <c r="K3" i="5"/>
  <c r="J3" i="5"/>
  <c r="I3" i="5"/>
  <c r="H3" i="5"/>
  <c r="G3" i="5"/>
  <c r="F3" i="5"/>
  <c r="E3" i="5"/>
  <c r="D3" i="5"/>
  <c r="L2" i="5"/>
  <c r="L4" i="5" s="1"/>
  <c r="L6" i="5" s="1"/>
  <c r="K2" i="5"/>
  <c r="K4" i="5" s="1"/>
  <c r="K6" i="5" s="1"/>
  <c r="J2" i="5"/>
  <c r="J4" i="5" s="1"/>
  <c r="J6" i="5" s="1"/>
  <c r="I2" i="5"/>
  <c r="I4" i="5" s="1"/>
  <c r="I6" i="5" s="1"/>
  <c r="H2" i="5"/>
  <c r="H4" i="5" s="1"/>
  <c r="H6" i="5" s="1"/>
  <c r="G2" i="5"/>
  <c r="G4" i="5" s="1"/>
  <c r="G6" i="5" s="1"/>
  <c r="F2" i="5"/>
  <c r="F4" i="5" s="1"/>
  <c r="F6" i="5" s="1"/>
  <c r="E2" i="5"/>
  <c r="E4" i="5" s="1"/>
  <c r="E6" i="5" s="1"/>
  <c r="D2" i="5"/>
  <c r="D4" i="5" s="1"/>
  <c r="D6" i="5" s="1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H5" i="4"/>
  <c r="C5" i="4"/>
  <c r="H4" i="4"/>
  <c r="C4" i="4"/>
  <c r="H3" i="4"/>
  <c r="C3" i="4"/>
  <c r="H2" i="4"/>
  <c r="C2" i="4"/>
  <c r="F51" i="3"/>
  <c r="E51" i="3"/>
  <c r="F50" i="3"/>
  <c r="E50" i="3"/>
  <c r="F47" i="3"/>
  <c r="E47" i="3"/>
  <c r="F44" i="3"/>
  <c r="E44" i="3"/>
  <c r="F43" i="3"/>
  <c r="E43" i="3"/>
  <c r="F42" i="3"/>
  <c r="E42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0" i="3"/>
  <c r="E30" i="3"/>
  <c r="F29" i="3"/>
  <c r="E29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F5" i="4" s="1"/>
  <c r="E13" i="3"/>
  <c r="E5" i="4" s="1"/>
  <c r="F12" i="3"/>
  <c r="E12" i="3"/>
  <c r="F11" i="3"/>
  <c r="E11" i="3"/>
  <c r="F10" i="3"/>
  <c r="F3" i="4" s="1"/>
  <c r="E10" i="3"/>
  <c r="E3" i="4" s="1"/>
  <c r="F9" i="3"/>
  <c r="F2" i="4" s="1"/>
  <c r="E9" i="3"/>
  <c r="E2" i="4" s="1"/>
  <c r="F8" i="3"/>
  <c r="E8" i="3"/>
  <c r="F7" i="3"/>
  <c r="E7" i="3"/>
  <c r="F6" i="3"/>
  <c r="E6" i="3"/>
  <c r="F5" i="3"/>
  <c r="E5" i="3"/>
  <c r="F4" i="3"/>
  <c r="E4" i="3"/>
  <c r="F3" i="3"/>
  <c r="E3" i="3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AD21" i="2"/>
  <c r="AD7" i="5" s="1"/>
  <c r="AD5" i="5" s="1"/>
  <c r="AC21" i="2"/>
  <c r="AC7" i="5" s="1"/>
  <c r="AC5" i="5" s="1"/>
  <c r="AB21" i="2"/>
  <c r="AB7" i="5" s="1"/>
  <c r="AB5" i="5" s="1"/>
  <c r="AA21" i="2"/>
  <c r="AA7" i="5" s="1"/>
  <c r="AA5" i="5" s="1"/>
  <c r="Z21" i="2"/>
  <c r="Z7" i="5" s="1"/>
  <c r="Z5" i="5" s="1"/>
  <c r="Y21" i="2"/>
  <c r="Y7" i="5" s="1"/>
  <c r="Y5" i="5" s="1"/>
  <c r="X21" i="2"/>
  <c r="X7" i="5" s="1"/>
  <c r="X5" i="5" s="1"/>
  <c r="W21" i="2"/>
  <c r="W7" i="5" s="1"/>
  <c r="W5" i="5" s="1"/>
  <c r="V21" i="2"/>
  <c r="V7" i="5" s="1"/>
  <c r="V5" i="5" s="1"/>
  <c r="U21" i="2"/>
  <c r="U7" i="5" s="1"/>
  <c r="U5" i="5" s="1"/>
  <c r="T21" i="2"/>
  <c r="T7" i="5" s="1"/>
  <c r="T5" i="5" s="1"/>
  <c r="S21" i="2"/>
  <c r="S7" i="5" s="1"/>
  <c r="S5" i="5" s="1"/>
  <c r="R21" i="2"/>
  <c r="R7" i="5" s="1"/>
  <c r="R5" i="5" s="1"/>
  <c r="Q21" i="2"/>
  <c r="Q7" i="5" s="1"/>
  <c r="Q5" i="5" s="1"/>
  <c r="P21" i="2"/>
  <c r="P7" i="5" s="1"/>
  <c r="P5" i="5" s="1"/>
  <c r="O21" i="2"/>
  <c r="O7" i="5" s="1"/>
  <c r="O5" i="5" s="1"/>
  <c r="N21" i="2"/>
  <c r="N7" i="5" s="1"/>
  <c r="N5" i="5" s="1"/>
  <c r="M21" i="2"/>
  <c r="M7" i="5" s="1"/>
  <c r="M5" i="5" s="1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J1" i="1"/>
  <c r="I1" i="1"/>
  <c r="H1" i="1"/>
  <c r="G1" i="1"/>
  <c r="F1" i="1"/>
  <c r="E1" i="1"/>
  <c r="D1" i="1"/>
  <c r="C1" i="1"/>
  <c r="B1" i="1"/>
  <c r="A1" i="1"/>
  <c r="T1" i="1" l="1"/>
  <c r="K1" i="1"/>
  <c r="U1" i="1"/>
  <c r="L1" i="1"/>
  <c r="V1" i="1"/>
  <c r="M1" i="1"/>
  <c r="W1" i="1"/>
  <c r="N1" i="1"/>
  <c r="X1" i="1"/>
  <c r="O1" i="1"/>
  <c r="Y1" i="1"/>
  <c r="P1" i="1"/>
  <c r="Z1" i="1"/>
  <c r="Q1" i="1"/>
  <c r="AA1" i="1"/>
  <c r="R1" i="1"/>
  <c r="AB1" i="1"/>
  <c r="S1" i="1"/>
  <c r="M21" i="5"/>
  <c r="M20" i="5"/>
  <c r="N21" i="5"/>
  <c r="N20" i="5"/>
  <c r="O21" i="5"/>
  <c r="O20" i="5"/>
  <c r="P21" i="5"/>
  <c r="P20" i="5"/>
  <c r="Q21" i="5"/>
  <c r="Q20" i="5"/>
  <c r="R21" i="5"/>
  <c r="R20" i="5"/>
  <c r="S21" i="5"/>
  <c r="S20" i="5"/>
  <c r="T21" i="5"/>
  <c r="T20" i="5"/>
  <c r="U21" i="5"/>
  <c r="U20" i="5"/>
  <c r="V21" i="5"/>
  <c r="V20" i="5"/>
  <c r="W21" i="5"/>
  <c r="W20" i="5"/>
  <c r="X21" i="5"/>
  <c r="X20" i="5"/>
  <c r="Y21" i="5"/>
  <c r="Y20" i="5"/>
  <c r="Z21" i="5"/>
  <c r="Z20" i="5"/>
  <c r="AA21" i="5"/>
  <c r="AA20" i="5"/>
  <c r="AB21" i="5"/>
  <c r="AB20" i="5"/>
  <c r="AC21" i="5"/>
  <c r="AC20" i="5"/>
  <c r="AD21" i="5"/>
  <c r="AD20" i="5"/>
  <c r="M3" i="5"/>
  <c r="M2" i="5"/>
  <c r="M4" i="5" s="1"/>
  <c r="M6" i="5" s="1"/>
  <c r="N3" i="5"/>
  <c r="N2" i="5"/>
  <c r="N4" i="5" s="1"/>
  <c r="N6" i="5" s="1"/>
  <c r="O3" i="5"/>
  <c r="O2" i="5"/>
  <c r="O4" i="5" s="1"/>
  <c r="O6" i="5" s="1"/>
  <c r="P3" i="5"/>
  <c r="P2" i="5"/>
  <c r="P4" i="5" s="1"/>
  <c r="P6" i="5" s="1"/>
  <c r="Q3" i="5"/>
  <c r="Q2" i="5"/>
  <c r="Q4" i="5" s="1"/>
  <c r="Q6" i="5" s="1"/>
  <c r="R3" i="5"/>
  <c r="R2" i="5"/>
  <c r="R4" i="5" s="1"/>
  <c r="R6" i="5" s="1"/>
  <c r="S3" i="5"/>
  <c r="S2" i="5"/>
  <c r="S4" i="5" s="1"/>
  <c r="S6" i="5" s="1"/>
  <c r="T3" i="5"/>
  <c r="T2" i="5"/>
  <c r="T4" i="5" s="1"/>
  <c r="T6" i="5" s="1"/>
  <c r="U3" i="5"/>
  <c r="U2" i="5"/>
  <c r="U4" i="5" s="1"/>
  <c r="U6" i="5" s="1"/>
  <c r="V3" i="5"/>
  <c r="V2" i="5"/>
  <c r="V4" i="5" s="1"/>
  <c r="V6" i="5" s="1"/>
  <c r="W3" i="5"/>
  <c r="W2" i="5"/>
  <c r="W4" i="5" s="1"/>
  <c r="W6" i="5" s="1"/>
  <c r="X3" i="5"/>
  <c r="X2" i="5"/>
  <c r="X4" i="5" s="1"/>
  <c r="X6" i="5" s="1"/>
  <c r="Y3" i="5"/>
  <c r="Y2" i="5"/>
  <c r="Y4" i="5" s="1"/>
  <c r="Y6" i="5" s="1"/>
  <c r="Z3" i="5"/>
  <c r="Z2" i="5"/>
  <c r="Z4" i="5" s="1"/>
  <c r="Z6" i="5" s="1"/>
  <c r="AA3" i="5"/>
  <c r="AA2" i="5"/>
  <c r="AA4" i="5" s="1"/>
  <c r="AA6" i="5" s="1"/>
  <c r="AB3" i="5"/>
  <c r="AB2" i="5"/>
  <c r="AB4" i="5" s="1"/>
  <c r="AB6" i="5" s="1"/>
  <c r="AC3" i="5"/>
  <c r="AC2" i="5"/>
  <c r="AC4" i="5" s="1"/>
  <c r="AC6" i="5" s="1"/>
  <c r="AD3" i="5"/>
  <c r="AD2" i="5"/>
  <c r="AD4" i="5" s="1"/>
  <c r="AD6" i="5" s="1"/>
  <c r="U8" i="5"/>
  <c r="T8" i="5"/>
  <c r="S8" i="5"/>
  <c r="R8" i="5"/>
  <c r="Q8" i="5"/>
  <c r="P8" i="5"/>
  <c r="O8" i="5"/>
  <c r="N8" i="5"/>
  <c r="M8" i="5"/>
  <c r="AD8" i="5"/>
  <c r="AC8" i="5"/>
  <c r="AB8" i="5"/>
  <c r="AA8" i="5"/>
  <c r="Z8" i="5"/>
  <c r="Y8" i="5"/>
  <c r="X8" i="5"/>
  <c r="W8" i="5"/>
  <c r="V8" i="5"/>
  <c r="U11" i="5"/>
  <c r="T11" i="5"/>
  <c r="S11" i="5"/>
  <c r="R11" i="5"/>
  <c r="Q11" i="5"/>
  <c r="P11" i="5"/>
  <c r="O11" i="5"/>
  <c r="N11" i="5"/>
  <c r="M11" i="5"/>
  <c r="AD11" i="5"/>
  <c r="AC11" i="5"/>
  <c r="AB11" i="5"/>
  <c r="AA11" i="5"/>
  <c r="Z11" i="5"/>
  <c r="Y11" i="5"/>
  <c r="X11" i="5"/>
  <c r="W11" i="5"/>
  <c r="V11" i="5"/>
  <c r="U13" i="5"/>
  <c r="T13" i="5"/>
  <c r="S13" i="5"/>
  <c r="R13" i="5"/>
  <c r="Q13" i="5"/>
  <c r="P13" i="5"/>
  <c r="O13" i="5"/>
  <c r="N13" i="5"/>
  <c r="M13" i="5"/>
  <c r="AD13" i="5"/>
  <c r="AC13" i="5"/>
  <c r="AB13" i="5"/>
  <c r="AA13" i="5"/>
  <c r="Z13" i="5"/>
  <c r="Y13" i="5"/>
  <c r="X13" i="5"/>
  <c r="W13" i="5"/>
  <c r="V13" i="5"/>
  <c r="U14" i="5"/>
  <c r="T14" i="5"/>
  <c r="S14" i="5"/>
  <c r="R14" i="5"/>
  <c r="Q14" i="5"/>
  <c r="P14" i="5"/>
  <c r="O14" i="5"/>
  <c r="N14" i="5"/>
  <c r="M14" i="5"/>
  <c r="AD14" i="5"/>
  <c r="AC14" i="5"/>
  <c r="AB14" i="5"/>
  <c r="AA14" i="5"/>
  <c r="Z14" i="5"/>
  <c r="Y14" i="5"/>
  <c r="X14" i="5"/>
  <c r="W14" i="5"/>
  <c r="V14" i="5"/>
  <c r="E4" i="4"/>
  <c r="F4" i="4"/>
  <c r="D10" i="5"/>
  <c r="D15" i="5" s="1"/>
  <c r="D9" i="5"/>
  <c r="D8" i="5"/>
  <c r="E10" i="5"/>
  <c r="E15" i="5" s="1"/>
  <c r="E9" i="5"/>
  <c r="E8" i="5"/>
  <c r="F10" i="5"/>
  <c r="F15" i="5" s="1"/>
  <c r="F9" i="5"/>
  <c r="F8" i="5"/>
  <c r="G10" i="5"/>
  <c r="G15" i="5" s="1"/>
  <c r="G9" i="5"/>
  <c r="G8" i="5"/>
  <c r="H10" i="5"/>
  <c r="H15" i="5" s="1"/>
  <c r="H9" i="5"/>
  <c r="H8" i="5"/>
  <c r="I10" i="5"/>
  <c r="I15" i="5" s="1"/>
  <c r="I9" i="5"/>
  <c r="I8" i="5"/>
  <c r="J10" i="5"/>
  <c r="J15" i="5" s="1"/>
  <c r="J9" i="5"/>
  <c r="J8" i="5"/>
  <c r="K10" i="5"/>
  <c r="K15" i="5" s="1"/>
  <c r="K9" i="5"/>
  <c r="K8" i="5"/>
  <c r="L10" i="5"/>
  <c r="L15" i="5" s="1"/>
  <c r="L9" i="5"/>
  <c r="L8" i="5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AA21" i="6"/>
  <c r="AA12" i="6"/>
  <c r="AA6" i="6"/>
  <c r="AA22" i="6"/>
  <c r="AA13" i="6"/>
  <c r="AA7" i="6"/>
  <c r="AA23" i="6"/>
  <c r="AA14" i="6"/>
  <c r="AA8" i="6"/>
  <c r="AA26" i="6" l="1"/>
  <c r="AA17" i="6"/>
  <c r="AA11" i="6"/>
  <c r="AA25" i="6"/>
  <c r="AA16" i="6"/>
  <c r="AA10" i="6"/>
  <c r="AA24" i="6"/>
  <c r="AA15" i="6"/>
  <c r="AA9" i="6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M16" i="5" a="1"/>
  <c r="M16" i="5" s="1"/>
  <c r="N16" i="5" a="1"/>
  <c r="N16" i="5" s="1"/>
  <c r="O16" i="5" a="1"/>
  <c r="O16" i="5" s="1"/>
  <c r="P16" i="5" a="1"/>
  <c r="P16" i="5" s="1"/>
  <c r="Q16" i="5" a="1"/>
  <c r="Q16" i="5" s="1"/>
  <c r="R16" i="5" a="1"/>
  <c r="R16" i="5" s="1"/>
  <c r="V16" i="5" a="1"/>
  <c r="V16" i="5" s="1"/>
  <c r="W16" i="5" a="1"/>
  <c r="W16" i="5" s="1"/>
  <c r="X16" i="5" a="1"/>
  <c r="X16" i="5" s="1"/>
  <c r="Y16" i="5" a="1"/>
  <c r="Y16" i="5" s="1"/>
  <c r="Z16" i="5" a="1"/>
  <c r="Z16" i="5" s="1"/>
  <c r="AA16" i="5" a="1"/>
  <c r="AA16" i="5" s="1"/>
  <c r="O3" i="6"/>
  <c r="L19" i="5"/>
  <c r="L18" i="5"/>
  <c r="L17" i="5"/>
  <c r="K19" i="5"/>
  <c r="K18" i="5"/>
  <c r="K17" i="5"/>
  <c r="J19" i="5"/>
  <c r="J18" i="5"/>
  <c r="J17" i="5"/>
  <c r="I19" i="5"/>
  <c r="I18" i="5"/>
  <c r="I17" i="5"/>
  <c r="H19" i="5"/>
  <c r="H18" i="5"/>
  <c r="H17" i="5"/>
  <c r="G19" i="5"/>
  <c r="G18" i="5"/>
  <c r="G17" i="5"/>
  <c r="F19" i="5"/>
  <c r="F18" i="5"/>
  <c r="F17" i="5"/>
  <c r="E19" i="5"/>
  <c r="E18" i="5"/>
  <c r="E17" i="5"/>
  <c r="D19" i="5"/>
  <c r="D18" i="5"/>
  <c r="D17" i="5"/>
  <c r="V19" i="5"/>
  <c r="V18" i="5"/>
  <c r="W19" i="5"/>
  <c r="W18" i="5"/>
  <c r="X19" i="5"/>
  <c r="X18" i="5"/>
  <c r="Y19" i="5"/>
  <c r="Y18" i="5"/>
  <c r="Z19" i="5"/>
  <c r="Z18" i="5"/>
  <c r="AA19" i="5"/>
  <c r="AA18" i="5"/>
  <c r="AB19" i="5"/>
  <c r="AB18" i="5"/>
  <c r="AC19" i="5"/>
  <c r="AC18" i="5"/>
  <c r="AD19" i="5"/>
  <c r="AD18" i="5"/>
  <c r="M19" i="5"/>
  <c r="M18" i="5"/>
  <c r="N19" i="5"/>
  <c r="N18" i="5"/>
  <c r="O19" i="5"/>
  <c r="O18" i="5"/>
  <c r="P19" i="5"/>
  <c r="P18" i="5"/>
  <c r="Q19" i="5"/>
  <c r="Q18" i="5"/>
  <c r="R19" i="5"/>
  <c r="R18" i="5"/>
  <c r="S19" i="5"/>
  <c r="S18" i="5"/>
  <c r="T19" i="5"/>
  <c r="T18" i="5"/>
  <c r="U19" i="5"/>
  <c r="U18" i="5"/>
  <c r="AD10" i="5"/>
  <c r="AD15" i="5" s="1"/>
  <c r="AD9" i="5"/>
  <c r="AC10" i="5"/>
  <c r="AC15" i="5" s="1"/>
  <c r="AC9" i="5"/>
  <c r="AB10" i="5"/>
  <c r="AB15" i="5" s="1"/>
  <c r="AB9" i="5"/>
  <c r="AA10" i="5"/>
  <c r="AA15" i="5" s="1"/>
  <c r="AA9" i="5"/>
  <c r="Z10" i="5"/>
  <c r="Z15" i="5" s="1"/>
  <c r="Z9" i="5"/>
  <c r="Y10" i="5"/>
  <c r="Y15" i="5" s="1"/>
  <c r="Y9" i="5"/>
  <c r="X10" i="5"/>
  <c r="X15" i="5" s="1"/>
  <c r="X9" i="5"/>
  <c r="W10" i="5"/>
  <c r="W15" i="5" s="1"/>
  <c r="W9" i="5"/>
  <c r="V10" i="5"/>
  <c r="V15" i="5" s="1"/>
  <c r="V9" i="5"/>
  <c r="U10" i="5"/>
  <c r="U15" i="5" s="1"/>
  <c r="U9" i="5"/>
  <c r="T10" i="5"/>
  <c r="T15" i="5" s="1"/>
  <c r="T9" i="5"/>
  <c r="S10" i="5"/>
  <c r="S15" i="5" s="1"/>
  <c r="S9" i="5"/>
  <c r="R10" i="5"/>
  <c r="R15" i="5" s="1"/>
  <c r="R9" i="5"/>
  <c r="Q10" i="5"/>
  <c r="Q15" i="5" s="1"/>
  <c r="Q9" i="5"/>
  <c r="P10" i="5"/>
  <c r="P15" i="5" s="1"/>
  <c r="P9" i="5"/>
  <c r="O10" i="5"/>
  <c r="O15" i="5" s="1"/>
  <c r="O9" i="5"/>
  <c r="N10" i="5"/>
  <c r="N15" i="5" s="1"/>
  <c r="N9" i="5"/>
  <c r="M10" i="5"/>
  <c r="M15" i="5" s="1"/>
  <c r="M9" i="5"/>
  <c r="S3" i="6" l="1" a="1"/>
  <c r="S3" i="6" s="1"/>
  <c r="P3" i="6" s="1" a="1"/>
  <c r="P3" i="6" s="1"/>
  <c r="M17" i="5"/>
  <c r="M23" i="5"/>
  <c r="N17" i="5"/>
  <c r="N23" i="5"/>
  <c r="O17" i="5"/>
  <c r="O23" i="5"/>
  <c r="P17" i="5"/>
  <c r="P23" i="5"/>
  <c r="Q17" i="5"/>
  <c r="Q23" i="5"/>
  <c r="R17" i="5"/>
  <c r="R23" i="5"/>
  <c r="S17" i="5"/>
  <c r="T17" i="5"/>
  <c r="U17" i="5"/>
  <c r="V17" i="5"/>
  <c r="V23" i="5"/>
  <c r="W17" i="5"/>
  <c r="W23" i="5"/>
  <c r="X17" i="5"/>
  <c r="X23" i="5"/>
  <c r="Y17" i="5"/>
  <c r="Y23" i="5"/>
  <c r="Z17" i="5"/>
  <c r="Z23" i="5"/>
  <c r="AA17" i="5"/>
  <c r="AA23" i="5"/>
  <c r="AB17" i="5"/>
  <c r="AC17" i="5"/>
  <c r="AD17" i="5"/>
  <c r="D23" i="5"/>
  <c r="D30" i="5"/>
  <c r="B3" i="1"/>
  <c r="E30" i="5"/>
  <c r="C3" i="1"/>
  <c r="F30" i="5"/>
  <c r="D3" i="1"/>
  <c r="G30" i="5"/>
  <c r="E3" i="1"/>
  <c r="H30" i="5"/>
  <c r="F3" i="1"/>
  <c r="I30" i="5"/>
  <c r="G3" i="1"/>
  <c r="J30" i="5"/>
  <c r="H3" i="1"/>
  <c r="K30" i="5"/>
  <c r="I3" i="1"/>
  <c r="L30" i="5"/>
  <c r="J3" i="1"/>
  <c r="E23" i="5"/>
  <c r="F23" i="5"/>
  <c r="G23" i="5"/>
  <c r="H23" i="5"/>
  <c r="I23" i="5"/>
  <c r="J23" i="5"/>
  <c r="K23" i="5"/>
  <c r="L23" i="5"/>
  <c r="AA27" i="6"/>
  <c r="AB16" i="5" s="1" a="1"/>
  <c r="AB16" i="5" s="1"/>
  <c r="AB23" i="5" s="1"/>
  <c r="AA18" i="6"/>
  <c r="S16" i="5" s="1" a="1"/>
  <c r="S16" i="5" s="1"/>
  <c r="S23" i="5" s="1"/>
  <c r="AA28" i="6"/>
  <c r="AC16" i="5" s="1" a="1"/>
  <c r="AC16" i="5" s="1"/>
  <c r="AC23" i="5" s="1"/>
  <c r="AA19" i="6"/>
  <c r="T16" i="5" s="1" a="1"/>
  <c r="T16" i="5" s="1"/>
  <c r="T23" i="5" s="1"/>
  <c r="AA29" i="6"/>
  <c r="AD16" i="5" s="1" a="1"/>
  <c r="AD16" i="5" s="1"/>
  <c r="AD23" i="5" s="1"/>
  <c r="AA20" i="6"/>
  <c r="U16" i="5" s="1" a="1"/>
  <c r="U16" i="5" s="1"/>
  <c r="U23" i="5" s="1"/>
  <c r="M34" i="5" l="1" a="1"/>
  <c r="M34" i="5" s="1"/>
  <c r="K9" i="1" s="1"/>
  <c r="M33" i="5" a="1"/>
  <c r="M33" i="5" s="1"/>
  <c r="U34" i="5" a="1"/>
  <c r="U34" i="5" s="1"/>
  <c r="S9" i="1" s="1"/>
  <c r="U33" i="5" a="1"/>
  <c r="U33" i="5" s="1"/>
  <c r="AD34" i="5" a="1"/>
  <c r="AD34" i="5" s="1"/>
  <c r="AB9" i="1" s="1"/>
  <c r="AD33" i="5" a="1"/>
  <c r="AD33" i="5" s="1"/>
  <c r="T34" i="5" a="1"/>
  <c r="T34" i="5" s="1"/>
  <c r="R9" i="1" s="1"/>
  <c r="T33" i="5" a="1"/>
  <c r="T33" i="5" s="1"/>
  <c r="AC34" i="5" a="1"/>
  <c r="AC34" i="5" s="1"/>
  <c r="AA9" i="1" s="1"/>
  <c r="AC33" i="5" a="1"/>
  <c r="AC33" i="5" s="1"/>
  <c r="S34" i="5" a="1"/>
  <c r="S34" i="5" s="1"/>
  <c r="Q9" i="1" s="1"/>
  <c r="S33" i="5" a="1"/>
  <c r="S33" i="5" s="1"/>
  <c r="AB34" i="5" a="1"/>
  <c r="AB34" i="5" s="1"/>
  <c r="Z9" i="1" s="1"/>
  <c r="AB33" i="5" a="1"/>
  <c r="AB33" i="5" s="1"/>
  <c r="L34" i="5" a="1"/>
  <c r="L34" i="5" s="1"/>
  <c r="J9" i="1" s="1"/>
  <c r="L33" i="5" a="1"/>
  <c r="L33" i="5" s="1"/>
  <c r="K34" i="5" a="1"/>
  <c r="K34" i="5" s="1"/>
  <c r="I9" i="1" s="1"/>
  <c r="K33" i="5" a="1"/>
  <c r="K33" i="5" s="1"/>
  <c r="J34" i="5" a="1"/>
  <c r="J34" i="5" s="1"/>
  <c r="H9" i="1" s="1"/>
  <c r="J33" i="5" a="1"/>
  <c r="J33" i="5" s="1"/>
  <c r="I34" i="5" a="1"/>
  <c r="I34" i="5" s="1"/>
  <c r="G9" i="1" s="1"/>
  <c r="I33" i="5" a="1"/>
  <c r="I33" i="5" s="1"/>
  <c r="H34" i="5" a="1"/>
  <c r="H34" i="5" s="1"/>
  <c r="F9" i="1" s="1"/>
  <c r="H33" i="5" a="1"/>
  <c r="H33" i="5" s="1"/>
  <c r="G34" i="5" a="1"/>
  <c r="G34" i="5" s="1"/>
  <c r="E9" i="1" s="1"/>
  <c r="G33" i="5" a="1"/>
  <c r="G33" i="5" s="1"/>
  <c r="F34" i="5" a="1"/>
  <c r="F34" i="5" s="1"/>
  <c r="D9" i="1" s="1"/>
  <c r="F33" i="5" a="1"/>
  <c r="F33" i="5" s="1"/>
  <c r="E34" i="5" a="1"/>
  <c r="E34" i="5" s="1"/>
  <c r="C9" i="1" s="1"/>
  <c r="E33" i="5" a="1"/>
  <c r="E33" i="5" s="1"/>
  <c r="D34" i="5" a="1"/>
  <c r="D34" i="5" s="1"/>
  <c r="B9" i="1" s="1"/>
  <c r="D33" i="5" a="1"/>
  <c r="D33" i="5" s="1"/>
  <c r="AA34" i="5" a="1"/>
  <c r="AA34" i="5" s="1"/>
  <c r="Y9" i="1" s="1"/>
  <c r="AA33" i="5" a="1"/>
  <c r="AA33" i="5" s="1"/>
  <c r="Z34" i="5" a="1"/>
  <c r="Z34" i="5" s="1"/>
  <c r="X9" i="1" s="1"/>
  <c r="Z33" i="5" a="1"/>
  <c r="Z33" i="5" s="1"/>
  <c r="Y34" i="5" a="1"/>
  <c r="Y34" i="5" s="1"/>
  <c r="W9" i="1" s="1"/>
  <c r="Y33" i="5" a="1"/>
  <c r="Y33" i="5" s="1"/>
  <c r="X34" i="5" a="1"/>
  <c r="X34" i="5" s="1"/>
  <c r="V9" i="1" s="1"/>
  <c r="X33" i="5" a="1"/>
  <c r="X33" i="5" s="1"/>
  <c r="W34" i="5" a="1"/>
  <c r="W34" i="5" s="1"/>
  <c r="U9" i="1" s="1"/>
  <c r="W33" i="5" a="1"/>
  <c r="W33" i="5" s="1"/>
  <c r="V34" i="5" a="1"/>
  <c r="V34" i="5" s="1"/>
  <c r="T9" i="1" s="1"/>
  <c r="V33" i="5" a="1"/>
  <c r="V33" i="5" s="1"/>
  <c r="R34" i="5" a="1"/>
  <c r="R34" i="5" s="1"/>
  <c r="P9" i="1" s="1"/>
  <c r="R33" i="5" a="1"/>
  <c r="R33" i="5" s="1"/>
  <c r="Q34" i="5" a="1"/>
  <c r="Q34" i="5" s="1"/>
  <c r="O9" i="1" s="1"/>
  <c r="Q33" i="5" a="1"/>
  <c r="Q33" i="5" s="1"/>
  <c r="P34" i="5" a="1"/>
  <c r="P34" i="5" s="1"/>
  <c r="N9" i="1" s="1"/>
  <c r="P33" i="5" a="1"/>
  <c r="P33" i="5" s="1"/>
  <c r="O34" i="5" a="1"/>
  <c r="O34" i="5" s="1"/>
  <c r="M9" i="1" s="1"/>
  <c r="O33" i="5" a="1"/>
  <c r="O33" i="5" s="1"/>
  <c r="N34" i="5" a="1"/>
  <c r="N34" i="5" s="1"/>
  <c r="L9" i="1" s="1"/>
  <c r="N33" i="5" a="1"/>
  <c r="N33" i="5" s="1"/>
  <c r="S8" i="1"/>
  <c r="S2" i="1"/>
  <c r="AB8" i="1"/>
  <c r="AB2" i="1"/>
  <c r="R8" i="1"/>
  <c r="R2" i="1"/>
  <c r="AA8" i="1"/>
  <c r="AA2" i="1"/>
  <c r="Q8" i="1"/>
  <c r="Q2" i="1"/>
  <c r="Z8" i="1"/>
  <c r="Z2" i="1"/>
  <c r="J8" i="1"/>
  <c r="L26" i="5"/>
  <c r="J5" i="1" s="1"/>
  <c r="J2" i="1"/>
  <c r="I8" i="1"/>
  <c r="K26" i="5"/>
  <c r="I5" i="1" s="1"/>
  <c r="I2" i="1"/>
  <c r="H8" i="1"/>
  <c r="J26" i="5"/>
  <c r="H5" i="1" s="1"/>
  <c r="H2" i="1"/>
  <c r="G8" i="1"/>
  <c r="I26" i="5"/>
  <c r="G5" i="1" s="1"/>
  <c r="G2" i="1"/>
  <c r="F8" i="1"/>
  <c r="H26" i="5"/>
  <c r="F5" i="1" s="1"/>
  <c r="F2" i="1"/>
  <c r="E8" i="1"/>
  <c r="G26" i="5"/>
  <c r="E5" i="1" s="1"/>
  <c r="E2" i="1"/>
  <c r="D8" i="1"/>
  <c r="F26" i="5"/>
  <c r="D5" i="1" s="1"/>
  <c r="D2" i="1"/>
  <c r="C8" i="1"/>
  <c r="E26" i="5"/>
  <c r="C5" i="1" s="1"/>
  <c r="C2" i="1"/>
  <c r="L31" i="5"/>
  <c r="J4" i="1"/>
  <c r="K31" i="5"/>
  <c r="I4" i="1"/>
  <c r="J31" i="5"/>
  <c r="H4" i="1"/>
  <c r="I31" i="5"/>
  <c r="G4" i="1"/>
  <c r="H31" i="5"/>
  <c r="F4" i="1"/>
  <c r="G31" i="5"/>
  <c r="E4" i="1"/>
  <c r="F31" i="5"/>
  <c r="D4" i="1"/>
  <c r="E31" i="5"/>
  <c r="C4" i="1"/>
  <c r="D31" i="5"/>
  <c r="B4" i="1"/>
  <c r="B8" i="1"/>
  <c r="D26" i="5"/>
  <c r="B5" i="1" s="1"/>
  <c r="B2" i="1"/>
  <c r="AD30" i="5"/>
  <c r="AD26" i="5"/>
  <c r="AB5" i="1" s="1"/>
  <c r="AB3" i="1"/>
  <c r="AC30" i="5"/>
  <c r="AC26" i="5"/>
  <c r="AA5" i="1" s="1"/>
  <c r="AA3" i="1"/>
  <c r="AB30" i="5"/>
  <c r="AB26" i="5"/>
  <c r="Z5" i="1" s="1"/>
  <c r="Z3" i="1"/>
  <c r="Y8" i="1"/>
  <c r="Y2" i="1"/>
  <c r="AA30" i="5"/>
  <c r="AA26" i="5"/>
  <c r="Y5" i="1" s="1"/>
  <c r="Y3" i="1"/>
  <c r="X8" i="1"/>
  <c r="X2" i="1"/>
  <c r="Z30" i="5"/>
  <c r="Z26" i="5"/>
  <c r="X5" i="1" s="1"/>
  <c r="X3" i="1"/>
  <c r="W8" i="1"/>
  <c r="W2" i="1"/>
  <c r="Y30" i="5"/>
  <c r="Y26" i="5"/>
  <c r="W5" i="1" s="1"/>
  <c r="W3" i="1"/>
  <c r="V8" i="1"/>
  <c r="V2" i="1"/>
  <c r="X30" i="5"/>
  <c r="X26" i="5"/>
  <c r="V5" i="1" s="1"/>
  <c r="V3" i="1"/>
  <c r="U8" i="1"/>
  <c r="U2" i="1"/>
  <c r="W30" i="5"/>
  <c r="W26" i="5"/>
  <c r="U5" i="1" s="1"/>
  <c r="U3" i="1"/>
  <c r="T8" i="1"/>
  <c r="T2" i="1"/>
  <c r="V30" i="5"/>
  <c r="V26" i="5"/>
  <c r="T5" i="1" s="1"/>
  <c r="T3" i="1"/>
  <c r="U30" i="5"/>
  <c r="U26" i="5"/>
  <c r="S5" i="1" s="1"/>
  <c r="S3" i="1"/>
  <c r="T30" i="5"/>
  <c r="T26" i="5"/>
  <c r="R5" i="1" s="1"/>
  <c r="R3" i="1"/>
  <c r="S30" i="5"/>
  <c r="S26" i="5"/>
  <c r="Q5" i="1" s="1"/>
  <c r="Q3" i="1"/>
  <c r="P8" i="1"/>
  <c r="P2" i="1"/>
  <c r="R30" i="5"/>
  <c r="R26" i="5"/>
  <c r="P5" i="1" s="1"/>
  <c r="P3" i="1"/>
  <c r="O8" i="1"/>
  <c r="O2" i="1"/>
  <c r="Q30" i="5"/>
  <c r="Q26" i="5"/>
  <c r="O5" i="1" s="1"/>
  <c r="O3" i="1"/>
  <c r="N8" i="1"/>
  <c r="N2" i="1"/>
  <c r="P30" i="5"/>
  <c r="P26" i="5"/>
  <c r="N5" i="1" s="1"/>
  <c r="N3" i="1"/>
  <c r="M8" i="1"/>
  <c r="M2" i="1"/>
  <c r="O30" i="5"/>
  <c r="O26" i="5"/>
  <c r="M5" i="1" s="1"/>
  <c r="M3" i="1"/>
  <c r="L8" i="1"/>
  <c r="L2" i="1"/>
  <c r="N30" i="5"/>
  <c r="N26" i="5"/>
  <c r="L5" i="1" s="1"/>
  <c r="L3" i="1"/>
  <c r="K8" i="1"/>
  <c r="K2" i="1"/>
  <c r="M30" i="5"/>
  <c r="M26" i="5"/>
  <c r="K5" i="1" s="1"/>
  <c r="K3" i="1"/>
  <c r="M31" i="5" l="1"/>
  <c r="K4" i="1"/>
  <c r="N31" i="5"/>
  <c r="L4" i="1"/>
  <c r="O31" i="5"/>
  <c r="M4" i="1"/>
  <c r="P31" i="5"/>
  <c r="N4" i="1"/>
  <c r="Q31" i="5"/>
  <c r="O4" i="1"/>
  <c r="R31" i="5"/>
  <c r="P4" i="1"/>
  <c r="S31" i="5"/>
  <c r="Q4" i="1"/>
  <c r="T31" i="5"/>
  <c r="R4" i="1"/>
  <c r="U31" i="5"/>
  <c r="S4" i="1"/>
  <c r="V31" i="5"/>
  <c r="T4" i="1"/>
  <c r="W31" i="5"/>
  <c r="U4" i="1"/>
  <c r="X31" i="5"/>
  <c r="V4" i="1"/>
  <c r="Y31" i="5"/>
  <c r="W4" i="1"/>
  <c r="Z31" i="5"/>
  <c r="X4" i="1"/>
  <c r="AA31" i="5"/>
  <c r="Y4" i="1"/>
  <c r="AB31" i="5"/>
  <c r="Z4" i="1"/>
  <c r="AC31" i="5"/>
  <c r="AA4" i="1"/>
  <c r="AD31" i="5"/>
  <c r="AB4" i="1"/>
  <c r="D32" i="5"/>
  <c r="B7" i="1" s="1"/>
  <c r="B6" i="1"/>
  <c r="E32" i="5"/>
  <c r="C7" i="1" s="1"/>
  <c r="C6" i="1"/>
  <c r="F32" i="5"/>
  <c r="D7" i="1" s="1"/>
  <c r="D6" i="1"/>
  <c r="G32" i="5"/>
  <c r="E7" i="1" s="1"/>
  <c r="E6" i="1"/>
  <c r="H32" i="5"/>
  <c r="F7" i="1" s="1"/>
  <c r="F6" i="1"/>
  <c r="I32" i="5"/>
  <c r="G7" i="1" s="1"/>
  <c r="G6" i="1"/>
  <c r="J32" i="5"/>
  <c r="H7" i="1" s="1"/>
  <c r="H6" i="1"/>
  <c r="K32" i="5"/>
  <c r="I7" i="1" s="1"/>
  <c r="I6" i="1"/>
  <c r="L32" i="5"/>
  <c r="J7" i="1" s="1"/>
  <c r="J6" i="1"/>
  <c r="AD32" i="5" l="1"/>
  <c r="AB7" i="1" s="1"/>
  <c r="AB6" i="1"/>
  <c r="AC32" i="5"/>
  <c r="AA7" i="1" s="1"/>
  <c r="AA6" i="1"/>
  <c r="AB32" i="5"/>
  <c r="Z7" i="1" s="1"/>
  <c r="Z6" i="1"/>
  <c r="AA32" i="5"/>
  <c r="Y7" i="1" s="1"/>
  <c r="Y6" i="1"/>
  <c r="Z32" i="5"/>
  <c r="X7" i="1" s="1"/>
  <c r="X6" i="1"/>
  <c r="Y32" i="5"/>
  <c r="W7" i="1" s="1"/>
  <c r="W6" i="1"/>
  <c r="X32" i="5"/>
  <c r="V7" i="1" s="1"/>
  <c r="V6" i="1"/>
  <c r="W32" i="5"/>
  <c r="U7" i="1" s="1"/>
  <c r="U6" i="1"/>
  <c r="V32" i="5"/>
  <c r="T7" i="1" s="1"/>
  <c r="T6" i="1"/>
  <c r="U32" i="5"/>
  <c r="S7" i="1" s="1"/>
  <c r="S6" i="1"/>
  <c r="T32" i="5"/>
  <c r="R7" i="1" s="1"/>
  <c r="R6" i="1"/>
  <c r="S32" i="5"/>
  <c r="Q7" i="1" s="1"/>
  <c r="Q6" i="1"/>
  <c r="R32" i="5"/>
  <c r="P7" i="1" s="1"/>
  <c r="P6" i="1"/>
  <c r="Q32" i="5"/>
  <c r="O7" i="1" s="1"/>
  <c r="O6" i="1"/>
  <c r="P32" i="5"/>
  <c r="N7" i="1" s="1"/>
  <c r="N6" i="1"/>
  <c r="O32" i="5"/>
  <c r="M7" i="1" s="1"/>
  <c r="M6" i="1"/>
  <c r="N32" i="5"/>
  <c r="L7" i="1" s="1"/>
  <c r="L6" i="1"/>
  <c r="M32" i="5"/>
  <c r="K7" i="1" s="1"/>
  <c r="K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<sst xmlns="http://schemas.openxmlformats.org/spreadsheetml/2006/main" count="846" uniqueCount="308">
  <si>
    <t>CAPEX (€)</t>
  </si>
  <si>
    <t>OPEX (€)</t>
  </si>
  <si>
    <t>Revenue (€)</t>
  </si>
  <si>
    <t>LCOE (€)</t>
  </si>
  <si>
    <t>NPV (€)</t>
  </si>
  <si>
    <t>ROI (%)</t>
  </si>
  <si>
    <t>Payback (y)</t>
  </si>
  <si>
    <t>IRR (%)</t>
  </si>
  <si>
    <t>Comment</t>
  </si>
  <si>
    <t>Dir</t>
  </si>
  <si>
    <t>n_2</t>
  </si>
  <si>
    <t>n_25</t>
  </si>
  <si>
    <t>n_10</t>
  </si>
  <si>
    <t>b_2</t>
  </si>
  <si>
    <t>b_25</t>
  </si>
  <si>
    <t>b_10</t>
  </si>
  <si>
    <t>m_2</t>
  </si>
  <si>
    <t>m_25</t>
  </si>
  <si>
    <t>m_10</t>
  </si>
  <si>
    <t>Cost (€)</t>
  </si>
  <si>
    <t>installation_pontoons_equipment_cost</t>
  </si>
  <si>
    <t>installation_pontoons_fuel_cost</t>
  </si>
  <si>
    <t>installation_pontoons_personnel_cost</t>
  </si>
  <si>
    <t>installation_pv_system_equipment_cost</t>
  </si>
  <si>
    <t>installation_pv_system_fuel_cost</t>
  </si>
  <si>
    <t>installation_pv_system_personnel_cost</t>
  </si>
  <si>
    <t>maintenance_pontoons_equipment_cost</t>
  </si>
  <si>
    <t>maintenance_pontoons_fuel_cost</t>
  </si>
  <si>
    <t>maintenance_pontoons_personnel_cost</t>
  </si>
  <si>
    <t>replacement_of_pv_system_equipment_cost</t>
  </si>
  <si>
    <t>replacement_of_pv_system_fuel_cost</t>
  </si>
  <si>
    <t>replacement_of_pv_system_personnel_cost</t>
  </si>
  <si>
    <t>inverters_transformers_cost</t>
  </si>
  <si>
    <t>solar_maintenance_cost_per_kw_per_year</t>
  </si>
  <si>
    <t>Boat trips to site already included in pontoon maintenance. Larger size reduces cost. Waves increase cost. Robust panels decrease costs. Cooling reduces costs. Otherwise same as for land.</t>
  </si>
  <si>
    <t>Count</t>
  </si>
  <si>
    <t>anchors_count</t>
  </si>
  <si>
    <t>pontoons_count</t>
  </si>
  <si>
    <t>matrices_per_quadrant</t>
  </si>
  <si>
    <t>rings_count</t>
  </si>
  <si>
    <t>Weight (t)</t>
  </si>
  <si>
    <t>anchor_weight</t>
  </si>
  <si>
    <t>chain_weight</t>
  </si>
  <si>
    <t>pvc_pipe_weight</t>
  </si>
  <si>
    <t>polypropylene_rope_weight</t>
  </si>
  <si>
    <t>Distance (m)</t>
  </si>
  <si>
    <t>solar_pipe_distance</t>
  </si>
  <si>
    <t>pipe_wavebreaker_distance</t>
  </si>
  <si>
    <t>matrix_side_length</t>
  </si>
  <si>
    <t>distance_to_shore</t>
  </si>
  <si>
    <t>panel_transport_km</t>
  </si>
  <si>
    <t>Percentages (%)</t>
  </si>
  <si>
    <t>solar_degradation_yearly</t>
  </si>
  <si>
    <t>solar_wave_loss</t>
  </si>
  <si>
    <t>Energy (kWh)</t>
  </si>
  <si>
    <t>solar_production_yearly</t>
  </si>
  <si>
    <t>Parameter</t>
  </si>
  <si>
    <t>Unit</t>
  </si>
  <si>
    <t>Value</t>
  </si>
  <si>
    <t>Pes</t>
  </si>
  <si>
    <t>Opt</t>
  </si>
  <si>
    <t>solar_panel_prod_workhours_cost_per_hour</t>
  </si>
  <si>
    <t>€ / h</t>
  </si>
  <si>
    <t>Cost per hour for workers assembly of floating solar panels.</t>
  </si>
  <si>
    <t>solar_panel_prod_material_costs</t>
  </si>
  <si>
    <t>€ / kW</t>
  </si>
  <si>
    <t>Aggregate material costs per kilowatt of nominal power, including the solar panel, polyurethane, pvc pipe, etc.</t>
  </si>
  <si>
    <t>solar_panel_prod_other_costs</t>
  </si>
  <si>
    <t>Packaging, insurance, rent, energy, etc, per kilowatt of nominal power.</t>
  </si>
  <si>
    <t>container_transport_cost_road</t>
  </si>
  <si>
    <t>€/km per container</t>
  </si>
  <si>
    <t>Standard European trucking rates for containers.</t>
  </si>
  <si>
    <t>container_transport_cost_sea</t>
  </si>
  <si>
    <t>Short-sea shipping rates from Maersk and MSC.</t>
  </si>
  <si>
    <t>dc_cable_cost_per_m</t>
  </si>
  <si>
    <t>€/m</t>
  </si>
  <si>
    <t>Standard PV DC cables (e.g., 6mm² or 10mm² XLPE-insulated).</t>
  </si>
  <si>
    <t>ac_cable_cost_per_m</t>
  </si>
  <si>
    <t>Pricing for 33 kV medium-voltage aluminum cables.</t>
  </si>
  <si>
    <t>mv_floating_cable_cost_per_m</t>
  </si>
  <si>
    <t>Marine-certified floating cables like Prysmian FlexoMarine.</t>
  </si>
  <si>
    <t>mv_submarine_cable_cost_per_m</t>
  </si>
  <si>
    <t>Pricing for 33 kV offshore submarine cables.</t>
  </si>
  <si>
    <t>cable_installation_cost_per_m</t>
  </si>
  <si>
    <t>Typical cost for ROV-assisted submarine cable installation.</t>
  </si>
  <si>
    <t>scada_ppc</t>
  </si>
  <si>
    <t>€</t>
  </si>
  <si>
    <t>Power Plant Controller required for grid compliance</t>
  </si>
  <si>
    <t>scada_sems</t>
  </si>
  <si>
    <t>Optional if cloud-only is used</t>
  </si>
  <si>
    <t>scada_weather_station</t>
  </si>
  <si>
    <t>Pyranometer, temp, wind, optional soiling</t>
  </si>
  <si>
    <t>scada_smart_energy_meter</t>
  </si>
  <si>
    <t>Utility-grade, for export/import metering</t>
  </si>
  <si>
    <t>scada_gateway_rtu</t>
  </si>
  <si>
    <t>For Modbus/IEC104 bridging if needed</t>
  </si>
  <si>
    <t>scada_switch_fiber</t>
  </si>
  <si>
    <t>2 * Redundant Ethernet/fiber uplinks</t>
  </si>
  <si>
    <t>scada_local_hmi</t>
  </si>
  <si>
    <t>Touchscreen for O&amp;M room or control cabinet</t>
  </si>
  <si>
    <t>scada_license_config</t>
  </si>
  <si>
    <t>SEMS license, setup, protocol mapping</t>
  </si>
  <si>
    <t>scada_cabling_racks_power_backup</t>
  </si>
  <si>
    <t xml:space="preserve">UPS, DIN rails, patch panel
</t>
  </si>
  <si>
    <t>pvc_cost</t>
  </si>
  <si>
    <t>€/t</t>
  </si>
  <si>
    <t>Pricing for large-diameter industrial HDPE or PVC piping.</t>
  </si>
  <si>
    <t>polypropylene_cost</t>
  </si>
  <si>
    <t>Pricing for marine ropes for mooring</t>
  </si>
  <si>
    <t>anchor_cost_per_t</t>
  </si>
  <si>
    <t>Anchor cost per ton</t>
  </si>
  <si>
    <t>anchor_chain_cost_per_t</t>
  </si>
  <si>
    <t>Anchor chain cost per ton. Higher requirements than anchors, more expensive</t>
  </si>
  <si>
    <t>solar_energy_target_price</t>
  </si>
  <si>
    <t>€/kWh</t>
  </si>
  <si>
    <t>Count (unit)</t>
  </si>
  <si>
    <t>panels_per_container</t>
  </si>
  <si>
    <t>panels</t>
  </si>
  <si>
    <t>A 40-ft high-cube container typically holds 380–420 panels.</t>
  </si>
  <si>
    <t>solar_lifetimes_per_wavebreaker_lifetime</t>
  </si>
  <si>
    <t>How many solar lifetimes the wavebreaker lasts (i.e 50 years compared to 25 years for solar)</t>
  </si>
  <si>
    <t>dc_cable_per_panel</t>
  </si>
  <si>
    <t>m/panel</t>
  </si>
  <si>
    <t>Based on average cabling per panel in utility solar installations</t>
  </si>
  <si>
    <t>ac_cable_length</t>
  </si>
  <si>
    <t>m</t>
  </si>
  <si>
    <t>Estimated short connection between inverters and transformers.</t>
  </si>
  <si>
    <t>mv_floating_cable_length</t>
  </si>
  <si>
    <t>Bridges the distance between floating transformers and substation.</t>
  </si>
  <si>
    <t>solar_panel_width</t>
  </si>
  <si>
    <t>mm</t>
  </si>
  <si>
    <t>Width of the solar panel, excluding connecting joint</t>
  </si>
  <si>
    <t>solar_panel_length</t>
  </si>
  <si>
    <t>Length of the solar panel, excluding connecting joint</t>
  </si>
  <si>
    <t>solar_panel_hinge_length</t>
  </si>
  <si>
    <t>Length of the hinge connecting the solar panels</t>
  </si>
  <si>
    <t>pontoon_width</t>
  </si>
  <si>
    <t>Width of pontoon, used for calculating space not usable for solar panels.</t>
  </si>
  <si>
    <t>discount_rate</t>
  </si>
  <si>
    <t>%</t>
  </si>
  <si>
    <t>Cost of lending money / alternative investment rate</t>
  </si>
  <si>
    <t>solar_extra_production_from_cooling</t>
  </si>
  <si>
    <t>Water has better heat conductivity than air. But as shown in the temperatures sheet, air temps are usually a bit cooler than the water for most locations. We therefore apply a flat cooling factor based on earlier tests for Sunlit Sea's product.</t>
  </si>
  <si>
    <t>sensitivity_margin</t>
  </si>
  <si>
    <t>Power (W)</t>
  </si>
  <si>
    <t>solar_panel_power</t>
  </si>
  <si>
    <t>W per panel</t>
  </si>
  <si>
    <t>Newer high-efficiency bifacial panels offer 650–750 W.</t>
  </si>
  <si>
    <t>Time (h / d / y)</t>
  </si>
  <si>
    <t>solar_panel_prod_workhours_per_kw</t>
  </si>
  <si>
    <t>h / kW</t>
  </si>
  <si>
    <t>Production workhours to produce 1 kilowatt of nominal power. With a panel of 0.67 W that equals 1.493 panels</t>
  </si>
  <si>
    <t>solar_lifetime</t>
  </si>
  <si>
    <t>y</t>
  </si>
  <si>
    <t>Lifetime for marine solar panels</t>
  </si>
  <si>
    <t>Formula</t>
  </si>
  <si>
    <t>total_ac_cable_cost</t>
  </si>
  <si>
    <t>total_mv_floating_cable_cost</t>
  </si>
  <si>
    <t>solar_panel_cost</t>
  </si>
  <si>
    <t>Sunlit Sea floating solar panels market price. See own calculation</t>
  </si>
  <si>
    <t>scada_system</t>
  </si>
  <si>
    <t>solar_panels_per_matrix_width</t>
  </si>
  <si>
    <t>unit</t>
  </si>
  <si>
    <t>solar_panels_per_matrix_length</t>
  </si>
  <si>
    <t>solar_panels_per_matrix</t>
  </si>
  <si>
    <t>solar_radius</t>
  </si>
  <si>
    <t>total_solar_panels</t>
  </si>
  <si>
    <t>solar_matrices_along_radii</t>
  </si>
  <si>
    <t>total_dc_cable_cost</t>
  </si>
  <si>
    <t>total_solar_power</t>
  </si>
  <si>
    <t>kW</t>
  </si>
  <si>
    <t>solar_container_count</t>
  </si>
  <si>
    <t>total_mv_submarine_cable_cost</t>
  </si>
  <si>
    <t>total_pvc_cost</t>
  </si>
  <si>
    <t>total_rope_cost</t>
  </si>
  <si>
    <t>solar_freight_cost</t>
  </si>
  <si>
    <t>total_pontoon_cost</t>
  </si>
  <si>
    <t>total_cost_solar_panels</t>
  </si>
  <si>
    <t>total_cost_cabling_short_alternative</t>
  </si>
  <si>
    <t>total_cost_cabling_long_alternative</t>
  </si>
  <si>
    <t>total_cost_anchoring_mooring</t>
  </si>
  <si>
    <t>total_cost_installation</t>
  </si>
  <si>
    <t>total_capex_cost</t>
  </si>
  <si>
    <t>Short cable alternative</t>
  </si>
  <si>
    <t>total_solar_production</t>
  </si>
  <si>
    <t>kWh</t>
  </si>
  <si>
    <t>Production at year 0 summed over lifetime, discounted yearly for discount rate and degradation</t>
  </si>
  <si>
    <t>total_solar_maintenance_cost</t>
  </si>
  <si>
    <t>Total cost of maintenance, discounted</t>
  </si>
  <si>
    <t>lcoe</t>
  </si>
  <si>
    <t>all lifetime costs divided by total lifetime production, considering discount rate</t>
  </si>
  <si>
    <t>total_solar_reinstall_cost</t>
  </si>
  <si>
    <t>Installing only the solar one time after 25 year. Discounted by discount rate.</t>
  </si>
  <si>
    <t>total_solar_reinstall_production</t>
  </si>
  <si>
    <t>Aggregated discounted production at reinstall intervals</t>
  </si>
  <si>
    <t>total_solar_reinstall_maintenance_cost</t>
  </si>
  <si>
    <t>Aggregated discounted maintenance cost at reinstall intervals</t>
  </si>
  <si>
    <t>total_revenue</t>
  </si>
  <si>
    <t>Revnue from first and later installations</t>
  </si>
  <si>
    <t>npv</t>
  </si>
  <si>
    <t>Net present value</t>
  </si>
  <si>
    <t>roi</t>
  </si>
  <si>
    <t>Return on Investment</t>
  </si>
  <si>
    <t>payback_period</t>
  </si>
  <si>
    <t>Years to pay back the investment</t>
  </si>
  <si>
    <t>irr</t>
  </si>
  <si>
    <t>Internal rate of return up until but not including the first reinstall</t>
  </si>
  <si>
    <t>Pontoon full data</t>
  </si>
  <si>
    <t>Costs</t>
  </si>
  <si>
    <t>Counts</t>
  </si>
  <si>
    <t>Aggregated costs</t>
  </si>
  <si>
    <t>Minimum costs</t>
  </si>
  <si>
    <t>Location total costs</t>
  </si>
  <si>
    <t>Design</t>
  </si>
  <si>
    <t>Installation</t>
  </si>
  <si>
    <t>Pontoon</t>
  </si>
  <si>
    <t>Material</t>
  </si>
  <si>
    <t>Total Weight</t>
  </si>
  <si>
    <t>Total Cost (€)</t>
  </si>
  <si>
    <t>Cost (€/t)</t>
  </si>
  <si>
    <t>Component</t>
  </si>
  <si>
    <t>Weight</t>
  </si>
  <si>
    <t>Cost/ton (€)</t>
  </si>
  <si>
    <t>Total cost (€)</t>
  </si>
  <si>
    <t>Location</t>
  </si>
  <si>
    <t>Total Costs (€)</t>
  </si>
  <si>
    <t>O0 Conv Ref</t>
  </si>
  <si>
    <t>10MW</t>
  </si>
  <si>
    <t>Breakwater</t>
  </si>
  <si>
    <t>CC</t>
  </si>
  <si>
    <t>LWAC</t>
  </si>
  <si>
    <t>Bridge1968</t>
  </si>
  <si>
    <t>Structural Steel</t>
  </si>
  <si>
    <t>EPS</t>
  </si>
  <si>
    <t>Bridge1830</t>
  </si>
  <si>
    <t>2MW_5</t>
  </si>
  <si>
    <t>Reinforcement</t>
  </si>
  <si>
    <t>Rubber</t>
  </si>
  <si>
    <t>CCLC</t>
  </si>
  <si>
    <t>HPC</t>
  </si>
  <si>
    <t>O1 Conv LWAC</t>
  </si>
  <si>
    <t>O2 Hybrid</t>
  </si>
  <si>
    <t>O3 Sure LWAC</t>
  </si>
  <si>
    <t>O4 Sure HPC</t>
  </si>
  <si>
    <t>Number of containers</t>
  </si>
  <si>
    <t>Price per kilometer per container (€)</t>
  </si>
  <si>
    <t>Water</t>
  </si>
  <si>
    <t>Nearest Port</t>
  </si>
  <si>
    <t>Floating Coordinates</t>
  </si>
  <si>
    <t>Floating Link</t>
  </si>
  <si>
    <t>Substation Coordinates</t>
  </si>
  <si>
    <t>Substation Link</t>
  </si>
  <si>
    <t>Distance (km)</t>
  </si>
  <si>
    <t>Baltic Sea</t>
  </si>
  <si>
    <t>Sassnitz, Germany</t>
  </si>
  <si>
    <t>54°12'N 14°24'E</t>
  </si>
  <si>
    <t>https://www.google.com/maps?q=54%C2%B012'N+14%C2%B024'E</t>
  </si>
  <si>
    <t>54°29'N 13°36'E</t>
  </si>
  <si>
    <t>https://www.google.com/maps?q=54%C2%B029'N+13%C2%B036'E</t>
  </si>
  <si>
    <t>Mediterranean Sea</t>
  </si>
  <si>
    <t>Valencia, Spain</t>
  </si>
  <si>
    <t>39°00'N 00°00'E</t>
  </si>
  <si>
    <t>https://www.google.com/maps?q=39%C2%B000'N+00%C2%B000'E</t>
  </si>
  <si>
    <t>39°40'N -0°14'E</t>
  </si>
  <si>
    <t>https://www.google.com/maps/place/Port+of+Valencia/@39.4480781,-0.3558521,14z/data=!3m1!4b1!4m6!3m5!1s0xd604835bc0b7b1f:0x6c5c617f0b38e68c!8m2!3d39.4480851!4d-0.3169267!16s%2Fm%2F05c0cd9?entry=ttu&amp;g_ep=EgoyMDI1MDQyMC4wIKXMDSoASAFQAw%3D%3D</t>
  </si>
  <si>
    <t>North Sea</t>
  </si>
  <si>
    <t>Esbjerg, Denmark</t>
  </si>
  <si>
    <t>56°54'N 05°00'E</t>
  </si>
  <si>
    <t>https://www.google.com/maps?q=56%C2%B054'N+05%C2%B000'E</t>
  </si>
  <si>
    <t>55°29'N 8°26'E</t>
  </si>
  <si>
    <t>https://www.google.com/maps?q=55%C2%B029'N+8%C2%B026'E</t>
  </si>
  <si>
    <t>Category</t>
  </si>
  <si>
    <t>Power Demand</t>
  </si>
  <si>
    <t>Platform continuous load</t>
  </si>
  <si>
    <t>MW</t>
  </si>
  <si>
    <t>Hours per year</t>
  </si>
  <si>
    <t>h</t>
  </si>
  <si>
    <t>Annual electricity need</t>
  </si>
  <si>
    <t>MWh/year</t>
  </si>
  <si>
    <t>Diesel Generator</t>
  </si>
  <si>
    <t>Electrical efficiency</t>
  </si>
  <si>
    <t>–</t>
  </si>
  <si>
    <t>Required diesel energy input</t>
  </si>
  <si>
    <t>Diesel energy content</t>
  </si>
  <si>
    <t>kWh/litre</t>
  </si>
  <si>
    <t>Annual diesel volume</t>
  </si>
  <si>
    <t>litres/year</t>
  </si>
  <si>
    <t>Fuel Cost</t>
  </si>
  <si>
    <t>Offshore diesel price (incl. delivery)</t>
  </si>
  <si>
    <t>€/litre</t>
  </si>
  <si>
    <t>Annual diesel cost</t>
  </si>
  <si>
    <t>€/year</t>
  </si>
  <si>
    <t>Operations &amp; Logistics</t>
  </si>
  <si>
    <t>Generator maintenance and service</t>
  </si>
  <si>
    <t>Fuel delivery and handling</t>
  </si>
  <si>
    <t>Total O&amp;M + logistics</t>
  </si>
  <si>
    <t>Total Annual Cost</t>
  </si>
  <si>
    <t>Total diesel + O&amp;M</t>
  </si>
  <si>
    <t>Cost of Electricity</t>
  </si>
  <si>
    <t>Cost per unit of electricity</t>
  </si>
  <si>
    <t>Discount rate</t>
  </si>
  <si>
    <t>-</t>
  </si>
  <si>
    <t>Subsea cable</t>
  </si>
  <si>
    <t>Yes</t>
  </si>
  <si>
    <t>No</t>
  </si>
  <si>
    <t>Pontoon Design</t>
  </si>
  <si>
    <t>Conventional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</si>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</sst>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€]#,##0"/>
    <numFmt numFmtId="165" formatCode="[$€]#,##0.000"/>
    <numFmt numFmtId="166" formatCode="0.0%"/>
    <numFmt numFmtId="167" formatCode="#,##0.0"/>
    <numFmt numFmtId="168" formatCode="#,##0.0000"/>
    <numFmt numFmtId="169" formatCode="#,##0.000"/>
  </numFmts>
  <fonts count="15">
    <font>
      <sz val="11"/>
      <color theme="1"/>
      <name val="Arial"/>
      <scheme val="minor"/>
    </font>
    <font>
      <b/>
      <sz val="8"/>
      <color theme="1"/>
      <name val="Calibri"/>
    </font>
    <font>
      <sz val="8"/>
      <color theme="1"/>
      <name val="Calibri"/>
    </font>
    <font>
      <sz val="11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sz val="11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Calibri"/>
    </font>
    <font>
      <u/>
      <sz val="11"/>
      <color rgb="FF0000FF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/>
    <xf numFmtId="0" fontId="4" fillId="0" borderId="0" xfId="0" applyFont="1"/>
    <xf numFmtId="1" fontId="2" fillId="0" borderId="0" xfId="0" applyNumberFormat="1" applyFont="1" applyAlignment="1">
      <alignment horizontal="right"/>
    </xf>
    <xf numFmtId="3" fontId="1" fillId="0" borderId="0" xfId="0" applyNumberFormat="1" applyFont="1"/>
    <xf numFmtId="167" fontId="2" fillId="0" borderId="0" xfId="0" applyNumberFormat="1" applyFont="1"/>
    <xf numFmtId="3" fontId="4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3" fontId="4" fillId="0" borderId="1" xfId="0" applyNumberFormat="1" applyFont="1" applyBorder="1"/>
    <xf numFmtId="0" fontId="5" fillId="0" borderId="1" xfId="0" applyFont="1" applyBorder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8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4" fillId="0" borderId="0" xfId="0" applyNumberFormat="1" applyFont="1"/>
    <xf numFmtId="165" fontId="14" fillId="0" borderId="0" xfId="0" applyNumberFormat="1" applyFont="1"/>
    <xf numFmtId="10" fontId="14" fillId="0" borderId="0" xfId="0" applyNumberFormat="1" applyFont="1"/>
    <xf numFmtId="3" fontId="14" fillId="0" borderId="0" xfId="0" applyNumberFormat="1" applyFont="1"/>
    <xf numFmtId="0" fontId="9" fillId="0" borderId="0" xfId="0" applyFont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1" xfId="0" applyFont="1" applyBorder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?q=39%C2%B000'N+00%C2%B000'E" TargetMode="External"/><Relationship Id="rId2" Type="http://schemas.openxmlformats.org/officeDocument/2006/relationships/hyperlink" Target="https://www.google.com/maps?q=54%C2%B029'N+13%C2%B036'E" TargetMode="External"/><Relationship Id="rId1" Type="http://schemas.openxmlformats.org/officeDocument/2006/relationships/hyperlink" Target="https://www.google.com/maps?q=54%C2%B012'N+14%C2%B024'E" TargetMode="External"/><Relationship Id="rId6" Type="http://schemas.openxmlformats.org/officeDocument/2006/relationships/hyperlink" Target="https://www.google.com/maps?q=55%C2%B029'N+8%C2%B026'E" TargetMode="External"/><Relationship Id="rId5" Type="http://schemas.openxmlformats.org/officeDocument/2006/relationships/hyperlink" Target="https://www.google.com/maps?q=56%C2%B054%27N+05%C2%B000%27E" TargetMode="External"/><Relationship Id="rId4" Type="http://schemas.openxmlformats.org/officeDocument/2006/relationships/hyperlink" Target="https://www.google.com/maps/place/Port+of+Valencia/@39.4480781,-0.3558521,14z/data=!3m1!4b1!4m6!3m5!1s0xd604835bc0b7b1f:0x6c5c617f0b38e68c!8m2!3d39.4480851!4d-0.3169267!16s%2Fm%2F05c0cd9?entry=ttu&amp;g_ep=EgoyMDI1MDQ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J2" sqref="J2"/>
    </sheetView>
  </sheetViews>
  <sheetFormatPr defaultColWidth="12.625" defaultRowHeight="15" customHeight="1"/>
  <cols>
    <col min="1" max="1" width="7.625" customWidth="1"/>
    <col min="2" max="2" width="7.5" customWidth="1"/>
    <col min="3" max="4" width="7.75" customWidth="1"/>
    <col min="5" max="5" width="7.125" customWidth="1"/>
    <col min="6" max="7" width="7.75" customWidth="1"/>
    <col min="8" max="8" width="7.125" customWidth="1"/>
    <col min="9" max="10" width="7.75" customWidth="1"/>
    <col min="11" max="11" width="7.5" customWidth="1"/>
    <col min="12" max="13" width="7.75" customWidth="1"/>
    <col min="14" max="14" width="7.125" customWidth="1"/>
    <col min="15" max="16" width="7.75" customWidth="1"/>
    <col min="17" max="17" width="7.125" customWidth="1"/>
    <col min="18" max="19" width="7.75" customWidth="1"/>
    <col min="20" max="20" width="7.5" customWidth="1"/>
    <col min="21" max="22" width="7.75" customWidth="1"/>
    <col min="23" max="23" width="7.125" customWidth="1"/>
    <col min="24" max="25" width="7.75" customWidth="1"/>
    <col min="26" max="26" width="7.125" customWidth="1"/>
    <col min="27" max="28" width="7.75" customWidth="1"/>
  </cols>
  <sheetData>
    <row r="1" spans="1:28">
      <c r="A1" s="1">
        <f>in_loc!A1</f>
        <v>0</v>
      </c>
      <c r="B1" s="1" t="str">
        <f>in_loc!D1</f>
        <v>n_2</v>
      </c>
      <c r="C1" s="1" t="str">
        <f>in_loc!E1</f>
        <v>n_25</v>
      </c>
      <c r="D1" s="1" t="str">
        <f>in_loc!F1</f>
        <v>n_10</v>
      </c>
      <c r="E1" s="1" t="str">
        <f>in_loc!G1</f>
        <v>b_2</v>
      </c>
      <c r="F1" s="1" t="str">
        <f>in_loc!H1</f>
        <v>b_25</v>
      </c>
      <c r="G1" s="1" t="str">
        <f>in_loc!I1</f>
        <v>b_10</v>
      </c>
      <c r="H1" s="1" t="str">
        <f>in_loc!J1</f>
        <v>m_2</v>
      </c>
      <c r="I1" s="1" t="str">
        <f>in_loc!K1</f>
        <v>m_25</v>
      </c>
      <c r="J1" s="1" t="str">
        <f>in_loc!L1</f>
        <v>m_10</v>
      </c>
      <c r="K1" s="1" t="str">
        <f t="shared" ref="K1:S1" si="0">B1&amp;"_pes"</f>
        <v>n_2_pes</v>
      </c>
      <c r="L1" s="1" t="str">
        <f t="shared" si="0"/>
        <v>n_25_pes</v>
      </c>
      <c r="M1" s="1" t="str">
        <f t="shared" si="0"/>
        <v>n_10_pes</v>
      </c>
      <c r="N1" s="1" t="str">
        <f t="shared" si="0"/>
        <v>b_2_pes</v>
      </c>
      <c r="O1" s="1" t="str">
        <f t="shared" si="0"/>
        <v>b_25_pes</v>
      </c>
      <c r="P1" s="1" t="str">
        <f t="shared" si="0"/>
        <v>b_10_pes</v>
      </c>
      <c r="Q1" s="1" t="str">
        <f t="shared" si="0"/>
        <v>m_2_pes</v>
      </c>
      <c r="R1" s="1" t="str">
        <f t="shared" si="0"/>
        <v>m_25_pes</v>
      </c>
      <c r="S1" s="1" t="str">
        <f t="shared" si="0"/>
        <v>m_10_pes</v>
      </c>
      <c r="T1" s="1" t="str">
        <f t="shared" ref="T1:AB1" si="1">B1&amp;"_opt"</f>
        <v>n_2_opt</v>
      </c>
      <c r="U1" s="1" t="str">
        <f t="shared" si="1"/>
        <v>n_25_opt</v>
      </c>
      <c r="V1" s="1" t="str">
        <f t="shared" si="1"/>
        <v>n_10_opt</v>
      </c>
      <c r="W1" s="1" t="str">
        <f t="shared" si="1"/>
        <v>b_2_opt</v>
      </c>
      <c r="X1" s="1" t="str">
        <f t="shared" si="1"/>
        <v>b_25_opt</v>
      </c>
      <c r="Y1" s="1" t="str">
        <f t="shared" si="1"/>
        <v>b_10_opt</v>
      </c>
      <c r="Z1" s="1" t="str">
        <f t="shared" si="1"/>
        <v>m_2_opt</v>
      </c>
      <c r="AA1" s="1" t="str">
        <f t="shared" si="1"/>
        <v>m_25_opt</v>
      </c>
      <c r="AB1" s="1" t="str">
        <f t="shared" si="1"/>
        <v>m_10_opt</v>
      </c>
    </row>
    <row r="2" spans="1:28">
      <c r="A2" s="1" t="s">
        <v>0</v>
      </c>
      <c r="B2" s="2">
        <f ca="1">out_loc!D$23</f>
        <v>3895514.8640000001</v>
      </c>
      <c r="C2" s="2">
        <f ca="1">out_loc!E$23</f>
        <v>18215574.32</v>
      </c>
      <c r="D2" s="2">
        <f ca="1">out_loc!F$23</f>
        <v>13368497.688000001</v>
      </c>
      <c r="E2" s="2">
        <f ca="1">out_loc!G$23</f>
        <v>2610396.9048000001</v>
      </c>
      <c r="F2" s="2">
        <f ca="1">out_loc!H$23</f>
        <v>12850984.524</v>
      </c>
      <c r="G2" s="2">
        <f ca="1">out_loc!I$23</f>
        <v>9697751.8716000002</v>
      </c>
      <c r="H2" s="2">
        <f ca="1">out_loc!J$23</f>
        <v>2561106.1272</v>
      </c>
      <c r="I2" s="2">
        <f ca="1">out_loc!K$23</f>
        <v>12591530.636</v>
      </c>
      <c r="J2" s="2">
        <f ca="1">out_loc!L$23</f>
        <v>9439533.3724000007</v>
      </c>
      <c r="K2" s="2">
        <f ca="1">out_loc!M$23</f>
        <v>3945646.9408</v>
      </c>
      <c r="L2" s="2">
        <f ca="1">out_loc!N$23</f>
        <v>18415754.704</v>
      </c>
      <c r="M2" s="2">
        <f ca="1">out_loc!O$23</f>
        <v>13421402.442559998</v>
      </c>
      <c r="N2" s="2">
        <f ca="1">out_loc!P$23</f>
        <v>2609058.9816000001</v>
      </c>
      <c r="O2" s="2">
        <f ca="1">out_loc!Q$23</f>
        <v>12836254.908</v>
      </c>
      <c r="P2" s="2">
        <f ca="1">out_loc!R$23</f>
        <v>9603533.0261599999</v>
      </c>
      <c r="Q2" s="2">
        <f ca="1">out_loc!S$23</f>
        <v>2557346.6040000003</v>
      </c>
      <c r="R2" s="2">
        <f ca="1">out_loc!T$23</f>
        <v>12564173.02</v>
      </c>
      <c r="S2" s="2">
        <f ca="1">out_loc!U$23</f>
        <v>9332960.9269599989</v>
      </c>
      <c r="T2" s="2">
        <f ca="1">out_loc!V$23</f>
        <v>3726109.8528000005</v>
      </c>
      <c r="U2" s="2">
        <f ca="1">out_loc!W$23</f>
        <v>17419029.263999999</v>
      </c>
      <c r="V2" s="2">
        <f ca="1">out_loc!X$23</f>
        <v>12770645.482560001</v>
      </c>
      <c r="W2" s="2">
        <f ca="1">out_loc!Y$23</f>
        <v>2492461.8936000001</v>
      </c>
      <c r="X2" s="2">
        <f ca="1">out_loc!Z$23</f>
        <v>12269349.468</v>
      </c>
      <c r="Y2" s="2">
        <f ca="1">out_loc!AA$23</f>
        <v>9247023.2661600001</v>
      </c>
      <c r="Z2" s="2">
        <f ca="1">out_loc!AB$23</f>
        <v>2445592.716</v>
      </c>
      <c r="AA2" s="2">
        <f ca="1">out_loc!AC$23</f>
        <v>12022523.58</v>
      </c>
      <c r="AB2" s="2">
        <f ca="1">out_loc!AD$23</f>
        <v>9001158.3669600002</v>
      </c>
    </row>
    <row r="3" spans="1:28">
      <c r="A3" s="1" t="s">
        <v>1</v>
      </c>
      <c r="B3" s="2">
        <f>out_loc!D$25+out_loc!D$29</f>
        <v>515087.46121964842</v>
      </c>
      <c r="C3" s="2">
        <f>out_loc!E$25+out_loc!E$29</f>
        <v>2575437.3060982418</v>
      </c>
      <c r="D3" s="2">
        <f>out_loc!F$25+out_loc!F$29</f>
        <v>1794221.3232484413</v>
      </c>
      <c r="E3" s="2">
        <f>out_loc!G$25+out_loc!G$29</f>
        <v>412069.96897571866</v>
      </c>
      <c r="F3" s="2">
        <f>out_loc!H$25+out_loc!H$29</f>
        <v>2060349.8448785932</v>
      </c>
      <c r="G3" s="2">
        <f>out_loc!I$25+out_loc!I$29</f>
        <v>1435377.0585987533</v>
      </c>
      <c r="H3" s="2">
        <f>out_loc!J$25+out_loc!J$29</f>
        <v>257543.73060982421</v>
      </c>
      <c r="I3" s="2">
        <f>out_loc!K$25+out_loc!K$29</f>
        <v>1287718.6530491209</v>
      </c>
      <c r="J3" s="2">
        <f>out_loc!L$25+out_loc!L$29</f>
        <v>897110.66162422067</v>
      </c>
      <c r="K3" s="2">
        <f>out_loc!M$25+out_loc!M$29</f>
        <v>514922.97976802575</v>
      </c>
      <c r="L3" s="2">
        <f>out_loc!N$25+out_loc!N$29</f>
        <v>2574614.8988401284</v>
      </c>
      <c r="M3" s="2">
        <f>out_loc!O$25+out_loc!O$29</f>
        <v>1793648.3795252899</v>
      </c>
      <c r="N3" s="2">
        <f>out_loc!P$25+out_loc!P$29</f>
        <v>411938.38381442055</v>
      </c>
      <c r="O3" s="2">
        <f>out_loc!Q$25+out_loc!Q$29</f>
        <v>2059691.9190721028</v>
      </c>
      <c r="P3" s="2">
        <f>out_loc!R$25+out_loc!R$29</f>
        <v>1434918.7036202319</v>
      </c>
      <c r="Q3" s="2">
        <f>out_loc!S$25+out_loc!S$29</f>
        <v>257461.48988401287</v>
      </c>
      <c r="R3" s="2">
        <f>out_loc!T$25+out_loc!T$29</f>
        <v>1287307.4494200642</v>
      </c>
      <c r="S3" s="2">
        <f>out_loc!U$25+out_loc!U$29</f>
        <v>896824.18976264494</v>
      </c>
      <c r="T3" s="2">
        <f>out_loc!V$25+out_loc!V$29</f>
        <v>515137.73991202156</v>
      </c>
      <c r="U3" s="2">
        <f>out_loc!W$25+out_loc!W$29</f>
        <v>2575688.6995601077</v>
      </c>
      <c r="V3" s="2">
        <f>out_loc!X$25+out_loc!X$29</f>
        <v>1794396.4606935419</v>
      </c>
      <c r="W3" s="2">
        <f>out_loc!Y$25+out_loc!Y$29</f>
        <v>412110.19192961731</v>
      </c>
      <c r="X3" s="2">
        <f>out_loc!Z$25+out_loc!Z$29</f>
        <v>2060550.9596480862</v>
      </c>
      <c r="Y3" s="2">
        <f>out_loc!AA$25+out_loc!AA$29</f>
        <v>1435517.1685548332</v>
      </c>
      <c r="Z3" s="2">
        <f>out_loc!AB$25+out_loc!AB$29</f>
        <v>257568.86995601078</v>
      </c>
      <c r="AA3" s="2">
        <f>out_loc!AC$25+out_loc!AC$29</f>
        <v>1287844.3497800538</v>
      </c>
      <c r="AB3" s="2">
        <f>out_loc!AD$25+out_loc!AD$29</f>
        <v>897198.23034677096</v>
      </c>
    </row>
    <row r="4" spans="1:28">
      <c r="A4" s="1" t="s">
        <v>2</v>
      </c>
      <c r="B4" s="2">
        <f>out_loc!D$30</f>
        <v>2866869.6036771382</v>
      </c>
      <c r="C4" s="2">
        <f>out_loc!E$30</f>
        <v>14334348.01838569</v>
      </c>
      <c r="D4" s="2">
        <f>out_loc!F$30</f>
        <v>13115755.700028915</v>
      </c>
      <c r="E4" s="2">
        <f>out_loc!G$30</f>
        <v>3026445.0527372174</v>
      </c>
      <c r="F4" s="2">
        <f>out_loc!H$30</f>
        <v>15132225.263686089</v>
      </c>
      <c r="G4" s="2">
        <f>out_loc!I$30</f>
        <v>13952094.386331253</v>
      </c>
      <c r="H4" s="2">
        <f>out_loc!J$30</f>
        <v>4317061.9191529565</v>
      </c>
      <c r="I4" s="2">
        <f>out_loc!K$30</f>
        <v>21585309.595764782</v>
      </c>
      <c r="J4" s="2">
        <f>out_loc!L$30</f>
        <v>19950050.509233341</v>
      </c>
      <c r="K4" s="2">
        <f>out_loc!M$30</f>
        <v>2749994.4370973422</v>
      </c>
      <c r="L4" s="2">
        <f>out_loc!N$30</f>
        <v>13749972.185486708</v>
      </c>
      <c r="M4" s="2">
        <f>out_loc!O$30</f>
        <v>12579012.637421871</v>
      </c>
      <c r="N4" s="2">
        <f>out_loc!P$30</f>
        <v>2903765.9293537145</v>
      </c>
      <c r="O4" s="2">
        <f>out_loc!Q$30</f>
        <v>14518829.646768572</v>
      </c>
      <c r="P4" s="2">
        <f>out_loc!R$30</f>
        <v>13385462.283228664</v>
      </c>
      <c r="Q4" s="2">
        <f>out_loc!S$30</f>
        <v>4142622.1279036691</v>
      </c>
      <c r="R4" s="2">
        <f>out_loc!T$30</f>
        <v>20713110.639518343</v>
      </c>
      <c r="S4" s="2">
        <f>out_loc!U$30</f>
        <v>19142890.657721527</v>
      </c>
      <c r="T4" s="2">
        <f>out_loc!V$30</f>
        <v>2989203.1360648237</v>
      </c>
      <c r="U4" s="2">
        <f>out_loc!W$30</f>
        <v>14946015.680324119</v>
      </c>
      <c r="V4" s="2">
        <f>out_loc!X$30</f>
        <v>13677910.907680541</v>
      </c>
      <c r="W4" s="2">
        <f>out_loc!Y$30</f>
        <v>3154736.5705504888</v>
      </c>
      <c r="X4" s="2">
        <f>out_loc!Z$30</f>
        <v>15773682.852752443</v>
      </c>
      <c r="Y4" s="2">
        <f>out_loc!AA$30</f>
        <v>14544828.54679014</v>
      </c>
      <c r="Z4" s="2">
        <f>out_loc!AB$30</f>
        <v>4499389.767947847</v>
      </c>
      <c r="AA4" s="2">
        <f>out_loc!AC$30</f>
        <v>22496948.83973923</v>
      </c>
      <c r="AB4" s="2">
        <f>out_loc!AD$30</f>
        <v>20793882.170596328</v>
      </c>
    </row>
    <row r="5" spans="1:28">
      <c r="A5" s="3" t="s">
        <v>3</v>
      </c>
      <c r="B5" s="4">
        <f ca="1">out_loc!D26</f>
        <v>0.18461679538807638</v>
      </c>
      <c r="C5" s="4">
        <f ca="1">out_loc!E26</f>
        <v>0.17405196189821284</v>
      </c>
      <c r="D5" s="4">
        <f ca="1">out_loc!F26</f>
        <v>0.13872828397877232</v>
      </c>
      <c r="E5" s="4">
        <f ca="1">out_loc!G26</f>
        <v>0.11984226329338174</v>
      </c>
      <c r="F5" s="4">
        <f ca="1">out_loc!H26</f>
        <v>0.11824831398455916</v>
      </c>
      <c r="G5" s="4">
        <f ca="1">out_loc!I26</f>
        <v>9.5754474893224209E-2</v>
      </c>
      <c r="H5" s="4">
        <f ca="1">out_loc!J26</f>
        <v>7.8349115502967817E-2</v>
      </c>
      <c r="I5" s="4">
        <f ca="1">out_loc!K26</f>
        <v>7.7159417487006138E-2</v>
      </c>
      <c r="J5" s="4">
        <f ca="1">out_loc!L26</f>
        <v>6.2175145045814409E-2</v>
      </c>
      <c r="K5" s="4">
        <f ca="1">out_loc!M26</f>
        <v>0.20242918261117365</v>
      </c>
      <c r="L5" s="4">
        <f ca="1">out_loc!N26</f>
        <v>0.19051661276809501</v>
      </c>
      <c r="M5" s="4">
        <f ca="1">out_loc!O26</f>
        <v>0.15095289251457655</v>
      </c>
      <c r="N5" s="4">
        <f ca="1">out_loc!P26</f>
        <v>0.12983845129956201</v>
      </c>
      <c r="O5" s="4">
        <f ca="1">out_loc!Q26</f>
        <v>0.12804159903015017</v>
      </c>
      <c r="P5" s="4">
        <f ca="1">out_loc!R26</f>
        <v>0.10291753446592855</v>
      </c>
      <c r="Q5" s="4">
        <f ca="1">out_loc!S26</f>
        <v>8.4798477696176086E-2</v>
      </c>
      <c r="R5" s="4">
        <f ca="1">out_loc!T26</f>
        <v>8.3457515998853454E-2</v>
      </c>
      <c r="S5" s="4">
        <f ca="1">out_loc!U26</f>
        <v>6.6691974863891404E-2</v>
      </c>
      <c r="T5" s="4">
        <f ca="1">out_loc!V26</f>
        <v>0.16345216448676619</v>
      </c>
      <c r="U5" s="4">
        <f ca="1">out_loc!W26</f>
        <v>0.15411408355702816</v>
      </c>
      <c r="V5" s="4">
        <f ca="1">out_loc!X26</f>
        <v>0.12267171815840847</v>
      </c>
      <c r="W5" s="4">
        <f ca="1">out_loc!Y26</f>
        <v>0.10606486366455137</v>
      </c>
      <c r="X5" s="4">
        <f ca="1">out_loc!Z26</f>
        <v>0.10465561813784034</v>
      </c>
      <c r="Y5" s="4">
        <f ca="1">out_loc!AA26</f>
        <v>8.4609361610572781E-2</v>
      </c>
      <c r="Z5" s="4">
        <f ca="1">out_loc!AB26</f>
        <v>6.9210322013103259E-2</v>
      </c>
      <c r="AA5" s="4">
        <f ca="1">out_loc!AC26</f>
        <v>6.8158326555026114E-2</v>
      </c>
      <c r="AB5" s="4">
        <f ca="1">out_loc!AD26</f>
        <v>5.483779655259241E-2</v>
      </c>
    </row>
    <row r="6" spans="1:28">
      <c r="A6" s="1" t="s">
        <v>4</v>
      </c>
      <c r="B6" s="2">
        <f ca="1">out_loc!D31</f>
        <v>-1734179.8395119249</v>
      </c>
      <c r="C6" s="2">
        <f ca="1">out_loc!E31</f>
        <v>-7070346.4033550657</v>
      </c>
      <c r="D6" s="2">
        <f ca="1">out_loc!F31</f>
        <v>-2856592.4486664534</v>
      </c>
      <c r="E6" s="2">
        <f ca="1">out_loc!G31</f>
        <v>-138507.1276625758</v>
      </c>
      <c r="F6" s="2">
        <f ca="1">out_loc!H31</f>
        <v>-361234.419167215</v>
      </c>
      <c r="G6" s="2">
        <f ca="1">out_loc!I31</f>
        <v>2158881.8422592413</v>
      </c>
      <c r="H6" s="2">
        <f ca="1">out_loc!J31</f>
        <v>1360693.1459086565</v>
      </c>
      <c r="I6" s="2">
        <f ca="1">out_loc!K31</f>
        <v>7127787.8256192114</v>
      </c>
      <c r="J6" s="2">
        <f ca="1">out_loc!L31</f>
        <v>8977055.5174674056</v>
      </c>
      <c r="K6" s="2">
        <f ca="1">out_loc!M31</f>
        <v>-1897610.6777460449</v>
      </c>
      <c r="L6" s="2">
        <f ca="1">out_loc!N31</f>
        <v>-7824967.4978582487</v>
      </c>
      <c r="M6" s="2">
        <f ca="1">out_loc!O31</f>
        <v>-3427154.5431262385</v>
      </c>
      <c r="N6" s="2">
        <f ca="1">out_loc!P31</f>
        <v>-254597.29107075231</v>
      </c>
      <c r="O6" s="2">
        <f ca="1">out_loc!Q31</f>
        <v>-929006.27526277304</v>
      </c>
      <c r="P6" s="2">
        <f ca="1">out_loc!R31</f>
        <v>1710763.8118252922</v>
      </c>
      <c r="Q6" s="2">
        <f ca="1">out_loc!S31</f>
        <v>1195384.2624148587</v>
      </c>
      <c r="R6" s="2">
        <f ca="1">out_loc!T31</f>
        <v>6313731.0758916121</v>
      </c>
      <c r="S6" s="2">
        <f ca="1">out_loc!U31</f>
        <v>8301436.3813310433</v>
      </c>
      <c r="T6" s="2">
        <f ca="1">out_loc!V31</f>
        <v>-1435575.0189434458</v>
      </c>
      <c r="U6" s="2">
        <f ca="1">out_loc!W31</f>
        <v>-5637647.4410879649</v>
      </c>
      <c r="V6" s="2">
        <f ca="1">out_loc!X31</f>
        <v>-1666814.4771292042</v>
      </c>
      <c r="W6" s="2">
        <f ca="1">out_loc!Y31</f>
        <v>113201.00100905308</v>
      </c>
      <c r="X6" s="2">
        <f ca="1">out_loc!Z31</f>
        <v>885477.05499314889</v>
      </c>
      <c r="Y6" s="2">
        <f ca="1">out_loc!AA31</f>
        <v>3227801.3990829773</v>
      </c>
      <c r="Z6" s="2">
        <f ca="1">out_loc!AB31</f>
        <v>1663892.4821573528</v>
      </c>
      <c r="AA6" s="2">
        <f ca="1">out_loc!AC31</f>
        <v>8632016.332057979</v>
      </c>
      <c r="AB6" s="2">
        <f ca="1">out_loc!AD31</f>
        <v>10284081.369013539</v>
      </c>
    </row>
    <row r="7" spans="1:28">
      <c r="A7" s="1" t="s">
        <v>5</v>
      </c>
      <c r="B7" s="5">
        <f ca="1">out_loc!D32</f>
        <v>-0.44517346231641147</v>
      </c>
      <c r="C7" s="5">
        <f ca="1">out_loc!E32</f>
        <v>-0.38814842063980914</v>
      </c>
      <c r="D7" s="5">
        <f ca="1">out_loc!F32</f>
        <v>-0.21368088736183302</v>
      </c>
      <c r="E7" s="5">
        <f ca="1">out_loc!G32</f>
        <v>-5.3059796158924637E-2</v>
      </c>
      <c r="F7" s="5">
        <f ca="1">out_loc!H32</f>
        <v>-2.8109474296898234E-2</v>
      </c>
      <c r="G7" s="5">
        <f ca="1">out_loc!I32</f>
        <v>0.22261673332574702</v>
      </c>
      <c r="H7" s="5">
        <f ca="1">out_loc!J32</f>
        <v>0.53129119932108082</v>
      </c>
      <c r="I7" s="5">
        <f ca="1">out_loc!K32</f>
        <v>0.56607794808046652</v>
      </c>
      <c r="J7" s="5">
        <f ca="1">out_loc!L32</f>
        <v>0.95100628000481235</v>
      </c>
      <c r="K7" s="5">
        <f ca="1">out_loc!M32</f>
        <v>-0.48093777933443144</v>
      </c>
      <c r="L7" s="5">
        <f ca="1">out_loc!N32</f>
        <v>-0.42490615365107054</v>
      </c>
      <c r="M7" s="5">
        <f ca="1">out_loc!O32</f>
        <v>-0.25534995748719558</v>
      </c>
      <c r="N7" s="5">
        <f ca="1">out_loc!P32</f>
        <v>-9.7582037380627193E-2</v>
      </c>
      <c r="O7" s="5">
        <f ca="1">out_loc!Q32</f>
        <v>-7.2373623141729918E-2</v>
      </c>
      <c r="P7" s="5">
        <f ca="1">out_loc!R32</f>
        <v>0.17813900438153082</v>
      </c>
      <c r="Q7" s="5">
        <f ca="1">out_loc!S32</f>
        <v>0.46743146218237791</v>
      </c>
      <c r="R7" s="5">
        <f ca="1">out_loc!T32</f>
        <v>0.50251863499820004</v>
      </c>
      <c r="S7" s="5">
        <f ca="1">out_loc!U32</f>
        <v>0.88947510294946119</v>
      </c>
      <c r="T7" s="5">
        <f ca="1">out_loc!V32</f>
        <v>-0.38527447543305171</v>
      </c>
      <c r="U7" s="5">
        <f ca="1">out_loc!W32</f>
        <v>-0.323648772594884</v>
      </c>
      <c r="V7" s="5">
        <f ca="1">out_loc!X32</f>
        <v>-0.13051920354421073</v>
      </c>
      <c r="W7" s="5">
        <f ca="1">out_loc!Y32</f>
        <v>4.5417344714366183E-2</v>
      </c>
      <c r="X7" s="5">
        <f ca="1">out_loc!Z32</f>
        <v>7.2169845459417709E-2</v>
      </c>
      <c r="Y7" s="5">
        <f ca="1">out_loc!AA32</f>
        <v>0.34906383450934936</v>
      </c>
      <c r="Z7" s="5">
        <f ca="1">out_loc!AB32</f>
        <v>0.68036368904418709</v>
      </c>
      <c r="AA7" s="5">
        <f ca="1">out_loc!AC32</f>
        <v>0.71798705776029581</v>
      </c>
      <c r="AB7" s="5">
        <f ca="1">out_loc!AD32</f>
        <v>1.1425286557297654</v>
      </c>
    </row>
    <row r="8" spans="1:28">
      <c r="A8" s="1" t="s">
        <v>6</v>
      </c>
      <c r="B8" s="6" t="str">
        <f ca="1">out_loc!D33</f>
        <v>-</v>
      </c>
      <c r="C8" s="6" t="str">
        <f ca="1">out_loc!E33</f>
        <v>-</v>
      </c>
      <c r="D8" s="6" t="str">
        <f ca="1">out_loc!F33</f>
        <v>-</v>
      </c>
      <c r="E8" s="6" t="str">
        <f ca="1">out_loc!G33</f>
        <v>-</v>
      </c>
      <c r="F8" s="6" t="str">
        <f ca="1">out_loc!H33</f>
        <v>-</v>
      </c>
      <c r="G8" s="6">
        <f ca="1">out_loc!I33</f>
        <v>16</v>
      </c>
      <c r="H8" s="6">
        <f ca="1">out_loc!J33</f>
        <v>11</v>
      </c>
      <c r="I8" s="6">
        <f ca="1">out_loc!K33</f>
        <v>11</v>
      </c>
      <c r="J8" s="6">
        <f ca="1">out_loc!L33</f>
        <v>8</v>
      </c>
      <c r="K8" s="6" t="str">
        <f ca="1">out_loc!M33</f>
        <v>-</v>
      </c>
      <c r="L8" s="6" t="str">
        <f ca="1">out_loc!N33</f>
        <v>-</v>
      </c>
      <c r="M8" s="6" t="str">
        <f ca="1">out_loc!O33</f>
        <v>-</v>
      </c>
      <c r="N8" s="6" t="str">
        <f ca="1">out_loc!P33</f>
        <v>-</v>
      </c>
      <c r="O8" s="6" t="str">
        <f ca="1">out_loc!Q33</f>
        <v>-</v>
      </c>
      <c r="P8" s="6">
        <f ca="1">out_loc!R33</f>
        <v>17</v>
      </c>
      <c r="Q8" s="6">
        <f ca="1">out_loc!S33</f>
        <v>12</v>
      </c>
      <c r="R8" s="6">
        <f ca="1">out_loc!T33</f>
        <v>11</v>
      </c>
      <c r="S8" s="6">
        <f ca="1">out_loc!U33</f>
        <v>8</v>
      </c>
      <c r="T8" s="6" t="str">
        <f ca="1">out_loc!V33</f>
        <v>-</v>
      </c>
      <c r="U8" s="6" t="str">
        <f ca="1">out_loc!W33</f>
        <v>-</v>
      </c>
      <c r="V8" s="6" t="str">
        <f ca="1">out_loc!X33</f>
        <v>-</v>
      </c>
      <c r="W8" s="6">
        <f ca="1">out_loc!Y33</f>
        <v>26</v>
      </c>
      <c r="X8" s="6">
        <f ca="1">out_loc!Z33</f>
        <v>25</v>
      </c>
      <c r="Y8" s="6">
        <f ca="1">out_loc!AA33</f>
        <v>14</v>
      </c>
      <c r="Z8" s="6">
        <f ca="1">out_loc!AB33</f>
        <v>10</v>
      </c>
      <c r="AA8" s="6">
        <f ca="1">out_loc!AC33</f>
        <v>10</v>
      </c>
      <c r="AB8" s="6">
        <f ca="1">out_loc!AD33</f>
        <v>7</v>
      </c>
    </row>
    <row r="9" spans="1:28">
      <c r="A9" s="1" t="s">
        <v>7</v>
      </c>
      <c r="B9" s="5">
        <f ca="1">out_loc!D34</f>
        <v>-6.3591132984577414E-2</v>
      </c>
      <c r="C9" s="5">
        <f ca="1">out_loc!E34</f>
        <v>-5.7564485853905722E-2</v>
      </c>
      <c r="D9" s="5">
        <f ca="1">out_loc!F34</f>
        <v>-3.0717706655411958E-2</v>
      </c>
      <c r="E9" s="5">
        <f ca="1">out_loc!G34</f>
        <v>-1.1461387288812186E-2</v>
      </c>
      <c r="F9" s="5">
        <f ca="1">out_loc!H34</f>
        <v>-9.5622735743624565E-3</v>
      </c>
      <c r="G9" s="5">
        <f ca="1">out_loc!I34</f>
        <v>2.2949342754303936E-2</v>
      </c>
      <c r="H9" s="5">
        <f ca="1">out_loc!J34</f>
        <v>5.655948534852695E-2</v>
      </c>
      <c r="I9" s="5">
        <f ca="1">out_loc!K34</f>
        <v>5.9693657281204127E-2</v>
      </c>
      <c r="J9" s="5">
        <f ca="1">out_loc!L34</f>
        <v>0.10827541845927446</v>
      </c>
      <c r="K9" s="5">
        <f ca="1">out_loc!M34</f>
        <v>-7.2289149953680965E-2</v>
      </c>
      <c r="L9" s="5">
        <f ca="1">out_loc!N34</f>
        <v>-6.6075183429028628E-2</v>
      </c>
      <c r="M9" s="5">
        <f ca="1">out_loc!O34</f>
        <v>-3.8233773837892393E-2</v>
      </c>
      <c r="N9" s="5">
        <f ca="1">out_loc!P34</f>
        <v>-1.8248876747649745E-2</v>
      </c>
      <c r="O9" s="5">
        <f ca="1">out_loc!Q34</f>
        <v>-1.6264367350902531E-2</v>
      </c>
      <c r="P9" s="5">
        <f ca="1">out_loc!R34</f>
        <v>1.7858163191129872E-2</v>
      </c>
      <c r="Q9" s="5">
        <f ca="1">out_loc!S34</f>
        <v>5.0678535538359437E-2</v>
      </c>
      <c r="R9" s="5">
        <f ca="1">out_loc!T34</f>
        <v>5.394142351354092E-2</v>
      </c>
      <c r="S9" s="5">
        <f ca="1">out_loc!U34</f>
        <v>0.10478506400930909</v>
      </c>
      <c r="T9" s="5">
        <f ca="1">out_loc!V34</f>
        <v>-5.2745576492548518E-2</v>
      </c>
      <c r="U9" s="5">
        <f ca="1">out_loc!W34</f>
        <v>-4.6601845212377535E-2</v>
      </c>
      <c r="V9" s="5">
        <f ca="1">out_loc!X34</f>
        <v>-1.9229051421080112E-2</v>
      </c>
      <c r="W9" s="5">
        <f ca="1">out_loc!Y34</f>
        <v>4.1424724573424498E-4</v>
      </c>
      <c r="X9" s="5">
        <f ca="1">out_loc!Z34</f>
        <v>2.3874908894370162E-3</v>
      </c>
      <c r="Y9" s="5">
        <f ca="1">out_loc!AA34</f>
        <v>3.6194228086748881E-2</v>
      </c>
      <c r="Z9" s="5">
        <f ca="1">out_loc!AB34</f>
        <v>7.068065762547171E-2</v>
      </c>
      <c r="AA9" s="5">
        <f ca="1">out_loc!AC34</f>
        <v>7.4001074531355515E-2</v>
      </c>
      <c r="AB9" s="5">
        <f ca="1">out_loc!AD34</f>
        <v>0.12580190532343427</v>
      </c>
    </row>
    <row r="10" spans="1:28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1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26" customWidth="1"/>
    <col min="2" max="2" width="7" customWidth="1"/>
    <col min="3" max="3" width="2.625" customWidth="1"/>
    <col min="4" max="5" width="5.375" customWidth="1"/>
    <col min="6" max="6" width="6.375" customWidth="1"/>
    <col min="7" max="7" width="5.375" customWidth="1"/>
    <col min="8" max="8" width="5" customWidth="1"/>
    <col min="9" max="10" width="5.375" customWidth="1"/>
    <col min="11" max="11" width="5" customWidth="1"/>
    <col min="12" max="12" width="5.375" customWidth="1"/>
    <col min="13" max="13" width="5.75" customWidth="1"/>
    <col min="14" max="15" width="6.375" customWidth="1"/>
    <col min="16" max="16" width="5.75" customWidth="1"/>
    <col min="17" max="18" width="6.375" customWidth="1"/>
    <col min="19" max="19" width="6.125" customWidth="1"/>
    <col min="20" max="21" width="6.75" customWidth="1"/>
    <col min="22" max="22" width="6.125" customWidth="1"/>
    <col min="23" max="24" width="6.75" customWidth="1"/>
    <col min="25" max="25" width="6.125" customWidth="1"/>
    <col min="26" max="27" width="6.75" customWidth="1"/>
    <col min="28" max="28" width="6.5" customWidth="1"/>
    <col min="29" max="30" width="7.125" customWidth="1"/>
  </cols>
  <sheetData>
    <row r="1" spans="1:30">
      <c r="A1" s="1"/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tr">
        <f t="shared" ref="M1:U1" si="0">D1&amp;"_pes"</f>
        <v>n_2_pes</v>
      </c>
      <c r="N1" s="1" t="str">
        <f t="shared" si="0"/>
        <v>n_25_pes</v>
      </c>
      <c r="O1" s="1" t="str">
        <f t="shared" si="0"/>
        <v>n_10_pes</v>
      </c>
      <c r="P1" s="1" t="str">
        <f t="shared" si="0"/>
        <v>b_2_pes</v>
      </c>
      <c r="Q1" s="1" t="str">
        <f t="shared" si="0"/>
        <v>b_25_pes</v>
      </c>
      <c r="R1" s="1" t="str">
        <f t="shared" si="0"/>
        <v>b_10_pes</v>
      </c>
      <c r="S1" s="1" t="str">
        <f t="shared" si="0"/>
        <v>m_2_pes</v>
      </c>
      <c r="T1" s="1" t="str">
        <f t="shared" si="0"/>
        <v>m_25_pes</v>
      </c>
      <c r="U1" s="1" t="str">
        <f t="shared" si="0"/>
        <v>m_10_pes</v>
      </c>
      <c r="V1" s="1" t="str">
        <f t="shared" ref="V1:AD1" si="1">D1&amp;"_opt"</f>
        <v>n_2_opt</v>
      </c>
      <c r="W1" s="1" t="str">
        <f t="shared" si="1"/>
        <v>n_25_opt</v>
      </c>
      <c r="X1" s="1" t="str">
        <f t="shared" si="1"/>
        <v>n_10_opt</v>
      </c>
      <c r="Y1" s="1" t="str">
        <f t="shared" si="1"/>
        <v>b_2_opt</v>
      </c>
      <c r="Z1" s="1" t="str">
        <f t="shared" si="1"/>
        <v>b_25_opt</v>
      </c>
      <c r="AA1" s="1" t="str">
        <f t="shared" si="1"/>
        <v>b_10_opt</v>
      </c>
      <c r="AB1" s="1" t="str">
        <f t="shared" si="1"/>
        <v>m_2_opt</v>
      </c>
      <c r="AC1" s="1" t="str">
        <f t="shared" si="1"/>
        <v>m_25_opt</v>
      </c>
      <c r="AD1" s="1" t="str">
        <f t="shared" si="1"/>
        <v>m_10_opt</v>
      </c>
    </row>
    <row r="2" spans="1:30">
      <c r="A2" s="1" t="s">
        <v>19</v>
      </c>
      <c r="B2" s="6"/>
      <c r="C2" s="6"/>
      <c r="D2" s="6"/>
      <c r="E2" s="6"/>
      <c r="F2" s="6"/>
      <c r="G2" s="6"/>
      <c r="H2" s="7"/>
      <c r="I2" s="6"/>
      <c r="J2" s="6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7" t="s">
        <v>20</v>
      </c>
      <c r="B3" s="6"/>
      <c r="C3" s="6">
        <v>1</v>
      </c>
      <c r="D3" s="6">
        <v>750000</v>
      </c>
      <c r="E3" s="6">
        <v>690000</v>
      </c>
      <c r="F3" s="6">
        <v>2050000</v>
      </c>
      <c r="G3" s="6">
        <v>307000</v>
      </c>
      <c r="H3" s="7">
        <v>295600</v>
      </c>
      <c r="I3" s="6">
        <v>625000</v>
      </c>
      <c r="J3" s="6">
        <v>277000</v>
      </c>
      <c r="K3" s="7">
        <v>265600</v>
      </c>
      <c r="L3" s="6">
        <v>535000</v>
      </c>
      <c r="M3" s="6">
        <f>D3*(1+in_gen!$C$44*$C3)</f>
        <v>780000</v>
      </c>
      <c r="N3" s="6">
        <f>E3*(1+in_gen!$C$44*$C3)</f>
        <v>717600</v>
      </c>
      <c r="O3" s="6">
        <f>F3*(1+in_gen!$C$44*$C3)</f>
        <v>2132000</v>
      </c>
      <c r="P3" s="6">
        <f>G3*(1+in_gen!$C$44*$C3)</f>
        <v>319280</v>
      </c>
      <c r="Q3" s="6">
        <f>H3*(1+in_gen!$C$44*$C3)</f>
        <v>307424</v>
      </c>
      <c r="R3" s="6">
        <f>I3*(1+in_gen!$C$44*$C3)</f>
        <v>650000</v>
      </c>
      <c r="S3" s="6">
        <f>J3*(1+in_gen!$C$44*$C3)</f>
        <v>288080</v>
      </c>
      <c r="T3" s="6">
        <f>K3*(1+in_gen!$C$44*$C3)</f>
        <v>276224</v>
      </c>
      <c r="U3" s="6">
        <f>L3*(1+in_gen!$C$44*$C3)</f>
        <v>556400</v>
      </c>
      <c r="V3" s="6">
        <f>D3*(1+in_gen!$C$44*-$C3)</f>
        <v>720000</v>
      </c>
      <c r="W3" s="6">
        <f>E3*(1+in_gen!$C$44*-$C3)</f>
        <v>662400</v>
      </c>
      <c r="X3" s="6">
        <f>F3*(1+in_gen!$C$44*-$C3)</f>
        <v>1968000</v>
      </c>
      <c r="Y3" s="6">
        <f>G3*(1+in_gen!$C$44*-$C3)</f>
        <v>294720</v>
      </c>
      <c r="Z3" s="6">
        <f>H3*(1+in_gen!$C$44*-$C3)</f>
        <v>283776</v>
      </c>
      <c r="AA3" s="6">
        <f>I3*(1+in_gen!$C$44*-$C3)</f>
        <v>600000</v>
      </c>
      <c r="AB3" s="6">
        <f>J3*(1+in_gen!$C$44*-$C3)</f>
        <v>265920</v>
      </c>
      <c r="AC3" s="6">
        <f>K3*(1+in_gen!$C$44*-$C3)</f>
        <v>254976</v>
      </c>
      <c r="AD3" s="6">
        <f>L3*(1+in_gen!$C$44*-$C3)</f>
        <v>513600</v>
      </c>
    </row>
    <row r="4" spans="1:30">
      <c r="A4" s="7" t="s">
        <v>21</v>
      </c>
      <c r="B4" s="6"/>
      <c r="C4" s="6">
        <v>1</v>
      </c>
      <c r="D4" s="6">
        <v>321000</v>
      </c>
      <c r="E4" s="6">
        <v>299800</v>
      </c>
      <c r="F4" s="6">
        <v>861000</v>
      </c>
      <c r="G4" s="6">
        <v>38000</v>
      </c>
      <c r="H4" s="7">
        <v>36200</v>
      </c>
      <c r="I4" s="6">
        <v>82000</v>
      </c>
      <c r="J4" s="6">
        <v>21000</v>
      </c>
      <c r="K4" s="7">
        <v>20000</v>
      </c>
      <c r="L4" s="6">
        <v>42000</v>
      </c>
      <c r="M4" s="6">
        <f>D4*(1+in_gen!$C$44*$C4)</f>
        <v>333840</v>
      </c>
      <c r="N4" s="6">
        <f>E4*(1+in_gen!$C$44*$C4)</f>
        <v>311792</v>
      </c>
      <c r="O4" s="6">
        <f>F4*(1+in_gen!$C$44*$C4)</f>
        <v>895440</v>
      </c>
      <c r="P4" s="6">
        <f>G4*(1+in_gen!$C$44*$C4)</f>
        <v>39520</v>
      </c>
      <c r="Q4" s="6">
        <f>H4*(1+in_gen!$C$44*$C4)</f>
        <v>37648</v>
      </c>
      <c r="R4" s="6">
        <f>I4*(1+in_gen!$C$44*$C4)</f>
        <v>85280</v>
      </c>
      <c r="S4" s="6">
        <f>J4*(1+in_gen!$C$44*$C4)</f>
        <v>21840</v>
      </c>
      <c r="T4" s="6">
        <f>K4*(1+in_gen!$C$44*$C4)</f>
        <v>20800</v>
      </c>
      <c r="U4" s="6">
        <f>L4*(1+in_gen!$C$44*$C4)</f>
        <v>43680</v>
      </c>
      <c r="V4" s="6">
        <f>D4*(1+in_gen!$C$44*-$C4)</f>
        <v>308160</v>
      </c>
      <c r="W4" s="6">
        <f>E4*(1+in_gen!$C$44*-$C4)</f>
        <v>287808</v>
      </c>
      <c r="X4" s="6">
        <f>F4*(1+in_gen!$C$44*-$C4)</f>
        <v>826560</v>
      </c>
      <c r="Y4" s="6">
        <f>G4*(1+in_gen!$C$44*-$C4)</f>
        <v>36480</v>
      </c>
      <c r="Z4" s="6">
        <f>H4*(1+in_gen!$C$44*-$C4)</f>
        <v>34752</v>
      </c>
      <c r="AA4" s="6">
        <f>I4*(1+in_gen!$C$44*-$C4)</f>
        <v>78720</v>
      </c>
      <c r="AB4" s="6">
        <f>J4*(1+in_gen!$C$44*-$C4)</f>
        <v>20160</v>
      </c>
      <c r="AC4" s="6">
        <f>K4*(1+in_gen!$C$44*-$C4)</f>
        <v>19200</v>
      </c>
      <c r="AD4" s="6">
        <f>L4*(1+in_gen!$C$44*-$C4)</f>
        <v>40320</v>
      </c>
    </row>
    <row r="5" spans="1:30">
      <c r="A5" s="7" t="s">
        <v>22</v>
      </c>
      <c r="B5" s="6"/>
      <c r="C5" s="6">
        <v>1</v>
      </c>
      <c r="D5" s="6">
        <v>65000</v>
      </c>
      <c r="E5" s="6">
        <v>72800</v>
      </c>
      <c r="F5" s="6">
        <v>234000</v>
      </c>
      <c r="G5" s="6">
        <v>95000</v>
      </c>
      <c r="H5" s="7">
        <v>91000</v>
      </c>
      <c r="I5" s="6">
        <v>260000</v>
      </c>
      <c r="J5" s="6">
        <v>82000</v>
      </c>
      <c r="K5" s="7">
        <v>78000</v>
      </c>
      <c r="L5" s="6">
        <v>221000</v>
      </c>
      <c r="M5" s="6">
        <f>D5*(1+in_gen!$C$44*$C5)</f>
        <v>67600</v>
      </c>
      <c r="N5" s="6">
        <f>E5*(1+in_gen!$C$44*$C5)</f>
        <v>75712</v>
      </c>
      <c r="O5" s="6">
        <f>F5*(1+in_gen!$C$44*$C5)</f>
        <v>243360</v>
      </c>
      <c r="P5" s="6">
        <f>G5*(1+in_gen!$C$44*$C5)</f>
        <v>98800</v>
      </c>
      <c r="Q5" s="6">
        <f>H5*(1+in_gen!$C$44*$C5)</f>
        <v>94640</v>
      </c>
      <c r="R5" s="6">
        <f>I5*(1+in_gen!$C$44*$C5)</f>
        <v>270400</v>
      </c>
      <c r="S5" s="6">
        <f>J5*(1+in_gen!$C$44*$C5)</f>
        <v>85280</v>
      </c>
      <c r="T5" s="6">
        <f>K5*(1+in_gen!$C$44*$C5)</f>
        <v>81120</v>
      </c>
      <c r="U5" s="6">
        <f>L5*(1+in_gen!$C$44*$C5)</f>
        <v>229840</v>
      </c>
      <c r="V5" s="6">
        <f>D5*(1+in_gen!$C$44*-$C5)</f>
        <v>62400</v>
      </c>
      <c r="W5" s="6">
        <f>E5*(1+in_gen!$C$44*-$C5)</f>
        <v>69888</v>
      </c>
      <c r="X5" s="6">
        <f>F5*(1+in_gen!$C$44*-$C5)</f>
        <v>224640</v>
      </c>
      <c r="Y5" s="6">
        <f>G5*(1+in_gen!$C$44*-$C5)</f>
        <v>91200</v>
      </c>
      <c r="Z5" s="6">
        <f>H5*(1+in_gen!$C$44*-$C5)</f>
        <v>87360</v>
      </c>
      <c r="AA5" s="6">
        <f>I5*(1+in_gen!$C$44*-$C5)</f>
        <v>249600</v>
      </c>
      <c r="AB5" s="6">
        <f>J5*(1+in_gen!$C$44*-$C5)</f>
        <v>78720</v>
      </c>
      <c r="AC5" s="6">
        <f>K5*(1+in_gen!$C$44*-$C5)</f>
        <v>74880</v>
      </c>
      <c r="AD5" s="6">
        <f>L5*(1+in_gen!$C$44*-$C5)</f>
        <v>212160</v>
      </c>
    </row>
    <row r="6" spans="1:30">
      <c r="A6" s="7" t="s">
        <v>23</v>
      </c>
      <c r="B6" s="6"/>
      <c r="C6" s="6">
        <v>1</v>
      </c>
      <c r="D6" s="6">
        <v>560000</v>
      </c>
      <c r="E6" s="6">
        <v>400000</v>
      </c>
      <c r="F6" s="6">
        <v>1760000</v>
      </c>
      <c r="G6" s="6">
        <v>144000</v>
      </c>
      <c r="H6" s="7">
        <v>132600</v>
      </c>
      <c r="I6" s="6">
        <v>639000</v>
      </c>
      <c r="J6" s="6">
        <v>126000</v>
      </c>
      <c r="K6" s="7">
        <v>107800</v>
      </c>
      <c r="L6" s="6">
        <v>503000</v>
      </c>
      <c r="M6" s="6">
        <f>D6*(1+in_gen!$C$44*$C6)</f>
        <v>582400</v>
      </c>
      <c r="N6" s="6">
        <f>E6*(1+in_gen!$C$44*$C6)</f>
        <v>416000</v>
      </c>
      <c r="O6" s="6">
        <f>F6*(1+in_gen!$C$44*$C6)</f>
        <v>1830400</v>
      </c>
      <c r="P6" s="6">
        <f>G6*(1+in_gen!$C$44*$C6)</f>
        <v>149760</v>
      </c>
      <c r="Q6" s="6">
        <f>H6*(1+in_gen!$C$44*$C6)</f>
        <v>137904</v>
      </c>
      <c r="R6" s="6">
        <f>I6*(1+in_gen!$C$44*$C6)</f>
        <v>664560</v>
      </c>
      <c r="S6" s="6">
        <f>J6*(1+in_gen!$C$44*$C6)</f>
        <v>131040</v>
      </c>
      <c r="T6" s="6">
        <f>K6*(1+in_gen!$C$44*$C6)</f>
        <v>112112</v>
      </c>
      <c r="U6" s="6">
        <f>L6*(1+in_gen!$C$44*$C6)</f>
        <v>523120</v>
      </c>
      <c r="V6" s="6">
        <f>D6*(1+in_gen!$C$44*-$C6)</f>
        <v>537600</v>
      </c>
      <c r="W6" s="6">
        <f>E6*(1+in_gen!$C$44*-$C6)</f>
        <v>384000</v>
      </c>
      <c r="X6" s="6">
        <f>F6*(1+in_gen!$C$44*-$C6)</f>
        <v>1689600</v>
      </c>
      <c r="Y6" s="6">
        <f>G6*(1+in_gen!$C$44*-$C6)</f>
        <v>138240</v>
      </c>
      <c r="Z6" s="6">
        <f>H6*(1+in_gen!$C$44*-$C6)</f>
        <v>127296</v>
      </c>
      <c r="AA6" s="6">
        <f>I6*(1+in_gen!$C$44*-$C6)</f>
        <v>613440</v>
      </c>
      <c r="AB6" s="6">
        <f>J6*(1+in_gen!$C$44*-$C6)</f>
        <v>120960</v>
      </c>
      <c r="AC6" s="6">
        <f>K6*(1+in_gen!$C$44*-$C6)</f>
        <v>103488</v>
      </c>
      <c r="AD6" s="6">
        <f>L6*(1+in_gen!$C$44*-$C6)</f>
        <v>482880</v>
      </c>
    </row>
    <row r="7" spans="1:30">
      <c r="A7" s="7" t="s">
        <v>24</v>
      </c>
      <c r="B7" s="6"/>
      <c r="C7" s="6">
        <v>1</v>
      </c>
      <c r="D7" s="6">
        <v>87000</v>
      </c>
      <c r="E7" s="6">
        <v>101800</v>
      </c>
      <c r="F7" s="6">
        <v>435000</v>
      </c>
      <c r="G7" s="6">
        <v>12000</v>
      </c>
      <c r="H7" s="7">
        <v>10600</v>
      </c>
      <c r="I7" s="6">
        <v>53000</v>
      </c>
      <c r="J7" s="6">
        <v>9000</v>
      </c>
      <c r="K7" s="7">
        <v>8000</v>
      </c>
      <c r="L7" s="6">
        <v>40000</v>
      </c>
      <c r="M7" s="6">
        <f>D7*(1+in_gen!$C$44*$C7)</f>
        <v>90480</v>
      </c>
      <c r="N7" s="6">
        <f>E7*(1+in_gen!$C$44*$C7)</f>
        <v>105872</v>
      </c>
      <c r="O7" s="6">
        <f>F7*(1+in_gen!$C$44*$C7)</f>
        <v>452400</v>
      </c>
      <c r="P7" s="6">
        <f>G7*(1+in_gen!$C$44*$C7)</f>
        <v>12480</v>
      </c>
      <c r="Q7" s="6">
        <f>H7*(1+in_gen!$C$44*$C7)</f>
        <v>11024</v>
      </c>
      <c r="R7" s="6">
        <f>I7*(1+in_gen!$C$44*$C7)</f>
        <v>55120</v>
      </c>
      <c r="S7" s="6">
        <f>J7*(1+in_gen!$C$44*$C7)</f>
        <v>9360</v>
      </c>
      <c r="T7" s="6">
        <f>K7*(1+in_gen!$C$44*$C7)</f>
        <v>8320</v>
      </c>
      <c r="U7" s="6">
        <f>L7*(1+in_gen!$C$44*$C7)</f>
        <v>41600</v>
      </c>
      <c r="V7" s="6">
        <f>D7*(1+in_gen!$C$44*-$C7)</f>
        <v>83520</v>
      </c>
      <c r="W7" s="6">
        <f>E7*(1+in_gen!$C$44*-$C7)</f>
        <v>97728</v>
      </c>
      <c r="X7" s="6">
        <f>F7*(1+in_gen!$C$44*-$C7)</f>
        <v>417600</v>
      </c>
      <c r="Y7" s="6">
        <f>G7*(1+in_gen!$C$44*-$C7)</f>
        <v>11520</v>
      </c>
      <c r="Z7" s="6">
        <f>H7*(1+in_gen!$C$44*-$C7)</f>
        <v>10176</v>
      </c>
      <c r="AA7" s="6">
        <f>I7*(1+in_gen!$C$44*-$C7)</f>
        <v>50880</v>
      </c>
      <c r="AB7" s="6">
        <f>J7*(1+in_gen!$C$44*-$C7)</f>
        <v>8640</v>
      </c>
      <c r="AC7" s="6">
        <f>K7*(1+in_gen!$C$44*-$C7)</f>
        <v>7680</v>
      </c>
      <c r="AD7" s="6">
        <f>L7*(1+in_gen!$C$44*-$C7)</f>
        <v>38400</v>
      </c>
    </row>
    <row r="8" spans="1:30">
      <c r="A8" s="7" t="s">
        <v>25</v>
      </c>
      <c r="B8" s="6"/>
      <c r="C8" s="6">
        <v>1</v>
      </c>
      <c r="D8" s="6">
        <v>91000</v>
      </c>
      <c r="E8" s="6">
        <v>57200</v>
      </c>
      <c r="F8" s="6">
        <v>267000</v>
      </c>
      <c r="G8" s="6">
        <v>85000</v>
      </c>
      <c r="H8" s="7">
        <v>74800</v>
      </c>
      <c r="I8" s="6">
        <v>358000</v>
      </c>
      <c r="J8" s="6">
        <v>69000</v>
      </c>
      <c r="K8" s="7">
        <v>61800</v>
      </c>
      <c r="L8" s="6">
        <v>283000</v>
      </c>
      <c r="M8" s="6">
        <f>D8*(1+in_gen!$C$44*$C8)</f>
        <v>94640</v>
      </c>
      <c r="N8" s="6">
        <f>E8*(1+in_gen!$C$44*$C8)</f>
        <v>59488</v>
      </c>
      <c r="O8" s="6">
        <f>F8*(1+in_gen!$C$44*$C8)</f>
        <v>277680</v>
      </c>
      <c r="P8" s="6">
        <f>G8*(1+in_gen!$C$44*$C8)</f>
        <v>88400</v>
      </c>
      <c r="Q8" s="6">
        <f>H8*(1+in_gen!$C$44*$C8)</f>
        <v>77792</v>
      </c>
      <c r="R8" s="6">
        <f>I8*(1+in_gen!$C$44*$C8)</f>
        <v>372320</v>
      </c>
      <c r="S8" s="6">
        <f>J8*(1+in_gen!$C$44*$C8)</f>
        <v>71760</v>
      </c>
      <c r="T8" s="6">
        <f>K8*(1+in_gen!$C$44*$C8)</f>
        <v>64272</v>
      </c>
      <c r="U8" s="6">
        <f>L8*(1+in_gen!$C$44*$C8)</f>
        <v>294320</v>
      </c>
      <c r="V8" s="6">
        <f>D8*(1+in_gen!$C$44*-$C8)</f>
        <v>87360</v>
      </c>
      <c r="W8" s="6">
        <f>E8*(1+in_gen!$C$44*-$C8)</f>
        <v>54912</v>
      </c>
      <c r="X8" s="6">
        <f>F8*(1+in_gen!$C$44*-$C8)</f>
        <v>256320</v>
      </c>
      <c r="Y8" s="6">
        <f>G8*(1+in_gen!$C$44*-$C8)</f>
        <v>81600</v>
      </c>
      <c r="Z8" s="6">
        <f>H8*(1+in_gen!$C$44*-$C8)</f>
        <v>71808</v>
      </c>
      <c r="AA8" s="6">
        <f>I8*(1+in_gen!$C$44*-$C8)</f>
        <v>343680</v>
      </c>
      <c r="AB8" s="6">
        <f>J8*(1+in_gen!$C$44*-$C8)</f>
        <v>66240</v>
      </c>
      <c r="AC8" s="6">
        <f>K8*(1+in_gen!$C$44*-$C8)</f>
        <v>59328</v>
      </c>
      <c r="AD8" s="6">
        <f>L8*(1+in_gen!$C$44*-$C8)</f>
        <v>271680</v>
      </c>
    </row>
    <row r="9" spans="1:30">
      <c r="A9" s="7" t="s">
        <v>26</v>
      </c>
      <c r="B9" s="6"/>
      <c r="C9" s="6">
        <v>1</v>
      </c>
      <c r="D9" s="6">
        <v>70000</v>
      </c>
      <c r="E9" s="6">
        <v>38000</v>
      </c>
      <c r="F9" s="6">
        <v>130000</v>
      </c>
      <c r="G9" s="6">
        <v>33000</v>
      </c>
      <c r="H9" s="7">
        <v>28200</v>
      </c>
      <c r="I9" s="6">
        <v>87000</v>
      </c>
      <c r="J9" s="6">
        <v>27000</v>
      </c>
      <c r="K9" s="7">
        <v>22200</v>
      </c>
      <c r="L9" s="6">
        <v>63000</v>
      </c>
      <c r="M9" s="6">
        <f>D9*(1+in_gen!$C$44*$C9)</f>
        <v>72800</v>
      </c>
      <c r="N9" s="6">
        <f>E9*(1+in_gen!$C$44*$C9)</f>
        <v>39520</v>
      </c>
      <c r="O9" s="6">
        <f>F9*(1+in_gen!$C$44*$C9)</f>
        <v>135200</v>
      </c>
      <c r="P9" s="6">
        <f>G9*(1+in_gen!$C$44*$C9)</f>
        <v>34320</v>
      </c>
      <c r="Q9" s="6">
        <f>H9*(1+in_gen!$C$44*$C9)</f>
        <v>29328</v>
      </c>
      <c r="R9" s="6">
        <f>I9*(1+in_gen!$C$44*$C9)</f>
        <v>90480</v>
      </c>
      <c r="S9" s="6">
        <f>J9*(1+in_gen!$C$44*$C9)</f>
        <v>28080</v>
      </c>
      <c r="T9" s="6">
        <f>K9*(1+in_gen!$C$44*$C9)</f>
        <v>23088</v>
      </c>
      <c r="U9" s="6">
        <f>L9*(1+in_gen!$C$44*$C9)</f>
        <v>65520</v>
      </c>
      <c r="V9" s="6">
        <f>D9*(1+in_gen!$C$44*-$C9)</f>
        <v>67200</v>
      </c>
      <c r="W9" s="6">
        <f>E9*(1+in_gen!$C$44*-$C9)</f>
        <v>36480</v>
      </c>
      <c r="X9" s="6">
        <f>F9*(1+in_gen!$C$44*-$C9)</f>
        <v>124800</v>
      </c>
      <c r="Y9" s="6">
        <f>G9*(1+in_gen!$C$44*-$C9)</f>
        <v>31680</v>
      </c>
      <c r="Z9" s="6">
        <f>H9*(1+in_gen!$C$44*-$C9)</f>
        <v>27072</v>
      </c>
      <c r="AA9" s="6">
        <f>I9*(1+in_gen!$C$44*-$C9)</f>
        <v>83520</v>
      </c>
      <c r="AB9" s="6">
        <f>J9*(1+in_gen!$C$44*-$C9)</f>
        <v>25920</v>
      </c>
      <c r="AC9" s="6">
        <f>K9*(1+in_gen!$C$44*-$C9)</f>
        <v>21312</v>
      </c>
      <c r="AD9" s="6">
        <f>L9*(1+in_gen!$C$44*-$C9)</f>
        <v>60480</v>
      </c>
    </row>
    <row r="10" spans="1:30">
      <c r="A10" s="7" t="s">
        <v>27</v>
      </c>
      <c r="B10" s="6"/>
      <c r="C10" s="6">
        <v>1</v>
      </c>
      <c r="D10" s="6">
        <v>14000</v>
      </c>
      <c r="E10" s="6">
        <v>6800</v>
      </c>
      <c r="F10" s="6">
        <v>24000</v>
      </c>
      <c r="G10" s="6">
        <v>5000</v>
      </c>
      <c r="H10" s="7">
        <v>4000</v>
      </c>
      <c r="I10" s="6">
        <v>12000</v>
      </c>
      <c r="J10" s="6">
        <v>2000</v>
      </c>
      <c r="K10" s="7">
        <v>1200</v>
      </c>
      <c r="L10" s="6">
        <v>4000</v>
      </c>
      <c r="M10" s="6">
        <f>D10*(1+in_gen!$C$44*$C10)</f>
        <v>14560</v>
      </c>
      <c r="N10" s="6">
        <f>E10*(1+in_gen!$C$44*$C10)</f>
        <v>7072</v>
      </c>
      <c r="O10" s="6">
        <f>F10*(1+in_gen!$C$44*$C10)</f>
        <v>24960</v>
      </c>
      <c r="P10" s="6">
        <f>G10*(1+in_gen!$C$44*$C10)</f>
        <v>5200</v>
      </c>
      <c r="Q10" s="6">
        <f>H10*(1+in_gen!$C$44*$C10)</f>
        <v>4160</v>
      </c>
      <c r="R10" s="6">
        <f>I10*(1+in_gen!$C$44*$C10)</f>
        <v>12480</v>
      </c>
      <c r="S10" s="6">
        <f>J10*(1+in_gen!$C$44*$C10)</f>
        <v>2080</v>
      </c>
      <c r="T10" s="6">
        <f>K10*(1+in_gen!$C$44*$C10)</f>
        <v>1248</v>
      </c>
      <c r="U10" s="6">
        <f>L10*(1+in_gen!$C$44*$C10)</f>
        <v>4160</v>
      </c>
      <c r="V10" s="6">
        <f>D10*(1+in_gen!$C$44*-$C10)</f>
        <v>13440</v>
      </c>
      <c r="W10" s="6">
        <f>E10*(1+in_gen!$C$44*-$C10)</f>
        <v>6528</v>
      </c>
      <c r="X10" s="6">
        <f>F10*(1+in_gen!$C$44*-$C10)</f>
        <v>23040</v>
      </c>
      <c r="Y10" s="6">
        <f>G10*(1+in_gen!$C$44*-$C10)</f>
        <v>4800</v>
      </c>
      <c r="Z10" s="6">
        <f>H10*(1+in_gen!$C$44*-$C10)</f>
        <v>3840</v>
      </c>
      <c r="AA10" s="6">
        <f>I10*(1+in_gen!$C$44*-$C10)</f>
        <v>11520</v>
      </c>
      <c r="AB10" s="6">
        <f>J10*(1+in_gen!$C$44*-$C10)</f>
        <v>1920</v>
      </c>
      <c r="AC10" s="6">
        <f>K10*(1+in_gen!$C$44*-$C10)</f>
        <v>1152</v>
      </c>
      <c r="AD10" s="6">
        <f>L10*(1+in_gen!$C$44*-$C10)</f>
        <v>3840</v>
      </c>
    </row>
    <row r="11" spans="1:30">
      <c r="A11" s="7" t="s">
        <v>28</v>
      </c>
      <c r="B11" s="6"/>
      <c r="C11" s="6">
        <v>1</v>
      </c>
      <c r="D11" s="6">
        <v>23000</v>
      </c>
      <c r="E11" s="6">
        <v>12400</v>
      </c>
      <c r="F11" s="6">
        <v>43000</v>
      </c>
      <c r="G11" s="6">
        <v>20000</v>
      </c>
      <c r="H11" s="7">
        <v>15600</v>
      </c>
      <c r="I11" s="6">
        <v>49000</v>
      </c>
      <c r="J11" s="6">
        <v>17000</v>
      </c>
      <c r="K11" s="7">
        <v>12400</v>
      </c>
      <c r="L11" s="6">
        <v>36000</v>
      </c>
      <c r="M11" s="6">
        <f>D11*(1+in_gen!$C$44*$C11)</f>
        <v>23920</v>
      </c>
      <c r="N11" s="6">
        <f>E11*(1+in_gen!$C$44*$C11)</f>
        <v>12896</v>
      </c>
      <c r="O11" s="6">
        <f>F11*(1+in_gen!$C$44*$C11)</f>
        <v>44720</v>
      </c>
      <c r="P11" s="6">
        <f>G11*(1+in_gen!$C$44*$C11)</f>
        <v>20800</v>
      </c>
      <c r="Q11" s="6">
        <f>H11*(1+in_gen!$C$44*$C11)</f>
        <v>16224</v>
      </c>
      <c r="R11" s="6">
        <f>I11*(1+in_gen!$C$44*$C11)</f>
        <v>50960</v>
      </c>
      <c r="S11" s="6">
        <f>J11*(1+in_gen!$C$44*$C11)</f>
        <v>17680</v>
      </c>
      <c r="T11" s="6">
        <f>K11*(1+in_gen!$C$44*$C11)</f>
        <v>12896</v>
      </c>
      <c r="U11" s="6">
        <f>L11*(1+in_gen!$C$44*$C11)</f>
        <v>37440</v>
      </c>
      <c r="V11" s="6">
        <f>D11*(1+in_gen!$C$44*-$C11)</f>
        <v>22080</v>
      </c>
      <c r="W11" s="6">
        <f>E11*(1+in_gen!$C$44*-$C11)</f>
        <v>11904</v>
      </c>
      <c r="X11" s="6">
        <f>F11*(1+in_gen!$C$44*-$C11)</f>
        <v>41280</v>
      </c>
      <c r="Y11" s="6">
        <f>G11*(1+in_gen!$C$44*-$C11)</f>
        <v>19200</v>
      </c>
      <c r="Z11" s="6">
        <f>H11*(1+in_gen!$C$44*-$C11)</f>
        <v>14976</v>
      </c>
      <c r="AA11" s="6">
        <f>I11*(1+in_gen!$C$44*-$C11)</f>
        <v>47040</v>
      </c>
      <c r="AB11" s="6">
        <f>J11*(1+in_gen!$C$44*-$C11)</f>
        <v>16320</v>
      </c>
      <c r="AC11" s="6">
        <f>K11*(1+in_gen!$C$44*-$C11)</f>
        <v>11904</v>
      </c>
      <c r="AD11" s="6">
        <f>L11*(1+in_gen!$C$44*-$C11)</f>
        <v>34560</v>
      </c>
    </row>
    <row r="12" spans="1:30">
      <c r="A12" s="7" t="s">
        <v>29</v>
      </c>
      <c r="B12" s="6"/>
      <c r="C12" s="6">
        <v>1</v>
      </c>
      <c r="D12" s="6">
        <v>600000</v>
      </c>
      <c r="E12" s="6">
        <v>408000</v>
      </c>
      <c r="F12" s="6">
        <v>2040000</v>
      </c>
      <c r="G12" s="6">
        <v>167000</v>
      </c>
      <c r="H12" s="7">
        <v>145200</v>
      </c>
      <c r="I12" s="6">
        <v>769000</v>
      </c>
      <c r="J12" s="6">
        <v>149000</v>
      </c>
      <c r="K12" s="7">
        <v>130800</v>
      </c>
      <c r="L12" s="6">
        <v>679000</v>
      </c>
      <c r="M12" s="6">
        <f>D12*(1+in_gen!$C$44*$C12)</f>
        <v>624000</v>
      </c>
      <c r="N12" s="6">
        <f>E12*(1+in_gen!$C$44*$C12)</f>
        <v>424320</v>
      </c>
      <c r="O12" s="6">
        <f>F12*(1+in_gen!$C$44*$C12)</f>
        <v>2121600</v>
      </c>
      <c r="P12" s="6">
        <f>G12*(1+in_gen!$C$44*$C12)</f>
        <v>173680</v>
      </c>
      <c r="Q12" s="6">
        <f>H12*(1+in_gen!$C$44*$C12)</f>
        <v>151008</v>
      </c>
      <c r="R12" s="6">
        <f>I12*(1+in_gen!$C$44*$C12)</f>
        <v>799760</v>
      </c>
      <c r="S12" s="6">
        <f>J12*(1+in_gen!$C$44*$C12)</f>
        <v>154960</v>
      </c>
      <c r="T12" s="6">
        <f>K12*(1+in_gen!$C$44*$C12)</f>
        <v>136032</v>
      </c>
      <c r="U12" s="6">
        <f>L12*(1+in_gen!$C$44*$C12)</f>
        <v>706160</v>
      </c>
      <c r="V12" s="6">
        <f>D12*(1+in_gen!$C$44*-$C12)</f>
        <v>576000</v>
      </c>
      <c r="W12" s="6">
        <f>E12*(1+in_gen!$C$44*-$C12)</f>
        <v>391680</v>
      </c>
      <c r="X12" s="6">
        <f>F12*(1+in_gen!$C$44*-$C12)</f>
        <v>1958400</v>
      </c>
      <c r="Y12" s="6">
        <f>G12*(1+in_gen!$C$44*-$C12)</f>
        <v>160320</v>
      </c>
      <c r="Z12" s="6">
        <f>H12*(1+in_gen!$C$44*-$C12)</f>
        <v>139392</v>
      </c>
      <c r="AA12" s="6">
        <f>I12*(1+in_gen!$C$44*-$C12)</f>
        <v>738240</v>
      </c>
      <c r="AB12" s="6">
        <f>J12*(1+in_gen!$C$44*-$C12)</f>
        <v>143040</v>
      </c>
      <c r="AC12" s="6">
        <f>K12*(1+in_gen!$C$44*-$C12)</f>
        <v>125568</v>
      </c>
      <c r="AD12" s="6">
        <f>L12*(1+in_gen!$C$44*-$C12)</f>
        <v>651840</v>
      </c>
    </row>
    <row r="13" spans="1:30">
      <c r="A13" s="7" t="s">
        <v>30</v>
      </c>
      <c r="B13" s="6"/>
      <c r="C13" s="6">
        <v>1</v>
      </c>
      <c r="D13" s="6">
        <v>90000</v>
      </c>
      <c r="E13" s="6">
        <v>103000</v>
      </c>
      <c r="F13" s="6">
        <v>503000</v>
      </c>
      <c r="G13" s="6">
        <v>17000</v>
      </c>
      <c r="H13" s="7">
        <v>15600</v>
      </c>
      <c r="I13" s="6">
        <v>80000</v>
      </c>
      <c r="J13" s="6">
        <v>13000</v>
      </c>
      <c r="K13" s="7">
        <v>12000</v>
      </c>
      <c r="L13" s="6">
        <v>61000</v>
      </c>
      <c r="M13" s="6">
        <f>D13*(1+in_gen!$C$44*$C13)</f>
        <v>93600</v>
      </c>
      <c r="N13" s="6">
        <f>E13*(1+in_gen!$C$44*$C13)</f>
        <v>107120</v>
      </c>
      <c r="O13" s="6">
        <f>F13*(1+in_gen!$C$44*$C13)</f>
        <v>523120</v>
      </c>
      <c r="P13" s="6">
        <f>G13*(1+in_gen!$C$44*$C13)</f>
        <v>17680</v>
      </c>
      <c r="Q13" s="6">
        <f>H13*(1+in_gen!$C$44*$C13)</f>
        <v>16224</v>
      </c>
      <c r="R13" s="6">
        <f>I13*(1+in_gen!$C$44*$C13)</f>
        <v>83200</v>
      </c>
      <c r="S13" s="6">
        <f>J13*(1+in_gen!$C$44*$C13)</f>
        <v>13520</v>
      </c>
      <c r="T13" s="6">
        <f>K13*(1+in_gen!$C$44*$C13)</f>
        <v>12480</v>
      </c>
      <c r="U13" s="6">
        <f>L13*(1+in_gen!$C$44*$C13)</f>
        <v>63440</v>
      </c>
      <c r="V13" s="6">
        <f>D13*(1+in_gen!$C$44*-$C13)</f>
        <v>86400</v>
      </c>
      <c r="W13" s="6">
        <f>E13*(1+in_gen!$C$44*-$C13)</f>
        <v>98880</v>
      </c>
      <c r="X13" s="6">
        <f>F13*(1+in_gen!$C$44*-$C13)</f>
        <v>482880</v>
      </c>
      <c r="Y13" s="6">
        <f>G13*(1+in_gen!$C$44*-$C13)</f>
        <v>16320</v>
      </c>
      <c r="Z13" s="6">
        <f>H13*(1+in_gen!$C$44*-$C13)</f>
        <v>14976</v>
      </c>
      <c r="AA13" s="6">
        <f>I13*(1+in_gen!$C$44*-$C13)</f>
        <v>76800</v>
      </c>
      <c r="AB13" s="6">
        <f>J13*(1+in_gen!$C$44*-$C13)</f>
        <v>12480</v>
      </c>
      <c r="AC13" s="6">
        <f>K13*(1+in_gen!$C$44*-$C13)</f>
        <v>11520</v>
      </c>
      <c r="AD13" s="6">
        <f>L13*(1+in_gen!$C$44*-$C13)</f>
        <v>58560</v>
      </c>
    </row>
    <row r="14" spans="1:30">
      <c r="A14" s="7" t="s">
        <v>31</v>
      </c>
      <c r="B14" s="6"/>
      <c r="C14" s="6">
        <v>1</v>
      </c>
      <c r="D14" s="6">
        <v>111000</v>
      </c>
      <c r="E14" s="6">
        <v>84600</v>
      </c>
      <c r="F14" s="6">
        <v>423000</v>
      </c>
      <c r="G14" s="6">
        <v>134000</v>
      </c>
      <c r="H14" s="7">
        <v>117000</v>
      </c>
      <c r="I14" s="6">
        <v>611000</v>
      </c>
      <c r="J14" s="6">
        <v>108000</v>
      </c>
      <c r="K14" s="7">
        <v>96200</v>
      </c>
      <c r="L14" s="6">
        <v>481000</v>
      </c>
      <c r="M14" s="6">
        <f>D14*(1+in_gen!$C$44*$C14)</f>
        <v>115440</v>
      </c>
      <c r="N14" s="6">
        <f>E14*(1+in_gen!$C$44*$C14)</f>
        <v>87984</v>
      </c>
      <c r="O14" s="6">
        <f>F14*(1+in_gen!$C$44*$C14)</f>
        <v>439920</v>
      </c>
      <c r="P14" s="6">
        <f>G14*(1+in_gen!$C$44*$C14)</f>
        <v>139360</v>
      </c>
      <c r="Q14" s="6">
        <f>H14*(1+in_gen!$C$44*$C14)</f>
        <v>121680</v>
      </c>
      <c r="R14" s="6">
        <f>I14*(1+in_gen!$C$44*$C14)</f>
        <v>635440</v>
      </c>
      <c r="S14" s="6">
        <f>J14*(1+in_gen!$C$44*$C14)</f>
        <v>112320</v>
      </c>
      <c r="T14" s="6">
        <f>K14*(1+in_gen!$C$44*$C14)</f>
        <v>100048</v>
      </c>
      <c r="U14" s="6">
        <f>L14*(1+in_gen!$C$44*$C14)</f>
        <v>500240</v>
      </c>
      <c r="V14" s="6">
        <f>D14*(1+in_gen!$C$44*-$C14)</f>
        <v>106560</v>
      </c>
      <c r="W14" s="6">
        <f>E14*(1+in_gen!$C$44*-$C14)</f>
        <v>81216</v>
      </c>
      <c r="X14" s="6">
        <f>F14*(1+in_gen!$C$44*-$C14)</f>
        <v>406080</v>
      </c>
      <c r="Y14" s="6">
        <f>G14*(1+in_gen!$C$44*-$C14)</f>
        <v>128640</v>
      </c>
      <c r="Z14" s="6">
        <f>H14*(1+in_gen!$C$44*-$C14)</f>
        <v>112320</v>
      </c>
      <c r="AA14" s="6">
        <f>I14*(1+in_gen!$C$44*-$C14)</f>
        <v>586560</v>
      </c>
      <c r="AB14" s="6">
        <f>J14*(1+in_gen!$C$44*-$C14)</f>
        <v>103680</v>
      </c>
      <c r="AC14" s="6">
        <f>K14*(1+in_gen!$C$44*-$C14)</f>
        <v>92352</v>
      </c>
      <c r="AD14" s="6">
        <f>L14*(1+in_gen!$C$44*-$C14)</f>
        <v>461760</v>
      </c>
    </row>
    <row r="15" spans="1:30">
      <c r="A15" s="7" t="s">
        <v>32</v>
      </c>
      <c r="B15" s="9"/>
      <c r="C15" s="6">
        <v>1</v>
      </c>
      <c r="D15" s="9">
        <v>36000</v>
      </c>
      <c r="E15" s="9">
        <v>36000</v>
      </c>
      <c r="F15" s="9">
        <v>300000</v>
      </c>
      <c r="G15" s="9">
        <v>27000</v>
      </c>
      <c r="H15" s="9">
        <v>27000</v>
      </c>
      <c r="I15" s="9">
        <v>220000</v>
      </c>
      <c r="J15" s="9">
        <v>27000</v>
      </c>
      <c r="K15" s="9">
        <v>27000</v>
      </c>
      <c r="L15" s="9">
        <v>240000</v>
      </c>
      <c r="M15" s="9">
        <f>D15*(1+in_gen!$C$44*$C15)</f>
        <v>37440</v>
      </c>
      <c r="N15" s="9">
        <f>E15*(1+in_gen!$C$44*$C15)</f>
        <v>37440</v>
      </c>
      <c r="O15" s="9">
        <f>F15*(1+in_gen!$C$44*$C15)</f>
        <v>312000</v>
      </c>
      <c r="P15" s="9">
        <f>G15*(1+in_gen!$C$44*$C15)</f>
        <v>28080</v>
      </c>
      <c r="Q15" s="9">
        <f>H15*(1+in_gen!$C$44*$C15)</f>
        <v>28080</v>
      </c>
      <c r="R15" s="9">
        <f>I15*(1+in_gen!$C$44*$C15)</f>
        <v>228800</v>
      </c>
      <c r="S15" s="9">
        <f>J15*(1+in_gen!$C$44*$C15)</f>
        <v>28080</v>
      </c>
      <c r="T15" s="9">
        <f>K15*(1+in_gen!$C$44*$C15)</f>
        <v>28080</v>
      </c>
      <c r="U15" s="9">
        <f>L15*(1+in_gen!$C$44*$C15)</f>
        <v>249600</v>
      </c>
      <c r="V15" s="9">
        <f>D15*(1+in_gen!$C$44*-$C15)</f>
        <v>34560</v>
      </c>
      <c r="W15" s="9">
        <f>E15*(1+in_gen!$C$44*-$C15)</f>
        <v>34560</v>
      </c>
      <c r="X15" s="9">
        <f>F15*(1+in_gen!$C$44*-$C15)</f>
        <v>288000</v>
      </c>
      <c r="Y15" s="9">
        <f>G15*(1+in_gen!$C$44*-$C15)</f>
        <v>25920</v>
      </c>
      <c r="Z15" s="9">
        <f>H15*(1+in_gen!$C$44*-$C15)</f>
        <v>25920</v>
      </c>
      <c r="AA15" s="9">
        <f>I15*(1+in_gen!$C$44*-$C15)</f>
        <v>211200</v>
      </c>
      <c r="AB15" s="9">
        <f>J15*(1+in_gen!$C$44*-$C15)</f>
        <v>25920</v>
      </c>
      <c r="AC15" s="9">
        <f>K15*(1+in_gen!$C$44*-$C15)</f>
        <v>25920</v>
      </c>
      <c r="AD15" s="9">
        <f>L15*(1+in_gen!$C$44*-$C15)</f>
        <v>230400</v>
      </c>
    </row>
    <row r="16" spans="1:30">
      <c r="A16" s="7" t="s">
        <v>33</v>
      </c>
      <c r="B16" s="7" t="s">
        <v>34</v>
      </c>
      <c r="C16" s="6">
        <v>1</v>
      </c>
      <c r="D16" s="7">
        <v>20</v>
      </c>
      <c r="E16" s="7">
        <v>20</v>
      </c>
      <c r="F16" s="7">
        <v>15</v>
      </c>
      <c r="G16" s="7">
        <v>16</v>
      </c>
      <c r="H16" s="7">
        <v>16</v>
      </c>
      <c r="I16" s="7">
        <v>12</v>
      </c>
      <c r="J16" s="7">
        <v>10</v>
      </c>
      <c r="K16" s="7">
        <v>10</v>
      </c>
      <c r="L16" s="7">
        <v>7.5</v>
      </c>
      <c r="M16" s="7">
        <f>D16*(1+in_gen!$C$44*$C16)</f>
        <v>20.8</v>
      </c>
      <c r="N16" s="7">
        <f>E16*(1+in_gen!$C$44*$C16)</f>
        <v>20.8</v>
      </c>
      <c r="O16" s="7">
        <f>F16*(1+in_gen!$C$44*$C16)</f>
        <v>15.600000000000001</v>
      </c>
      <c r="P16" s="7">
        <f>G16*(1+in_gen!$C$44*$C16)</f>
        <v>16.64</v>
      </c>
      <c r="Q16" s="7">
        <f>H16*(1+in_gen!$C$44*$C16)</f>
        <v>16.64</v>
      </c>
      <c r="R16" s="7">
        <f>I16*(1+in_gen!$C$44*$C16)</f>
        <v>12.48</v>
      </c>
      <c r="S16" s="7">
        <f>J16*(1+in_gen!$C$44*$C16)</f>
        <v>10.4</v>
      </c>
      <c r="T16" s="7">
        <f>K16*(1+in_gen!$C$44*$C16)</f>
        <v>10.4</v>
      </c>
      <c r="U16" s="7">
        <f>L16*(1+in_gen!$C$44*$C16)</f>
        <v>7.8000000000000007</v>
      </c>
      <c r="V16" s="7">
        <f>D16*(1+in_gen!$C$44*-$C16)</f>
        <v>19.2</v>
      </c>
      <c r="W16" s="7">
        <f>E16*(1+in_gen!$C$44*-$C16)</f>
        <v>19.2</v>
      </c>
      <c r="X16" s="7">
        <f>F16*(1+in_gen!$C$44*-$C16)</f>
        <v>14.399999999999999</v>
      </c>
      <c r="Y16" s="7">
        <f>G16*(1+in_gen!$C$44*-$C16)</f>
        <v>15.36</v>
      </c>
      <c r="Z16" s="7">
        <f>H16*(1+in_gen!$C$44*-$C16)</f>
        <v>15.36</v>
      </c>
      <c r="AA16" s="7">
        <f>I16*(1+in_gen!$C$44*-$C16)</f>
        <v>11.52</v>
      </c>
      <c r="AB16" s="7">
        <f>J16*(1+in_gen!$C$44*-$C16)</f>
        <v>9.6</v>
      </c>
      <c r="AC16" s="7">
        <f>K16*(1+in_gen!$C$44*-$C16)</f>
        <v>9.6</v>
      </c>
      <c r="AD16" s="7">
        <f>L16*(1+in_gen!$C$44*-$C16)</f>
        <v>7.1999999999999993</v>
      </c>
    </row>
    <row r="17" spans="1:3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>
      <c r="A18" s="1" t="s">
        <v>35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>
      <c r="A19" s="7" t="s">
        <v>36</v>
      </c>
      <c r="B19" s="7"/>
      <c r="C19" s="7">
        <v>0</v>
      </c>
      <c r="D19" s="7">
        <v>16</v>
      </c>
      <c r="E19" s="7">
        <v>16</v>
      </c>
      <c r="F19" s="7">
        <v>38</v>
      </c>
      <c r="G19" s="7">
        <v>16</v>
      </c>
      <c r="H19" s="7">
        <v>16</v>
      </c>
      <c r="I19" s="7">
        <v>26</v>
      </c>
      <c r="J19" s="7">
        <v>16</v>
      </c>
      <c r="K19" s="7">
        <v>16</v>
      </c>
      <c r="L19" s="7">
        <v>26</v>
      </c>
      <c r="M19" s="7">
        <f>D19*(1+in_gen!$C$44*$C19)</f>
        <v>16</v>
      </c>
      <c r="N19" s="7">
        <f>E19*(1+in_gen!$C$44*$C19)</f>
        <v>16</v>
      </c>
      <c r="O19" s="7">
        <f>F19*(1+in_gen!$C$44*$C19)</f>
        <v>38</v>
      </c>
      <c r="P19" s="7">
        <f>G19*(1+in_gen!$C$44*$C19)</f>
        <v>16</v>
      </c>
      <c r="Q19" s="7">
        <f>H19*(1+in_gen!$C$44*$C19)</f>
        <v>16</v>
      </c>
      <c r="R19" s="7">
        <f>I19*(1+in_gen!$C$44*$C19)</f>
        <v>26</v>
      </c>
      <c r="S19" s="7">
        <f>J19*(1+in_gen!$C$44*$C19)</f>
        <v>16</v>
      </c>
      <c r="T19" s="7">
        <f>K19*(1+in_gen!$C$44*$C19)</f>
        <v>16</v>
      </c>
      <c r="U19" s="7">
        <f>L19*(1+in_gen!$C$44*$C19)</f>
        <v>26</v>
      </c>
      <c r="V19" s="7">
        <f>D19*(1+in_gen!$C$44*-$C19)</f>
        <v>16</v>
      </c>
      <c r="W19" s="7">
        <f>E19*(1+in_gen!$C$44*-$C19)</f>
        <v>16</v>
      </c>
      <c r="X19" s="7">
        <f>F19*(1+in_gen!$C$44*-$C19)</f>
        <v>38</v>
      </c>
      <c r="Y19" s="7">
        <f>G19*(1+in_gen!$C$44*-$C19)</f>
        <v>16</v>
      </c>
      <c r="Z19" s="7">
        <f>H19*(1+in_gen!$C$44*-$C19)</f>
        <v>16</v>
      </c>
      <c r="AA19" s="7">
        <f>I19*(1+in_gen!$C$44*-$C19)</f>
        <v>26</v>
      </c>
      <c r="AB19" s="7">
        <f>J19*(1+in_gen!$C$44*-$C19)</f>
        <v>16</v>
      </c>
      <c r="AC19" s="7">
        <f>K19*(1+in_gen!$C$44*-$C19)</f>
        <v>16</v>
      </c>
      <c r="AD19" s="7">
        <f>L19*(1+in_gen!$C$44*-$C19)</f>
        <v>26</v>
      </c>
    </row>
    <row r="20" spans="1:30">
      <c r="A20" s="7" t="s">
        <v>37</v>
      </c>
      <c r="B20" s="7"/>
      <c r="C20" s="7">
        <v>0</v>
      </c>
      <c r="D20" s="7">
        <v>32</v>
      </c>
      <c r="E20" s="7">
        <v>32</v>
      </c>
      <c r="F20" s="7">
        <v>91</v>
      </c>
      <c r="G20" s="7">
        <v>32</v>
      </c>
      <c r="H20" s="7">
        <v>32</v>
      </c>
      <c r="I20" s="7">
        <v>91</v>
      </c>
      <c r="J20" s="7">
        <v>32</v>
      </c>
      <c r="K20" s="7">
        <v>32</v>
      </c>
      <c r="L20" s="7">
        <v>91</v>
      </c>
      <c r="M20" s="7">
        <f>D20*(1+in_gen!$C$44*$C20)</f>
        <v>32</v>
      </c>
      <c r="N20" s="7">
        <f>E20*(1+in_gen!$C$44*$C20)</f>
        <v>32</v>
      </c>
      <c r="O20" s="7">
        <f>F20*(1+in_gen!$C$44*$C20)</f>
        <v>91</v>
      </c>
      <c r="P20" s="7">
        <f>G20*(1+in_gen!$C$44*$C20)</f>
        <v>32</v>
      </c>
      <c r="Q20" s="7">
        <f>H20*(1+in_gen!$C$44*$C20)</f>
        <v>32</v>
      </c>
      <c r="R20" s="7">
        <f>I20*(1+in_gen!$C$44*$C20)</f>
        <v>91</v>
      </c>
      <c r="S20" s="7">
        <f>J20*(1+in_gen!$C$44*$C20)</f>
        <v>32</v>
      </c>
      <c r="T20" s="7">
        <f>K20*(1+in_gen!$C$44*$C20)</f>
        <v>32</v>
      </c>
      <c r="U20" s="7">
        <f>L20*(1+in_gen!$C$44*$C20)</f>
        <v>91</v>
      </c>
      <c r="V20" s="7">
        <f>D20*(1+in_gen!$C$44*-$C20)</f>
        <v>32</v>
      </c>
      <c r="W20" s="7">
        <f>E20*(1+in_gen!$C$44*-$C20)</f>
        <v>32</v>
      </c>
      <c r="X20" s="7">
        <f>F20*(1+in_gen!$C$44*-$C20)</f>
        <v>91</v>
      </c>
      <c r="Y20" s="7">
        <f>G20*(1+in_gen!$C$44*-$C20)</f>
        <v>32</v>
      </c>
      <c r="Z20" s="7">
        <f>H20*(1+in_gen!$C$44*-$C20)</f>
        <v>32</v>
      </c>
      <c r="AA20" s="7">
        <f>I20*(1+in_gen!$C$44*-$C20)</f>
        <v>91</v>
      </c>
      <c r="AB20" s="7">
        <f>J20*(1+in_gen!$C$44*-$C20)</f>
        <v>32</v>
      </c>
      <c r="AC20" s="7">
        <f>K20*(1+in_gen!$C$44*-$C20)</f>
        <v>32</v>
      </c>
      <c r="AD20" s="7">
        <f>L20*(1+in_gen!$C$44*-$C20)</f>
        <v>91</v>
      </c>
    </row>
    <row r="21" spans="1:30" ht="15.75" customHeight="1">
      <c r="A21" s="7" t="s">
        <v>38</v>
      </c>
      <c r="B21" s="7"/>
      <c r="C21" s="7">
        <v>0</v>
      </c>
      <c r="D21" s="7">
        <v>17</v>
      </c>
      <c r="E21" s="7">
        <v>17</v>
      </c>
      <c r="F21" s="7">
        <v>17</v>
      </c>
      <c r="G21" s="7">
        <v>17</v>
      </c>
      <c r="H21" s="7">
        <v>17</v>
      </c>
      <c r="I21" s="7">
        <v>17</v>
      </c>
      <c r="J21" s="7">
        <v>17</v>
      </c>
      <c r="K21" s="7">
        <v>17</v>
      </c>
      <c r="L21" s="7">
        <v>17</v>
      </c>
      <c r="M21" s="7">
        <f>D21*(1+in_gen!$C$44*$C21)</f>
        <v>17</v>
      </c>
      <c r="N21" s="7">
        <f>E21*(1+in_gen!$C$44*$C21)</f>
        <v>17</v>
      </c>
      <c r="O21" s="7">
        <f>F21*(1+in_gen!$C$44*$C21)</f>
        <v>17</v>
      </c>
      <c r="P21" s="7">
        <f>G21*(1+in_gen!$C$44*$C21)</f>
        <v>17</v>
      </c>
      <c r="Q21" s="7">
        <f>H21*(1+in_gen!$C$44*$C21)</f>
        <v>17</v>
      </c>
      <c r="R21" s="7">
        <f>I21*(1+in_gen!$C$44*$C21)</f>
        <v>17</v>
      </c>
      <c r="S21" s="7">
        <f>J21*(1+in_gen!$C$44*$C21)</f>
        <v>17</v>
      </c>
      <c r="T21" s="7">
        <f>K21*(1+in_gen!$C$44*$C21)</f>
        <v>17</v>
      </c>
      <c r="U21" s="7">
        <f>L21*(1+in_gen!$C$44*$C21)</f>
        <v>17</v>
      </c>
      <c r="V21" s="7">
        <f>D21*(1+in_gen!$C$44*-$C21)</f>
        <v>17</v>
      </c>
      <c r="W21" s="7">
        <f>E21*(1+in_gen!$C$44*-$C21)</f>
        <v>17</v>
      </c>
      <c r="X21" s="7">
        <f>F21*(1+in_gen!$C$44*-$C21)</f>
        <v>17</v>
      </c>
      <c r="Y21" s="7">
        <f>G21*(1+in_gen!$C$44*-$C21)</f>
        <v>17</v>
      </c>
      <c r="Z21" s="7">
        <f>H21*(1+in_gen!$C$44*-$C21)</f>
        <v>17</v>
      </c>
      <c r="AA21" s="7">
        <f>I21*(1+in_gen!$C$44*-$C21)</f>
        <v>17</v>
      </c>
      <c r="AB21" s="7">
        <f>J21*(1+in_gen!$C$44*-$C21)</f>
        <v>17</v>
      </c>
      <c r="AC21" s="7">
        <f>K21*(1+in_gen!$C$44*-$C21)</f>
        <v>17</v>
      </c>
      <c r="AD21" s="7">
        <f>L21*(1+in_gen!$C$44*-$C21)</f>
        <v>17</v>
      </c>
    </row>
    <row r="22" spans="1:30" ht="15.75" customHeight="1">
      <c r="A22" s="7" t="s">
        <v>39</v>
      </c>
      <c r="B22" s="7"/>
      <c r="C22" s="7">
        <v>0</v>
      </c>
      <c r="D22" s="7">
        <v>1</v>
      </c>
      <c r="E22" s="7">
        <v>5</v>
      </c>
      <c r="F22" s="7">
        <v>1</v>
      </c>
      <c r="G22" s="7">
        <v>1</v>
      </c>
      <c r="H22" s="7">
        <v>5</v>
      </c>
      <c r="I22" s="7">
        <v>1</v>
      </c>
      <c r="J22" s="7">
        <v>1</v>
      </c>
      <c r="K22" s="7">
        <v>5</v>
      </c>
      <c r="L22" s="7">
        <v>1</v>
      </c>
      <c r="M22" s="7">
        <f>D22*(1+in_gen!$C$44*$C22)</f>
        <v>1</v>
      </c>
      <c r="N22" s="7">
        <f>E22*(1+in_gen!$C$44*$C22)</f>
        <v>5</v>
      </c>
      <c r="O22" s="7">
        <f>F22*(1+in_gen!$C$44*$C22)</f>
        <v>1</v>
      </c>
      <c r="P22" s="7">
        <f>G22*(1+in_gen!$C$44*$C22)</f>
        <v>1</v>
      </c>
      <c r="Q22" s="7">
        <f>H22*(1+in_gen!$C$44*$C22)</f>
        <v>5</v>
      </c>
      <c r="R22" s="7">
        <f>I22*(1+in_gen!$C$44*$C22)</f>
        <v>1</v>
      </c>
      <c r="S22" s="7">
        <f>J22*(1+in_gen!$C$44*$C22)</f>
        <v>1</v>
      </c>
      <c r="T22" s="7">
        <f>K22*(1+in_gen!$C$44*$C22)</f>
        <v>5</v>
      </c>
      <c r="U22" s="7">
        <f>L22*(1+in_gen!$C$44*$C22)</f>
        <v>1</v>
      </c>
      <c r="V22" s="7">
        <f>D22*(1+in_gen!$C$44*-$C22)</f>
        <v>1</v>
      </c>
      <c r="W22" s="7">
        <f>E22*(1+in_gen!$C$44*-$C22)</f>
        <v>5</v>
      </c>
      <c r="X22" s="7">
        <f>F22*(1+in_gen!$C$44*-$C22)</f>
        <v>1</v>
      </c>
      <c r="Y22" s="7">
        <f>G22*(1+in_gen!$C$44*-$C22)</f>
        <v>1</v>
      </c>
      <c r="Z22" s="7">
        <f>H22*(1+in_gen!$C$44*-$C22)</f>
        <v>5</v>
      </c>
      <c r="AA22" s="7">
        <f>I22*(1+in_gen!$C$44*-$C22)</f>
        <v>1</v>
      </c>
      <c r="AB22" s="7">
        <f>J22*(1+in_gen!$C$44*-$C22)</f>
        <v>1</v>
      </c>
      <c r="AC22" s="7">
        <f>K22*(1+in_gen!$C$44*-$C22)</f>
        <v>5</v>
      </c>
      <c r="AD22" s="7">
        <f>L22*(1+in_gen!$C$44*-$C22)</f>
        <v>1</v>
      </c>
    </row>
    <row r="23" spans="1:30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7" t="s">
        <v>41</v>
      </c>
      <c r="B25" s="7"/>
      <c r="C25" s="7">
        <v>0</v>
      </c>
      <c r="D25" s="7">
        <v>46.7</v>
      </c>
      <c r="E25" s="7">
        <v>46.7</v>
      </c>
      <c r="F25" s="7">
        <v>58.41</v>
      </c>
      <c r="G25" s="7">
        <v>9.5</v>
      </c>
      <c r="H25" s="7">
        <v>9.5</v>
      </c>
      <c r="I25" s="7">
        <v>24.22</v>
      </c>
      <c r="J25" s="7">
        <v>26.38</v>
      </c>
      <c r="K25" s="7">
        <v>26.38</v>
      </c>
      <c r="L25" s="7">
        <v>58.41</v>
      </c>
      <c r="M25" s="7">
        <f>D25*(1+in_gen!$C$44*$C25)</f>
        <v>46.7</v>
      </c>
      <c r="N25" s="7">
        <f>E25*(1+in_gen!$C$44*$C25)</f>
        <v>46.7</v>
      </c>
      <c r="O25" s="7">
        <f>F25*(1+in_gen!$C$44*$C25)</f>
        <v>58.41</v>
      </c>
      <c r="P25" s="7">
        <f>G25*(1+in_gen!$C$44*$C25)</f>
        <v>9.5</v>
      </c>
      <c r="Q25" s="7">
        <f>H25*(1+in_gen!$C$44*$C25)</f>
        <v>9.5</v>
      </c>
      <c r="R25" s="7">
        <f>I25*(1+in_gen!$C$44*$C25)</f>
        <v>24.22</v>
      </c>
      <c r="S25" s="7">
        <f>J25*(1+in_gen!$C$44*$C25)</f>
        <v>26.38</v>
      </c>
      <c r="T25" s="7">
        <f>K25*(1+in_gen!$C$44*$C25)</f>
        <v>26.38</v>
      </c>
      <c r="U25" s="7">
        <f>L25*(1+in_gen!$C$44*$C25)</f>
        <v>58.41</v>
      </c>
      <c r="V25" s="7">
        <f>D25*(1+in_gen!$C$44*-$C25)</f>
        <v>46.7</v>
      </c>
      <c r="W25" s="7">
        <f>E25*(1+in_gen!$C$44*-$C25)</f>
        <v>46.7</v>
      </c>
      <c r="X25" s="7">
        <f>F25*(1+in_gen!$C$44*-$C25)</f>
        <v>58.41</v>
      </c>
      <c r="Y25" s="7">
        <f>G25*(1+in_gen!$C$44*-$C25)</f>
        <v>9.5</v>
      </c>
      <c r="Z25" s="7">
        <f>H25*(1+in_gen!$C$44*-$C25)</f>
        <v>9.5</v>
      </c>
      <c r="AA25" s="7">
        <f>I25*(1+in_gen!$C$44*-$C25)</f>
        <v>24.22</v>
      </c>
      <c r="AB25" s="7">
        <f>J25*(1+in_gen!$C$44*-$C25)</f>
        <v>26.38</v>
      </c>
      <c r="AC25" s="7">
        <f>K25*(1+in_gen!$C$44*-$C25)</f>
        <v>26.38</v>
      </c>
      <c r="AD25" s="7">
        <f>L25*(1+in_gen!$C$44*-$C25)</f>
        <v>58.41</v>
      </c>
    </row>
    <row r="26" spans="1:30" ht="15.75" customHeight="1">
      <c r="A26" s="7" t="s">
        <v>42</v>
      </c>
      <c r="B26" s="7"/>
      <c r="C26" s="7">
        <v>0</v>
      </c>
      <c r="D26" s="7">
        <v>18.27</v>
      </c>
      <c r="E26" s="7">
        <v>18.27</v>
      </c>
      <c r="F26" s="7">
        <v>31.92</v>
      </c>
      <c r="G26" s="7">
        <v>11.82</v>
      </c>
      <c r="H26" s="7">
        <v>11.82</v>
      </c>
      <c r="I26" s="7">
        <v>25.35</v>
      </c>
      <c r="J26" s="7">
        <v>12.72</v>
      </c>
      <c r="K26" s="7">
        <v>12.72</v>
      </c>
      <c r="L26" s="7">
        <v>30.61</v>
      </c>
      <c r="M26" s="7">
        <f>D26*(1+in_gen!$C$44*$C26)</f>
        <v>18.27</v>
      </c>
      <c r="N26" s="7">
        <f>E26*(1+in_gen!$C$44*$C26)</f>
        <v>18.27</v>
      </c>
      <c r="O26" s="7">
        <f>F26*(1+in_gen!$C$44*$C26)</f>
        <v>31.92</v>
      </c>
      <c r="P26" s="7">
        <f>G26*(1+in_gen!$C$44*$C26)</f>
        <v>11.82</v>
      </c>
      <c r="Q26" s="7">
        <f>H26*(1+in_gen!$C$44*$C26)</f>
        <v>11.82</v>
      </c>
      <c r="R26" s="7">
        <f>I26*(1+in_gen!$C$44*$C26)</f>
        <v>25.35</v>
      </c>
      <c r="S26" s="7">
        <f>J26*(1+in_gen!$C$44*$C26)</f>
        <v>12.72</v>
      </c>
      <c r="T26" s="7">
        <f>K26*(1+in_gen!$C$44*$C26)</f>
        <v>12.72</v>
      </c>
      <c r="U26" s="7">
        <f>L26*(1+in_gen!$C$44*$C26)</f>
        <v>30.61</v>
      </c>
      <c r="V26" s="7">
        <f>D26*(1+in_gen!$C$44*-$C26)</f>
        <v>18.27</v>
      </c>
      <c r="W26" s="7">
        <f>E26*(1+in_gen!$C$44*-$C26)</f>
        <v>18.27</v>
      </c>
      <c r="X26" s="7">
        <f>F26*(1+in_gen!$C$44*-$C26)</f>
        <v>31.92</v>
      </c>
      <c r="Y26" s="7">
        <f>G26*(1+in_gen!$C$44*-$C26)</f>
        <v>11.82</v>
      </c>
      <c r="Z26" s="7">
        <f>H26*(1+in_gen!$C$44*-$C26)</f>
        <v>11.82</v>
      </c>
      <c r="AA26" s="7">
        <f>I26*(1+in_gen!$C$44*-$C26)</f>
        <v>25.35</v>
      </c>
      <c r="AB26" s="7">
        <f>J26*(1+in_gen!$C$44*-$C26)</f>
        <v>12.72</v>
      </c>
      <c r="AC26" s="7">
        <f>K26*(1+in_gen!$C$44*-$C26)</f>
        <v>12.72</v>
      </c>
      <c r="AD26" s="7">
        <f>L26*(1+in_gen!$C$44*-$C26)</f>
        <v>30.61</v>
      </c>
    </row>
    <row r="27" spans="1:30" ht="15.75" customHeight="1">
      <c r="A27" s="7" t="s">
        <v>43</v>
      </c>
      <c r="B27" s="7"/>
      <c r="C27" s="6">
        <v>0</v>
      </c>
      <c r="D27" s="7">
        <v>13.6</v>
      </c>
      <c r="E27" s="7">
        <v>68</v>
      </c>
      <c r="F27" s="7">
        <v>56.9</v>
      </c>
      <c r="G27" s="7">
        <v>13.6</v>
      </c>
      <c r="H27" s="7">
        <v>68</v>
      </c>
      <c r="I27" s="7">
        <v>56.9</v>
      </c>
      <c r="J27" s="7">
        <v>13.6</v>
      </c>
      <c r="K27" s="7">
        <v>68</v>
      </c>
      <c r="L27" s="7">
        <v>56.9</v>
      </c>
      <c r="M27" s="7">
        <f>D27*(1+in_gen!$C$44*$C27)</f>
        <v>13.6</v>
      </c>
      <c r="N27" s="7">
        <f>E27*(1+in_gen!$C$44*$C27)</f>
        <v>68</v>
      </c>
      <c r="O27" s="7">
        <f>F27*(1+in_gen!$C$44*$C27)</f>
        <v>56.9</v>
      </c>
      <c r="P27" s="7">
        <f>G27*(1+in_gen!$C$44*$C27)</f>
        <v>13.6</v>
      </c>
      <c r="Q27" s="7">
        <f>H27*(1+in_gen!$C$44*$C27)</f>
        <v>68</v>
      </c>
      <c r="R27" s="7">
        <f>I27*(1+in_gen!$C$44*$C27)</f>
        <v>56.9</v>
      </c>
      <c r="S27" s="7">
        <f>J27*(1+in_gen!$C$44*$C27)</f>
        <v>13.6</v>
      </c>
      <c r="T27" s="7">
        <f>K27*(1+in_gen!$C$44*$C27)</f>
        <v>68</v>
      </c>
      <c r="U27" s="7">
        <f>L27*(1+in_gen!$C$44*$C27)</f>
        <v>56.9</v>
      </c>
      <c r="V27" s="7">
        <f>D27*(1+in_gen!$C$44*-$C27)</f>
        <v>13.6</v>
      </c>
      <c r="W27" s="7">
        <f>E27*(1+in_gen!$C$44*-$C27)</f>
        <v>68</v>
      </c>
      <c r="X27" s="7">
        <f>F27*(1+in_gen!$C$44*-$C27)</f>
        <v>56.9</v>
      </c>
      <c r="Y27" s="7">
        <f>G27*(1+in_gen!$C$44*-$C27)</f>
        <v>13.6</v>
      </c>
      <c r="Z27" s="7">
        <f>H27*(1+in_gen!$C$44*-$C27)</f>
        <v>68</v>
      </c>
      <c r="AA27" s="7">
        <f>I27*(1+in_gen!$C$44*-$C27)</f>
        <v>56.9</v>
      </c>
      <c r="AB27" s="7">
        <f>J27*(1+in_gen!$C$44*-$C27)</f>
        <v>13.6</v>
      </c>
      <c r="AC27" s="7">
        <f>K27*(1+in_gen!$C$44*-$C27)</f>
        <v>68</v>
      </c>
      <c r="AD27" s="7">
        <f>L27*(1+in_gen!$C$44*-$C27)</f>
        <v>56.9</v>
      </c>
    </row>
    <row r="28" spans="1:30" ht="15.75" customHeight="1">
      <c r="A28" s="7" t="s">
        <v>44</v>
      </c>
      <c r="B28" s="7"/>
      <c r="C28" s="6">
        <v>0</v>
      </c>
      <c r="D28" s="7">
        <v>0.9</v>
      </c>
      <c r="E28" s="7">
        <v>4.5</v>
      </c>
      <c r="F28" s="7">
        <v>4.0999999999999996</v>
      </c>
      <c r="G28" s="7">
        <v>0.9</v>
      </c>
      <c r="H28" s="7">
        <v>4.5</v>
      </c>
      <c r="I28" s="7">
        <v>4.0999999999999996</v>
      </c>
      <c r="J28" s="7">
        <v>0.9</v>
      </c>
      <c r="K28" s="7">
        <v>4.5</v>
      </c>
      <c r="L28" s="7">
        <v>4.0999999999999996</v>
      </c>
      <c r="M28" s="7">
        <f>D28*(1+in_gen!$C$44*$C28)</f>
        <v>0.9</v>
      </c>
      <c r="N28" s="7">
        <f>E28*(1+in_gen!$C$44*$C28)</f>
        <v>4.5</v>
      </c>
      <c r="O28" s="7">
        <f>F28*(1+in_gen!$C$44*$C28)</f>
        <v>4.0999999999999996</v>
      </c>
      <c r="P28" s="7">
        <f>G28*(1+in_gen!$C$44*$C28)</f>
        <v>0.9</v>
      </c>
      <c r="Q28" s="7">
        <f>H28*(1+in_gen!$C$44*$C28)</f>
        <v>4.5</v>
      </c>
      <c r="R28" s="7">
        <f>I28*(1+in_gen!$C$44*$C28)</f>
        <v>4.0999999999999996</v>
      </c>
      <c r="S28" s="7">
        <f>J28*(1+in_gen!$C$44*$C28)</f>
        <v>0.9</v>
      </c>
      <c r="T28" s="7">
        <f>K28*(1+in_gen!$C$44*$C28)</f>
        <v>4.5</v>
      </c>
      <c r="U28" s="7">
        <f>L28*(1+in_gen!$C$44*$C28)</f>
        <v>4.0999999999999996</v>
      </c>
      <c r="V28" s="7">
        <f>D28*(1+in_gen!$C$44*-$C28)</f>
        <v>0.9</v>
      </c>
      <c r="W28" s="7">
        <f>E28*(1+in_gen!$C$44*-$C28)</f>
        <v>4.5</v>
      </c>
      <c r="X28" s="7">
        <f>F28*(1+in_gen!$C$44*-$C28)</f>
        <v>4.0999999999999996</v>
      </c>
      <c r="Y28" s="7">
        <f>G28*(1+in_gen!$C$44*-$C28)</f>
        <v>0.9</v>
      </c>
      <c r="Z28" s="7">
        <f>H28*(1+in_gen!$C$44*-$C28)</f>
        <v>4.5</v>
      </c>
      <c r="AA28" s="7">
        <f>I28*(1+in_gen!$C$44*-$C28)</f>
        <v>4.0999999999999996</v>
      </c>
      <c r="AB28" s="7">
        <f>J28*(1+in_gen!$C$44*-$C28)</f>
        <v>0.9</v>
      </c>
      <c r="AC28" s="7">
        <f>K28*(1+in_gen!$C$44*-$C28)</f>
        <v>4.5</v>
      </c>
      <c r="AD28" s="7">
        <f>L28*(1+in_gen!$C$44*-$C28)</f>
        <v>4.0999999999999996</v>
      </c>
    </row>
    <row r="29" spans="1:30" ht="15.75" customHeight="1">
      <c r="A29" s="7"/>
      <c r="B29" s="7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" t="s">
        <v>45</v>
      </c>
      <c r="B30" s="7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7" t="s">
        <v>46</v>
      </c>
      <c r="B31" s="7"/>
      <c r="C31" s="6">
        <v>0</v>
      </c>
      <c r="D31" s="7">
        <v>7.5</v>
      </c>
      <c r="E31" s="7">
        <v>7.5</v>
      </c>
      <c r="F31" s="7">
        <v>15</v>
      </c>
      <c r="G31" s="7">
        <v>7.5</v>
      </c>
      <c r="H31" s="7">
        <v>7.5</v>
      </c>
      <c r="I31" s="7">
        <v>15</v>
      </c>
      <c r="J31" s="7">
        <v>7.5</v>
      </c>
      <c r="K31" s="7">
        <v>7.5</v>
      </c>
      <c r="L31" s="7">
        <v>15</v>
      </c>
      <c r="M31" s="7">
        <f>D31*(1+in_gen!$C$44*$C31)</f>
        <v>7.5</v>
      </c>
      <c r="N31" s="7">
        <f>E31*(1+in_gen!$C$44*$C31)</f>
        <v>7.5</v>
      </c>
      <c r="O31" s="7">
        <f>F31*(1+in_gen!$C$44*$C31)</f>
        <v>15</v>
      </c>
      <c r="P31" s="7">
        <f>G31*(1+in_gen!$C$44*$C31)</f>
        <v>7.5</v>
      </c>
      <c r="Q31" s="7">
        <f>H31*(1+in_gen!$C$44*$C31)</f>
        <v>7.5</v>
      </c>
      <c r="R31" s="7">
        <f>I31*(1+in_gen!$C$44*$C31)</f>
        <v>15</v>
      </c>
      <c r="S31" s="7">
        <f>J31*(1+in_gen!$C$44*$C31)</f>
        <v>7.5</v>
      </c>
      <c r="T31" s="7">
        <f>K31*(1+in_gen!$C$44*$C31)</f>
        <v>7.5</v>
      </c>
      <c r="U31" s="7">
        <f>L31*(1+in_gen!$C$44*$C31)</f>
        <v>15</v>
      </c>
      <c r="V31" s="7">
        <f>D31*(1+in_gen!$C$44*-$C31)</f>
        <v>7.5</v>
      </c>
      <c r="W31" s="7">
        <f>E31*(1+in_gen!$C$44*-$C31)</f>
        <v>7.5</v>
      </c>
      <c r="X31" s="7">
        <f>F31*(1+in_gen!$C$44*-$C31)</f>
        <v>15</v>
      </c>
      <c r="Y31" s="7">
        <f>G31*(1+in_gen!$C$44*-$C31)</f>
        <v>7.5</v>
      </c>
      <c r="Z31" s="7">
        <f>H31*(1+in_gen!$C$44*-$C31)</f>
        <v>7.5</v>
      </c>
      <c r="AA31" s="7">
        <f>I31*(1+in_gen!$C$44*-$C31)</f>
        <v>15</v>
      </c>
      <c r="AB31" s="7">
        <f>J31*(1+in_gen!$C$44*-$C31)</f>
        <v>7.5</v>
      </c>
      <c r="AC31" s="7">
        <f>K31*(1+in_gen!$C$44*-$C31)</f>
        <v>7.5</v>
      </c>
      <c r="AD31" s="7">
        <f>L31*(1+in_gen!$C$44*-$C31)</f>
        <v>15</v>
      </c>
    </row>
    <row r="32" spans="1:30" ht="15.75" customHeight="1">
      <c r="A32" s="7" t="s">
        <v>47</v>
      </c>
      <c r="B32" s="7"/>
      <c r="C32" s="6">
        <v>0</v>
      </c>
      <c r="D32" s="7">
        <v>7.5</v>
      </c>
      <c r="E32" s="7">
        <v>7.5</v>
      </c>
      <c r="F32" s="7">
        <v>15</v>
      </c>
      <c r="G32" s="7">
        <v>7.5</v>
      </c>
      <c r="H32" s="7">
        <v>7.5</v>
      </c>
      <c r="I32" s="7">
        <v>15</v>
      </c>
      <c r="J32" s="7">
        <v>7.5</v>
      </c>
      <c r="K32" s="7">
        <v>7.5</v>
      </c>
      <c r="L32" s="7">
        <v>15</v>
      </c>
      <c r="M32" s="7">
        <f>D32*(1+in_gen!$C$44*$C32)</f>
        <v>7.5</v>
      </c>
      <c r="N32" s="7">
        <f>E32*(1+in_gen!$C$44*$C32)</f>
        <v>7.5</v>
      </c>
      <c r="O32" s="7">
        <f>F32*(1+in_gen!$C$44*$C32)</f>
        <v>15</v>
      </c>
      <c r="P32" s="7">
        <f>G32*(1+in_gen!$C$44*$C32)</f>
        <v>7.5</v>
      </c>
      <c r="Q32" s="7">
        <f>H32*(1+in_gen!$C$44*$C32)</f>
        <v>7.5</v>
      </c>
      <c r="R32" s="7">
        <f>I32*(1+in_gen!$C$44*$C32)</f>
        <v>15</v>
      </c>
      <c r="S32" s="7">
        <f>J32*(1+in_gen!$C$44*$C32)</f>
        <v>7.5</v>
      </c>
      <c r="T32" s="7">
        <f>K32*(1+in_gen!$C$44*$C32)</f>
        <v>7.5</v>
      </c>
      <c r="U32" s="7">
        <f>L32*(1+in_gen!$C$44*$C32)</f>
        <v>15</v>
      </c>
      <c r="V32" s="7">
        <f>D32*(1+in_gen!$C$44*-$C32)</f>
        <v>7.5</v>
      </c>
      <c r="W32" s="7">
        <f>E32*(1+in_gen!$C$44*-$C32)</f>
        <v>7.5</v>
      </c>
      <c r="X32" s="7">
        <f>F32*(1+in_gen!$C$44*-$C32)</f>
        <v>15</v>
      </c>
      <c r="Y32" s="7">
        <f>G32*(1+in_gen!$C$44*-$C32)</f>
        <v>7.5</v>
      </c>
      <c r="Z32" s="7">
        <f>H32*(1+in_gen!$C$44*-$C32)</f>
        <v>7.5</v>
      </c>
      <c r="AA32" s="7">
        <f>I32*(1+in_gen!$C$44*-$C32)</f>
        <v>15</v>
      </c>
      <c r="AB32" s="7">
        <f>J32*(1+in_gen!$C$44*-$C32)</f>
        <v>7.5</v>
      </c>
      <c r="AC32" s="7">
        <f>K32*(1+in_gen!$C$44*-$C32)</f>
        <v>7.5</v>
      </c>
      <c r="AD32" s="7">
        <f>L32*(1+in_gen!$C$44*-$C32)</f>
        <v>15</v>
      </c>
    </row>
    <row r="33" spans="1:30" ht="15.75" customHeight="1">
      <c r="A33" s="7" t="s">
        <v>48</v>
      </c>
      <c r="B33" s="7"/>
      <c r="C33" s="6">
        <v>0</v>
      </c>
      <c r="D33" s="7">
        <v>14</v>
      </c>
      <c r="E33" s="7">
        <v>14</v>
      </c>
      <c r="F33" s="7">
        <v>28</v>
      </c>
      <c r="G33" s="7">
        <v>14</v>
      </c>
      <c r="H33" s="7">
        <v>14</v>
      </c>
      <c r="I33" s="7">
        <v>28</v>
      </c>
      <c r="J33" s="7">
        <v>14</v>
      </c>
      <c r="K33" s="7">
        <v>14</v>
      </c>
      <c r="L33" s="7">
        <v>28</v>
      </c>
      <c r="M33" s="7">
        <f>D33*(1+in_gen!$C$44*$C33)</f>
        <v>14</v>
      </c>
      <c r="N33" s="7">
        <f>E33*(1+in_gen!$C$44*$C33)</f>
        <v>14</v>
      </c>
      <c r="O33" s="7">
        <f>F33*(1+in_gen!$C$44*$C33)</f>
        <v>28</v>
      </c>
      <c r="P33" s="7">
        <f>G33*(1+in_gen!$C$44*$C33)</f>
        <v>14</v>
      </c>
      <c r="Q33" s="7">
        <f>H33*(1+in_gen!$C$44*$C33)</f>
        <v>14</v>
      </c>
      <c r="R33" s="7">
        <f>I33*(1+in_gen!$C$44*$C33)</f>
        <v>28</v>
      </c>
      <c r="S33" s="7">
        <f>J33*(1+in_gen!$C$44*$C33)</f>
        <v>14</v>
      </c>
      <c r="T33" s="7">
        <f>K33*(1+in_gen!$C$44*$C33)</f>
        <v>14</v>
      </c>
      <c r="U33" s="7">
        <f>L33*(1+in_gen!$C$44*$C33)</f>
        <v>28</v>
      </c>
      <c r="V33" s="7">
        <f>D33*(1+in_gen!$C$44*-$C33)</f>
        <v>14</v>
      </c>
      <c r="W33" s="7">
        <f>E33*(1+in_gen!$C$44*-$C33)</f>
        <v>14</v>
      </c>
      <c r="X33" s="7">
        <f>F33*(1+in_gen!$C$44*-$C33)</f>
        <v>28</v>
      </c>
      <c r="Y33" s="7">
        <f>G33*(1+in_gen!$C$44*-$C33)</f>
        <v>14</v>
      </c>
      <c r="Z33" s="7">
        <f>H33*(1+in_gen!$C$44*-$C33)</f>
        <v>14</v>
      </c>
      <c r="AA33" s="7">
        <f>I33*(1+in_gen!$C$44*-$C33)</f>
        <v>28</v>
      </c>
      <c r="AB33" s="7">
        <f>J33*(1+in_gen!$C$44*-$C33)</f>
        <v>14</v>
      </c>
      <c r="AC33" s="7">
        <f>K33*(1+in_gen!$C$44*-$C33)</f>
        <v>14</v>
      </c>
      <c r="AD33" s="7">
        <f>L33*(1+in_gen!$C$44*-$C33)</f>
        <v>28</v>
      </c>
    </row>
    <row r="34" spans="1:30" ht="15.75" customHeight="1">
      <c r="A34" s="7" t="s">
        <v>49</v>
      </c>
      <c r="B34" s="7"/>
      <c r="C34" s="6">
        <v>0</v>
      </c>
      <c r="D34" s="7">
        <v>170000</v>
      </c>
      <c r="E34" s="7">
        <v>170000</v>
      </c>
      <c r="F34" s="7">
        <v>170000</v>
      </c>
      <c r="G34" s="7">
        <v>30000</v>
      </c>
      <c r="H34" s="7">
        <v>30000</v>
      </c>
      <c r="I34" s="7">
        <v>30000</v>
      </c>
      <c r="J34" s="7">
        <v>11000</v>
      </c>
      <c r="K34" s="7">
        <v>11000</v>
      </c>
      <c r="L34" s="7">
        <v>11000</v>
      </c>
      <c r="M34" s="7">
        <f>D34*(1+in_gen!$C$44*$C34)</f>
        <v>170000</v>
      </c>
      <c r="N34" s="7">
        <f>E34*(1+in_gen!$C$44*$C34)</f>
        <v>170000</v>
      </c>
      <c r="O34" s="7">
        <f>F34*(1+in_gen!$C$44*$C34)</f>
        <v>170000</v>
      </c>
      <c r="P34" s="7">
        <f>G34*(1+in_gen!$C$44*$C34)</f>
        <v>30000</v>
      </c>
      <c r="Q34" s="7">
        <f>H34*(1+in_gen!$C$44*$C34)</f>
        <v>30000</v>
      </c>
      <c r="R34" s="7">
        <f>I34*(1+in_gen!$C$44*$C34)</f>
        <v>30000</v>
      </c>
      <c r="S34" s="7">
        <f>J34*(1+in_gen!$C$44*$C34)</f>
        <v>11000</v>
      </c>
      <c r="T34" s="7">
        <f>K34*(1+in_gen!$C$44*$C34)</f>
        <v>11000</v>
      </c>
      <c r="U34" s="7">
        <f>L34*(1+in_gen!$C$44*$C34)</f>
        <v>11000</v>
      </c>
      <c r="V34" s="7">
        <f>D34*(1+in_gen!$C$44*-$C34)</f>
        <v>170000</v>
      </c>
      <c r="W34" s="7">
        <f>E34*(1+in_gen!$C$44*-$C34)</f>
        <v>170000</v>
      </c>
      <c r="X34" s="7">
        <f>F34*(1+in_gen!$C$44*-$C34)</f>
        <v>170000</v>
      </c>
      <c r="Y34" s="7">
        <f>G34*(1+in_gen!$C$44*-$C34)</f>
        <v>30000</v>
      </c>
      <c r="Z34" s="7">
        <f>H34*(1+in_gen!$C$44*-$C34)</f>
        <v>30000</v>
      </c>
      <c r="AA34" s="7">
        <f>I34*(1+in_gen!$C$44*-$C34)</f>
        <v>30000</v>
      </c>
      <c r="AB34" s="7">
        <f>J34*(1+in_gen!$C$44*-$C34)</f>
        <v>11000</v>
      </c>
      <c r="AC34" s="7">
        <f>K34*(1+in_gen!$C$44*-$C34)</f>
        <v>11000</v>
      </c>
      <c r="AD34" s="7">
        <f>L34*(1+in_gen!$C$44*-$C34)</f>
        <v>11000</v>
      </c>
    </row>
    <row r="35" spans="1:30" ht="15.75" customHeight="1">
      <c r="A35" s="7" t="s">
        <v>50</v>
      </c>
      <c r="B35" s="10"/>
      <c r="C35" s="6">
        <v>0</v>
      </c>
      <c r="D35" s="10">
        <v>620</v>
      </c>
      <c r="E35" s="10">
        <v>620</v>
      </c>
      <c r="F35" s="10">
        <v>620</v>
      </c>
      <c r="G35" s="10">
        <v>909</v>
      </c>
      <c r="H35" s="10">
        <v>909</v>
      </c>
      <c r="I35" s="10">
        <v>909</v>
      </c>
      <c r="J35" s="10">
        <v>2901</v>
      </c>
      <c r="K35" s="10">
        <v>2901</v>
      </c>
      <c r="L35" s="10">
        <v>2901</v>
      </c>
      <c r="M35" s="10">
        <f>D35*(1+in_gen!$C$44*$C35)</f>
        <v>620</v>
      </c>
      <c r="N35" s="10">
        <f>E35*(1+in_gen!$C$44*$C35)</f>
        <v>620</v>
      </c>
      <c r="O35" s="10">
        <f>F35*(1+in_gen!$C$44*$C35)</f>
        <v>620</v>
      </c>
      <c r="P35" s="10">
        <f>G35*(1+in_gen!$C$44*$C35)</f>
        <v>909</v>
      </c>
      <c r="Q35" s="10">
        <f>H35*(1+in_gen!$C$44*$C35)</f>
        <v>909</v>
      </c>
      <c r="R35" s="10">
        <f>I35*(1+in_gen!$C$44*$C35)</f>
        <v>909</v>
      </c>
      <c r="S35" s="10">
        <f>J35*(1+in_gen!$C$44*$C35)</f>
        <v>2901</v>
      </c>
      <c r="T35" s="10">
        <f>K35*(1+in_gen!$C$44*$C35)</f>
        <v>2901</v>
      </c>
      <c r="U35" s="10">
        <f>L35*(1+in_gen!$C$44*$C35)</f>
        <v>2901</v>
      </c>
      <c r="V35" s="10">
        <f>D35*(1+in_gen!$C$44*-$C35)</f>
        <v>620</v>
      </c>
      <c r="W35" s="10">
        <f>E35*(1+in_gen!$C$44*-$C35)</f>
        <v>620</v>
      </c>
      <c r="X35" s="10">
        <f>F35*(1+in_gen!$C$44*-$C35)</f>
        <v>620</v>
      </c>
      <c r="Y35" s="10">
        <f>G35*(1+in_gen!$C$44*-$C35)</f>
        <v>909</v>
      </c>
      <c r="Z35" s="10">
        <f>H35*(1+in_gen!$C$44*-$C35)</f>
        <v>909</v>
      </c>
      <c r="AA35" s="10">
        <f>I35*(1+in_gen!$C$44*-$C35)</f>
        <v>909</v>
      </c>
      <c r="AB35" s="10">
        <f>J35*(1+in_gen!$C$44*-$C35)</f>
        <v>2901</v>
      </c>
      <c r="AC35" s="10">
        <f>K35*(1+in_gen!$C$44*-$C35)</f>
        <v>2901</v>
      </c>
      <c r="AD35" s="10">
        <f>L35*(1+in_gen!$C$44*-$C35)</f>
        <v>2901</v>
      </c>
    </row>
    <row r="36" spans="1:30" ht="15.75" customHeight="1">
      <c r="A36" s="7"/>
      <c r="B36" s="7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" t="s">
        <v>51</v>
      </c>
      <c r="B37" s="1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7" t="s">
        <v>52</v>
      </c>
      <c r="B38" s="5"/>
      <c r="C38" s="6">
        <v>1</v>
      </c>
      <c r="D38" s="5">
        <v>3.7499999999999999E-3</v>
      </c>
      <c r="E38" s="5">
        <v>3.7499999999999999E-3</v>
      </c>
      <c r="F38" s="5">
        <v>5.0000000000000001E-3</v>
      </c>
      <c r="G38" s="5">
        <v>1.8749999999999999E-3</v>
      </c>
      <c r="H38" s="5">
        <v>1.8749999999999999E-3</v>
      </c>
      <c r="I38" s="5">
        <v>2.5000000000000001E-3</v>
      </c>
      <c r="J38" s="5">
        <v>8.25E-4</v>
      </c>
      <c r="K38" s="5">
        <v>8.25E-4</v>
      </c>
      <c r="L38" s="5">
        <v>1.25E-3</v>
      </c>
      <c r="M38" s="5">
        <f>D38*(1+in_gen!$C$44*$C38)</f>
        <v>3.8999999999999998E-3</v>
      </c>
      <c r="N38" s="5">
        <f>E38*(1+in_gen!$C$44*$C38)</f>
        <v>3.8999999999999998E-3</v>
      </c>
      <c r="O38" s="5">
        <f>F38*(1+in_gen!$C$44*$C38)</f>
        <v>5.2000000000000006E-3</v>
      </c>
      <c r="P38" s="5">
        <f>G38*(1+in_gen!$C$44*$C38)</f>
        <v>1.9499999999999999E-3</v>
      </c>
      <c r="Q38" s="5">
        <f>H38*(1+in_gen!$C$44*$C38)</f>
        <v>1.9499999999999999E-3</v>
      </c>
      <c r="R38" s="5">
        <f>I38*(1+in_gen!$C$44*$C38)</f>
        <v>2.6000000000000003E-3</v>
      </c>
      <c r="S38" s="5">
        <f>J38*(1+in_gen!$C$44*$C38)</f>
        <v>8.5800000000000004E-4</v>
      </c>
      <c r="T38" s="5">
        <f>K38*(1+in_gen!$C$44*$C38)</f>
        <v>8.5800000000000004E-4</v>
      </c>
      <c r="U38" s="5">
        <f>L38*(1+in_gen!$C$44*$C38)</f>
        <v>1.3000000000000002E-3</v>
      </c>
      <c r="V38" s="5">
        <f>D38*(1+in_gen!$C$44*-$C38)</f>
        <v>3.5999999999999999E-3</v>
      </c>
      <c r="W38" s="5">
        <f>E38*(1+in_gen!$C$44*-$C38)</f>
        <v>3.5999999999999999E-3</v>
      </c>
      <c r="X38" s="5">
        <f>F38*(1+in_gen!$C$44*-$C38)</f>
        <v>4.7999999999999996E-3</v>
      </c>
      <c r="Y38" s="5">
        <f>G38*(1+in_gen!$C$44*-$C38)</f>
        <v>1.8E-3</v>
      </c>
      <c r="Z38" s="5">
        <f>H38*(1+in_gen!$C$44*-$C38)</f>
        <v>1.8E-3</v>
      </c>
      <c r="AA38" s="5">
        <f>I38*(1+in_gen!$C$44*-$C38)</f>
        <v>2.3999999999999998E-3</v>
      </c>
      <c r="AB38" s="5">
        <f>J38*(1+in_gen!$C$44*-$C38)</f>
        <v>7.9199999999999995E-4</v>
      </c>
      <c r="AC38" s="5">
        <f>K38*(1+in_gen!$C$44*-$C38)</f>
        <v>7.9199999999999995E-4</v>
      </c>
      <c r="AD38" s="5">
        <f>L38*(1+in_gen!$C$44*-$C38)</f>
        <v>1.1999999999999999E-3</v>
      </c>
    </row>
    <row r="39" spans="1:30" ht="15.75" customHeight="1">
      <c r="A39" s="7" t="s">
        <v>53</v>
      </c>
      <c r="B39" s="11"/>
      <c r="C39" s="6">
        <v>1</v>
      </c>
      <c r="D39" s="11">
        <v>1.4999999999999999E-2</v>
      </c>
      <c r="E39" s="11">
        <v>1.4999999999999999E-2</v>
      </c>
      <c r="F39" s="11">
        <v>0.02</v>
      </c>
      <c r="G39" s="11">
        <v>7.4999999999999997E-3</v>
      </c>
      <c r="H39" s="11">
        <v>7.4999999999999997E-3</v>
      </c>
      <c r="I39" s="11">
        <v>0.01</v>
      </c>
      <c r="J39" s="11">
        <v>3.3E-3</v>
      </c>
      <c r="K39" s="11">
        <v>3.3E-3</v>
      </c>
      <c r="L39" s="11">
        <v>5.0000000000000001E-3</v>
      </c>
      <c r="M39" s="11">
        <f>D39*(1+in_gen!$C$44*$C39)</f>
        <v>1.5599999999999999E-2</v>
      </c>
      <c r="N39" s="11">
        <f>E39*(1+in_gen!$C$44*$C39)</f>
        <v>1.5599999999999999E-2</v>
      </c>
      <c r="O39" s="11">
        <f>F39*(1+in_gen!$C$44*$C39)</f>
        <v>2.0800000000000003E-2</v>
      </c>
      <c r="P39" s="11">
        <f>G39*(1+in_gen!$C$44*$C39)</f>
        <v>7.7999999999999996E-3</v>
      </c>
      <c r="Q39" s="11">
        <f>H39*(1+in_gen!$C$44*$C39)</f>
        <v>7.7999999999999996E-3</v>
      </c>
      <c r="R39" s="11">
        <f>I39*(1+in_gen!$C$44*$C39)</f>
        <v>1.0400000000000001E-2</v>
      </c>
      <c r="S39" s="11">
        <f>J39*(1+in_gen!$C$44*$C39)</f>
        <v>3.4320000000000002E-3</v>
      </c>
      <c r="T39" s="11">
        <f>K39*(1+in_gen!$C$44*$C39)</f>
        <v>3.4320000000000002E-3</v>
      </c>
      <c r="U39" s="11">
        <f>L39*(1+in_gen!$C$44*$C39)</f>
        <v>5.2000000000000006E-3</v>
      </c>
      <c r="V39" s="11">
        <f>D39*(1+in_gen!$C$44*-$C39)</f>
        <v>1.44E-2</v>
      </c>
      <c r="W39" s="11">
        <f>E39*(1+in_gen!$C$44*-$C39)</f>
        <v>1.44E-2</v>
      </c>
      <c r="X39" s="11">
        <f>F39*(1+in_gen!$C$44*-$C39)</f>
        <v>1.9199999999999998E-2</v>
      </c>
      <c r="Y39" s="11">
        <f>G39*(1+in_gen!$C$44*-$C39)</f>
        <v>7.1999999999999998E-3</v>
      </c>
      <c r="Z39" s="11">
        <f>H39*(1+in_gen!$C$44*-$C39)</f>
        <v>7.1999999999999998E-3</v>
      </c>
      <c r="AA39" s="11">
        <f>I39*(1+in_gen!$C$44*-$C39)</f>
        <v>9.5999999999999992E-3</v>
      </c>
      <c r="AB39" s="11">
        <f>J39*(1+in_gen!$C$44*-$C39)</f>
        <v>3.1679999999999998E-3</v>
      </c>
      <c r="AC39" s="11">
        <f>K39*(1+in_gen!$C$44*-$C39)</f>
        <v>3.1679999999999998E-3</v>
      </c>
      <c r="AD39" s="11">
        <f>L39*(1+in_gen!$C$44*-$C39)</f>
        <v>4.7999999999999996E-3</v>
      </c>
    </row>
    <row r="40" spans="1:30" ht="15.75" customHeight="1">
      <c r="A40" s="7"/>
      <c r="B40" s="7"/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" t="s">
        <v>54</v>
      </c>
      <c r="B41" s="1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7" t="s">
        <v>55</v>
      </c>
      <c r="B42" s="7"/>
      <c r="C42" s="6">
        <v>-1</v>
      </c>
      <c r="D42" s="7">
        <v>898</v>
      </c>
      <c r="E42" s="7">
        <v>898</v>
      </c>
      <c r="F42" s="7">
        <v>898</v>
      </c>
      <c r="G42" s="7">
        <v>927</v>
      </c>
      <c r="H42" s="7">
        <v>927</v>
      </c>
      <c r="I42" s="7">
        <v>927</v>
      </c>
      <c r="J42" s="7">
        <v>1306</v>
      </c>
      <c r="K42" s="7">
        <v>1306</v>
      </c>
      <c r="L42" s="7">
        <v>1306</v>
      </c>
      <c r="M42" s="7">
        <f>D42*(1+in_gen!$C$44*$C42)</f>
        <v>862.07999999999993</v>
      </c>
      <c r="N42" s="7">
        <f>E42*(1+in_gen!$C$44*$C42)</f>
        <v>862.07999999999993</v>
      </c>
      <c r="O42" s="7">
        <f>F42*(1+in_gen!$C$44*$C42)</f>
        <v>862.07999999999993</v>
      </c>
      <c r="P42" s="7">
        <f>G42*(1+in_gen!$C$44*$C42)</f>
        <v>889.92</v>
      </c>
      <c r="Q42" s="7">
        <f>H42*(1+in_gen!$C$44*$C42)</f>
        <v>889.92</v>
      </c>
      <c r="R42" s="7">
        <f>I42*(1+in_gen!$C$44*$C42)</f>
        <v>889.92</v>
      </c>
      <c r="S42" s="7">
        <f>J42*(1+in_gen!$C$44*$C42)</f>
        <v>1253.76</v>
      </c>
      <c r="T42" s="7">
        <f>K42*(1+in_gen!$C$44*$C42)</f>
        <v>1253.76</v>
      </c>
      <c r="U42" s="7">
        <f>L42*(1+in_gen!$C$44*$C42)</f>
        <v>1253.76</v>
      </c>
      <c r="V42" s="7">
        <f>D42*(1+in_gen!$C$44*-$C42)</f>
        <v>933.92000000000007</v>
      </c>
      <c r="W42" s="7">
        <f>E42*(1+in_gen!$C$44*-$C42)</f>
        <v>933.92000000000007</v>
      </c>
      <c r="X42" s="7">
        <f>F42*(1+in_gen!$C$44*-$C42)</f>
        <v>933.92000000000007</v>
      </c>
      <c r="Y42" s="7">
        <f>G42*(1+in_gen!$C$44*-$C42)</f>
        <v>964.08</v>
      </c>
      <c r="Z42" s="7">
        <f>H42*(1+in_gen!$C$44*-$C42)</f>
        <v>964.08</v>
      </c>
      <c r="AA42" s="7">
        <f>I42*(1+in_gen!$C$44*-$C42)</f>
        <v>964.08</v>
      </c>
      <c r="AB42" s="7">
        <f>J42*(1+in_gen!$C$44*-$C42)</f>
        <v>1358.24</v>
      </c>
      <c r="AC42" s="7">
        <f>K42*(1+in_gen!$C$44*-$C42)</f>
        <v>1358.24</v>
      </c>
      <c r="AD42" s="7">
        <f>L42*(1+in_gen!$C$44*-$C42)</f>
        <v>1358.24</v>
      </c>
    </row>
    <row r="43" spans="1:30" ht="15.75" customHeight="1">
      <c r="A43" s="7"/>
      <c r="B43" s="7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7"/>
      <c r="B44" s="7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7"/>
      <c r="B45" s="7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7"/>
      <c r="B46" s="7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7"/>
      <c r="B47" s="7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7"/>
      <c r="B48" s="7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7"/>
      <c r="B49" s="7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7"/>
      <c r="B50" s="7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7"/>
      <c r="B51" s="7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7"/>
      <c r="B52" s="7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7"/>
      <c r="B53" s="7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7"/>
      <c r="B54" s="7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7"/>
      <c r="B55" s="7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7"/>
      <c r="B56" s="7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7"/>
      <c r="B57" s="7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7"/>
      <c r="B58" s="7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7"/>
      <c r="B59" s="7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7"/>
      <c r="B60" s="7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7"/>
      <c r="B61" s="7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7"/>
      <c r="B62" s="7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7"/>
      <c r="B63" s="7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7"/>
      <c r="B64" s="7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7"/>
      <c r="B65" s="7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7"/>
      <c r="B66" s="7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25.5" customWidth="1"/>
    <col min="2" max="2" width="11.375" customWidth="1"/>
    <col min="3" max="3" width="4.375" customWidth="1"/>
    <col min="4" max="4" width="2.625" customWidth="1"/>
    <col min="5" max="6" width="4.75" customWidth="1"/>
    <col min="7" max="7" width="129.75" customWidth="1"/>
    <col min="8" max="8" width="7.625" customWidth="1"/>
  </cols>
  <sheetData>
    <row r="1" spans="1:27">
      <c r="A1" s="1" t="s">
        <v>56</v>
      </c>
      <c r="B1" s="1" t="s">
        <v>57</v>
      </c>
      <c r="C1" s="1" t="s">
        <v>58</v>
      </c>
      <c r="D1" s="1" t="s">
        <v>9</v>
      </c>
      <c r="E1" s="1" t="s">
        <v>59</v>
      </c>
      <c r="F1" s="1" t="s">
        <v>60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7" t="s">
        <v>61</v>
      </c>
      <c r="B3" s="7" t="s">
        <v>62</v>
      </c>
      <c r="C3" s="7">
        <v>40</v>
      </c>
      <c r="D3" s="7">
        <v>1</v>
      </c>
      <c r="E3" s="7">
        <f t="shared" ref="E3:E26" si="0">$C3*(1+$C$44*D3)</f>
        <v>41.6</v>
      </c>
      <c r="F3" s="7">
        <f t="shared" ref="F3:F26" si="1">$C3*(1+$C$44*-D3)</f>
        <v>38.4</v>
      </c>
      <c r="G3" s="7" t="s">
        <v>63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>
      <c r="A4" s="7" t="s">
        <v>64</v>
      </c>
      <c r="B4" s="7" t="s">
        <v>65</v>
      </c>
      <c r="C4" s="7">
        <v>250</v>
      </c>
      <c r="D4" s="7">
        <v>1</v>
      </c>
      <c r="E4" s="7">
        <f t="shared" si="0"/>
        <v>260</v>
      </c>
      <c r="F4" s="7">
        <f t="shared" si="1"/>
        <v>240</v>
      </c>
      <c r="G4" s="7" t="s">
        <v>66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>
      <c r="A5" s="7" t="s">
        <v>67</v>
      </c>
      <c r="B5" s="7" t="s">
        <v>65</v>
      </c>
      <c r="C5" s="7">
        <v>90</v>
      </c>
      <c r="D5" s="7">
        <v>1</v>
      </c>
      <c r="E5" s="7">
        <f t="shared" si="0"/>
        <v>93.600000000000009</v>
      </c>
      <c r="F5" s="7">
        <f t="shared" si="1"/>
        <v>86.399999999999991</v>
      </c>
      <c r="G5" s="7" t="s">
        <v>68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>
      <c r="A6" s="7" t="s">
        <v>69</v>
      </c>
      <c r="B6" s="7" t="s">
        <v>70</v>
      </c>
      <c r="C6" s="7">
        <v>2</v>
      </c>
      <c r="D6" s="7">
        <v>1</v>
      </c>
      <c r="E6" s="7">
        <f t="shared" si="0"/>
        <v>2.08</v>
      </c>
      <c r="F6" s="7">
        <f t="shared" si="1"/>
        <v>1.92</v>
      </c>
      <c r="G6" s="7" t="s">
        <v>71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>
      <c r="A7" s="7" t="s">
        <v>72</v>
      </c>
      <c r="B7" s="7" t="s">
        <v>70</v>
      </c>
      <c r="C7" s="7">
        <v>5</v>
      </c>
      <c r="D7" s="7">
        <v>1</v>
      </c>
      <c r="E7" s="7">
        <f t="shared" si="0"/>
        <v>5.2</v>
      </c>
      <c r="F7" s="7">
        <f t="shared" si="1"/>
        <v>4.8</v>
      </c>
      <c r="G7" s="7" t="s">
        <v>73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>
      <c r="A8" s="7" t="s">
        <v>74</v>
      </c>
      <c r="B8" s="7" t="s">
        <v>75</v>
      </c>
      <c r="C8" s="7">
        <v>2</v>
      </c>
      <c r="D8" s="7">
        <v>1</v>
      </c>
      <c r="E8" s="7">
        <f t="shared" si="0"/>
        <v>2.08</v>
      </c>
      <c r="F8" s="7">
        <f t="shared" si="1"/>
        <v>1.92</v>
      </c>
      <c r="G8" s="7" t="s">
        <v>76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>
      <c r="A9" s="7" t="s">
        <v>77</v>
      </c>
      <c r="B9" s="7" t="s">
        <v>75</v>
      </c>
      <c r="C9" s="7">
        <v>80</v>
      </c>
      <c r="D9" s="7">
        <v>1</v>
      </c>
      <c r="E9" s="7">
        <f t="shared" si="0"/>
        <v>83.2</v>
      </c>
      <c r="F9" s="7">
        <f t="shared" si="1"/>
        <v>76.8</v>
      </c>
      <c r="G9" s="7" t="s">
        <v>78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>
      <c r="A10" s="7" t="s">
        <v>79</v>
      </c>
      <c r="B10" s="7" t="s">
        <v>75</v>
      </c>
      <c r="C10" s="7">
        <v>95</v>
      </c>
      <c r="D10" s="7">
        <v>1</v>
      </c>
      <c r="E10" s="7">
        <f t="shared" si="0"/>
        <v>98.8</v>
      </c>
      <c r="F10" s="7">
        <f t="shared" si="1"/>
        <v>91.2</v>
      </c>
      <c r="G10" s="7" t="s">
        <v>80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 s="7" t="s">
        <v>81</v>
      </c>
      <c r="B11" s="7" t="s">
        <v>75</v>
      </c>
      <c r="C11" s="7">
        <v>150</v>
      </c>
      <c r="D11" s="7">
        <v>1</v>
      </c>
      <c r="E11" s="7">
        <f t="shared" si="0"/>
        <v>156</v>
      </c>
      <c r="F11" s="7">
        <f t="shared" si="1"/>
        <v>144</v>
      </c>
      <c r="G11" s="7" t="s">
        <v>82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7" t="s">
        <v>83</v>
      </c>
      <c r="B12" s="7" t="s">
        <v>75</v>
      </c>
      <c r="C12" s="7">
        <v>50</v>
      </c>
      <c r="D12" s="7">
        <v>1</v>
      </c>
      <c r="E12" s="7">
        <f t="shared" si="0"/>
        <v>52</v>
      </c>
      <c r="F12" s="7">
        <f t="shared" si="1"/>
        <v>48</v>
      </c>
      <c r="G12" s="7" t="s">
        <v>84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7" t="s">
        <v>85</v>
      </c>
      <c r="B13" s="7" t="s">
        <v>86</v>
      </c>
      <c r="C13" s="7">
        <v>12000</v>
      </c>
      <c r="D13" s="7">
        <v>1</v>
      </c>
      <c r="E13" s="7">
        <f t="shared" si="0"/>
        <v>12480</v>
      </c>
      <c r="F13" s="7">
        <f t="shared" si="1"/>
        <v>11520</v>
      </c>
      <c r="G13" s="7" t="s">
        <v>87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7" t="s">
        <v>88</v>
      </c>
      <c r="B14" s="7" t="s">
        <v>86</v>
      </c>
      <c r="C14" s="7">
        <v>5000</v>
      </c>
      <c r="D14" s="7">
        <v>1</v>
      </c>
      <c r="E14" s="7">
        <f t="shared" si="0"/>
        <v>5200</v>
      </c>
      <c r="F14" s="7">
        <f t="shared" si="1"/>
        <v>4800</v>
      </c>
      <c r="G14" s="7" t="s">
        <v>89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7" t="s">
        <v>90</v>
      </c>
      <c r="B15" s="7" t="s">
        <v>86</v>
      </c>
      <c r="C15" s="7">
        <v>2500</v>
      </c>
      <c r="D15" s="7">
        <v>1</v>
      </c>
      <c r="E15" s="7">
        <f t="shared" si="0"/>
        <v>2600</v>
      </c>
      <c r="F15" s="7">
        <f t="shared" si="1"/>
        <v>2400</v>
      </c>
      <c r="G15" s="7" t="s">
        <v>91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7" t="s">
        <v>92</v>
      </c>
      <c r="B16" s="7" t="s">
        <v>86</v>
      </c>
      <c r="C16" s="7">
        <v>1500</v>
      </c>
      <c r="D16" s="7">
        <v>1</v>
      </c>
      <c r="E16" s="7">
        <f t="shared" si="0"/>
        <v>1560</v>
      </c>
      <c r="F16" s="7">
        <f t="shared" si="1"/>
        <v>1440</v>
      </c>
      <c r="G16" s="7" t="s">
        <v>93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7" t="s">
        <v>94</v>
      </c>
      <c r="B17" s="7" t="s">
        <v>86</v>
      </c>
      <c r="C17" s="7">
        <v>2000</v>
      </c>
      <c r="D17" s="7">
        <v>1</v>
      </c>
      <c r="E17" s="7">
        <f t="shared" si="0"/>
        <v>2080</v>
      </c>
      <c r="F17" s="7">
        <f t="shared" si="1"/>
        <v>1920</v>
      </c>
      <c r="G17" s="7" t="s">
        <v>95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7" t="s">
        <v>96</v>
      </c>
      <c r="B18" s="7" t="s">
        <v>86</v>
      </c>
      <c r="C18" s="7">
        <v>3000</v>
      </c>
      <c r="D18" s="7">
        <v>1</v>
      </c>
      <c r="E18" s="7">
        <f t="shared" si="0"/>
        <v>3120</v>
      </c>
      <c r="F18" s="7">
        <f t="shared" si="1"/>
        <v>2880</v>
      </c>
      <c r="G18" s="7" t="s">
        <v>97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7" t="s">
        <v>98</v>
      </c>
      <c r="B19" s="7" t="s">
        <v>86</v>
      </c>
      <c r="C19" s="7">
        <v>3000</v>
      </c>
      <c r="D19" s="7">
        <v>1</v>
      </c>
      <c r="E19" s="7">
        <f t="shared" si="0"/>
        <v>3120</v>
      </c>
      <c r="F19" s="7">
        <f t="shared" si="1"/>
        <v>2880</v>
      </c>
      <c r="G19" s="7" t="s">
        <v>99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7" t="s">
        <v>100</v>
      </c>
      <c r="B20" s="7" t="s">
        <v>86</v>
      </c>
      <c r="C20" s="7">
        <v>7000</v>
      </c>
      <c r="D20" s="7">
        <v>1</v>
      </c>
      <c r="E20" s="7">
        <f t="shared" si="0"/>
        <v>7280</v>
      </c>
      <c r="F20" s="7">
        <f t="shared" si="1"/>
        <v>6720</v>
      </c>
      <c r="G20" s="7" t="s">
        <v>101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7" t="s">
        <v>102</v>
      </c>
      <c r="B21" s="7" t="s">
        <v>86</v>
      </c>
      <c r="C21" s="7">
        <v>3000</v>
      </c>
      <c r="D21" s="7">
        <v>1</v>
      </c>
      <c r="E21" s="7">
        <f t="shared" si="0"/>
        <v>3120</v>
      </c>
      <c r="F21" s="7">
        <f t="shared" si="1"/>
        <v>2880</v>
      </c>
      <c r="G21" s="7" t="s">
        <v>103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7" t="s">
        <v>104</v>
      </c>
      <c r="B22" s="7" t="s">
        <v>105</v>
      </c>
      <c r="C22" s="7">
        <v>1230</v>
      </c>
      <c r="D22" s="7">
        <v>1</v>
      </c>
      <c r="E22" s="7">
        <f t="shared" si="0"/>
        <v>1279.2</v>
      </c>
      <c r="F22" s="7">
        <f t="shared" si="1"/>
        <v>1180.8</v>
      </c>
      <c r="G22" s="7" t="s">
        <v>106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7" t="s">
        <v>107</v>
      </c>
      <c r="B23" s="7" t="s">
        <v>105</v>
      </c>
      <c r="C23" s="7">
        <v>3000</v>
      </c>
      <c r="D23" s="7">
        <v>1</v>
      </c>
      <c r="E23" s="7">
        <f t="shared" si="0"/>
        <v>3120</v>
      </c>
      <c r="F23" s="7">
        <f t="shared" si="1"/>
        <v>2880</v>
      </c>
      <c r="G23" s="7" t="s">
        <v>108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7" t="s">
        <v>109</v>
      </c>
      <c r="B24" s="7" t="s">
        <v>105</v>
      </c>
      <c r="C24" s="7">
        <v>2000</v>
      </c>
      <c r="D24" s="7">
        <v>1</v>
      </c>
      <c r="E24" s="7">
        <f t="shared" si="0"/>
        <v>2080</v>
      </c>
      <c r="F24" s="7">
        <f t="shared" si="1"/>
        <v>1920</v>
      </c>
      <c r="G24" s="7" t="s">
        <v>110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7" t="s">
        <v>111</v>
      </c>
      <c r="B25" s="7" t="s">
        <v>105</v>
      </c>
      <c r="C25" s="7">
        <v>3000</v>
      </c>
      <c r="D25" s="7">
        <v>1</v>
      </c>
      <c r="E25" s="7">
        <f t="shared" si="0"/>
        <v>3120</v>
      </c>
      <c r="F25" s="7">
        <f t="shared" si="1"/>
        <v>2880</v>
      </c>
      <c r="G25" s="7" t="s">
        <v>112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7" t="s">
        <v>113</v>
      </c>
      <c r="B26" s="7" t="s">
        <v>114</v>
      </c>
      <c r="C26" s="7">
        <v>0.12</v>
      </c>
      <c r="D26" s="7">
        <v>1</v>
      </c>
      <c r="E26" s="7">
        <f t="shared" si="0"/>
        <v>0.12479999999999999</v>
      </c>
      <c r="F26" s="7">
        <f t="shared" si="1"/>
        <v>0.1152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" t="s">
        <v>115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7" t="s">
        <v>116</v>
      </c>
      <c r="B29" s="7" t="s">
        <v>117</v>
      </c>
      <c r="C29" s="7">
        <v>400</v>
      </c>
      <c r="D29" s="7">
        <v>0</v>
      </c>
      <c r="E29" s="7">
        <f t="shared" ref="E29:E30" si="2">$C29*(1+$C$44*D29)</f>
        <v>400</v>
      </c>
      <c r="F29" s="7">
        <f t="shared" ref="F29:F30" si="3">$C29*(1+$C$44*-D29)</f>
        <v>400</v>
      </c>
      <c r="G29" s="7" t="s">
        <v>118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7" t="s">
        <v>119</v>
      </c>
      <c r="B30" s="7"/>
      <c r="C30" s="7">
        <v>2</v>
      </c>
      <c r="D30" s="7">
        <v>0</v>
      </c>
      <c r="E30" s="7">
        <f t="shared" si="2"/>
        <v>2</v>
      </c>
      <c r="F30" s="7">
        <f t="shared" si="3"/>
        <v>2</v>
      </c>
      <c r="G30" s="7" t="s">
        <v>120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" t="s">
        <v>45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7" t="s">
        <v>121</v>
      </c>
      <c r="B33" s="7" t="s">
        <v>122</v>
      </c>
      <c r="C33" s="7">
        <v>4</v>
      </c>
      <c r="D33" s="7">
        <v>0</v>
      </c>
      <c r="E33" s="7">
        <f t="shared" ref="E33:E39" si="4">$C33*(1+$C$44*D33)</f>
        <v>4</v>
      </c>
      <c r="F33" s="7">
        <f t="shared" ref="F33:F39" si="5">$C33*(1+$C$44*-D33)</f>
        <v>4</v>
      </c>
      <c r="G33" s="7" t="s">
        <v>123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7" t="s">
        <v>124</v>
      </c>
      <c r="B34" s="7" t="s">
        <v>125</v>
      </c>
      <c r="C34" s="7">
        <v>30</v>
      </c>
      <c r="D34" s="7">
        <v>0</v>
      </c>
      <c r="E34" s="7">
        <f t="shared" si="4"/>
        <v>30</v>
      </c>
      <c r="F34" s="7">
        <f t="shared" si="5"/>
        <v>30</v>
      </c>
      <c r="G34" s="7" t="s">
        <v>126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7" t="s">
        <v>127</v>
      </c>
      <c r="B35" s="7" t="s">
        <v>125</v>
      </c>
      <c r="C35" s="7">
        <v>300</v>
      </c>
      <c r="D35" s="7">
        <v>0</v>
      </c>
      <c r="E35" s="7">
        <f t="shared" si="4"/>
        <v>300</v>
      </c>
      <c r="F35" s="7">
        <f t="shared" si="5"/>
        <v>300</v>
      </c>
      <c r="G35" s="7" t="s">
        <v>128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7" t="s">
        <v>129</v>
      </c>
      <c r="B36" s="7" t="s">
        <v>130</v>
      </c>
      <c r="C36" s="7">
        <v>1303</v>
      </c>
      <c r="D36" s="7">
        <v>0</v>
      </c>
      <c r="E36" s="7">
        <f t="shared" si="4"/>
        <v>1303</v>
      </c>
      <c r="F36" s="7">
        <f t="shared" si="5"/>
        <v>1303</v>
      </c>
      <c r="G36" s="7" t="s">
        <v>131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7" t="s">
        <v>132</v>
      </c>
      <c r="B37" s="7" t="s">
        <v>130</v>
      </c>
      <c r="C37" s="7">
        <v>2384</v>
      </c>
      <c r="D37" s="7">
        <v>0</v>
      </c>
      <c r="E37" s="7">
        <f t="shared" si="4"/>
        <v>2384</v>
      </c>
      <c r="F37" s="7">
        <f t="shared" si="5"/>
        <v>2384</v>
      </c>
      <c r="G37" s="7" t="s">
        <v>133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7" t="s">
        <v>134</v>
      </c>
      <c r="B38" s="7" t="s">
        <v>130</v>
      </c>
      <c r="C38" s="7">
        <v>150</v>
      </c>
      <c r="D38" s="7">
        <v>0</v>
      </c>
      <c r="E38" s="7">
        <f t="shared" si="4"/>
        <v>150</v>
      </c>
      <c r="F38" s="7">
        <f t="shared" si="5"/>
        <v>150</v>
      </c>
      <c r="G38" s="7" t="s">
        <v>135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7" t="s">
        <v>136</v>
      </c>
      <c r="B39" s="7" t="s">
        <v>125</v>
      </c>
      <c r="C39" s="7">
        <v>5</v>
      </c>
      <c r="D39" s="7">
        <v>0</v>
      </c>
      <c r="E39" s="7">
        <f t="shared" si="4"/>
        <v>5</v>
      </c>
      <c r="F39" s="7">
        <f t="shared" si="5"/>
        <v>5</v>
      </c>
      <c r="G39" s="7" t="s">
        <v>137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" t="s">
        <v>51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7" t="s">
        <v>138</v>
      </c>
      <c r="B42" s="7" t="s">
        <v>139</v>
      </c>
      <c r="C42" s="5">
        <v>8.5000000000000006E-2</v>
      </c>
      <c r="D42" s="7">
        <v>1</v>
      </c>
      <c r="E42" s="5">
        <f t="shared" ref="E42:E44" si="6">$C42*(1+$C$44*D42)</f>
        <v>8.8400000000000006E-2</v>
      </c>
      <c r="F42" s="5">
        <f t="shared" ref="F42:F44" si="7">$C42*(1+$C$44*-D42)</f>
        <v>8.1600000000000006E-2</v>
      </c>
      <c r="G42" s="7" t="s">
        <v>140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7" t="s">
        <v>141</v>
      </c>
      <c r="B43" s="7" t="s">
        <v>139</v>
      </c>
      <c r="C43" s="11">
        <v>0.08</v>
      </c>
      <c r="D43" s="7">
        <v>-1</v>
      </c>
      <c r="E43" s="11">
        <f t="shared" si="6"/>
        <v>7.6799999999999993E-2</v>
      </c>
      <c r="F43" s="11">
        <f t="shared" si="7"/>
        <v>8.320000000000001E-2</v>
      </c>
      <c r="G43" s="7" t="s">
        <v>142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7" t="s">
        <v>143</v>
      </c>
      <c r="B44" s="7" t="s">
        <v>139</v>
      </c>
      <c r="C44" s="11">
        <v>0.04</v>
      </c>
      <c r="D44" s="7">
        <v>0</v>
      </c>
      <c r="E44" s="11">
        <f t="shared" si="6"/>
        <v>0.04</v>
      </c>
      <c r="F44" s="11">
        <f t="shared" si="7"/>
        <v>0.04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" t="s">
        <v>144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7" t="s">
        <v>145</v>
      </c>
      <c r="B47" s="7" t="s">
        <v>146</v>
      </c>
      <c r="C47" s="7">
        <v>730</v>
      </c>
      <c r="D47" s="7">
        <v>0</v>
      </c>
      <c r="E47" s="7">
        <f>$C47*(1+$C$44*D47)</f>
        <v>730</v>
      </c>
      <c r="F47" s="7">
        <f>$C47*(1+$C$44*-D47)</f>
        <v>730</v>
      </c>
      <c r="G47" s="7" t="s">
        <v>147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" t="s">
        <v>148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7" t="s">
        <v>149</v>
      </c>
      <c r="B50" s="7" t="s">
        <v>150</v>
      </c>
      <c r="C50" s="7">
        <v>4</v>
      </c>
      <c r="D50" s="7">
        <v>1</v>
      </c>
      <c r="E50" s="7">
        <f t="shared" ref="E50:E51" si="8">$C50*(1+$C$44*D50)</f>
        <v>4.16</v>
      </c>
      <c r="F50" s="7">
        <f t="shared" ref="F50:F51" si="9">$C50*(1+$C$44*-D50)</f>
        <v>3.84</v>
      </c>
      <c r="G50" s="7" t="s">
        <v>151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7" t="s">
        <v>152</v>
      </c>
      <c r="B51" s="7" t="s">
        <v>153</v>
      </c>
      <c r="C51" s="7">
        <v>25</v>
      </c>
      <c r="D51" s="7">
        <v>-1</v>
      </c>
      <c r="E51" s="7">
        <f t="shared" si="8"/>
        <v>24</v>
      </c>
      <c r="F51" s="7">
        <f t="shared" si="9"/>
        <v>26</v>
      </c>
      <c r="G51" s="7" t="s">
        <v>154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7"/>
      <c r="B63" s="7"/>
      <c r="C63" s="7"/>
      <c r="D63" s="7"/>
      <c r="E63" s="7"/>
      <c r="F63" s="7"/>
      <c r="G63" s="1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8"/>
      <c r="B252" s="8"/>
      <c r="C252" s="8"/>
      <c r="D252" s="8"/>
      <c r="E252" s="8"/>
      <c r="F252" s="8"/>
      <c r="G252" s="8"/>
      <c r="H252" s="8"/>
    </row>
    <row r="253" spans="1:27" ht="15.75" customHeight="1">
      <c r="A253" s="8"/>
      <c r="B253" s="8"/>
      <c r="C253" s="8"/>
      <c r="D253" s="8"/>
      <c r="E253" s="8"/>
      <c r="F253" s="8"/>
      <c r="G253" s="8"/>
      <c r="H253" s="8"/>
    </row>
    <row r="254" spans="1:27" ht="15.75" customHeight="1">
      <c r="A254" s="8"/>
      <c r="B254" s="8"/>
      <c r="C254" s="8"/>
      <c r="D254" s="8"/>
      <c r="E254" s="8"/>
      <c r="F254" s="8"/>
      <c r="G254" s="8"/>
      <c r="H254" s="8"/>
    </row>
    <row r="255" spans="1:27" ht="15.75" customHeight="1">
      <c r="A255" s="8"/>
      <c r="B255" s="8"/>
      <c r="C255" s="8"/>
      <c r="D255" s="8"/>
      <c r="E255" s="8"/>
      <c r="F255" s="8"/>
      <c r="G255" s="8"/>
      <c r="H255" s="8"/>
    </row>
    <row r="256" spans="1:27" ht="15.75" customHeight="1">
      <c r="A256" s="8"/>
      <c r="B256" s="8"/>
      <c r="C256" s="8"/>
      <c r="D256" s="8"/>
      <c r="E256" s="8"/>
      <c r="F256" s="8"/>
      <c r="G256" s="8"/>
      <c r="H256" s="8"/>
    </row>
    <row r="257" spans="1:8" ht="15.75" customHeight="1">
      <c r="A257" s="8"/>
      <c r="B257" s="8"/>
      <c r="C257" s="8"/>
      <c r="D257" s="8"/>
      <c r="E257" s="8"/>
      <c r="F257" s="8"/>
      <c r="G257" s="8"/>
      <c r="H257" s="8"/>
    </row>
    <row r="258" spans="1:8" ht="15.75" customHeight="1">
      <c r="A258" s="8"/>
      <c r="B258" s="8"/>
      <c r="C258" s="8"/>
      <c r="D258" s="8"/>
      <c r="E258" s="8"/>
      <c r="F258" s="8"/>
      <c r="G258" s="8"/>
      <c r="H258" s="8"/>
    </row>
    <row r="259" spans="1:8" ht="15.75" customHeight="1">
      <c r="A259" s="8"/>
      <c r="B259" s="8"/>
      <c r="C259" s="8"/>
      <c r="D259" s="8"/>
      <c r="E259" s="8"/>
      <c r="F259" s="8"/>
      <c r="G259" s="8"/>
      <c r="H259" s="8"/>
    </row>
    <row r="260" spans="1:8" ht="15.75" customHeight="1">
      <c r="A260" s="8"/>
      <c r="B260" s="8"/>
      <c r="C260" s="8"/>
      <c r="D260" s="8"/>
      <c r="E260" s="8"/>
      <c r="F260" s="8"/>
      <c r="G260" s="8"/>
      <c r="H260" s="8"/>
    </row>
    <row r="261" spans="1:8" ht="15.75" customHeight="1">
      <c r="A261" s="8"/>
      <c r="B261" s="8"/>
      <c r="C261" s="8"/>
      <c r="D261" s="8"/>
      <c r="E261" s="8"/>
      <c r="F261" s="8"/>
      <c r="G261" s="8"/>
      <c r="H261" s="8"/>
    </row>
    <row r="262" spans="1:8" ht="15.75" customHeight="1">
      <c r="A262" s="8"/>
      <c r="B262" s="8"/>
      <c r="C262" s="8"/>
      <c r="D262" s="8"/>
      <c r="E262" s="8"/>
      <c r="F262" s="8"/>
      <c r="G262" s="8"/>
      <c r="H262" s="8"/>
    </row>
    <row r="263" spans="1:8" ht="15.75" customHeight="1">
      <c r="A263" s="8"/>
      <c r="B263" s="8"/>
      <c r="C263" s="8"/>
      <c r="D263" s="8"/>
      <c r="E263" s="8"/>
      <c r="F263" s="8"/>
      <c r="G263" s="8"/>
      <c r="H263" s="8"/>
    </row>
    <row r="264" spans="1:8" ht="15.75" customHeight="1">
      <c r="A264" s="8"/>
      <c r="B264" s="8"/>
      <c r="C264" s="8"/>
      <c r="D264" s="8"/>
      <c r="E264" s="8"/>
      <c r="F264" s="8"/>
      <c r="G264" s="8"/>
      <c r="H264" s="8"/>
    </row>
    <row r="265" spans="1:8" ht="15.75" customHeight="1">
      <c r="A265" s="8"/>
      <c r="B265" s="8"/>
      <c r="C265" s="8"/>
      <c r="D265" s="8"/>
      <c r="E265" s="8"/>
      <c r="F265" s="8"/>
      <c r="G265" s="8"/>
      <c r="H265" s="8"/>
    </row>
    <row r="266" spans="1:8" ht="15.75" customHeight="1">
      <c r="A266" s="8"/>
      <c r="B266" s="8"/>
      <c r="C266" s="8"/>
      <c r="D266" s="8"/>
      <c r="E266" s="8"/>
      <c r="F266" s="8"/>
      <c r="G266" s="8"/>
      <c r="H266" s="8"/>
    </row>
    <row r="267" spans="1:8" ht="15.75" customHeight="1">
      <c r="A267" s="8"/>
      <c r="B267" s="8"/>
      <c r="C267" s="8"/>
      <c r="D267" s="8"/>
      <c r="E267" s="8"/>
      <c r="F267" s="8"/>
      <c r="G267" s="8"/>
      <c r="H267" s="8"/>
    </row>
    <row r="268" spans="1:8" ht="15.75" customHeight="1">
      <c r="A268" s="8"/>
      <c r="B268" s="8"/>
      <c r="C268" s="8"/>
      <c r="D268" s="8"/>
      <c r="E268" s="8"/>
      <c r="F268" s="8"/>
      <c r="G268" s="8"/>
      <c r="H268" s="8"/>
    </row>
    <row r="269" spans="1:8" ht="15.75" customHeight="1">
      <c r="A269" s="8"/>
      <c r="B269" s="8"/>
      <c r="C269" s="8"/>
      <c r="D269" s="8"/>
      <c r="E269" s="8"/>
      <c r="F269" s="8"/>
      <c r="G269" s="8"/>
      <c r="H269" s="8"/>
    </row>
    <row r="270" spans="1:8" ht="15.75" customHeight="1">
      <c r="A270" s="8"/>
      <c r="B270" s="8"/>
      <c r="C270" s="8"/>
      <c r="D270" s="8"/>
      <c r="E270" s="8"/>
      <c r="F270" s="8"/>
      <c r="G270" s="8"/>
      <c r="H270" s="8"/>
    </row>
    <row r="271" spans="1:8" ht="15.75" customHeight="1">
      <c r="A271" s="8"/>
      <c r="B271" s="8"/>
      <c r="C271" s="8"/>
      <c r="D271" s="8"/>
      <c r="E271" s="8"/>
      <c r="F271" s="8"/>
      <c r="G271" s="8"/>
      <c r="H271" s="8"/>
    </row>
    <row r="272" spans="1:8" ht="15.75" customHeight="1">
      <c r="A272" s="8"/>
      <c r="B272" s="8"/>
      <c r="C272" s="8"/>
      <c r="D272" s="8"/>
      <c r="E272" s="8"/>
      <c r="F272" s="8"/>
      <c r="G272" s="8"/>
      <c r="H272" s="8"/>
    </row>
    <row r="273" spans="1:8" ht="15.75" customHeight="1">
      <c r="A273" s="8"/>
      <c r="B273" s="8"/>
      <c r="C273" s="8"/>
      <c r="D273" s="8"/>
      <c r="E273" s="8"/>
      <c r="F273" s="8"/>
      <c r="G273" s="8"/>
      <c r="H273" s="8"/>
    </row>
    <row r="274" spans="1:8" ht="15.75" customHeight="1">
      <c r="A274" s="8"/>
      <c r="B274" s="8"/>
      <c r="C274" s="8"/>
      <c r="D274" s="8"/>
      <c r="E274" s="8"/>
      <c r="F274" s="8"/>
      <c r="G274" s="8"/>
      <c r="H274" s="8"/>
    </row>
    <row r="275" spans="1:8" ht="15.75" customHeight="1">
      <c r="A275" s="8"/>
      <c r="B275" s="8"/>
      <c r="C275" s="8"/>
      <c r="D275" s="8"/>
      <c r="E275" s="8"/>
      <c r="F275" s="8"/>
      <c r="G275" s="8"/>
      <c r="H275" s="8"/>
    </row>
    <row r="276" spans="1:8" ht="15.75" customHeight="1">
      <c r="A276" s="8"/>
      <c r="B276" s="8"/>
      <c r="C276" s="8"/>
      <c r="D276" s="8"/>
      <c r="E276" s="8"/>
      <c r="F276" s="8"/>
      <c r="G276" s="8"/>
      <c r="H276" s="8"/>
    </row>
    <row r="277" spans="1:8" ht="15.75" customHeight="1">
      <c r="A277" s="8"/>
      <c r="B277" s="8"/>
      <c r="C277" s="8"/>
      <c r="D277" s="8"/>
      <c r="E277" s="8"/>
      <c r="F277" s="8"/>
      <c r="G277" s="8"/>
      <c r="H277" s="8"/>
    </row>
    <row r="278" spans="1:8" ht="15.75" customHeight="1">
      <c r="A278" s="8"/>
      <c r="B278" s="8"/>
      <c r="C278" s="8"/>
      <c r="D278" s="8"/>
      <c r="E278" s="8"/>
      <c r="F278" s="8"/>
      <c r="G278" s="8"/>
      <c r="H278" s="8"/>
    </row>
    <row r="279" spans="1:8" ht="15.75" customHeight="1">
      <c r="A279" s="8"/>
      <c r="B279" s="8"/>
      <c r="C279" s="8"/>
      <c r="D279" s="8"/>
      <c r="E279" s="8"/>
      <c r="F279" s="8"/>
      <c r="G279" s="8"/>
      <c r="H279" s="8"/>
    </row>
    <row r="280" spans="1:8" ht="15.75" customHeight="1">
      <c r="A280" s="8"/>
      <c r="B280" s="8"/>
      <c r="C280" s="8"/>
      <c r="D280" s="8"/>
      <c r="E280" s="8"/>
      <c r="F280" s="8"/>
      <c r="G280" s="8"/>
      <c r="H280" s="8"/>
    </row>
    <row r="281" spans="1:8" ht="15.75" customHeight="1">
      <c r="A281" s="8"/>
      <c r="B281" s="8"/>
      <c r="C281" s="8"/>
      <c r="D281" s="8"/>
      <c r="E281" s="8"/>
      <c r="F281" s="8"/>
      <c r="G281" s="8"/>
      <c r="H281" s="8"/>
    </row>
    <row r="282" spans="1:8" ht="15.75" customHeight="1">
      <c r="A282" s="8"/>
      <c r="B282" s="8"/>
      <c r="C282" s="8"/>
      <c r="D282" s="8"/>
      <c r="E282" s="8"/>
      <c r="F282" s="8"/>
      <c r="G282" s="8"/>
      <c r="H282" s="8"/>
    </row>
    <row r="283" spans="1:8" ht="15.75" customHeight="1">
      <c r="A283" s="8"/>
      <c r="B283" s="8"/>
      <c r="C283" s="8"/>
      <c r="D283" s="8"/>
      <c r="E283" s="8"/>
      <c r="F283" s="8"/>
      <c r="G283" s="8"/>
      <c r="H283" s="8"/>
    </row>
    <row r="284" spans="1:8" ht="15.75" customHeight="1">
      <c r="A284" s="8"/>
      <c r="B284" s="8"/>
      <c r="C284" s="8"/>
      <c r="D284" s="8"/>
      <c r="E284" s="8"/>
      <c r="F284" s="8"/>
      <c r="G284" s="8"/>
      <c r="H284" s="8"/>
    </row>
    <row r="285" spans="1:8" ht="15.75" customHeight="1">
      <c r="A285" s="8"/>
      <c r="B285" s="8"/>
      <c r="C285" s="8"/>
      <c r="D285" s="8"/>
      <c r="E285" s="8"/>
      <c r="F285" s="8"/>
      <c r="G285" s="8"/>
      <c r="H285" s="8"/>
    </row>
    <row r="286" spans="1:8" ht="15.75" customHeight="1">
      <c r="A286" s="8"/>
      <c r="B286" s="8"/>
      <c r="C286" s="8"/>
      <c r="D286" s="8"/>
      <c r="E286" s="8"/>
      <c r="F286" s="8"/>
      <c r="G286" s="8"/>
      <c r="H286" s="8"/>
    </row>
    <row r="287" spans="1:8" ht="15.75" customHeight="1">
      <c r="A287" s="8"/>
      <c r="B287" s="8"/>
      <c r="C287" s="8"/>
      <c r="D287" s="8"/>
      <c r="E287" s="8"/>
      <c r="F287" s="8"/>
      <c r="G287" s="8"/>
      <c r="H287" s="8"/>
    </row>
    <row r="288" spans="1:8" ht="15.75" customHeight="1">
      <c r="A288" s="8"/>
      <c r="B288" s="8"/>
      <c r="C288" s="8"/>
      <c r="D288" s="8"/>
      <c r="E288" s="8"/>
      <c r="F288" s="8"/>
      <c r="G288" s="8"/>
      <c r="H288" s="8"/>
    </row>
    <row r="289" spans="1:8" ht="15.75" customHeight="1">
      <c r="A289" s="8"/>
      <c r="B289" s="8"/>
      <c r="C289" s="8"/>
      <c r="D289" s="8"/>
      <c r="E289" s="8"/>
      <c r="F289" s="8"/>
      <c r="G289" s="8"/>
      <c r="H289" s="8"/>
    </row>
    <row r="290" spans="1:8" ht="15.75" customHeight="1">
      <c r="A290" s="8"/>
      <c r="B290" s="8"/>
      <c r="C290" s="8"/>
      <c r="D290" s="8"/>
      <c r="E290" s="8"/>
      <c r="F290" s="8"/>
      <c r="G290" s="8"/>
      <c r="H290" s="8"/>
    </row>
    <row r="291" spans="1:8" ht="15.75" customHeight="1">
      <c r="A291" s="8"/>
      <c r="B291" s="8"/>
      <c r="C291" s="8"/>
      <c r="D291" s="8"/>
      <c r="E291" s="8"/>
      <c r="F291" s="8"/>
      <c r="G291" s="8"/>
      <c r="H291" s="8"/>
    </row>
    <row r="292" spans="1:8" ht="15.75" customHeight="1">
      <c r="A292" s="8"/>
      <c r="B292" s="8"/>
      <c r="C292" s="8"/>
      <c r="D292" s="8"/>
      <c r="E292" s="8"/>
      <c r="F292" s="8"/>
      <c r="G292" s="8"/>
      <c r="H292" s="8"/>
    </row>
    <row r="293" spans="1:8" ht="15.75" customHeight="1">
      <c r="A293" s="8"/>
      <c r="B293" s="8"/>
      <c r="C293" s="8"/>
      <c r="D293" s="8"/>
      <c r="E293" s="8"/>
      <c r="F293" s="8"/>
      <c r="G293" s="8"/>
      <c r="H293" s="8"/>
    </row>
    <row r="294" spans="1:8" ht="15.75" customHeight="1">
      <c r="A294" s="8"/>
      <c r="B294" s="8"/>
      <c r="C294" s="8"/>
      <c r="D294" s="8"/>
      <c r="E294" s="8"/>
      <c r="F294" s="8"/>
      <c r="G294" s="8"/>
      <c r="H294" s="8"/>
    </row>
    <row r="295" spans="1:8" ht="15.75" customHeight="1">
      <c r="A295" s="8"/>
      <c r="B295" s="8"/>
      <c r="C295" s="8"/>
      <c r="D295" s="8"/>
      <c r="E295" s="8"/>
      <c r="F295" s="8"/>
      <c r="G295" s="8"/>
      <c r="H295" s="8"/>
    </row>
    <row r="296" spans="1:8" ht="15.75" customHeight="1">
      <c r="A296" s="8"/>
      <c r="B296" s="8"/>
      <c r="C296" s="8"/>
      <c r="D296" s="8"/>
      <c r="E296" s="8"/>
      <c r="F296" s="8"/>
      <c r="G296" s="8"/>
      <c r="H296" s="8"/>
    </row>
    <row r="297" spans="1:8" ht="15.75" customHeight="1">
      <c r="A297" s="8"/>
      <c r="B297" s="8"/>
      <c r="C297" s="8"/>
      <c r="D297" s="8"/>
      <c r="E297" s="8"/>
      <c r="F297" s="8"/>
      <c r="G297" s="8"/>
      <c r="H297" s="8"/>
    </row>
    <row r="298" spans="1:8" ht="15.75" customHeight="1">
      <c r="A298" s="8"/>
      <c r="B298" s="8"/>
      <c r="C298" s="8"/>
      <c r="D298" s="8"/>
      <c r="E298" s="8"/>
      <c r="F298" s="8"/>
      <c r="G298" s="8"/>
      <c r="H298" s="8"/>
    </row>
    <row r="299" spans="1:8" ht="15.75" customHeight="1">
      <c r="A299" s="8"/>
      <c r="B299" s="8"/>
      <c r="C299" s="8"/>
      <c r="D299" s="8"/>
      <c r="E299" s="8"/>
      <c r="F299" s="8"/>
      <c r="G299" s="8"/>
      <c r="H299" s="8"/>
    </row>
    <row r="300" spans="1:8" ht="15.75" customHeight="1">
      <c r="A300" s="8"/>
      <c r="B300" s="8"/>
      <c r="C300" s="8"/>
      <c r="D300" s="8"/>
      <c r="E300" s="8"/>
      <c r="F300" s="8"/>
      <c r="G300" s="8"/>
      <c r="H300" s="8"/>
    </row>
    <row r="301" spans="1:8" ht="15.75" customHeight="1">
      <c r="A301" s="8"/>
      <c r="B301" s="8"/>
      <c r="C301" s="8"/>
      <c r="D301" s="8"/>
      <c r="E301" s="8"/>
      <c r="F301" s="8"/>
      <c r="G301" s="8"/>
      <c r="H301" s="8"/>
    </row>
    <row r="302" spans="1:8" ht="15.75" customHeight="1">
      <c r="A302" s="8"/>
      <c r="B302" s="8"/>
      <c r="C302" s="8"/>
      <c r="D302" s="8"/>
      <c r="E302" s="8"/>
      <c r="F302" s="8"/>
      <c r="G302" s="8"/>
      <c r="H302" s="8"/>
    </row>
    <row r="303" spans="1:8" ht="15.75" customHeight="1">
      <c r="A303" s="8"/>
      <c r="B303" s="8"/>
      <c r="C303" s="8"/>
      <c r="D303" s="8"/>
      <c r="E303" s="8"/>
      <c r="F303" s="8"/>
      <c r="G303" s="8"/>
      <c r="H303" s="8"/>
    </row>
    <row r="304" spans="1:8" ht="15.75" customHeight="1">
      <c r="A304" s="8"/>
      <c r="B304" s="8"/>
      <c r="C304" s="8"/>
      <c r="D304" s="8"/>
      <c r="E304" s="8"/>
      <c r="F304" s="8"/>
      <c r="G304" s="8"/>
      <c r="H304" s="8"/>
    </row>
    <row r="305" spans="1:8" ht="15.75" customHeight="1">
      <c r="A305" s="8"/>
      <c r="B305" s="8"/>
      <c r="C305" s="8"/>
      <c r="D305" s="8"/>
      <c r="E305" s="8"/>
      <c r="F305" s="8"/>
      <c r="G305" s="8"/>
      <c r="H305" s="8"/>
    </row>
    <row r="306" spans="1:8" ht="15.75" customHeight="1">
      <c r="A306" s="8"/>
      <c r="B306" s="8"/>
      <c r="C306" s="8"/>
      <c r="D306" s="8"/>
      <c r="E306" s="8"/>
      <c r="F306" s="8"/>
      <c r="G306" s="8"/>
      <c r="H306" s="8"/>
    </row>
    <row r="307" spans="1:8" ht="15.75" customHeight="1">
      <c r="A307" s="8"/>
      <c r="B307" s="8"/>
      <c r="C307" s="8"/>
      <c r="D307" s="8"/>
      <c r="E307" s="8"/>
      <c r="F307" s="8"/>
      <c r="G307" s="8"/>
      <c r="H307" s="8"/>
    </row>
    <row r="308" spans="1:8" ht="15.75" customHeight="1">
      <c r="A308" s="8"/>
      <c r="B308" s="8"/>
      <c r="C308" s="8"/>
      <c r="D308" s="8"/>
      <c r="E308" s="8"/>
      <c r="F308" s="8"/>
      <c r="G308" s="8"/>
      <c r="H308" s="8"/>
    </row>
    <row r="309" spans="1:8" ht="15.75" customHeight="1">
      <c r="A309" s="8"/>
      <c r="B309" s="8"/>
      <c r="C309" s="8"/>
      <c r="D309" s="8"/>
      <c r="E309" s="8"/>
      <c r="F309" s="8"/>
      <c r="G309" s="8"/>
      <c r="H309" s="8"/>
    </row>
    <row r="310" spans="1:8" ht="15.75" customHeight="1">
      <c r="A310" s="8"/>
      <c r="B310" s="8"/>
      <c r="C310" s="8"/>
      <c r="D310" s="8"/>
      <c r="E310" s="8"/>
      <c r="F310" s="8"/>
      <c r="G310" s="8"/>
      <c r="H310" s="8"/>
    </row>
    <row r="311" spans="1:8" ht="15.75" customHeight="1">
      <c r="A311" s="8"/>
      <c r="B311" s="8"/>
      <c r="C311" s="8"/>
      <c r="D311" s="8"/>
      <c r="E311" s="8"/>
      <c r="F311" s="8"/>
      <c r="G311" s="8"/>
      <c r="H311" s="8"/>
    </row>
    <row r="312" spans="1:8" ht="15.75" customHeight="1">
      <c r="A312" s="8"/>
      <c r="B312" s="8"/>
      <c r="C312" s="8"/>
      <c r="D312" s="8"/>
      <c r="E312" s="8"/>
      <c r="F312" s="8"/>
      <c r="G312" s="8"/>
      <c r="H312" s="8"/>
    </row>
    <row r="313" spans="1:8" ht="15.75" customHeight="1">
      <c r="A313" s="8"/>
      <c r="B313" s="8"/>
      <c r="C313" s="8"/>
      <c r="D313" s="8"/>
      <c r="E313" s="8"/>
      <c r="F313" s="8"/>
      <c r="G313" s="8"/>
      <c r="H313" s="8"/>
    </row>
    <row r="314" spans="1:8" ht="15.75" customHeight="1">
      <c r="A314" s="8"/>
      <c r="B314" s="8"/>
      <c r="C314" s="8"/>
      <c r="D314" s="8"/>
      <c r="E314" s="8"/>
      <c r="F314" s="8"/>
      <c r="G314" s="8"/>
      <c r="H314" s="8"/>
    </row>
    <row r="315" spans="1:8" ht="15.75" customHeight="1">
      <c r="A315" s="8"/>
      <c r="B315" s="8"/>
      <c r="C315" s="8"/>
      <c r="D315" s="8"/>
      <c r="E315" s="8"/>
      <c r="F315" s="8"/>
      <c r="G315" s="8"/>
      <c r="H315" s="8"/>
    </row>
    <row r="316" spans="1:8" ht="15.75" customHeight="1">
      <c r="A316" s="8"/>
      <c r="B316" s="8"/>
      <c r="C316" s="8"/>
      <c r="D316" s="8"/>
      <c r="E316" s="8"/>
      <c r="F316" s="8"/>
      <c r="G316" s="8"/>
      <c r="H316" s="8"/>
    </row>
    <row r="317" spans="1:8" ht="15.75" customHeight="1">
      <c r="A317" s="8"/>
      <c r="B317" s="8"/>
      <c r="C317" s="8"/>
      <c r="D317" s="8"/>
      <c r="E317" s="8"/>
      <c r="F317" s="8"/>
      <c r="G317" s="8"/>
      <c r="H317" s="8"/>
    </row>
    <row r="318" spans="1:8" ht="15.75" customHeight="1">
      <c r="A318" s="8"/>
      <c r="B318" s="8"/>
      <c r="C318" s="8"/>
      <c r="D318" s="8"/>
      <c r="E318" s="8"/>
      <c r="F318" s="8"/>
      <c r="G318" s="8"/>
      <c r="H318" s="8"/>
    </row>
    <row r="319" spans="1:8" ht="15.75" customHeight="1">
      <c r="A319" s="8"/>
      <c r="B319" s="8"/>
      <c r="C319" s="8"/>
      <c r="D319" s="8"/>
      <c r="E319" s="8"/>
      <c r="F319" s="8"/>
      <c r="G319" s="8"/>
      <c r="H319" s="8"/>
    </row>
    <row r="320" spans="1:8" ht="15.75" customHeight="1">
      <c r="A320" s="8"/>
      <c r="B320" s="8"/>
      <c r="C320" s="8"/>
      <c r="D320" s="8"/>
      <c r="E320" s="8"/>
      <c r="F320" s="8"/>
      <c r="G320" s="8"/>
      <c r="H320" s="8"/>
    </row>
    <row r="321" spans="1:8" ht="15.75" customHeight="1">
      <c r="A321" s="8"/>
      <c r="B321" s="8"/>
      <c r="C321" s="8"/>
      <c r="D321" s="8"/>
      <c r="E321" s="8"/>
      <c r="F321" s="8"/>
      <c r="G321" s="8"/>
      <c r="H321" s="8"/>
    </row>
    <row r="322" spans="1:8" ht="15.75" customHeight="1">
      <c r="A322" s="8"/>
      <c r="B322" s="8"/>
      <c r="C322" s="8"/>
      <c r="D322" s="8"/>
      <c r="E322" s="8"/>
      <c r="F322" s="8"/>
      <c r="G322" s="8"/>
      <c r="H322" s="8"/>
    </row>
    <row r="323" spans="1:8" ht="15.75" customHeight="1">
      <c r="A323" s="8"/>
      <c r="B323" s="8"/>
      <c r="C323" s="8"/>
      <c r="D323" s="8"/>
      <c r="E323" s="8"/>
      <c r="F323" s="8"/>
      <c r="G323" s="8"/>
      <c r="H323" s="8"/>
    </row>
    <row r="324" spans="1:8" ht="15.75" customHeight="1">
      <c r="A324" s="8"/>
      <c r="B324" s="8"/>
      <c r="C324" s="8"/>
      <c r="D324" s="8"/>
      <c r="E324" s="8"/>
      <c r="F324" s="8"/>
      <c r="G324" s="8"/>
      <c r="H324" s="8"/>
    </row>
    <row r="325" spans="1:8" ht="15.75" customHeight="1">
      <c r="A325" s="8"/>
      <c r="B325" s="8"/>
      <c r="C325" s="8"/>
      <c r="D325" s="8"/>
      <c r="E325" s="8"/>
      <c r="F325" s="8"/>
      <c r="G325" s="8"/>
      <c r="H325" s="8"/>
    </row>
    <row r="326" spans="1:8" ht="15.75" customHeight="1">
      <c r="A326" s="8"/>
      <c r="B326" s="8"/>
      <c r="C326" s="8"/>
      <c r="D326" s="8"/>
      <c r="E326" s="8"/>
      <c r="F326" s="8"/>
      <c r="G326" s="8"/>
      <c r="H326" s="8"/>
    </row>
    <row r="327" spans="1:8" ht="15.75" customHeight="1">
      <c r="A327" s="8"/>
      <c r="B327" s="8"/>
      <c r="C327" s="8"/>
      <c r="D327" s="8"/>
      <c r="E327" s="8"/>
      <c r="F327" s="8"/>
      <c r="G327" s="8"/>
      <c r="H327" s="8"/>
    </row>
    <row r="328" spans="1:8" ht="15.75" customHeight="1">
      <c r="A328" s="8"/>
      <c r="B328" s="8"/>
      <c r="C328" s="8"/>
      <c r="D328" s="8"/>
      <c r="E328" s="8"/>
      <c r="F328" s="8"/>
      <c r="G328" s="8"/>
      <c r="H328" s="8"/>
    </row>
    <row r="329" spans="1:8" ht="15.75" customHeight="1">
      <c r="A329" s="8"/>
      <c r="B329" s="8"/>
      <c r="C329" s="8"/>
      <c r="D329" s="8"/>
      <c r="E329" s="8"/>
      <c r="F329" s="8"/>
      <c r="G329" s="8"/>
      <c r="H329" s="8"/>
    </row>
    <row r="330" spans="1:8" ht="15.75" customHeight="1">
      <c r="A330" s="8"/>
      <c r="B330" s="8"/>
      <c r="C330" s="8"/>
      <c r="D330" s="8"/>
      <c r="E330" s="8"/>
      <c r="F330" s="8"/>
      <c r="G330" s="8"/>
      <c r="H330" s="8"/>
    </row>
    <row r="331" spans="1:8" ht="15.75" customHeight="1">
      <c r="A331" s="8"/>
      <c r="B331" s="8"/>
      <c r="C331" s="8"/>
      <c r="D331" s="8"/>
      <c r="E331" s="8"/>
      <c r="F331" s="8"/>
      <c r="G331" s="8"/>
      <c r="H331" s="8"/>
    </row>
    <row r="332" spans="1:8" ht="15.75" customHeight="1">
      <c r="A332" s="8"/>
      <c r="B332" s="8"/>
      <c r="C332" s="8"/>
      <c r="D332" s="8"/>
      <c r="E332" s="8"/>
      <c r="F332" s="8"/>
      <c r="G332" s="8"/>
      <c r="H332" s="8"/>
    </row>
    <row r="333" spans="1:8" ht="15.75" customHeight="1">
      <c r="A333" s="8"/>
      <c r="B333" s="8"/>
      <c r="C333" s="8"/>
      <c r="D333" s="8"/>
      <c r="E333" s="8"/>
      <c r="F333" s="8"/>
      <c r="G333" s="8"/>
      <c r="H333" s="8"/>
    </row>
    <row r="334" spans="1:8" ht="15.75" customHeight="1">
      <c r="A334" s="8"/>
      <c r="B334" s="8"/>
      <c r="C334" s="8"/>
      <c r="D334" s="8"/>
      <c r="E334" s="8"/>
      <c r="F334" s="8"/>
      <c r="G334" s="8"/>
      <c r="H334" s="8"/>
    </row>
    <row r="335" spans="1:8" ht="15.75" customHeight="1">
      <c r="A335" s="8"/>
      <c r="B335" s="8"/>
      <c r="C335" s="8"/>
      <c r="D335" s="8"/>
      <c r="E335" s="8"/>
      <c r="F335" s="8"/>
      <c r="G335" s="8"/>
      <c r="H335" s="8"/>
    </row>
    <row r="336" spans="1:8" ht="15.75" customHeight="1">
      <c r="A336" s="8"/>
      <c r="B336" s="8"/>
      <c r="C336" s="8"/>
      <c r="D336" s="8"/>
      <c r="E336" s="8"/>
      <c r="F336" s="8"/>
      <c r="G336" s="8"/>
      <c r="H336" s="8"/>
    </row>
    <row r="337" spans="1:8" ht="15.75" customHeight="1">
      <c r="A337" s="8"/>
      <c r="B337" s="8"/>
      <c r="C337" s="8"/>
      <c r="D337" s="8"/>
      <c r="E337" s="8"/>
      <c r="F337" s="8"/>
      <c r="G337" s="8"/>
      <c r="H337" s="8"/>
    </row>
    <row r="338" spans="1:8" ht="15.75" customHeight="1">
      <c r="A338" s="8"/>
      <c r="B338" s="8"/>
      <c r="C338" s="8"/>
      <c r="D338" s="8"/>
      <c r="E338" s="8"/>
      <c r="F338" s="8"/>
      <c r="G338" s="8"/>
      <c r="H338" s="8"/>
    </row>
    <row r="339" spans="1:8" ht="15.75" customHeight="1">
      <c r="A339" s="8"/>
      <c r="B339" s="8"/>
      <c r="C339" s="8"/>
      <c r="D339" s="8"/>
      <c r="E339" s="8"/>
      <c r="F339" s="8"/>
      <c r="G339" s="8"/>
      <c r="H339" s="8"/>
    </row>
    <row r="340" spans="1:8" ht="15.75" customHeight="1">
      <c r="A340" s="8"/>
      <c r="B340" s="8"/>
      <c r="C340" s="8"/>
      <c r="D340" s="8"/>
      <c r="E340" s="8"/>
      <c r="F340" s="8"/>
      <c r="G340" s="8"/>
      <c r="H340" s="8"/>
    </row>
    <row r="341" spans="1:8" ht="15.75" customHeight="1">
      <c r="A341" s="8"/>
      <c r="B341" s="8"/>
      <c r="C341" s="8"/>
      <c r="D341" s="8"/>
      <c r="E341" s="8"/>
      <c r="F341" s="8"/>
      <c r="G341" s="8"/>
      <c r="H341" s="8"/>
    </row>
    <row r="342" spans="1:8" ht="15.75" customHeight="1">
      <c r="A342" s="8"/>
      <c r="B342" s="8"/>
      <c r="C342" s="8"/>
      <c r="D342" s="8"/>
      <c r="E342" s="8"/>
      <c r="F342" s="8"/>
      <c r="G342" s="8"/>
      <c r="H342" s="8"/>
    </row>
    <row r="343" spans="1:8" ht="15.75" customHeight="1">
      <c r="A343" s="8"/>
      <c r="B343" s="8"/>
      <c r="C343" s="8"/>
      <c r="D343" s="8"/>
      <c r="E343" s="8"/>
      <c r="F343" s="8"/>
      <c r="G343" s="8"/>
      <c r="H343" s="8"/>
    </row>
    <row r="344" spans="1:8" ht="15.75" customHeight="1">
      <c r="A344" s="8"/>
      <c r="B344" s="8"/>
      <c r="C344" s="8"/>
      <c r="D344" s="8"/>
      <c r="E344" s="8"/>
      <c r="F344" s="8"/>
      <c r="G344" s="8"/>
      <c r="H344" s="8"/>
    </row>
    <row r="345" spans="1:8" ht="15.75" customHeight="1">
      <c r="A345" s="8"/>
      <c r="B345" s="8"/>
      <c r="C345" s="8"/>
      <c r="D345" s="8"/>
      <c r="E345" s="8"/>
      <c r="F345" s="8"/>
      <c r="G345" s="8"/>
      <c r="H345" s="8"/>
    </row>
    <row r="346" spans="1:8" ht="15.75" customHeight="1">
      <c r="A346" s="8"/>
      <c r="B346" s="8"/>
      <c r="C346" s="8"/>
      <c r="D346" s="8"/>
      <c r="E346" s="8"/>
      <c r="F346" s="8"/>
      <c r="G346" s="8"/>
      <c r="H346" s="8"/>
    </row>
    <row r="347" spans="1:8" ht="15.75" customHeight="1">
      <c r="A347" s="8"/>
      <c r="B347" s="8"/>
      <c r="C347" s="8"/>
      <c r="D347" s="8"/>
      <c r="E347" s="8"/>
      <c r="F347" s="8"/>
      <c r="G347" s="8"/>
      <c r="H347" s="8"/>
    </row>
    <row r="348" spans="1:8" ht="15.75" customHeight="1">
      <c r="A348" s="8"/>
      <c r="B348" s="8"/>
      <c r="C348" s="8"/>
      <c r="D348" s="8"/>
      <c r="E348" s="8"/>
      <c r="F348" s="8"/>
      <c r="G348" s="8"/>
      <c r="H348" s="8"/>
    </row>
    <row r="349" spans="1:8" ht="15.75" customHeight="1">
      <c r="A349" s="8"/>
      <c r="B349" s="8"/>
      <c r="C349" s="8"/>
      <c r="D349" s="8"/>
      <c r="E349" s="8"/>
      <c r="F349" s="8"/>
      <c r="G349" s="8"/>
      <c r="H349" s="8"/>
    </row>
    <row r="350" spans="1:8" ht="15.75" customHeight="1">
      <c r="A350" s="8"/>
      <c r="B350" s="8"/>
      <c r="C350" s="8"/>
      <c r="D350" s="8"/>
      <c r="E350" s="8"/>
      <c r="F350" s="8"/>
      <c r="G350" s="8"/>
      <c r="H350" s="8"/>
    </row>
    <row r="351" spans="1:8" ht="15.75" customHeight="1">
      <c r="A351" s="8"/>
      <c r="B351" s="8"/>
      <c r="C351" s="8"/>
      <c r="D351" s="8"/>
      <c r="E351" s="8"/>
      <c r="F351" s="8"/>
      <c r="G351" s="8"/>
      <c r="H351" s="8"/>
    </row>
    <row r="352" spans="1:8" ht="15.75" customHeight="1">
      <c r="A352" s="8"/>
      <c r="B352" s="8"/>
      <c r="C352" s="8"/>
      <c r="D352" s="8"/>
      <c r="E352" s="8"/>
      <c r="F352" s="8"/>
      <c r="G352" s="8"/>
      <c r="H352" s="8"/>
    </row>
    <row r="353" spans="1:8" ht="15.75" customHeight="1">
      <c r="A353" s="8"/>
      <c r="B353" s="8"/>
      <c r="C353" s="8"/>
      <c r="D353" s="8"/>
      <c r="E353" s="8"/>
      <c r="F353" s="8"/>
      <c r="G353" s="8"/>
      <c r="H353" s="8"/>
    </row>
    <row r="354" spans="1:8" ht="15.75" customHeight="1">
      <c r="A354" s="8"/>
      <c r="B354" s="8"/>
      <c r="C354" s="8"/>
      <c r="D354" s="8"/>
      <c r="E354" s="8"/>
      <c r="F354" s="8"/>
      <c r="G354" s="8"/>
      <c r="H354" s="8"/>
    </row>
    <row r="355" spans="1:8" ht="15.75" customHeight="1">
      <c r="A355" s="8"/>
      <c r="B355" s="8"/>
      <c r="C355" s="8"/>
      <c r="D355" s="8"/>
      <c r="E355" s="8"/>
      <c r="F355" s="8"/>
      <c r="G355" s="8"/>
      <c r="H355" s="8"/>
    </row>
    <row r="356" spans="1:8" ht="15.75" customHeight="1">
      <c r="A356" s="8"/>
      <c r="B356" s="8"/>
      <c r="C356" s="8"/>
      <c r="D356" s="8"/>
      <c r="E356" s="8"/>
      <c r="F356" s="8"/>
      <c r="G356" s="8"/>
      <c r="H356" s="8"/>
    </row>
    <row r="357" spans="1:8" ht="15.75" customHeight="1">
      <c r="A357" s="8"/>
      <c r="B357" s="8"/>
      <c r="C357" s="8"/>
      <c r="D357" s="8"/>
      <c r="E357" s="8"/>
      <c r="F357" s="8"/>
      <c r="G357" s="8"/>
      <c r="H357" s="8"/>
    </row>
    <row r="358" spans="1:8" ht="15.75" customHeight="1">
      <c r="A358" s="8"/>
      <c r="B358" s="8"/>
      <c r="C358" s="8"/>
      <c r="D358" s="8"/>
      <c r="E358" s="8"/>
      <c r="F358" s="8"/>
      <c r="G358" s="8"/>
      <c r="H358" s="8"/>
    </row>
    <row r="359" spans="1:8" ht="15.75" customHeight="1">
      <c r="A359" s="8"/>
      <c r="B359" s="8"/>
      <c r="C359" s="8"/>
      <c r="D359" s="8"/>
      <c r="E359" s="8"/>
      <c r="F359" s="8"/>
      <c r="G359" s="8"/>
      <c r="H359" s="8"/>
    </row>
    <row r="360" spans="1:8" ht="15.75" customHeight="1">
      <c r="A360" s="8"/>
      <c r="B360" s="8"/>
      <c r="C360" s="8"/>
      <c r="D360" s="8"/>
      <c r="E360" s="8"/>
      <c r="F360" s="8"/>
      <c r="G360" s="8"/>
      <c r="H360" s="8"/>
    </row>
    <row r="361" spans="1:8" ht="15.75" customHeight="1">
      <c r="A361" s="8"/>
      <c r="B361" s="8"/>
      <c r="C361" s="8"/>
      <c r="D361" s="8"/>
      <c r="E361" s="8"/>
      <c r="F361" s="8"/>
      <c r="G361" s="8"/>
      <c r="H361" s="8"/>
    </row>
    <row r="362" spans="1:8" ht="15.75" customHeight="1">
      <c r="A362" s="8"/>
      <c r="B362" s="8"/>
      <c r="C362" s="8"/>
      <c r="D362" s="8"/>
      <c r="E362" s="8"/>
      <c r="F362" s="8"/>
      <c r="G362" s="8"/>
      <c r="H362" s="8"/>
    </row>
    <row r="363" spans="1:8" ht="15.75" customHeight="1">
      <c r="A363" s="8"/>
      <c r="B363" s="8"/>
      <c r="C363" s="8"/>
      <c r="D363" s="8"/>
      <c r="E363" s="8"/>
      <c r="F363" s="8"/>
      <c r="G363" s="8"/>
      <c r="H363" s="8"/>
    </row>
    <row r="364" spans="1:8" ht="15.75" customHeight="1">
      <c r="A364" s="8"/>
      <c r="B364" s="8"/>
      <c r="C364" s="8"/>
      <c r="D364" s="8"/>
      <c r="E364" s="8"/>
      <c r="F364" s="8"/>
      <c r="G364" s="8"/>
      <c r="H364" s="8"/>
    </row>
    <row r="365" spans="1:8" ht="15.75" customHeight="1">
      <c r="A365" s="8"/>
      <c r="B365" s="8"/>
      <c r="C365" s="8"/>
      <c r="D365" s="8"/>
      <c r="E365" s="8"/>
      <c r="F365" s="8"/>
      <c r="G365" s="8"/>
      <c r="H365" s="8"/>
    </row>
    <row r="366" spans="1:8" ht="15.75" customHeight="1">
      <c r="A366" s="8"/>
      <c r="B366" s="8"/>
      <c r="C366" s="8"/>
      <c r="D366" s="8"/>
      <c r="E366" s="8"/>
      <c r="F366" s="8"/>
      <c r="G366" s="8"/>
      <c r="H366" s="8"/>
    </row>
    <row r="367" spans="1:8" ht="15.75" customHeight="1">
      <c r="A367" s="8"/>
      <c r="B367" s="8"/>
      <c r="C367" s="8"/>
      <c r="D367" s="8"/>
      <c r="E367" s="8"/>
      <c r="F367" s="8"/>
      <c r="G367" s="8"/>
      <c r="H367" s="8"/>
    </row>
    <row r="368" spans="1:8" ht="15.75" customHeight="1">
      <c r="A368" s="8"/>
      <c r="B368" s="8"/>
      <c r="C368" s="8"/>
      <c r="D368" s="8"/>
      <c r="E368" s="8"/>
      <c r="F368" s="8"/>
      <c r="G368" s="8"/>
      <c r="H368" s="8"/>
    </row>
    <row r="369" spans="1:8" ht="15.75" customHeight="1">
      <c r="A369" s="8"/>
      <c r="B369" s="8"/>
      <c r="C369" s="8"/>
      <c r="D369" s="8"/>
      <c r="E369" s="8"/>
      <c r="F369" s="8"/>
      <c r="G369" s="8"/>
      <c r="H369" s="8"/>
    </row>
    <row r="370" spans="1:8" ht="15.75" customHeight="1">
      <c r="A370" s="8"/>
      <c r="B370" s="8"/>
      <c r="C370" s="8"/>
      <c r="D370" s="8"/>
      <c r="E370" s="8"/>
      <c r="F370" s="8"/>
      <c r="G370" s="8"/>
      <c r="H370" s="8"/>
    </row>
    <row r="371" spans="1:8" ht="15.75" customHeight="1">
      <c r="A371" s="8"/>
      <c r="B371" s="8"/>
      <c r="C371" s="8"/>
      <c r="D371" s="8"/>
      <c r="E371" s="8"/>
      <c r="F371" s="8"/>
      <c r="G371" s="8"/>
      <c r="H371" s="8"/>
    </row>
    <row r="372" spans="1:8" ht="15.75" customHeight="1">
      <c r="A372" s="8"/>
      <c r="B372" s="8"/>
      <c r="C372" s="8"/>
      <c r="D372" s="8"/>
      <c r="E372" s="8"/>
      <c r="F372" s="8"/>
      <c r="G372" s="8"/>
      <c r="H372" s="8"/>
    </row>
    <row r="373" spans="1:8" ht="15.75" customHeight="1">
      <c r="A373" s="8"/>
      <c r="B373" s="8"/>
      <c r="C373" s="8"/>
      <c r="D373" s="8"/>
      <c r="E373" s="8"/>
      <c r="F373" s="8"/>
      <c r="G373" s="8"/>
      <c r="H373" s="8"/>
    </row>
    <row r="374" spans="1:8" ht="15.75" customHeight="1">
      <c r="A374" s="8"/>
      <c r="B374" s="8"/>
      <c r="C374" s="8"/>
      <c r="D374" s="8"/>
      <c r="E374" s="8"/>
      <c r="F374" s="8"/>
      <c r="G374" s="8"/>
      <c r="H374" s="8"/>
    </row>
    <row r="375" spans="1:8" ht="15.75" customHeight="1">
      <c r="A375" s="8"/>
      <c r="B375" s="8"/>
      <c r="C375" s="8"/>
      <c r="D375" s="8"/>
      <c r="E375" s="8"/>
      <c r="F375" s="8"/>
      <c r="G375" s="8"/>
      <c r="H375" s="8"/>
    </row>
    <row r="376" spans="1:8" ht="15.75" customHeight="1">
      <c r="A376" s="8"/>
      <c r="B376" s="8"/>
      <c r="C376" s="8"/>
      <c r="D376" s="8"/>
      <c r="E376" s="8"/>
      <c r="F376" s="8"/>
      <c r="G376" s="8"/>
      <c r="H376" s="8"/>
    </row>
    <row r="377" spans="1:8" ht="15.75" customHeight="1">
      <c r="A377" s="8"/>
      <c r="B377" s="8"/>
      <c r="C377" s="8"/>
      <c r="D377" s="8"/>
      <c r="E377" s="8"/>
      <c r="F377" s="8"/>
      <c r="G377" s="8"/>
      <c r="H377" s="8"/>
    </row>
    <row r="378" spans="1:8" ht="15.75" customHeight="1">
      <c r="A378" s="8"/>
      <c r="B378" s="8"/>
      <c r="C378" s="8"/>
      <c r="D378" s="8"/>
      <c r="E378" s="8"/>
      <c r="F378" s="8"/>
      <c r="G378" s="8"/>
      <c r="H378" s="8"/>
    </row>
    <row r="379" spans="1:8" ht="15.75" customHeight="1">
      <c r="A379" s="8"/>
      <c r="B379" s="8"/>
      <c r="C379" s="8"/>
      <c r="D379" s="8"/>
      <c r="E379" s="8"/>
      <c r="F379" s="8"/>
      <c r="G379" s="8"/>
      <c r="H379" s="8"/>
    </row>
    <row r="380" spans="1:8" ht="15.75" customHeight="1">
      <c r="A380" s="8"/>
      <c r="B380" s="8"/>
      <c r="C380" s="8"/>
      <c r="D380" s="8"/>
      <c r="E380" s="8"/>
      <c r="F380" s="8"/>
      <c r="G380" s="8"/>
      <c r="H380" s="8"/>
    </row>
    <row r="381" spans="1:8" ht="15.75" customHeight="1">
      <c r="A381" s="8"/>
      <c r="B381" s="8"/>
      <c r="C381" s="8"/>
      <c r="D381" s="8"/>
      <c r="E381" s="8"/>
      <c r="F381" s="8"/>
      <c r="G381" s="8"/>
      <c r="H381" s="8"/>
    </row>
    <row r="382" spans="1:8" ht="15.75" customHeight="1">
      <c r="A382" s="8"/>
      <c r="B382" s="8"/>
      <c r="C382" s="8"/>
      <c r="D382" s="8"/>
      <c r="E382" s="8"/>
      <c r="F382" s="8"/>
      <c r="G382" s="8"/>
      <c r="H382" s="8"/>
    </row>
    <row r="383" spans="1:8" ht="15.75" customHeight="1">
      <c r="A383" s="8"/>
      <c r="B383" s="8"/>
      <c r="C383" s="8"/>
      <c r="D383" s="8"/>
      <c r="E383" s="8"/>
      <c r="F383" s="8"/>
      <c r="G383" s="8"/>
      <c r="H383" s="8"/>
    </row>
    <row r="384" spans="1:8" ht="15.75" customHeight="1">
      <c r="A384" s="8"/>
      <c r="B384" s="8"/>
      <c r="C384" s="8"/>
      <c r="D384" s="8"/>
      <c r="E384" s="8"/>
      <c r="F384" s="8"/>
      <c r="G384" s="8"/>
      <c r="H384" s="8"/>
    </row>
    <row r="385" spans="1:8" ht="15.75" customHeight="1">
      <c r="A385" s="8"/>
      <c r="B385" s="8"/>
      <c r="C385" s="8"/>
      <c r="D385" s="8"/>
      <c r="E385" s="8"/>
      <c r="F385" s="8"/>
      <c r="G385" s="8"/>
      <c r="H385" s="8"/>
    </row>
    <row r="386" spans="1:8" ht="15.75" customHeight="1">
      <c r="A386" s="8"/>
      <c r="B386" s="8"/>
      <c r="C386" s="8"/>
      <c r="D386" s="8"/>
      <c r="E386" s="8"/>
      <c r="F386" s="8"/>
      <c r="G386" s="8"/>
      <c r="H386" s="8"/>
    </row>
    <row r="387" spans="1:8" ht="15.75" customHeight="1">
      <c r="A387" s="8"/>
      <c r="B387" s="8"/>
      <c r="C387" s="8"/>
      <c r="D387" s="8"/>
      <c r="E387" s="8"/>
      <c r="F387" s="8"/>
      <c r="G387" s="8"/>
      <c r="H387" s="8"/>
    </row>
    <row r="388" spans="1:8" ht="15.75" customHeight="1">
      <c r="A388" s="8"/>
      <c r="B388" s="8"/>
      <c r="C388" s="8"/>
      <c r="D388" s="8"/>
      <c r="E388" s="8"/>
      <c r="F388" s="8"/>
      <c r="G388" s="8"/>
      <c r="H388" s="8"/>
    </row>
    <row r="389" spans="1:8" ht="15.75" customHeight="1">
      <c r="A389" s="8"/>
      <c r="B389" s="8"/>
      <c r="C389" s="8"/>
      <c r="D389" s="8"/>
      <c r="E389" s="8"/>
      <c r="F389" s="8"/>
      <c r="G389" s="8"/>
      <c r="H389" s="8"/>
    </row>
    <row r="390" spans="1:8" ht="15.75" customHeight="1">
      <c r="A390" s="8"/>
      <c r="B390" s="8"/>
      <c r="C390" s="8"/>
      <c r="D390" s="8"/>
      <c r="E390" s="8"/>
      <c r="F390" s="8"/>
      <c r="G390" s="8"/>
      <c r="H390" s="8"/>
    </row>
    <row r="391" spans="1:8" ht="15.75" customHeight="1">
      <c r="A391" s="8"/>
      <c r="B391" s="8"/>
      <c r="C391" s="8"/>
      <c r="D391" s="8"/>
      <c r="E391" s="8"/>
      <c r="F391" s="8"/>
      <c r="G391" s="8"/>
      <c r="H391" s="8"/>
    </row>
    <row r="392" spans="1:8" ht="15.75" customHeight="1">
      <c r="A392" s="8"/>
      <c r="B392" s="8"/>
      <c r="C392" s="8"/>
      <c r="D392" s="8"/>
      <c r="E392" s="8"/>
      <c r="F392" s="8"/>
      <c r="G392" s="8"/>
      <c r="H392" s="8"/>
    </row>
    <row r="393" spans="1:8" ht="15.75" customHeight="1">
      <c r="A393" s="8"/>
      <c r="B393" s="8"/>
      <c r="C393" s="8"/>
      <c r="D393" s="8"/>
      <c r="E393" s="8"/>
      <c r="F393" s="8"/>
      <c r="G393" s="8"/>
      <c r="H393" s="8"/>
    </row>
    <row r="394" spans="1:8" ht="15.75" customHeight="1">
      <c r="A394" s="8"/>
      <c r="B394" s="8"/>
      <c r="C394" s="8"/>
      <c r="D394" s="8"/>
      <c r="E394" s="8"/>
      <c r="F394" s="8"/>
      <c r="G394" s="8"/>
      <c r="H394" s="8"/>
    </row>
    <row r="395" spans="1:8" ht="15.75" customHeight="1">
      <c r="A395" s="8"/>
      <c r="B395" s="8"/>
      <c r="C395" s="8"/>
      <c r="D395" s="8"/>
      <c r="E395" s="8"/>
      <c r="F395" s="8"/>
      <c r="G395" s="8"/>
      <c r="H395" s="8"/>
    </row>
    <row r="396" spans="1:8" ht="15.75" customHeight="1">
      <c r="A396" s="8"/>
      <c r="B396" s="8"/>
      <c r="C396" s="8"/>
      <c r="D396" s="8"/>
      <c r="E396" s="8"/>
      <c r="F396" s="8"/>
      <c r="G396" s="8"/>
      <c r="H396" s="8"/>
    </row>
    <row r="397" spans="1:8" ht="15.75" customHeight="1">
      <c r="A397" s="8"/>
      <c r="B397" s="8"/>
      <c r="C397" s="8"/>
      <c r="D397" s="8"/>
      <c r="E397" s="8"/>
      <c r="F397" s="8"/>
      <c r="G397" s="8"/>
      <c r="H397" s="8"/>
    </row>
    <row r="398" spans="1:8" ht="15.75" customHeight="1">
      <c r="A398" s="8"/>
      <c r="B398" s="8"/>
      <c r="C398" s="8"/>
      <c r="D398" s="8"/>
      <c r="E398" s="8"/>
      <c r="F398" s="8"/>
      <c r="G398" s="8"/>
      <c r="H398" s="8"/>
    </row>
    <row r="399" spans="1:8" ht="15.75" customHeight="1">
      <c r="A399" s="8"/>
      <c r="B399" s="8"/>
      <c r="C399" s="8"/>
      <c r="D399" s="8"/>
      <c r="E399" s="8"/>
      <c r="F399" s="8"/>
      <c r="G399" s="8"/>
      <c r="H399" s="8"/>
    </row>
    <row r="400" spans="1:8" ht="15.75" customHeight="1">
      <c r="A400" s="8"/>
      <c r="B400" s="8"/>
      <c r="C400" s="8"/>
      <c r="D400" s="8"/>
      <c r="E400" s="8"/>
      <c r="F400" s="8"/>
      <c r="G400" s="8"/>
      <c r="H400" s="8"/>
    </row>
    <row r="401" spans="1:8" ht="15.75" customHeight="1">
      <c r="A401" s="8"/>
      <c r="B401" s="8"/>
      <c r="C401" s="8"/>
      <c r="D401" s="8"/>
      <c r="E401" s="8"/>
      <c r="F401" s="8"/>
      <c r="G401" s="8"/>
      <c r="H401" s="8"/>
    </row>
    <row r="402" spans="1:8" ht="15.75" customHeight="1">
      <c r="A402" s="8"/>
      <c r="B402" s="8"/>
      <c r="C402" s="8"/>
      <c r="D402" s="8"/>
      <c r="E402" s="8"/>
      <c r="F402" s="8"/>
      <c r="G402" s="8"/>
      <c r="H402" s="8"/>
    </row>
    <row r="403" spans="1:8" ht="15.75" customHeight="1">
      <c r="A403" s="8"/>
      <c r="B403" s="8"/>
      <c r="C403" s="8"/>
      <c r="D403" s="8"/>
      <c r="E403" s="8"/>
      <c r="F403" s="8"/>
      <c r="G403" s="8"/>
      <c r="H403" s="8"/>
    </row>
    <row r="404" spans="1:8" ht="15.75" customHeight="1">
      <c r="A404" s="8"/>
      <c r="B404" s="8"/>
      <c r="C404" s="8"/>
      <c r="D404" s="8"/>
      <c r="E404" s="8"/>
      <c r="F404" s="8"/>
      <c r="G404" s="8"/>
      <c r="H404" s="8"/>
    </row>
    <row r="405" spans="1:8" ht="15.75" customHeight="1">
      <c r="A405" s="8"/>
      <c r="B405" s="8"/>
      <c r="C405" s="8"/>
      <c r="D405" s="8"/>
      <c r="E405" s="8"/>
      <c r="F405" s="8"/>
      <c r="G405" s="8"/>
      <c r="H405" s="8"/>
    </row>
    <row r="406" spans="1:8" ht="15.75" customHeight="1">
      <c r="A406" s="8"/>
      <c r="B406" s="8"/>
      <c r="C406" s="8"/>
      <c r="D406" s="8"/>
      <c r="E406" s="8"/>
      <c r="F406" s="8"/>
      <c r="G406" s="8"/>
      <c r="H406" s="8"/>
    </row>
    <row r="407" spans="1:8" ht="15.75" customHeight="1">
      <c r="A407" s="8"/>
      <c r="B407" s="8"/>
      <c r="C407" s="8"/>
      <c r="D407" s="8"/>
      <c r="E407" s="8"/>
      <c r="F407" s="8"/>
      <c r="G407" s="8"/>
      <c r="H407" s="8"/>
    </row>
    <row r="408" spans="1:8" ht="15.75" customHeight="1">
      <c r="A408" s="8"/>
      <c r="B408" s="8"/>
      <c r="C408" s="8"/>
      <c r="D408" s="8"/>
      <c r="E408" s="8"/>
      <c r="F408" s="8"/>
      <c r="G408" s="8"/>
      <c r="H408" s="8"/>
    </row>
    <row r="409" spans="1:8" ht="15.75" customHeight="1">
      <c r="A409" s="8"/>
      <c r="B409" s="8"/>
      <c r="C409" s="8"/>
      <c r="D409" s="8"/>
      <c r="E409" s="8"/>
      <c r="F409" s="8"/>
      <c r="G409" s="8"/>
      <c r="H409" s="8"/>
    </row>
    <row r="410" spans="1:8" ht="15.75" customHeight="1">
      <c r="A410" s="8"/>
      <c r="B410" s="8"/>
      <c r="C410" s="8"/>
      <c r="D410" s="8"/>
      <c r="E410" s="8"/>
      <c r="F410" s="8"/>
      <c r="G410" s="8"/>
      <c r="H410" s="8"/>
    </row>
    <row r="411" spans="1:8" ht="15.75" customHeight="1">
      <c r="A411" s="8"/>
      <c r="B411" s="8"/>
      <c r="C411" s="8"/>
      <c r="D411" s="8"/>
      <c r="E411" s="8"/>
      <c r="F411" s="8"/>
      <c r="G411" s="8"/>
      <c r="H411" s="8"/>
    </row>
    <row r="412" spans="1:8" ht="15.75" customHeight="1">
      <c r="A412" s="8"/>
      <c r="B412" s="8"/>
      <c r="C412" s="8"/>
      <c r="D412" s="8"/>
      <c r="E412" s="8"/>
      <c r="F412" s="8"/>
      <c r="G412" s="8"/>
      <c r="H412" s="8"/>
    </row>
    <row r="413" spans="1:8" ht="15.75" customHeight="1">
      <c r="A413" s="8"/>
      <c r="B413" s="8"/>
      <c r="C413" s="8"/>
      <c r="D413" s="8"/>
      <c r="E413" s="8"/>
      <c r="F413" s="8"/>
      <c r="G413" s="8"/>
      <c r="H413" s="8"/>
    </row>
    <row r="414" spans="1:8" ht="15.75" customHeight="1">
      <c r="A414" s="8"/>
      <c r="B414" s="8"/>
      <c r="C414" s="8"/>
      <c r="D414" s="8"/>
      <c r="E414" s="8"/>
      <c r="F414" s="8"/>
      <c r="G414" s="8"/>
      <c r="H414" s="8"/>
    </row>
    <row r="415" spans="1:8" ht="15.75" customHeight="1">
      <c r="A415" s="8"/>
      <c r="B415" s="8"/>
      <c r="C415" s="8"/>
      <c r="D415" s="8"/>
      <c r="E415" s="8"/>
      <c r="F415" s="8"/>
      <c r="G415" s="8"/>
      <c r="H415" s="8"/>
    </row>
    <row r="416" spans="1:8" ht="15.75" customHeight="1">
      <c r="A416" s="8"/>
      <c r="B416" s="8"/>
      <c r="C416" s="8"/>
      <c r="D416" s="8"/>
      <c r="E416" s="8"/>
      <c r="F416" s="8"/>
      <c r="G416" s="8"/>
      <c r="H416" s="8"/>
    </row>
    <row r="417" spans="1:8" ht="15.75" customHeight="1">
      <c r="A417" s="8"/>
      <c r="B417" s="8"/>
      <c r="C417" s="8"/>
      <c r="D417" s="8"/>
      <c r="E417" s="8"/>
      <c r="F417" s="8"/>
      <c r="G417" s="8"/>
      <c r="H417" s="8"/>
    </row>
    <row r="418" spans="1:8" ht="15.75" customHeight="1">
      <c r="A418" s="8"/>
      <c r="B418" s="8"/>
      <c r="C418" s="8"/>
      <c r="D418" s="8"/>
      <c r="E418" s="8"/>
      <c r="F418" s="8"/>
      <c r="G418" s="8"/>
      <c r="H418" s="8"/>
    </row>
    <row r="419" spans="1:8" ht="15.75" customHeight="1">
      <c r="A419" s="8"/>
      <c r="B419" s="8"/>
      <c r="C419" s="8"/>
      <c r="D419" s="8"/>
      <c r="E419" s="8"/>
      <c r="F419" s="8"/>
      <c r="G419" s="8"/>
      <c r="H419" s="8"/>
    </row>
    <row r="420" spans="1:8" ht="15.75" customHeight="1">
      <c r="A420" s="8"/>
      <c r="B420" s="8"/>
      <c r="C420" s="8"/>
      <c r="D420" s="8"/>
      <c r="E420" s="8"/>
      <c r="F420" s="8"/>
      <c r="G420" s="8"/>
      <c r="H420" s="8"/>
    </row>
    <row r="421" spans="1:8" ht="15.75" customHeight="1">
      <c r="A421" s="8"/>
      <c r="B421" s="8"/>
      <c r="C421" s="8"/>
      <c r="D421" s="8"/>
      <c r="E421" s="8"/>
      <c r="F421" s="8"/>
      <c r="G421" s="8"/>
      <c r="H421" s="8"/>
    </row>
    <row r="422" spans="1:8" ht="15.75" customHeight="1">
      <c r="A422" s="8"/>
      <c r="B422" s="8"/>
      <c r="C422" s="8"/>
      <c r="D422" s="8"/>
      <c r="E422" s="8"/>
      <c r="F422" s="8"/>
      <c r="G422" s="8"/>
      <c r="H422" s="8"/>
    </row>
    <row r="423" spans="1:8" ht="15.75" customHeight="1">
      <c r="A423" s="8"/>
      <c r="B423" s="8"/>
      <c r="C423" s="8"/>
      <c r="D423" s="8"/>
      <c r="E423" s="8"/>
      <c r="F423" s="8"/>
      <c r="G423" s="8"/>
      <c r="H423" s="8"/>
    </row>
    <row r="424" spans="1:8" ht="15.75" customHeight="1">
      <c r="A424" s="8"/>
      <c r="B424" s="8"/>
      <c r="C424" s="8"/>
      <c r="D424" s="8"/>
      <c r="E424" s="8"/>
      <c r="F424" s="8"/>
      <c r="G424" s="8"/>
      <c r="H424" s="8"/>
    </row>
    <row r="425" spans="1:8" ht="15.75" customHeight="1">
      <c r="A425" s="8"/>
      <c r="B425" s="8"/>
      <c r="C425" s="8"/>
      <c r="D425" s="8"/>
      <c r="E425" s="8"/>
      <c r="F425" s="8"/>
      <c r="G425" s="8"/>
      <c r="H425" s="8"/>
    </row>
    <row r="426" spans="1:8" ht="15.75" customHeight="1">
      <c r="A426" s="8"/>
      <c r="B426" s="8"/>
      <c r="C426" s="8"/>
      <c r="D426" s="8"/>
      <c r="E426" s="8"/>
      <c r="F426" s="8"/>
      <c r="G426" s="8"/>
      <c r="H426" s="8"/>
    </row>
    <row r="427" spans="1:8" ht="15.75" customHeight="1">
      <c r="A427" s="8"/>
      <c r="B427" s="8"/>
      <c r="C427" s="8"/>
      <c r="D427" s="8"/>
      <c r="E427" s="8"/>
      <c r="F427" s="8"/>
      <c r="G427" s="8"/>
      <c r="H427" s="8"/>
    </row>
    <row r="428" spans="1:8" ht="15.75" customHeight="1">
      <c r="A428" s="8"/>
      <c r="B428" s="8"/>
      <c r="C428" s="8"/>
      <c r="D428" s="8"/>
      <c r="E428" s="8"/>
      <c r="F428" s="8"/>
      <c r="G428" s="8"/>
      <c r="H428" s="8"/>
    </row>
    <row r="429" spans="1:8" ht="15.75" customHeight="1">
      <c r="A429" s="8"/>
      <c r="B429" s="8"/>
      <c r="C429" s="8"/>
      <c r="D429" s="8"/>
      <c r="E429" s="8"/>
      <c r="F429" s="8"/>
      <c r="G429" s="8"/>
      <c r="H429" s="8"/>
    </row>
    <row r="430" spans="1:8" ht="15.75" customHeight="1">
      <c r="A430" s="8"/>
      <c r="B430" s="8"/>
      <c r="C430" s="8"/>
      <c r="D430" s="8"/>
      <c r="E430" s="8"/>
      <c r="F430" s="8"/>
      <c r="G430" s="8"/>
      <c r="H430" s="8"/>
    </row>
    <row r="431" spans="1:8" ht="15.75" customHeight="1">
      <c r="A431" s="8"/>
      <c r="B431" s="8"/>
      <c r="C431" s="8"/>
      <c r="D431" s="8"/>
      <c r="E431" s="8"/>
      <c r="F431" s="8"/>
      <c r="G431" s="8"/>
      <c r="H431" s="8"/>
    </row>
    <row r="432" spans="1:8" ht="15.75" customHeight="1">
      <c r="A432" s="8"/>
      <c r="B432" s="8"/>
      <c r="C432" s="8"/>
      <c r="D432" s="8"/>
      <c r="E432" s="8"/>
      <c r="F432" s="8"/>
      <c r="G432" s="8"/>
      <c r="H432" s="8"/>
    </row>
    <row r="433" spans="1:8" ht="15.75" customHeight="1">
      <c r="A433" s="8"/>
      <c r="B433" s="8"/>
      <c r="C433" s="8"/>
      <c r="D433" s="8"/>
      <c r="E433" s="8"/>
      <c r="F433" s="8"/>
      <c r="G433" s="8"/>
      <c r="H433" s="8"/>
    </row>
    <row r="434" spans="1:8" ht="15.75" customHeight="1">
      <c r="A434" s="8"/>
      <c r="B434" s="8"/>
      <c r="C434" s="8"/>
      <c r="D434" s="8"/>
      <c r="E434" s="8"/>
      <c r="F434" s="8"/>
      <c r="G434" s="8"/>
      <c r="H434" s="8"/>
    </row>
    <row r="435" spans="1:8" ht="15.75" customHeight="1">
      <c r="A435" s="8"/>
      <c r="B435" s="8"/>
      <c r="C435" s="8"/>
      <c r="D435" s="8"/>
      <c r="E435" s="8"/>
      <c r="F435" s="8"/>
      <c r="G435" s="8"/>
      <c r="H435" s="8"/>
    </row>
    <row r="436" spans="1:8" ht="15.75" customHeight="1">
      <c r="A436" s="8"/>
      <c r="B436" s="8"/>
      <c r="C436" s="8"/>
      <c r="D436" s="8"/>
      <c r="E436" s="8"/>
      <c r="F436" s="8"/>
      <c r="G436" s="8"/>
      <c r="H436" s="8"/>
    </row>
    <row r="437" spans="1:8" ht="15.75" customHeight="1">
      <c r="A437" s="8"/>
      <c r="B437" s="8"/>
      <c r="C437" s="8"/>
      <c r="D437" s="8"/>
      <c r="E437" s="8"/>
      <c r="F437" s="8"/>
      <c r="G437" s="8"/>
      <c r="H437" s="8"/>
    </row>
    <row r="438" spans="1:8" ht="15.75" customHeight="1">
      <c r="A438" s="8"/>
      <c r="B438" s="8"/>
      <c r="C438" s="8"/>
      <c r="D438" s="8"/>
      <c r="E438" s="8"/>
      <c r="F438" s="8"/>
      <c r="G438" s="8"/>
      <c r="H438" s="8"/>
    </row>
    <row r="439" spans="1:8" ht="15.75" customHeight="1">
      <c r="A439" s="8"/>
      <c r="B439" s="8"/>
      <c r="C439" s="8"/>
      <c r="D439" s="8"/>
      <c r="E439" s="8"/>
      <c r="F439" s="8"/>
      <c r="G439" s="8"/>
      <c r="H439" s="8"/>
    </row>
    <row r="440" spans="1:8" ht="15.75" customHeight="1">
      <c r="A440" s="8"/>
      <c r="B440" s="8"/>
      <c r="C440" s="8"/>
      <c r="D440" s="8"/>
      <c r="E440" s="8"/>
      <c r="F440" s="8"/>
      <c r="G440" s="8"/>
      <c r="H440" s="8"/>
    </row>
    <row r="441" spans="1:8" ht="15.75" customHeight="1">
      <c r="A441" s="8"/>
      <c r="B441" s="8"/>
      <c r="C441" s="8"/>
      <c r="D441" s="8"/>
      <c r="E441" s="8"/>
      <c r="F441" s="8"/>
      <c r="G441" s="8"/>
      <c r="H441" s="8"/>
    </row>
    <row r="442" spans="1:8" ht="15.75" customHeight="1">
      <c r="A442" s="8"/>
      <c r="B442" s="8"/>
      <c r="C442" s="8"/>
      <c r="D442" s="8"/>
      <c r="E442" s="8"/>
      <c r="F442" s="8"/>
      <c r="G442" s="8"/>
      <c r="H442" s="8"/>
    </row>
    <row r="443" spans="1:8" ht="15.75" customHeight="1">
      <c r="A443" s="8"/>
      <c r="B443" s="8"/>
      <c r="C443" s="8"/>
      <c r="D443" s="8"/>
      <c r="E443" s="8"/>
      <c r="F443" s="8"/>
      <c r="G443" s="8"/>
      <c r="H443" s="8"/>
    </row>
    <row r="444" spans="1:8" ht="15.75" customHeight="1">
      <c r="A444" s="8"/>
      <c r="B444" s="8"/>
      <c r="C444" s="8"/>
      <c r="D444" s="8"/>
      <c r="E444" s="8"/>
      <c r="F444" s="8"/>
      <c r="G444" s="8"/>
      <c r="H444" s="8"/>
    </row>
    <row r="445" spans="1:8" ht="15.75" customHeight="1">
      <c r="A445" s="8"/>
      <c r="B445" s="8"/>
      <c r="C445" s="8"/>
      <c r="D445" s="8"/>
      <c r="E445" s="8"/>
      <c r="F445" s="8"/>
      <c r="G445" s="8"/>
      <c r="H445" s="8"/>
    </row>
    <row r="446" spans="1:8" ht="15.75" customHeight="1">
      <c r="A446" s="8"/>
      <c r="B446" s="8"/>
      <c r="C446" s="8"/>
      <c r="D446" s="8"/>
      <c r="E446" s="8"/>
      <c r="F446" s="8"/>
      <c r="G446" s="8"/>
      <c r="H446" s="8"/>
    </row>
    <row r="447" spans="1:8" ht="15.75" customHeight="1">
      <c r="A447" s="8"/>
      <c r="B447" s="8"/>
      <c r="C447" s="8"/>
      <c r="D447" s="8"/>
      <c r="E447" s="8"/>
      <c r="F447" s="8"/>
      <c r="G447" s="8"/>
      <c r="H447" s="8"/>
    </row>
    <row r="448" spans="1:8" ht="15.75" customHeight="1">
      <c r="A448" s="8"/>
      <c r="B448" s="8"/>
      <c r="C448" s="8"/>
      <c r="D448" s="8"/>
      <c r="E448" s="8"/>
      <c r="F448" s="8"/>
      <c r="G448" s="8"/>
      <c r="H448" s="8"/>
    </row>
    <row r="449" spans="1:8" ht="15.75" customHeight="1">
      <c r="A449" s="8"/>
      <c r="B449" s="8"/>
      <c r="C449" s="8"/>
      <c r="D449" s="8"/>
      <c r="E449" s="8"/>
      <c r="F449" s="8"/>
      <c r="G449" s="8"/>
      <c r="H449" s="8"/>
    </row>
    <row r="450" spans="1:8" ht="15.75" customHeight="1">
      <c r="A450" s="8"/>
      <c r="B450" s="8"/>
      <c r="C450" s="8"/>
      <c r="D450" s="8"/>
      <c r="E450" s="8"/>
      <c r="F450" s="8"/>
      <c r="G450" s="8"/>
      <c r="H450" s="8"/>
    </row>
    <row r="451" spans="1:8" ht="15.75" customHeight="1">
      <c r="A451" s="8"/>
      <c r="B451" s="8"/>
      <c r="C451" s="8"/>
      <c r="D451" s="8"/>
      <c r="E451" s="8"/>
      <c r="F451" s="8"/>
      <c r="G451" s="8"/>
      <c r="H451" s="8"/>
    </row>
    <row r="452" spans="1:8" ht="15.75" customHeight="1">
      <c r="A452" s="8"/>
      <c r="B452" s="8"/>
      <c r="C452" s="8"/>
      <c r="D452" s="8"/>
      <c r="E452" s="8"/>
      <c r="F452" s="8"/>
      <c r="G452" s="8"/>
      <c r="H452" s="8"/>
    </row>
    <row r="453" spans="1:8" ht="15.75" customHeight="1">
      <c r="A453" s="8"/>
      <c r="B453" s="8"/>
      <c r="C453" s="8"/>
      <c r="D453" s="8"/>
      <c r="E453" s="8"/>
      <c r="F453" s="8"/>
      <c r="G453" s="8"/>
      <c r="H453" s="8"/>
    </row>
    <row r="454" spans="1:8" ht="15.75" customHeight="1">
      <c r="A454" s="8"/>
      <c r="B454" s="8"/>
      <c r="C454" s="8"/>
      <c r="D454" s="8"/>
      <c r="E454" s="8"/>
      <c r="F454" s="8"/>
      <c r="G454" s="8"/>
      <c r="H454" s="8"/>
    </row>
    <row r="455" spans="1:8" ht="15.75" customHeight="1">
      <c r="A455" s="8"/>
      <c r="B455" s="8"/>
      <c r="C455" s="8"/>
      <c r="D455" s="8"/>
      <c r="E455" s="8"/>
      <c r="F455" s="8"/>
      <c r="G455" s="8"/>
      <c r="H455" s="8"/>
    </row>
    <row r="456" spans="1:8" ht="15.75" customHeight="1">
      <c r="A456" s="8"/>
      <c r="B456" s="8"/>
      <c r="C456" s="8"/>
      <c r="D456" s="8"/>
      <c r="E456" s="8"/>
      <c r="F456" s="8"/>
      <c r="G456" s="8"/>
      <c r="H456" s="8"/>
    </row>
    <row r="457" spans="1:8" ht="15.75" customHeight="1">
      <c r="A457" s="8"/>
      <c r="B457" s="8"/>
      <c r="C457" s="8"/>
      <c r="D457" s="8"/>
      <c r="E457" s="8"/>
      <c r="F457" s="8"/>
      <c r="G457" s="8"/>
      <c r="H457" s="8"/>
    </row>
    <row r="458" spans="1:8" ht="15.75" customHeight="1">
      <c r="A458" s="8"/>
      <c r="B458" s="8"/>
      <c r="C458" s="8"/>
      <c r="D458" s="8"/>
      <c r="E458" s="8"/>
      <c r="F458" s="8"/>
      <c r="G458" s="8"/>
      <c r="H458" s="8"/>
    </row>
    <row r="459" spans="1:8" ht="15.75" customHeight="1">
      <c r="A459" s="8"/>
      <c r="B459" s="8"/>
      <c r="C459" s="8"/>
      <c r="D459" s="8"/>
      <c r="E459" s="8"/>
      <c r="F459" s="8"/>
      <c r="G459" s="8"/>
      <c r="H459" s="8"/>
    </row>
    <row r="460" spans="1:8" ht="15.75" customHeight="1">
      <c r="A460" s="8"/>
      <c r="B460" s="8"/>
      <c r="C460" s="8"/>
      <c r="D460" s="8"/>
      <c r="E460" s="8"/>
      <c r="F460" s="8"/>
      <c r="G460" s="8"/>
      <c r="H460" s="8"/>
    </row>
    <row r="461" spans="1:8" ht="15.75" customHeight="1">
      <c r="A461" s="8"/>
      <c r="B461" s="8"/>
      <c r="C461" s="8"/>
      <c r="D461" s="8"/>
      <c r="E461" s="8"/>
      <c r="F461" s="8"/>
      <c r="G461" s="8"/>
      <c r="H461" s="8"/>
    </row>
    <row r="462" spans="1:8" ht="15.75" customHeight="1">
      <c r="A462" s="8"/>
      <c r="B462" s="8"/>
      <c r="C462" s="8"/>
      <c r="D462" s="8"/>
      <c r="E462" s="8"/>
      <c r="F462" s="8"/>
      <c r="G462" s="8"/>
      <c r="H462" s="8"/>
    </row>
    <row r="463" spans="1:8" ht="15.75" customHeight="1">
      <c r="A463" s="8"/>
      <c r="B463" s="8"/>
      <c r="C463" s="8"/>
      <c r="D463" s="8"/>
      <c r="E463" s="8"/>
      <c r="F463" s="8"/>
      <c r="G463" s="8"/>
      <c r="H463" s="8"/>
    </row>
    <row r="464" spans="1:8" ht="15.75" customHeight="1">
      <c r="A464" s="8"/>
      <c r="B464" s="8"/>
      <c r="C464" s="8"/>
      <c r="D464" s="8"/>
      <c r="E464" s="8"/>
      <c r="F464" s="8"/>
      <c r="G464" s="8"/>
      <c r="H464" s="8"/>
    </row>
    <row r="465" spans="1:8" ht="15.75" customHeight="1">
      <c r="A465" s="8"/>
      <c r="B465" s="8"/>
      <c r="C465" s="8"/>
      <c r="D465" s="8"/>
      <c r="E465" s="8"/>
      <c r="F465" s="8"/>
      <c r="G465" s="8"/>
      <c r="H465" s="8"/>
    </row>
    <row r="466" spans="1:8" ht="15.75" customHeight="1">
      <c r="A466" s="8"/>
      <c r="B466" s="8"/>
      <c r="C466" s="8"/>
      <c r="D466" s="8"/>
      <c r="E466" s="8"/>
      <c r="F466" s="8"/>
      <c r="G466" s="8"/>
      <c r="H466" s="8"/>
    </row>
    <row r="467" spans="1:8" ht="15.75" customHeight="1">
      <c r="A467" s="8"/>
      <c r="B467" s="8"/>
      <c r="C467" s="8"/>
      <c r="D467" s="8"/>
      <c r="E467" s="8"/>
      <c r="F467" s="8"/>
      <c r="G467" s="8"/>
      <c r="H467" s="8"/>
    </row>
    <row r="468" spans="1:8" ht="15.75" customHeight="1">
      <c r="A468" s="8"/>
      <c r="B468" s="8"/>
      <c r="C468" s="8"/>
      <c r="D468" s="8"/>
      <c r="E468" s="8"/>
      <c r="F468" s="8"/>
      <c r="G468" s="8"/>
      <c r="H468" s="8"/>
    </row>
    <row r="469" spans="1:8" ht="15.75" customHeight="1">
      <c r="A469" s="8"/>
      <c r="B469" s="8"/>
      <c r="C469" s="8"/>
      <c r="D469" s="8"/>
      <c r="E469" s="8"/>
      <c r="F469" s="8"/>
      <c r="G469" s="8"/>
      <c r="H469" s="8"/>
    </row>
    <row r="470" spans="1:8" ht="15.75" customHeight="1">
      <c r="A470" s="8"/>
      <c r="B470" s="8"/>
      <c r="C470" s="8"/>
      <c r="D470" s="8"/>
      <c r="E470" s="8"/>
      <c r="F470" s="8"/>
      <c r="G470" s="8"/>
      <c r="H470" s="8"/>
    </row>
    <row r="471" spans="1:8" ht="15.75" customHeight="1">
      <c r="A471" s="8"/>
      <c r="B471" s="8"/>
      <c r="C471" s="8"/>
      <c r="D471" s="8"/>
      <c r="E471" s="8"/>
      <c r="F471" s="8"/>
      <c r="G471" s="8"/>
      <c r="H471" s="8"/>
    </row>
    <row r="472" spans="1:8" ht="15.75" customHeight="1">
      <c r="A472" s="8"/>
      <c r="B472" s="8"/>
      <c r="C472" s="8"/>
      <c r="D472" s="8"/>
      <c r="E472" s="8"/>
      <c r="F472" s="8"/>
      <c r="G472" s="8"/>
      <c r="H472" s="8"/>
    </row>
    <row r="473" spans="1:8" ht="15.75" customHeight="1">
      <c r="A473" s="8"/>
      <c r="B473" s="8"/>
      <c r="C473" s="8"/>
      <c r="D473" s="8"/>
      <c r="E473" s="8"/>
      <c r="F473" s="8"/>
      <c r="G473" s="8"/>
      <c r="H473" s="8"/>
    </row>
    <row r="474" spans="1:8" ht="15.75" customHeight="1">
      <c r="A474" s="8"/>
      <c r="B474" s="8"/>
      <c r="C474" s="8"/>
      <c r="D474" s="8"/>
      <c r="E474" s="8"/>
      <c r="F474" s="8"/>
      <c r="G474" s="8"/>
      <c r="H474" s="8"/>
    </row>
    <row r="475" spans="1:8" ht="15.75" customHeight="1">
      <c r="A475" s="8"/>
      <c r="B475" s="8"/>
      <c r="C475" s="8"/>
      <c r="D475" s="8"/>
      <c r="E475" s="8"/>
      <c r="F475" s="8"/>
      <c r="G475" s="8"/>
      <c r="H475" s="8"/>
    </row>
    <row r="476" spans="1:8" ht="15.75" customHeight="1">
      <c r="A476" s="8"/>
      <c r="B476" s="8"/>
      <c r="C476" s="8"/>
      <c r="D476" s="8"/>
      <c r="E476" s="8"/>
      <c r="F476" s="8"/>
      <c r="G476" s="8"/>
      <c r="H476" s="8"/>
    </row>
    <row r="477" spans="1:8" ht="15.75" customHeight="1">
      <c r="A477" s="8"/>
      <c r="B477" s="8"/>
      <c r="C477" s="8"/>
      <c r="D477" s="8"/>
      <c r="E477" s="8"/>
      <c r="F477" s="8"/>
      <c r="G477" s="8"/>
      <c r="H477" s="8"/>
    </row>
    <row r="478" spans="1:8" ht="15.75" customHeight="1">
      <c r="A478" s="8"/>
      <c r="B478" s="8"/>
      <c r="C478" s="8"/>
      <c r="D478" s="8"/>
      <c r="E478" s="8"/>
      <c r="F478" s="8"/>
      <c r="G478" s="8"/>
      <c r="H478" s="8"/>
    </row>
    <row r="479" spans="1:8" ht="15.75" customHeight="1">
      <c r="A479" s="8"/>
      <c r="B479" s="8"/>
      <c r="C479" s="8"/>
      <c r="D479" s="8"/>
      <c r="E479" s="8"/>
      <c r="F479" s="8"/>
      <c r="G479" s="8"/>
      <c r="H479" s="8"/>
    </row>
    <row r="480" spans="1:8" ht="15.75" customHeight="1">
      <c r="A480" s="8"/>
      <c r="B480" s="8"/>
      <c r="C480" s="8"/>
      <c r="D480" s="8"/>
      <c r="E480" s="8"/>
      <c r="F480" s="8"/>
      <c r="G480" s="8"/>
      <c r="H480" s="8"/>
    </row>
    <row r="481" spans="1:8" ht="15.75" customHeight="1">
      <c r="A481" s="8"/>
      <c r="B481" s="8"/>
      <c r="C481" s="8"/>
      <c r="D481" s="8"/>
      <c r="E481" s="8"/>
      <c r="F481" s="8"/>
      <c r="G481" s="8"/>
      <c r="H481" s="8"/>
    </row>
    <row r="482" spans="1:8" ht="15.75" customHeight="1">
      <c r="A482" s="8"/>
      <c r="B482" s="8"/>
      <c r="C482" s="8"/>
      <c r="D482" s="8"/>
      <c r="E482" s="8"/>
      <c r="F482" s="8"/>
      <c r="G482" s="8"/>
      <c r="H482" s="8"/>
    </row>
    <row r="483" spans="1:8" ht="15.75" customHeight="1">
      <c r="A483" s="8"/>
      <c r="B483" s="8"/>
      <c r="C483" s="8"/>
      <c r="D483" s="8"/>
      <c r="E483" s="8"/>
      <c r="F483" s="8"/>
      <c r="G483" s="8"/>
      <c r="H483" s="8"/>
    </row>
    <row r="484" spans="1:8" ht="15.75" customHeight="1">
      <c r="A484" s="8"/>
      <c r="B484" s="8"/>
      <c r="C484" s="8"/>
      <c r="D484" s="8"/>
      <c r="E484" s="8"/>
      <c r="F484" s="8"/>
      <c r="G484" s="8"/>
      <c r="H484" s="8"/>
    </row>
    <row r="485" spans="1:8" ht="15.75" customHeight="1">
      <c r="A485" s="8"/>
      <c r="B485" s="8"/>
      <c r="C485" s="8"/>
      <c r="D485" s="8"/>
      <c r="E485" s="8"/>
      <c r="F485" s="8"/>
      <c r="G485" s="8"/>
      <c r="H485" s="8"/>
    </row>
    <row r="486" spans="1:8" ht="15.75" customHeight="1">
      <c r="A486" s="8"/>
      <c r="B486" s="8"/>
      <c r="C486" s="8"/>
      <c r="D486" s="8"/>
      <c r="E486" s="8"/>
      <c r="F486" s="8"/>
      <c r="G486" s="8"/>
      <c r="H486" s="8"/>
    </row>
    <row r="487" spans="1:8" ht="15.75" customHeight="1">
      <c r="A487" s="8"/>
      <c r="B487" s="8"/>
      <c r="C487" s="8"/>
      <c r="D487" s="8"/>
      <c r="E487" s="8"/>
      <c r="F487" s="8"/>
      <c r="G487" s="8"/>
      <c r="H487" s="8"/>
    </row>
    <row r="488" spans="1:8" ht="15.75" customHeight="1">
      <c r="A488" s="8"/>
      <c r="B488" s="8"/>
      <c r="C488" s="8"/>
      <c r="D488" s="8"/>
      <c r="E488" s="8"/>
      <c r="F488" s="8"/>
      <c r="G488" s="8"/>
      <c r="H488" s="8"/>
    </row>
    <row r="489" spans="1:8" ht="15.75" customHeight="1">
      <c r="A489" s="8"/>
      <c r="B489" s="8"/>
      <c r="C489" s="8"/>
      <c r="D489" s="8"/>
      <c r="E489" s="8"/>
      <c r="F489" s="8"/>
      <c r="G489" s="8"/>
      <c r="H489" s="8"/>
    </row>
    <row r="490" spans="1:8" ht="15.75" customHeight="1">
      <c r="A490" s="8"/>
      <c r="B490" s="8"/>
      <c r="C490" s="8"/>
      <c r="D490" s="8"/>
      <c r="E490" s="8"/>
      <c r="F490" s="8"/>
      <c r="G490" s="8"/>
      <c r="H490" s="8"/>
    </row>
    <row r="491" spans="1:8" ht="15.75" customHeight="1">
      <c r="A491" s="8"/>
      <c r="B491" s="8"/>
      <c r="C491" s="8"/>
      <c r="D491" s="8"/>
      <c r="E491" s="8"/>
      <c r="F491" s="8"/>
      <c r="G491" s="8"/>
      <c r="H491" s="8"/>
    </row>
    <row r="492" spans="1:8" ht="15.75" customHeight="1">
      <c r="A492" s="8"/>
      <c r="B492" s="8"/>
      <c r="C492" s="8"/>
      <c r="D492" s="8"/>
      <c r="E492" s="8"/>
      <c r="F492" s="8"/>
      <c r="G492" s="8"/>
      <c r="H492" s="8"/>
    </row>
    <row r="493" spans="1:8" ht="15.75" customHeight="1">
      <c r="A493" s="8"/>
      <c r="B493" s="8"/>
      <c r="C493" s="8"/>
      <c r="D493" s="8"/>
      <c r="E493" s="8"/>
      <c r="F493" s="8"/>
      <c r="G493" s="8"/>
      <c r="H493" s="8"/>
    </row>
    <row r="494" spans="1:8" ht="15.75" customHeight="1">
      <c r="A494" s="8"/>
      <c r="B494" s="8"/>
      <c r="C494" s="8"/>
      <c r="D494" s="8"/>
      <c r="E494" s="8"/>
      <c r="F494" s="8"/>
      <c r="G494" s="8"/>
      <c r="H494" s="8"/>
    </row>
    <row r="495" spans="1:8" ht="15.75" customHeight="1">
      <c r="A495" s="8"/>
      <c r="B495" s="8"/>
      <c r="C495" s="8"/>
      <c r="D495" s="8"/>
      <c r="E495" s="8"/>
      <c r="F495" s="8"/>
      <c r="G495" s="8"/>
      <c r="H495" s="8"/>
    </row>
    <row r="496" spans="1:8" ht="15.75" customHeight="1">
      <c r="A496" s="8"/>
      <c r="B496" s="8"/>
      <c r="C496" s="8"/>
      <c r="D496" s="8"/>
      <c r="E496" s="8"/>
      <c r="F496" s="8"/>
      <c r="G496" s="8"/>
      <c r="H496" s="8"/>
    </row>
    <row r="497" spans="1:8" ht="15.75" customHeight="1">
      <c r="A497" s="8"/>
      <c r="B497" s="8"/>
      <c r="C497" s="8"/>
      <c r="D497" s="8"/>
      <c r="E497" s="8"/>
      <c r="F497" s="8"/>
      <c r="G497" s="8"/>
      <c r="H497" s="8"/>
    </row>
    <row r="498" spans="1:8" ht="15.75" customHeight="1">
      <c r="A498" s="8"/>
      <c r="B498" s="8"/>
      <c r="C498" s="8"/>
      <c r="D498" s="8"/>
      <c r="E498" s="8"/>
      <c r="F498" s="8"/>
      <c r="G498" s="8"/>
      <c r="H498" s="8"/>
    </row>
    <row r="499" spans="1:8" ht="15.75" customHeight="1">
      <c r="A499" s="8"/>
      <c r="B499" s="8"/>
      <c r="C499" s="8"/>
      <c r="D499" s="8"/>
      <c r="E499" s="8"/>
      <c r="F499" s="8"/>
      <c r="G499" s="8"/>
      <c r="H499" s="8"/>
    </row>
    <row r="500" spans="1:8" ht="15.75" customHeight="1">
      <c r="A500" s="8"/>
      <c r="B500" s="8"/>
      <c r="C500" s="8"/>
      <c r="D500" s="8"/>
      <c r="E500" s="8"/>
      <c r="F500" s="8"/>
      <c r="G500" s="8"/>
      <c r="H500" s="8"/>
    </row>
    <row r="501" spans="1:8" ht="15.75" customHeight="1">
      <c r="A501" s="8"/>
      <c r="B501" s="8"/>
      <c r="C501" s="8"/>
      <c r="D501" s="8"/>
      <c r="E501" s="8"/>
      <c r="F501" s="8"/>
      <c r="G501" s="8"/>
      <c r="H501" s="8"/>
    </row>
    <row r="502" spans="1:8" ht="15.75" customHeight="1">
      <c r="A502" s="8"/>
      <c r="B502" s="8"/>
      <c r="C502" s="8"/>
      <c r="D502" s="8"/>
      <c r="E502" s="8"/>
      <c r="F502" s="8"/>
      <c r="G502" s="8"/>
      <c r="H502" s="8"/>
    </row>
    <row r="503" spans="1:8" ht="15.75" customHeight="1">
      <c r="A503" s="8"/>
      <c r="B503" s="8"/>
      <c r="C503" s="8"/>
      <c r="D503" s="8"/>
      <c r="E503" s="8"/>
      <c r="F503" s="8"/>
      <c r="G503" s="8"/>
      <c r="H503" s="8"/>
    </row>
    <row r="504" spans="1:8" ht="15.75" customHeight="1">
      <c r="A504" s="8"/>
      <c r="B504" s="8"/>
      <c r="C504" s="8"/>
      <c r="D504" s="8"/>
      <c r="E504" s="8"/>
      <c r="F504" s="8"/>
      <c r="G504" s="8"/>
      <c r="H504" s="8"/>
    </row>
    <row r="505" spans="1:8" ht="15.75" customHeight="1">
      <c r="A505" s="8"/>
      <c r="B505" s="8"/>
      <c r="C505" s="8"/>
      <c r="D505" s="8"/>
      <c r="E505" s="8"/>
      <c r="F505" s="8"/>
      <c r="G505" s="8"/>
      <c r="H505" s="8"/>
    </row>
    <row r="506" spans="1:8" ht="15.75" customHeight="1">
      <c r="A506" s="8"/>
      <c r="B506" s="8"/>
      <c r="C506" s="8"/>
      <c r="D506" s="8"/>
      <c r="E506" s="8"/>
      <c r="F506" s="8"/>
      <c r="G506" s="8"/>
      <c r="H506" s="8"/>
    </row>
    <row r="507" spans="1:8" ht="15.75" customHeight="1">
      <c r="A507" s="8"/>
      <c r="B507" s="8"/>
      <c r="C507" s="8"/>
      <c r="D507" s="8"/>
      <c r="E507" s="8"/>
      <c r="F507" s="8"/>
      <c r="G507" s="8"/>
      <c r="H507" s="8"/>
    </row>
    <row r="508" spans="1:8" ht="15.75" customHeight="1">
      <c r="A508" s="8"/>
      <c r="B508" s="8"/>
      <c r="C508" s="8"/>
      <c r="D508" s="8"/>
      <c r="E508" s="8"/>
      <c r="F508" s="8"/>
      <c r="G508" s="8"/>
      <c r="H508" s="8"/>
    </row>
    <row r="509" spans="1:8" ht="15.75" customHeight="1">
      <c r="A509" s="8"/>
      <c r="B509" s="8"/>
      <c r="C509" s="8"/>
      <c r="D509" s="8"/>
      <c r="E509" s="8"/>
      <c r="F509" s="8"/>
      <c r="G509" s="8"/>
      <c r="H509" s="8"/>
    </row>
    <row r="510" spans="1:8" ht="15.75" customHeight="1">
      <c r="A510" s="8"/>
      <c r="B510" s="8"/>
      <c r="C510" s="8"/>
      <c r="D510" s="8"/>
      <c r="E510" s="8"/>
      <c r="F510" s="8"/>
      <c r="G510" s="8"/>
      <c r="H510" s="8"/>
    </row>
    <row r="511" spans="1:8" ht="15.75" customHeight="1">
      <c r="A511" s="8"/>
      <c r="B511" s="8"/>
      <c r="C511" s="8"/>
      <c r="D511" s="8"/>
      <c r="E511" s="8"/>
      <c r="F511" s="8"/>
      <c r="G511" s="8"/>
      <c r="H511" s="8"/>
    </row>
    <row r="512" spans="1:8" ht="15.75" customHeight="1">
      <c r="A512" s="8"/>
      <c r="B512" s="8"/>
      <c r="C512" s="8"/>
      <c r="D512" s="8"/>
      <c r="E512" s="8"/>
      <c r="F512" s="8"/>
      <c r="G512" s="8"/>
      <c r="H512" s="8"/>
    </row>
    <row r="513" spans="1:8" ht="15.75" customHeight="1">
      <c r="A513" s="8"/>
      <c r="B513" s="8"/>
      <c r="C513" s="8"/>
      <c r="D513" s="8"/>
      <c r="E513" s="8"/>
      <c r="F513" s="8"/>
      <c r="G513" s="8"/>
      <c r="H513" s="8"/>
    </row>
    <row r="514" spans="1:8" ht="15.75" customHeight="1">
      <c r="A514" s="8"/>
      <c r="B514" s="8"/>
      <c r="C514" s="8"/>
      <c r="D514" s="8"/>
      <c r="E514" s="8"/>
      <c r="F514" s="8"/>
      <c r="G514" s="8"/>
      <c r="H514" s="8"/>
    </row>
    <row r="515" spans="1:8" ht="15.75" customHeight="1">
      <c r="A515" s="8"/>
      <c r="B515" s="8"/>
      <c r="C515" s="8"/>
      <c r="D515" s="8"/>
      <c r="E515" s="8"/>
      <c r="F515" s="8"/>
      <c r="G515" s="8"/>
      <c r="H515" s="8"/>
    </row>
    <row r="516" spans="1:8" ht="15.75" customHeight="1">
      <c r="A516" s="8"/>
      <c r="B516" s="8"/>
      <c r="C516" s="8"/>
      <c r="D516" s="8"/>
      <c r="E516" s="8"/>
      <c r="F516" s="8"/>
      <c r="G516" s="8"/>
      <c r="H516" s="8"/>
    </row>
    <row r="517" spans="1:8" ht="15.75" customHeight="1">
      <c r="A517" s="8"/>
      <c r="B517" s="8"/>
      <c r="C517" s="8"/>
      <c r="D517" s="8"/>
      <c r="E517" s="8"/>
      <c r="F517" s="8"/>
      <c r="G517" s="8"/>
      <c r="H517" s="8"/>
    </row>
    <row r="518" spans="1:8" ht="15.75" customHeight="1">
      <c r="A518" s="8"/>
      <c r="B518" s="8"/>
      <c r="C518" s="8"/>
      <c r="D518" s="8"/>
      <c r="E518" s="8"/>
      <c r="F518" s="8"/>
      <c r="G518" s="8"/>
      <c r="H518" s="8"/>
    </row>
    <row r="519" spans="1:8" ht="15.75" customHeight="1">
      <c r="A519" s="8"/>
      <c r="B519" s="8"/>
      <c r="C519" s="8"/>
      <c r="D519" s="8"/>
      <c r="E519" s="8"/>
      <c r="F519" s="8"/>
      <c r="G519" s="8"/>
      <c r="H519" s="8"/>
    </row>
    <row r="520" spans="1:8" ht="15.75" customHeight="1">
      <c r="A520" s="8"/>
      <c r="B520" s="8"/>
      <c r="C520" s="8"/>
      <c r="D520" s="8"/>
      <c r="E520" s="8"/>
      <c r="F520" s="8"/>
      <c r="G520" s="8"/>
      <c r="H520" s="8"/>
    </row>
    <row r="521" spans="1:8" ht="15.75" customHeight="1">
      <c r="A521" s="8"/>
      <c r="B521" s="8"/>
      <c r="C521" s="8"/>
      <c r="D521" s="8"/>
      <c r="E521" s="8"/>
      <c r="F521" s="8"/>
      <c r="G521" s="8"/>
      <c r="H521" s="8"/>
    </row>
    <row r="522" spans="1:8" ht="15.75" customHeight="1">
      <c r="A522" s="8"/>
      <c r="B522" s="8"/>
      <c r="C522" s="8"/>
      <c r="D522" s="8"/>
      <c r="E522" s="8"/>
      <c r="F522" s="8"/>
      <c r="G522" s="8"/>
      <c r="H522" s="8"/>
    </row>
    <row r="523" spans="1:8" ht="15.75" customHeight="1">
      <c r="A523" s="8"/>
      <c r="B523" s="8"/>
      <c r="C523" s="8"/>
      <c r="D523" s="8"/>
      <c r="E523" s="8"/>
      <c r="F523" s="8"/>
      <c r="G523" s="8"/>
      <c r="H523" s="8"/>
    </row>
    <row r="524" spans="1:8" ht="15.75" customHeight="1">
      <c r="A524" s="8"/>
      <c r="B524" s="8"/>
      <c r="C524" s="8"/>
      <c r="D524" s="8"/>
      <c r="E524" s="8"/>
      <c r="F524" s="8"/>
      <c r="G524" s="8"/>
      <c r="H524" s="8"/>
    </row>
    <row r="525" spans="1:8" ht="15.75" customHeight="1">
      <c r="A525" s="8"/>
      <c r="B525" s="8"/>
      <c r="C525" s="8"/>
      <c r="D525" s="8"/>
      <c r="E525" s="8"/>
      <c r="F525" s="8"/>
      <c r="G525" s="8"/>
      <c r="H525" s="8"/>
    </row>
    <row r="526" spans="1:8" ht="15.75" customHeight="1">
      <c r="A526" s="8"/>
      <c r="B526" s="8"/>
      <c r="C526" s="8"/>
      <c r="D526" s="8"/>
      <c r="E526" s="8"/>
      <c r="F526" s="8"/>
      <c r="G526" s="8"/>
      <c r="H526" s="8"/>
    </row>
    <row r="527" spans="1:8" ht="15.75" customHeight="1">
      <c r="A527" s="8"/>
      <c r="B527" s="8"/>
      <c r="C527" s="8"/>
      <c r="D527" s="8"/>
      <c r="E527" s="8"/>
      <c r="F527" s="8"/>
      <c r="G527" s="8"/>
      <c r="H527" s="8"/>
    </row>
    <row r="528" spans="1:8" ht="15.75" customHeight="1">
      <c r="A528" s="8"/>
      <c r="B528" s="8"/>
      <c r="C528" s="8"/>
      <c r="D528" s="8"/>
      <c r="E528" s="8"/>
      <c r="F528" s="8"/>
      <c r="G528" s="8"/>
      <c r="H528" s="8"/>
    </row>
    <row r="529" spans="1:8" ht="15.75" customHeight="1">
      <c r="A529" s="8"/>
      <c r="B529" s="8"/>
      <c r="C529" s="8"/>
      <c r="D529" s="8"/>
      <c r="E529" s="8"/>
      <c r="F529" s="8"/>
      <c r="G529" s="8"/>
      <c r="H529" s="8"/>
    </row>
    <row r="530" spans="1:8" ht="15.75" customHeight="1">
      <c r="A530" s="8"/>
      <c r="B530" s="8"/>
      <c r="C530" s="8"/>
      <c r="D530" s="8"/>
      <c r="E530" s="8"/>
      <c r="F530" s="8"/>
      <c r="G530" s="8"/>
      <c r="H530" s="8"/>
    </row>
    <row r="531" spans="1:8" ht="15.75" customHeight="1">
      <c r="A531" s="8"/>
      <c r="B531" s="8"/>
      <c r="C531" s="8"/>
      <c r="D531" s="8"/>
      <c r="E531" s="8"/>
      <c r="F531" s="8"/>
      <c r="G531" s="8"/>
      <c r="H531" s="8"/>
    </row>
    <row r="532" spans="1:8" ht="15.75" customHeight="1">
      <c r="A532" s="8"/>
      <c r="B532" s="8"/>
      <c r="C532" s="8"/>
      <c r="D532" s="8"/>
      <c r="E532" s="8"/>
      <c r="F532" s="8"/>
      <c r="G532" s="8"/>
      <c r="H532" s="8"/>
    </row>
    <row r="533" spans="1:8" ht="15.75" customHeight="1">
      <c r="A533" s="8"/>
      <c r="B533" s="8"/>
      <c r="C533" s="8"/>
      <c r="D533" s="8"/>
      <c r="E533" s="8"/>
      <c r="F533" s="8"/>
      <c r="G533" s="8"/>
      <c r="H533" s="8"/>
    </row>
    <row r="534" spans="1:8" ht="15.75" customHeight="1">
      <c r="A534" s="8"/>
      <c r="B534" s="8"/>
      <c r="C534" s="8"/>
      <c r="D534" s="8"/>
      <c r="E534" s="8"/>
      <c r="F534" s="8"/>
      <c r="G534" s="8"/>
      <c r="H534" s="8"/>
    </row>
    <row r="535" spans="1:8" ht="15.75" customHeight="1">
      <c r="A535" s="8"/>
      <c r="B535" s="8"/>
      <c r="C535" s="8"/>
      <c r="D535" s="8"/>
      <c r="E535" s="8"/>
      <c r="F535" s="8"/>
      <c r="G535" s="8"/>
      <c r="H535" s="8"/>
    </row>
    <row r="536" spans="1:8" ht="15.75" customHeight="1">
      <c r="A536" s="8"/>
      <c r="B536" s="8"/>
      <c r="C536" s="8"/>
      <c r="D536" s="8"/>
      <c r="E536" s="8"/>
      <c r="F536" s="8"/>
      <c r="G536" s="8"/>
      <c r="H536" s="8"/>
    </row>
    <row r="537" spans="1:8" ht="15.75" customHeight="1">
      <c r="A537" s="8"/>
      <c r="B537" s="8"/>
      <c r="C537" s="8"/>
      <c r="D537" s="8"/>
      <c r="E537" s="8"/>
      <c r="F537" s="8"/>
      <c r="G537" s="8"/>
      <c r="H537" s="8"/>
    </row>
    <row r="538" spans="1:8" ht="15.75" customHeight="1">
      <c r="A538" s="8"/>
      <c r="B538" s="8"/>
      <c r="C538" s="8"/>
      <c r="D538" s="8"/>
      <c r="E538" s="8"/>
      <c r="F538" s="8"/>
      <c r="G538" s="8"/>
      <c r="H538" s="8"/>
    </row>
    <row r="539" spans="1:8" ht="15.75" customHeight="1">
      <c r="A539" s="8"/>
      <c r="B539" s="8"/>
      <c r="C539" s="8"/>
      <c r="D539" s="8"/>
      <c r="E539" s="8"/>
      <c r="F539" s="8"/>
      <c r="G539" s="8"/>
      <c r="H539" s="8"/>
    </row>
    <row r="540" spans="1:8" ht="15.75" customHeight="1">
      <c r="A540" s="8"/>
      <c r="B540" s="8"/>
      <c r="C540" s="8"/>
      <c r="D540" s="8"/>
      <c r="E540" s="8"/>
      <c r="F540" s="8"/>
      <c r="G540" s="8"/>
      <c r="H540" s="8"/>
    </row>
    <row r="541" spans="1:8" ht="15.75" customHeight="1">
      <c r="A541" s="8"/>
      <c r="B541" s="8"/>
      <c r="C541" s="8"/>
      <c r="D541" s="8"/>
      <c r="E541" s="8"/>
      <c r="F541" s="8"/>
      <c r="G541" s="8"/>
      <c r="H541" s="8"/>
    </row>
    <row r="542" spans="1:8" ht="15.75" customHeight="1">
      <c r="A542" s="8"/>
      <c r="B542" s="8"/>
      <c r="C542" s="8"/>
      <c r="D542" s="8"/>
      <c r="E542" s="8"/>
      <c r="F542" s="8"/>
      <c r="G542" s="8"/>
      <c r="H542" s="8"/>
    </row>
    <row r="543" spans="1:8" ht="15.75" customHeight="1">
      <c r="A543" s="8"/>
      <c r="B543" s="8"/>
      <c r="C543" s="8"/>
      <c r="D543" s="8"/>
      <c r="E543" s="8"/>
      <c r="F543" s="8"/>
      <c r="G543" s="8"/>
      <c r="H543" s="8"/>
    </row>
    <row r="544" spans="1:8" ht="15.75" customHeight="1">
      <c r="A544" s="8"/>
      <c r="B544" s="8"/>
      <c r="C544" s="8"/>
      <c r="D544" s="8"/>
      <c r="E544" s="8"/>
      <c r="F544" s="8"/>
      <c r="G544" s="8"/>
      <c r="H544" s="8"/>
    </row>
    <row r="545" spans="1:8" ht="15.75" customHeight="1">
      <c r="A545" s="8"/>
      <c r="B545" s="8"/>
      <c r="C545" s="8"/>
      <c r="D545" s="8"/>
      <c r="E545" s="8"/>
      <c r="F545" s="8"/>
      <c r="G545" s="8"/>
      <c r="H545" s="8"/>
    </row>
    <row r="546" spans="1:8" ht="15.75" customHeight="1">
      <c r="A546" s="8"/>
      <c r="B546" s="8"/>
      <c r="C546" s="8"/>
      <c r="D546" s="8"/>
      <c r="E546" s="8"/>
      <c r="F546" s="8"/>
      <c r="G546" s="8"/>
      <c r="H546" s="8"/>
    </row>
    <row r="547" spans="1:8" ht="15.75" customHeight="1">
      <c r="A547" s="8"/>
      <c r="B547" s="8"/>
      <c r="C547" s="8"/>
      <c r="D547" s="8"/>
      <c r="E547" s="8"/>
      <c r="F547" s="8"/>
      <c r="G547" s="8"/>
      <c r="H547" s="8"/>
    </row>
    <row r="548" spans="1:8" ht="15.75" customHeight="1">
      <c r="A548" s="8"/>
      <c r="B548" s="8"/>
      <c r="C548" s="8"/>
      <c r="D548" s="8"/>
      <c r="E548" s="8"/>
      <c r="F548" s="8"/>
      <c r="G548" s="8"/>
      <c r="H548" s="8"/>
    </row>
    <row r="549" spans="1:8" ht="15.75" customHeight="1">
      <c r="A549" s="8"/>
      <c r="B549" s="8"/>
      <c r="C549" s="8"/>
      <c r="D549" s="8"/>
      <c r="E549" s="8"/>
      <c r="F549" s="8"/>
      <c r="G549" s="8"/>
      <c r="H549" s="8"/>
    </row>
    <row r="550" spans="1:8" ht="15.75" customHeight="1">
      <c r="A550" s="8"/>
      <c r="B550" s="8"/>
      <c r="C550" s="8"/>
      <c r="D550" s="8"/>
      <c r="E550" s="8"/>
      <c r="F550" s="8"/>
      <c r="G550" s="8"/>
      <c r="H550" s="8"/>
    </row>
    <row r="551" spans="1:8" ht="15.75" customHeight="1">
      <c r="A551" s="8"/>
      <c r="B551" s="8"/>
      <c r="C551" s="8"/>
      <c r="D551" s="8"/>
      <c r="E551" s="8"/>
      <c r="F551" s="8"/>
      <c r="G551" s="8"/>
      <c r="H551" s="8"/>
    </row>
    <row r="552" spans="1:8" ht="15.75" customHeight="1">
      <c r="A552" s="8"/>
      <c r="B552" s="8"/>
      <c r="C552" s="8"/>
      <c r="D552" s="8"/>
      <c r="E552" s="8"/>
      <c r="F552" s="8"/>
      <c r="G552" s="8"/>
      <c r="H552" s="8"/>
    </row>
    <row r="553" spans="1:8" ht="15.75" customHeight="1">
      <c r="A553" s="8"/>
      <c r="B553" s="8"/>
      <c r="C553" s="8"/>
      <c r="D553" s="8"/>
      <c r="E553" s="8"/>
      <c r="F553" s="8"/>
      <c r="G553" s="8"/>
      <c r="H553" s="8"/>
    </row>
    <row r="554" spans="1:8" ht="15.75" customHeight="1">
      <c r="A554" s="8"/>
      <c r="B554" s="8"/>
      <c r="C554" s="8"/>
      <c r="D554" s="8"/>
      <c r="E554" s="8"/>
      <c r="F554" s="8"/>
      <c r="G554" s="8"/>
      <c r="H554" s="8"/>
    </row>
    <row r="555" spans="1:8" ht="15.75" customHeight="1">
      <c r="A555" s="8"/>
      <c r="B555" s="8"/>
      <c r="C555" s="8"/>
      <c r="D555" s="8"/>
      <c r="E555" s="8"/>
      <c r="F555" s="8"/>
      <c r="G555" s="8"/>
      <c r="H555" s="8"/>
    </row>
    <row r="556" spans="1:8" ht="15.75" customHeight="1">
      <c r="A556" s="8"/>
      <c r="B556" s="8"/>
      <c r="C556" s="8"/>
      <c r="D556" s="8"/>
      <c r="E556" s="8"/>
      <c r="F556" s="8"/>
      <c r="G556" s="8"/>
      <c r="H556" s="8"/>
    </row>
    <row r="557" spans="1:8" ht="15.75" customHeight="1">
      <c r="A557" s="8"/>
      <c r="B557" s="8"/>
      <c r="C557" s="8"/>
      <c r="D557" s="8"/>
      <c r="E557" s="8"/>
      <c r="F557" s="8"/>
      <c r="G557" s="8"/>
      <c r="H557" s="8"/>
    </row>
    <row r="558" spans="1:8" ht="15.75" customHeight="1">
      <c r="A558" s="8"/>
      <c r="B558" s="8"/>
      <c r="C558" s="8"/>
      <c r="D558" s="8"/>
      <c r="E558" s="8"/>
      <c r="F558" s="8"/>
      <c r="G558" s="8"/>
      <c r="H558" s="8"/>
    </row>
    <row r="559" spans="1:8" ht="15.75" customHeight="1">
      <c r="A559" s="8"/>
      <c r="B559" s="8"/>
      <c r="C559" s="8"/>
      <c r="D559" s="8"/>
      <c r="E559" s="8"/>
      <c r="F559" s="8"/>
      <c r="G559" s="8"/>
      <c r="H559" s="8"/>
    </row>
    <row r="560" spans="1:8" ht="15.75" customHeight="1">
      <c r="A560" s="8"/>
      <c r="B560" s="8"/>
      <c r="C560" s="8"/>
      <c r="D560" s="8"/>
      <c r="E560" s="8"/>
      <c r="F560" s="8"/>
      <c r="G560" s="8"/>
      <c r="H560" s="8"/>
    </row>
    <row r="561" spans="1:8" ht="15.75" customHeight="1">
      <c r="A561" s="8"/>
      <c r="B561" s="8"/>
      <c r="C561" s="8"/>
      <c r="D561" s="8"/>
      <c r="E561" s="8"/>
      <c r="F561" s="8"/>
      <c r="G561" s="8"/>
      <c r="H561" s="8"/>
    </row>
    <row r="562" spans="1:8" ht="15.75" customHeight="1">
      <c r="A562" s="8"/>
      <c r="B562" s="8"/>
      <c r="C562" s="8"/>
      <c r="D562" s="8"/>
      <c r="E562" s="8"/>
      <c r="F562" s="8"/>
      <c r="G562" s="8"/>
      <c r="H562" s="8"/>
    </row>
    <row r="563" spans="1:8" ht="15.75" customHeight="1">
      <c r="A563" s="8"/>
      <c r="B563" s="8"/>
      <c r="C563" s="8"/>
      <c r="D563" s="8"/>
      <c r="E563" s="8"/>
      <c r="F563" s="8"/>
      <c r="G563" s="8"/>
      <c r="H563" s="8"/>
    </row>
    <row r="564" spans="1:8" ht="15.75" customHeight="1">
      <c r="A564" s="8"/>
      <c r="B564" s="8"/>
      <c r="C564" s="8"/>
      <c r="D564" s="8"/>
      <c r="E564" s="8"/>
      <c r="F564" s="8"/>
      <c r="G564" s="8"/>
      <c r="H564" s="8"/>
    </row>
    <row r="565" spans="1:8" ht="15.75" customHeight="1">
      <c r="A565" s="8"/>
      <c r="B565" s="8"/>
      <c r="C565" s="8"/>
      <c r="D565" s="8"/>
      <c r="E565" s="8"/>
      <c r="F565" s="8"/>
      <c r="G565" s="8"/>
      <c r="H565" s="8"/>
    </row>
    <row r="566" spans="1:8" ht="15.75" customHeight="1">
      <c r="A566" s="8"/>
      <c r="B566" s="8"/>
      <c r="C566" s="8"/>
      <c r="D566" s="8"/>
      <c r="E566" s="8"/>
      <c r="F566" s="8"/>
      <c r="G566" s="8"/>
      <c r="H566" s="8"/>
    </row>
    <row r="567" spans="1:8" ht="15.75" customHeight="1">
      <c r="A567" s="8"/>
      <c r="B567" s="8"/>
      <c r="C567" s="8"/>
      <c r="D567" s="8"/>
      <c r="E567" s="8"/>
      <c r="F567" s="8"/>
      <c r="G567" s="8"/>
      <c r="H567" s="8"/>
    </row>
    <row r="568" spans="1:8" ht="15.75" customHeight="1">
      <c r="A568" s="8"/>
      <c r="B568" s="8"/>
      <c r="C568" s="8"/>
      <c r="D568" s="8"/>
      <c r="E568" s="8"/>
      <c r="F568" s="8"/>
      <c r="G568" s="8"/>
      <c r="H568" s="8"/>
    </row>
    <row r="569" spans="1:8" ht="15.75" customHeight="1">
      <c r="A569" s="8"/>
      <c r="B569" s="8"/>
      <c r="C569" s="8"/>
      <c r="D569" s="8"/>
      <c r="E569" s="8"/>
      <c r="F569" s="8"/>
      <c r="G569" s="8"/>
      <c r="H569" s="8"/>
    </row>
    <row r="570" spans="1:8" ht="15.75" customHeight="1">
      <c r="A570" s="8"/>
      <c r="B570" s="8"/>
      <c r="C570" s="8"/>
      <c r="D570" s="8"/>
      <c r="E570" s="8"/>
      <c r="F570" s="8"/>
      <c r="G570" s="8"/>
      <c r="H570" s="8"/>
    </row>
    <row r="571" spans="1:8" ht="15.75" customHeight="1">
      <c r="A571" s="8"/>
      <c r="B571" s="8"/>
      <c r="C571" s="8"/>
      <c r="D571" s="8"/>
      <c r="E571" s="8"/>
      <c r="F571" s="8"/>
      <c r="G571" s="8"/>
      <c r="H571" s="8"/>
    </row>
    <row r="572" spans="1:8" ht="15.75" customHeight="1">
      <c r="A572" s="8"/>
      <c r="B572" s="8"/>
      <c r="C572" s="8"/>
      <c r="D572" s="8"/>
      <c r="E572" s="8"/>
      <c r="F572" s="8"/>
      <c r="G572" s="8"/>
      <c r="H572" s="8"/>
    </row>
    <row r="573" spans="1:8" ht="15.75" customHeight="1">
      <c r="A573" s="8"/>
      <c r="B573" s="8"/>
      <c r="C573" s="8"/>
      <c r="D573" s="8"/>
      <c r="E573" s="8"/>
      <c r="F573" s="8"/>
      <c r="G573" s="8"/>
      <c r="H573" s="8"/>
    </row>
    <row r="574" spans="1:8" ht="15.75" customHeight="1">
      <c r="A574" s="8"/>
      <c r="B574" s="8"/>
      <c r="C574" s="8"/>
      <c r="D574" s="8"/>
      <c r="E574" s="8"/>
      <c r="F574" s="8"/>
      <c r="G574" s="8"/>
      <c r="H574" s="8"/>
    </row>
    <row r="575" spans="1:8" ht="15.75" customHeight="1">
      <c r="A575" s="8"/>
      <c r="B575" s="8"/>
      <c r="C575" s="8"/>
      <c r="D575" s="8"/>
      <c r="E575" s="8"/>
      <c r="F575" s="8"/>
      <c r="G575" s="8"/>
      <c r="H575" s="8"/>
    </row>
    <row r="576" spans="1:8" ht="15.75" customHeight="1">
      <c r="A576" s="8"/>
      <c r="B576" s="8"/>
      <c r="C576" s="8"/>
      <c r="D576" s="8"/>
      <c r="E576" s="8"/>
      <c r="F576" s="8"/>
      <c r="G576" s="8"/>
      <c r="H576" s="8"/>
    </row>
    <row r="577" spans="1:8" ht="15.75" customHeight="1">
      <c r="A577" s="8"/>
      <c r="B577" s="8"/>
      <c r="C577" s="8"/>
      <c r="D577" s="8"/>
      <c r="E577" s="8"/>
      <c r="F577" s="8"/>
      <c r="G577" s="8"/>
      <c r="H577" s="8"/>
    </row>
    <row r="578" spans="1:8" ht="15.75" customHeight="1">
      <c r="A578" s="8"/>
      <c r="B578" s="8"/>
      <c r="C578" s="8"/>
      <c r="D578" s="8"/>
      <c r="E578" s="8"/>
      <c r="F578" s="8"/>
      <c r="G578" s="8"/>
      <c r="H578" s="8"/>
    </row>
    <row r="579" spans="1:8" ht="15.75" customHeight="1">
      <c r="A579" s="8"/>
      <c r="B579" s="8"/>
      <c r="C579" s="8"/>
      <c r="D579" s="8"/>
      <c r="E579" s="8"/>
      <c r="F579" s="8"/>
      <c r="G579" s="8"/>
      <c r="H579" s="8"/>
    </row>
    <row r="580" spans="1:8" ht="15.75" customHeight="1">
      <c r="A580" s="8"/>
      <c r="B580" s="8"/>
      <c r="C580" s="8"/>
      <c r="D580" s="8"/>
      <c r="E580" s="8"/>
      <c r="F580" s="8"/>
      <c r="G580" s="8"/>
      <c r="H580" s="8"/>
    </row>
    <row r="581" spans="1:8" ht="15.75" customHeight="1">
      <c r="A581" s="8"/>
      <c r="B581" s="8"/>
      <c r="C581" s="8"/>
      <c r="D581" s="8"/>
      <c r="E581" s="8"/>
      <c r="F581" s="8"/>
      <c r="G581" s="8"/>
      <c r="H581" s="8"/>
    </row>
    <row r="582" spans="1:8" ht="15.75" customHeight="1">
      <c r="A582" s="8"/>
      <c r="B582" s="8"/>
      <c r="C582" s="8"/>
      <c r="D582" s="8"/>
      <c r="E582" s="8"/>
      <c r="F582" s="8"/>
      <c r="G582" s="8"/>
      <c r="H582" s="8"/>
    </row>
    <row r="583" spans="1:8" ht="15.75" customHeight="1">
      <c r="A583" s="8"/>
      <c r="B583" s="8"/>
      <c r="C583" s="8"/>
      <c r="D583" s="8"/>
      <c r="E583" s="8"/>
      <c r="F583" s="8"/>
      <c r="G583" s="8"/>
      <c r="H583" s="8"/>
    </row>
    <row r="584" spans="1:8" ht="15.75" customHeight="1">
      <c r="A584" s="8"/>
      <c r="B584" s="8"/>
      <c r="C584" s="8"/>
      <c r="D584" s="8"/>
      <c r="E584" s="8"/>
      <c r="F584" s="8"/>
      <c r="G584" s="8"/>
      <c r="H584" s="8"/>
    </row>
    <row r="585" spans="1:8" ht="15.75" customHeight="1">
      <c r="A585" s="8"/>
      <c r="B585" s="8"/>
      <c r="C585" s="8"/>
      <c r="D585" s="8"/>
      <c r="E585" s="8"/>
      <c r="F585" s="8"/>
      <c r="G585" s="8"/>
      <c r="H585" s="8"/>
    </row>
    <row r="586" spans="1:8" ht="15.75" customHeight="1">
      <c r="A586" s="8"/>
      <c r="B586" s="8"/>
      <c r="C586" s="8"/>
      <c r="D586" s="8"/>
      <c r="E586" s="8"/>
      <c r="F586" s="8"/>
      <c r="G586" s="8"/>
      <c r="H586" s="8"/>
    </row>
    <row r="587" spans="1:8" ht="15.75" customHeight="1">
      <c r="A587" s="8"/>
      <c r="B587" s="8"/>
      <c r="C587" s="8"/>
      <c r="D587" s="8"/>
      <c r="E587" s="8"/>
      <c r="F587" s="8"/>
      <c r="G587" s="8"/>
      <c r="H587" s="8"/>
    </row>
    <row r="588" spans="1:8" ht="15.75" customHeight="1">
      <c r="A588" s="8"/>
      <c r="B588" s="8"/>
      <c r="C588" s="8"/>
      <c r="D588" s="8"/>
      <c r="E588" s="8"/>
      <c r="F588" s="8"/>
      <c r="G588" s="8"/>
      <c r="H588" s="8"/>
    </row>
    <row r="589" spans="1:8" ht="15.75" customHeight="1">
      <c r="A589" s="8"/>
      <c r="B589" s="8"/>
      <c r="C589" s="8"/>
      <c r="D589" s="8"/>
      <c r="E589" s="8"/>
      <c r="F589" s="8"/>
      <c r="G589" s="8"/>
      <c r="H589" s="8"/>
    </row>
    <row r="590" spans="1:8" ht="15.75" customHeight="1">
      <c r="A590" s="8"/>
      <c r="B590" s="8"/>
      <c r="C590" s="8"/>
      <c r="D590" s="8"/>
      <c r="E590" s="8"/>
      <c r="F590" s="8"/>
      <c r="G590" s="8"/>
      <c r="H590" s="8"/>
    </row>
    <row r="591" spans="1:8" ht="15.75" customHeight="1">
      <c r="A591" s="8"/>
      <c r="B591" s="8"/>
      <c r="C591" s="8"/>
      <c r="D591" s="8"/>
      <c r="E591" s="8"/>
      <c r="F591" s="8"/>
      <c r="G591" s="8"/>
      <c r="H591" s="8"/>
    </row>
    <row r="592" spans="1:8" ht="15.75" customHeight="1">
      <c r="A592" s="8"/>
      <c r="B592" s="8"/>
      <c r="C592" s="8"/>
      <c r="D592" s="8"/>
      <c r="E592" s="8"/>
      <c r="F592" s="8"/>
      <c r="G592" s="8"/>
      <c r="H592" s="8"/>
    </row>
    <row r="593" spans="1:8" ht="15.75" customHeight="1">
      <c r="A593" s="8"/>
      <c r="B593" s="8"/>
      <c r="C593" s="8"/>
      <c r="D593" s="8"/>
      <c r="E593" s="8"/>
      <c r="F593" s="8"/>
      <c r="G593" s="8"/>
      <c r="H593" s="8"/>
    </row>
    <row r="594" spans="1:8" ht="15.75" customHeight="1">
      <c r="A594" s="8"/>
      <c r="B594" s="8"/>
      <c r="C594" s="8"/>
      <c r="D594" s="8"/>
      <c r="E594" s="8"/>
      <c r="F594" s="8"/>
      <c r="G594" s="8"/>
      <c r="H594" s="8"/>
    </row>
    <row r="595" spans="1:8" ht="15.75" customHeight="1">
      <c r="A595" s="8"/>
      <c r="B595" s="8"/>
      <c r="C595" s="8"/>
      <c r="D595" s="8"/>
      <c r="E595" s="8"/>
      <c r="F595" s="8"/>
      <c r="G595" s="8"/>
      <c r="H595" s="8"/>
    </row>
    <row r="596" spans="1:8" ht="15.75" customHeight="1">
      <c r="A596" s="8"/>
      <c r="B596" s="8"/>
      <c r="C596" s="8"/>
      <c r="D596" s="8"/>
      <c r="E596" s="8"/>
      <c r="F596" s="8"/>
      <c r="G596" s="8"/>
      <c r="H596" s="8"/>
    </row>
    <row r="597" spans="1:8" ht="15.75" customHeight="1">
      <c r="A597" s="8"/>
      <c r="B597" s="8"/>
      <c r="C597" s="8"/>
      <c r="D597" s="8"/>
      <c r="E597" s="8"/>
      <c r="F597" s="8"/>
      <c r="G597" s="8"/>
      <c r="H597" s="8"/>
    </row>
    <row r="598" spans="1:8" ht="15.75" customHeight="1">
      <c r="A598" s="8"/>
      <c r="B598" s="8"/>
      <c r="C598" s="8"/>
      <c r="D598" s="8"/>
      <c r="E598" s="8"/>
      <c r="F598" s="8"/>
      <c r="G598" s="8"/>
      <c r="H598" s="8"/>
    </row>
    <row r="599" spans="1:8" ht="15.75" customHeight="1">
      <c r="A599" s="8"/>
      <c r="B599" s="8"/>
      <c r="C599" s="8"/>
      <c r="D599" s="8"/>
      <c r="E599" s="8"/>
      <c r="F599" s="8"/>
      <c r="G599" s="8"/>
      <c r="H599" s="8"/>
    </row>
    <row r="600" spans="1:8" ht="15.75" customHeight="1">
      <c r="A600" s="8"/>
      <c r="B600" s="8"/>
      <c r="C600" s="8"/>
      <c r="D600" s="8"/>
      <c r="E600" s="8"/>
      <c r="F600" s="8"/>
      <c r="G600" s="8"/>
      <c r="H600" s="8"/>
    </row>
    <row r="601" spans="1:8" ht="15.75" customHeight="1">
      <c r="A601" s="8"/>
      <c r="B601" s="8"/>
      <c r="C601" s="8"/>
      <c r="D601" s="8"/>
      <c r="E601" s="8"/>
      <c r="F601" s="8"/>
      <c r="G601" s="8"/>
      <c r="H601" s="8"/>
    </row>
    <row r="602" spans="1:8" ht="15.75" customHeight="1">
      <c r="A602" s="8"/>
      <c r="B602" s="8"/>
      <c r="C602" s="8"/>
      <c r="D602" s="8"/>
      <c r="E602" s="8"/>
      <c r="F602" s="8"/>
      <c r="G602" s="8"/>
      <c r="H602" s="8"/>
    </row>
    <row r="603" spans="1:8" ht="15.75" customHeight="1">
      <c r="A603" s="8"/>
      <c r="B603" s="8"/>
      <c r="C603" s="8"/>
      <c r="D603" s="8"/>
      <c r="E603" s="8"/>
      <c r="F603" s="8"/>
      <c r="G603" s="8"/>
      <c r="H603" s="8"/>
    </row>
    <row r="604" spans="1:8" ht="15.75" customHeight="1">
      <c r="A604" s="8"/>
      <c r="B604" s="8"/>
      <c r="C604" s="8"/>
      <c r="D604" s="8"/>
      <c r="E604" s="8"/>
      <c r="F604" s="8"/>
      <c r="G604" s="8"/>
      <c r="H604" s="8"/>
    </row>
    <row r="605" spans="1:8" ht="15.75" customHeight="1">
      <c r="A605" s="8"/>
      <c r="B605" s="8"/>
      <c r="C605" s="8"/>
      <c r="D605" s="8"/>
      <c r="E605" s="8"/>
      <c r="F605" s="8"/>
      <c r="G605" s="8"/>
      <c r="H605" s="8"/>
    </row>
    <row r="606" spans="1:8" ht="15.75" customHeight="1">
      <c r="A606" s="8"/>
      <c r="B606" s="8"/>
      <c r="C606" s="8"/>
      <c r="D606" s="8"/>
      <c r="E606" s="8"/>
      <c r="F606" s="8"/>
      <c r="G606" s="8"/>
      <c r="H606" s="8"/>
    </row>
    <row r="607" spans="1:8" ht="15.75" customHeight="1">
      <c r="A607" s="8"/>
      <c r="B607" s="8"/>
      <c r="C607" s="8"/>
      <c r="D607" s="8"/>
      <c r="E607" s="8"/>
      <c r="F607" s="8"/>
      <c r="G607" s="8"/>
      <c r="H607" s="8"/>
    </row>
    <row r="608" spans="1:8" ht="15.75" customHeight="1">
      <c r="A608" s="8"/>
      <c r="B608" s="8"/>
      <c r="C608" s="8"/>
      <c r="D608" s="8"/>
      <c r="E608" s="8"/>
      <c r="F608" s="8"/>
      <c r="G608" s="8"/>
      <c r="H608" s="8"/>
    </row>
    <row r="609" spans="1:8" ht="15.75" customHeight="1">
      <c r="A609" s="8"/>
      <c r="B609" s="8"/>
      <c r="C609" s="8"/>
      <c r="D609" s="8"/>
      <c r="E609" s="8"/>
      <c r="F609" s="8"/>
      <c r="G609" s="8"/>
      <c r="H609" s="8"/>
    </row>
    <row r="610" spans="1:8" ht="15.75" customHeight="1">
      <c r="A610" s="8"/>
      <c r="B610" s="8"/>
      <c r="C610" s="8"/>
      <c r="D610" s="8"/>
      <c r="E610" s="8"/>
      <c r="F610" s="8"/>
      <c r="G610" s="8"/>
      <c r="H610" s="8"/>
    </row>
    <row r="611" spans="1:8" ht="15.75" customHeight="1">
      <c r="A611" s="8"/>
      <c r="B611" s="8"/>
      <c r="C611" s="8"/>
      <c r="D611" s="8"/>
      <c r="E611" s="8"/>
      <c r="F611" s="8"/>
      <c r="G611" s="8"/>
      <c r="H611" s="8"/>
    </row>
    <row r="612" spans="1:8" ht="15.75" customHeight="1">
      <c r="A612" s="8"/>
      <c r="B612" s="8"/>
      <c r="C612" s="8"/>
      <c r="D612" s="8"/>
      <c r="E612" s="8"/>
      <c r="F612" s="8"/>
      <c r="G612" s="8"/>
      <c r="H612" s="8"/>
    </row>
    <row r="613" spans="1:8" ht="15.75" customHeight="1">
      <c r="A613" s="8"/>
      <c r="B613" s="8"/>
      <c r="C613" s="8"/>
      <c r="D613" s="8"/>
      <c r="E613" s="8"/>
      <c r="F613" s="8"/>
      <c r="G613" s="8"/>
      <c r="H613" s="8"/>
    </row>
    <row r="614" spans="1:8" ht="15.75" customHeight="1">
      <c r="A614" s="8"/>
      <c r="B614" s="8"/>
      <c r="C614" s="8"/>
      <c r="D614" s="8"/>
      <c r="E614" s="8"/>
      <c r="F614" s="8"/>
      <c r="G614" s="8"/>
      <c r="H614" s="8"/>
    </row>
    <row r="615" spans="1:8" ht="15.75" customHeight="1">
      <c r="A615" s="8"/>
      <c r="B615" s="8"/>
      <c r="C615" s="8"/>
      <c r="D615" s="8"/>
      <c r="E615" s="8"/>
      <c r="F615" s="8"/>
      <c r="G615" s="8"/>
      <c r="H615" s="8"/>
    </row>
    <row r="616" spans="1:8" ht="15.75" customHeight="1">
      <c r="A616" s="8"/>
      <c r="B616" s="8"/>
      <c r="C616" s="8"/>
      <c r="D616" s="8"/>
      <c r="E616" s="8"/>
      <c r="F616" s="8"/>
      <c r="G616" s="8"/>
      <c r="H616" s="8"/>
    </row>
    <row r="617" spans="1:8" ht="15.75" customHeight="1">
      <c r="A617" s="8"/>
      <c r="B617" s="8"/>
      <c r="C617" s="8"/>
      <c r="D617" s="8"/>
      <c r="E617" s="8"/>
      <c r="F617" s="8"/>
      <c r="G617" s="8"/>
      <c r="H617" s="8"/>
    </row>
    <row r="618" spans="1:8" ht="15.75" customHeight="1">
      <c r="A618" s="8"/>
      <c r="B618" s="8"/>
      <c r="C618" s="8"/>
      <c r="D618" s="8"/>
      <c r="E618" s="8"/>
      <c r="F618" s="8"/>
      <c r="G618" s="8"/>
      <c r="H618" s="8"/>
    </row>
    <row r="619" spans="1:8" ht="15.75" customHeight="1">
      <c r="A619" s="8"/>
      <c r="B619" s="8"/>
      <c r="C619" s="8"/>
      <c r="D619" s="8"/>
      <c r="E619" s="8"/>
      <c r="F619" s="8"/>
      <c r="G619" s="8"/>
      <c r="H619" s="8"/>
    </row>
    <row r="620" spans="1:8" ht="15.75" customHeight="1">
      <c r="A620" s="8"/>
      <c r="B620" s="8"/>
      <c r="C620" s="8"/>
      <c r="D620" s="8"/>
      <c r="E620" s="8"/>
      <c r="F620" s="8"/>
      <c r="G620" s="8"/>
      <c r="H620" s="8"/>
    </row>
    <row r="621" spans="1:8" ht="15.75" customHeight="1">
      <c r="A621" s="8"/>
      <c r="B621" s="8"/>
      <c r="C621" s="8"/>
      <c r="D621" s="8"/>
      <c r="E621" s="8"/>
      <c r="F621" s="8"/>
      <c r="G621" s="8"/>
      <c r="H621" s="8"/>
    </row>
    <row r="622" spans="1:8" ht="15.75" customHeight="1">
      <c r="A622" s="8"/>
      <c r="B622" s="8"/>
      <c r="C622" s="8"/>
      <c r="D622" s="8"/>
      <c r="E622" s="8"/>
      <c r="F622" s="8"/>
      <c r="G622" s="8"/>
      <c r="H622" s="8"/>
    </row>
    <row r="623" spans="1:8" ht="15.75" customHeight="1">
      <c r="A623" s="8"/>
      <c r="B623" s="8"/>
      <c r="C623" s="8"/>
      <c r="D623" s="8"/>
      <c r="E623" s="8"/>
      <c r="F623" s="8"/>
      <c r="G623" s="8"/>
      <c r="H623" s="8"/>
    </row>
    <row r="624" spans="1:8" ht="15.75" customHeight="1">
      <c r="A624" s="8"/>
      <c r="B624" s="8"/>
      <c r="C624" s="8"/>
      <c r="D624" s="8"/>
      <c r="E624" s="8"/>
      <c r="F624" s="8"/>
      <c r="G624" s="8"/>
      <c r="H624" s="8"/>
    </row>
    <row r="625" spans="1:8" ht="15.75" customHeight="1">
      <c r="A625" s="8"/>
      <c r="B625" s="8"/>
      <c r="C625" s="8"/>
      <c r="D625" s="8"/>
      <c r="E625" s="8"/>
      <c r="F625" s="8"/>
      <c r="G625" s="8"/>
      <c r="H625" s="8"/>
    </row>
    <row r="626" spans="1:8" ht="15.75" customHeight="1">
      <c r="A626" s="8"/>
      <c r="B626" s="8"/>
      <c r="C626" s="8"/>
      <c r="D626" s="8"/>
      <c r="E626" s="8"/>
      <c r="F626" s="8"/>
      <c r="G626" s="8"/>
      <c r="H626" s="8"/>
    </row>
    <row r="627" spans="1:8" ht="15.75" customHeight="1">
      <c r="A627" s="8"/>
      <c r="B627" s="8"/>
      <c r="C627" s="8"/>
      <c r="D627" s="8"/>
      <c r="E627" s="8"/>
      <c r="F627" s="8"/>
      <c r="G627" s="8"/>
      <c r="H627" s="8"/>
    </row>
    <row r="628" spans="1:8" ht="15.75" customHeight="1">
      <c r="A628" s="8"/>
      <c r="B628" s="8"/>
      <c r="C628" s="8"/>
      <c r="D628" s="8"/>
      <c r="E628" s="8"/>
      <c r="F628" s="8"/>
      <c r="G628" s="8"/>
      <c r="H628" s="8"/>
    </row>
    <row r="629" spans="1:8" ht="15.75" customHeight="1">
      <c r="A629" s="8"/>
      <c r="B629" s="8"/>
      <c r="C629" s="8"/>
      <c r="D629" s="8"/>
      <c r="E629" s="8"/>
      <c r="F629" s="8"/>
      <c r="G629" s="8"/>
      <c r="H629" s="8"/>
    </row>
    <row r="630" spans="1:8" ht="15.75" customHeight="1">
      <c r="A630" s="8"/>
      <c r="B630" s="8"/>
      <c r="C630" s="8"/>
      <c r="D630" s="8"/>
      <c r="E630" s="8"/>
      <c r="F630" s="8"/>
      <c r="G630" s="8"/>
      <c r="H630" s="8"/>
    </row>
    <row r="631" spans="1:8" ht="15.75" customHeight="1">
      <c r="A631" s="8"/>
      <c r="B631" s="8"/>
      <c r="C631" s="8"/>
      <c r="D631" s="8"/>
      <c r="E631" s="8"/>
      <c r="F631" s="8"/>
      <c r="G631" s="8"/>
      <c r="H631" s="8"/>
    </row>
    <row r="632" spans="1:8" ht="15.75" customHeight="1">
      <c r="A632" s="8"/>
      <c r="B632" s="8"/>
      <c r="C632" s="8"/>
      <c r="D632" s="8"/>
      <c r="E632" s="8"/>
      <c r="F632" s="8"/>
      <c r="G632" s="8"/>
      <c r="H632" s="8"/>
    </row>
    <row r="633" spans="1:8" ht="15.75" customHeight="1">
      <c r="A633" s="8"/>
      <c r="B633" s="8"/>
      <c r="C633" s="8"/>
      <c r="D633" s="8"/>
      <c r="E633" s="8"/>
      <c r="F633" s="8"/>
      <c r="G633" s="8"/>
      <c r="H633" s="8"/>
    </row>
    <row r="634" spans="1:8" ht="15.75" customHeight="1">
      <c r="A634" s="8"/>
      <c r="B634" s="8"/>
      <c r="C634" s="8"/>
      <c r="D634" s="8"/>
      <c r="E634" s="8"/>
      <c r="F634" s="8"/>
      <c r="G634" s="8"/>
      <c r="H634" s="8"/>
    </row>
    <row r="635" spans="1:8" ht="15.75" customHeight="1">
      <c r="A635" s="8"/>
      <c r="B635" s="8"/>
      <c r="C635" s="8"/>
      <c r="D635" s="8"/>
      <c r="E635" s="8"/>
      <c r="F635" s="8"/>
      <c r="G635" s="8"/>
      <c r="H635" s="8"/>
    </row>
    <row r="636" spans="1:8" ht="15.75" customHeight="1">
      <c r="A636" s="8"/>
      <c r="B636" s="8"/>
      <c r="C636" s="8"/>
      <c r="D636" s="8"/>
      <c r="E636" s="8"/>
      <c r="F636" s="8"/>
      <c r="G636" s="8"/>
      <c r="H636" s="8"/>
    </row>
    <row r="637" spans="1:8" ht="15.75" customHeight="1">
      <c r="A637" s="8"/>
      <c r="B637" s="8"/>
      <c r="C637" s="8"/>
      <c r="D637" s="8"/>
      <c r="E637" s="8"/>
      <c r="F637" s="8"/>
      <c r="G637" s="8"/>
      <c r="H637" s="8"/>
    </row>
    <row r="638" spans="1:8" ht="15.75" customHeight="1">
      <c r="A638" s="8"/>
      <c r="B638" s="8"/>
      <c r="C638" s="8"/>
      <c r="D638" s="8"/>
      <c r="E638" s="8"/>
      <c r="F638" s="8"/>
      <c r="G638" s="8"/>
      <c r="H638" s="8"/>
    </row>
    <row r="639" spans="1:8" ht="15.75" customHeight="1">
      <c r="A639" s="8"/>
      <c r="B639" s="8"/>
      <c r="C639" s="8"/>
      <c r="D639" s="8"/>
      <c r="E639" s="8"/>
      <c r="F639" s="8"/>
      <c r="G639" s="8"/>
      <c r="H639" s="8"/>
    </row>
    <row r="640" spans="1:8" ht="15.75" customHeight="1">
      <c r="A640" s="8"/>
      <c r="B640" s="8"/>
      <c r="C640" s="8"/>
      <c r="D640" s="8"/>
      <c r="E640" s="8"/>
      <c r="F640" s="8"/>
      <c r="G640" s="8"/>
      <c r="H640" s="8"/>
    </row>
    <row r="641" spans="1:8" ht="15.75" customHeight="1">
      <c r="A641" s="8"/>
      <c r="B641" s="8"/>
      <c r="C641" s="8"/>
      <c r="D641" s="8"/>
      <c r="E641" s="8"/>
      <c r="F641" s="8"/>
      <c r="G641" s="8"/>
      <c r="H641" s="8"/>
    </row>
    <row r="642" spans="1:8" ht="15.75" customHeight="1">
      <c r="A642" s="8"/>
      <c r="B642" s="8"/>
      <c r="C642" s="8"/>
      <c r="D642" s="8"/>
      <c r="E642" s="8"/>
      <c r="F642" s="8"/>
      <c r="G642" s="8"/>
      <c r="H642" s="8"/>
    </row>
    <row r="643" spans="1:8" ht="15.75" customHeight="1">
      <c r="A643" s="8"/>
      <c r="B643" s="8"/>
      <c r="C643" s="8"/>
      <c r="D643" s="8"/>
      <c r="E643" s="8"/>
      <c r="F643" s="8"/>
      <c r="G643" s="8"/>
      <c r="H643" s="8"/>
    </row>
    <row r="644" spans="1:8" ht="15.75" customHeight="1">
      <c r="A644" s="8"/>
      <c r="B644" s="8"/>
      <c r="C644" s="8"/>
      <c r="D644" s="8"/>
      <c r="E644" s="8"/>
      <c r="F644" s="8"/>
      <c r="G644" s="8"/>
      <c r="H644" s="8"/>
    </row>
    <row r="645" spans="1:8" ht="15.75" customHeight="1">
      <c r="A645" s="8"/>
      <c r="B645" s="8"/>
      <c r="C645" s="8"/>
      <c r="D645" s="8"/>
      <c r="E645" s="8"/>
      <c r="F645" s="8"/>
      <c r="G645" s="8"/>
      <c r="H645" s="8"/>
    </row>
    <row r="646" spans="1:8" ht="15.75" customHeight="1">
      <c r="A646" s="8"/>
      <c r="B646" s="8"/>
      <c r="C646" s="8"/>
      <c r="D646" s="8"/>
      <c r="E646" s="8"/>
      <c r="F646" s="8"/>
      <c r="G646" s="8"/>
      <c r="H646" s="8"/>
    </row>
    <row r="647" spans="1:8" ht="15.75" customHeight="1">
      <c r="A647" s="8"/>
      <c r="B647" s="8"/>
      <c r="C647" s="8"/>
      <c r="D647" s="8"/>
      <c r="E647" s="8"/>
      <c r="F647" s="8"/>
      <c r="G647" s="8"/>
      <c r="H647" s="8"/>
    </row>
    <row r="648" spans="1:8" ht="15.75" customHeight="1">
      <c r="A648" s="8"/>
      <c r="B648" s="8"/>
      <c r="C648" s="8"/>
      <c r="D648" s="8"/>
      <c r="E648" s="8"/>
      <c r="F648" s="8"/>
      <c r="G648" s="8"/>
      <c r="H648" s="8"/>
    </row>
    <row r="649" spans="1:8" ht="15.75" customHeight="1">
      <c r="A649" s="8"/>
      <c r="B649" s="8"/>
      <c r="C649" s="8"/>
      <c r="D649" s="8"/>
      <c r="E649" s="8"/>
      <c r="F649" s="8"/>
      <c r="G649" s="8"/>
      <c r="H649" s="8"/>
    </row>
    <row r="650" spans="1:8" ht="15.75" customHeight="1">
      <c r="A650" s="8"/>
      <c r="B650" s="8"/>
      <c r="C650" s="8"/>
      <c r="D650" s="8"/>
      <c r="E650" s="8"/>
      <c r="F650" s="8"/>
      <c r="G650" s="8"/>
      <c r="H650" s="8"/>
    </row>
    <row r="651" spans="1:8" ht="15.75" customHeight="1">
      <c r="A651" s="8"/>
      <c r="B651" s="8"/>
      <c r="C651" s="8"/>
      <c r="D651" s="8"/>
      <c r="E651" s="8"/>
      <c r="F651" s="8"/>
      <c r="G651" s="8"/>
      <c r="H651" s="8"/>
    </row>
    <row r="652" spans="1:8" ht="15.75" customHeight="1">
      <c r="A652" s="8"/>
      <c r="B652" s="8"/>
      <c r="C652" s="8"/>
      <c r="D652" s="8"/>
      <c r="E652" s="8"/>
      <c r="F652" s="8"/>
      <c r="G652" s="8"/>
      <c r="H652" s="8"/>
    </row>
    <row r="653" spans="1:8" ht="15.75" customHeight="1">
      <c r="A653" s="8"/>
      <c r="B653" s="8"/>
      <c r="C653" s="8"/>
      <c r="D653" s="8"/>
      <c r="E653" s="8"/>
      <c r="F653" s="8"/>
      <c r="G653" s="8"/>
      <c r="H653" s="8"/>
    </row>
    <row r="654" spans="1:8" ht="15.75" customHeight="1">
      <c r="A654" s="8"/>
      <c r="B654" s="8"/>
      <c r="C654" s="8"/>
      <c r="D654" s="8"/>
      <c r="E654" s="8"/>
      <c r="F654" s="8"/>
      <c r="G654" s="8"/>
      <c r="H654" s="8"/>
    </row>
    <row r="655" spans="1:8" ht="15.75" customHeight="1">
      <c r="A655" s="8"/>
      <c r="B655" s="8"/>
      <c r="C655" s="8"/>
      <c r="D655" s="8"/>
      <c r="E655" s="8"/>
      <c r="F655" s="8"/>
      <c r="G655" s="8"/>
      <c r="H655" s="8"/>
    </row>
    <row r="656" spans="1:8" ht="15.75" customHeight="1">
      <c r="A656" s="8"/>
      <c r="B656" s="8"/>
      <c r="C656" s="8"/>
      <c r="D656" s="8"/>
      <c r="E656" s="8"/>
      <c r="F656" s="8"/>
      <c r="G656" s="8"/>
      <c r="H656" s="8"/>
    </row>
    <row r="657" spans="1:8" ht="15.75" customHeight="1">
      <c r="A657" s="8"/>
      <c r="B657" s="8"/>
      <c r="C657" s="8"/>
      <c r="D657" s="8"/>
      <c r="E657" s="8"/>
      <c r="F657" s="8"/>
      <c r="G657" s="8"/>
      <c r="H657" s="8"/>
    </row>
    <row r="658" spans="1:8" ht="15.75" customHeight="1">
      <c r="A658" s="8"/>
      <c r="B658" s="8"/>
      <c r="C658" s="8"/>
      <c r="D658" s="8"/>
      <c r="E658" s="8"/>
      <c r="F658" s="8"/>
      <c r="G658" s="8"/>
      <c r="H658" s="8"/>
    </row>
    <row r="659" spans="1:8" ht="15.75" customHeight="1">
      <c r="A659" s="8"/>
      <c r="B659" s="8"/>
      <c r="C659" s="8"/>
      <c r="D659" s="8"/>
      <c r="E659" s="8"/>
      <c r="F659" s="8"/>
      <c r="G659" s="8"/>
      <c r="H659" s="8"/>
    </row>
    <row r="660" spans="1:8" ht="15.75" customHeight="1">
      <c r="A660" s="8"/>
      <c r="B660" s="8"/>
      <c r="C660" s="8"/>
      <c r="D660" s="8"/>
      <c r="E660" s="8"/>
      <c r="F660" s="8"/>
      <c r="G660" s="8"/>
      <c r="H660" s="8"/>
    </row>
    <row r="661" spans="1:8" ht="15.75" customHeight="1">
      <c r="A661" s="8"/>
      <c r="B661" s="8"/>
      <c r="C661" s="8"/>
      <c r="D661" s="8"/>
      <c r="E661" s="8"/>
      <c r="F661" s="8"/>
      <c r="G661" s="8"/>
      <c r="H661" s="8"/>
    </row>
    <row r="662" spans="1:8" ht="15.75" customHeight="1">
      <c r="A662" s="8"/>
      <c r="B662" s="8"/>
      <c r="C662" s="8"/>
      <c r="D662" s="8"/>
      <c r="E662" s="8"/>
      <c r="F662" s="8"/>
      <c r="G662" s="8"/>
      <c r="H662" s="8"/>
    </row>
    <row r="663" spans="1:8" ht="15.75" customHeight="1">
      <c r="A663" s="8"/>
      <c r="B663" s="8"/>
      <c r="C663" s="8"/>
      <c r="D663" s="8"/>
      <c r="E663" s="8"/>
      <c r="F663" s="8"/>
      <c r="G663" s="8"/>
      <c r="H663" s="8"/>
    </row>
    <row r="664" spans="1:8" ht="15.75" customHeight="1">
      <c r="A664" s="8"/>
      <c r="B664" s="8"/>
      <c r="C664" s="8"/>
      <c r="D664" s="8"/>
      <c r="E664" s="8"/>
      <c r="F664" s="8"/>
      <c r="G664" s="8"/>
      <c r="H664" s="8"/>
    </row>
    <row r="665" spans="1:8" ht="15.75" customHeight="1">
      <c r="A665" s="8"/>
      <c r="B665" s="8"/>
      <c r="C665" s="8"/>
      <c r="D665" s="8"/>
      <c r="E665" s="8"/>
      <c r="F665" s="8"/>
      <c r="G665" s="8"/>
      <c r="H665" s="8"/>
    </row>
    <row r="666" spans="1:8" ht="15.75" customHeight="1">
      <c r="A666" s="8"/>
      <c r="B666" s="8"/>
      <c r="C666" s="8"/>
      <c r="D666" s="8"/>
      <c r="E666" s="8"/>
      <c r="F666" s="8"/>
      <c r="G666" s="8"/>
      <c r="H666" s="8"/>
    </row>
    <row r="667" spans="1:8" ht="15.75" customHeight="1">
      <c r="A667" s="8"/>
      <c r="B667" s="8"/>
      <c r="C667" s="8"/>
      <c r="D667" s="8"/>
      <c r="E667" s="8"/>
      <c r="F667" s="8"/>
      <c r="G667" s="8"/>
      <c r="H667" s="8"/>
    </row>
    <row r="668" spans="1:8" ht="15.75" customHeight="1">
      <c r="A668" s="8"/>
      <c r="B668" s="8"/>
      <c r="C668" s="8"/>
      <c r="D668" s="8"/>
      <c r="E668" s="8"/>
      <c r="F668" s="8"/>
      <c r="G668" s="8"/>
      <c r="H668" s="8"/>
    </row>
    <row r="669" spans="1:8" ht="15.75" customHeight="1">
      <c r="A669" s="8"/>
      <c r="B669" s="8"/>
      <c r="C669" s="8"/>
      <c r="D669" s="8"/>
      <c r="E669" s="8"/>
      <c r="F669" s="8"/>
      <c r="G669" s="8"/>
      <c r="H669" s="8"/>
    </row>
    <row r="670" spans="1:8" ht="15.75" customHeight="1">
      <c r="A670" s="8"/>
      <c r="B670" s="8"/>
      <c r="C670" s="8"/>
      <c r="D670" s="8"/>
      <c r="E670" s="8"/>
      <c r="F670" s="8"/>
      <c r="G670" s="8"/>
      <c r="H670" s="8"/>
    </row>
    <row r="671" spans="1:8" ht="15.75" customHeight="1">
      <c r="A671" s="8"/>
      <c r="B671" s="8"/>
      <c r="C671" s="8"/>
      <c r="D671" s="8"/>
      <c r="E671" s="8"/>
      <c r="F671" s="8"/>
      <c r="G671" s="8"/>
      <c r="H671" s="8"/>
    </row>
    <row r="672" spans="1:8" ht="15.75" customHeight="1">
      <c r="A672" s="8"/>
      <c r="B672" s="8"/>
      <c r="C672" s="8"/>
      <c r="D672" s="8"/>
      <c r="E672" s="8"/>
      <c r="F672" s="8"/>
      <c r="G672" s="8"/>
      <c r="H672" s="8"/>
    </row>
    <row r="673" spans="1:8" ht="15.75" customHeight="1">
      <c r="A673" s="8"/>
      <c r="B673" s="8"/>
      <c r="C673" s="8"/>
      <c r="D673" s="8"/>
      <c r="E673" s="8"/>
      <c r="F673" s="8"/>
      <c r="G673" s="8"/>
      <c r="H673" s="8"/>
    </row>
    <row r="674" spans="1:8" ht="15.75" customHeight="1">
      <c r="A674" s="8"/>
      <c r="B674" s="8"/>
      <c r="C674" s="8"/>
      <c r="D674" s="8"/>
      <c r="E674" s="8"/>
      <c r="F674" s="8"/>
      <c r="G674" s="8"/>
      <c r="H674" s="8"/>
    </row>
    <row r="675" spans="1:8" ht="15.75" customHeight="1">
      <c r="A675" s="8"/>
      <c r="B675" s="8"/>
      <c r="C675" s="8"/>
      <c r="D675" s="8"/>
      <c r="E675" s="8"/>
      <c r="F675" s="8"/>
      <c r="G675" s="8"/>
      <c r="H675" s="8"/>
    </row>
    <row r="676" spans="1:8" ht="15.75" customHeight="1">
      <c r="A676" s="8"/>
      <c r="B676" s="8"/>
      <c r="C676" s="8"/>
      <c r="D676" s="8"/>
      <c r="E676" s="8"/>
      <c r="F676" s="8"/>
      <c r="G676" s="8"/>
      <c r="H676" s="8"/>
    </row>
    <row r="677" spans="1:8" ht="15.75" customHeight="1">
      <c r="A677" s="8"/>
      <c r="B677" s="8"/>
      <c r="C677" s="8"/>
      <c r="D677" s="8"/>
      <c r="E677" s="8"/>
      <c r="F677" s="8"/>
      <c r="G677" s="8"/>
      <c r="H677" s="8"/>
    </row>
    <row r="678" spans="1:8" ht="15.75" customHeight="1">
      <c r="A678" s="8"/>
      <c r="B678" s="8"/>
      <c r="C678" s="8"/>
      <c r="D678" s="8"/>
      <c r="E678" s="8"/>
      <c r="F678" s="8"/>
      <c r="G678" s="8"/>
      <c r="H678" s="8"/>
    </row>
    <row r="679" spans="1:8" ht="15.75" customHeight="1">
      <c r="A679" s="8"/>
      <c r="B679" s="8"/>
      <c r="C679" s="8"/>
      <c r="D679" s="8"/>
      <c r="E679" s="8"/>
      <c r="F679" s="8"/>
      <c r="G679" s="8"/>
      <c r="H679" s="8"/>
    </row>
    <row r="680" spans="1:8" ht="15.75" customHeight="1">
      <c r="A680" s="8"/>
      <c r="B680" s="8"/>
      <c r="C680" s="8"/>
      <c r="D680" s="8"/>
      <c r="E680" s="8"/>
      <c r="F680" s="8"/>
      <c r="G680" s="8"/>
      <c r="H680" s="8"/>
    </row>
    <row r="681" spans="1:8" ht="15.75" customHeight="1">
      <c r="A681" s="8"/>
      <c r="B681" s="8"/>
      <c r="C681" s="8"/>
      <c r="D681" s="8"/>
      <c r="E681" s="8"/>
      <c r="F681" s="8"/>
      <c r="G681" s="8"/>
      <c r="H681" s="8"/>
    </row>
    <row r="682" spans="1:8" ht="15.75" customHeight="1">
      <c r="A682" s="8"/>
      <c r="B682" s="8"/>
      <c r="C682" s="8"/>
      <c r="D682" s="8"/>
      <c r="E682" s="8"/>
      <c r="F682" s="8"/>
      <c r="G682" s="8"/>
      <c r="H682" s="8"/>
    </row>
    <row r="683" spans="1:8" ht="15.75" customHeight="1">
      <c r="A683" s="8"/>
      <c r="B683" s="8"/>
      <c r="C683" s="8"/>
      <c r="D683" s="8"/>
      <c r="E683" s="8"/>
      <c r="F683" s="8"/>
      <c r="G683" s="8"/>
      <c r="H683" s="8"/>
    </row>
    <row r="684" spans="1:8" ht="15.75" customHeight="1">
      <c r="A684" s="8"/>
      <c r="B684" s="8"/>
      <c r="C684" s="8"/>
      <c r="D684" s="8"/>
      <c r="E684" s="8"/>
      <c r="F684" s="8"/>
      <c r="G684" s="8"/>
      <c r="H684" s="8"/>
    </row>
    <row r="685" spans="1:8" ht="15.75" customHeight="1">
      <c r="A685" s="8"/>
      <c r="B685" s="8"/>
      <c r="C685" s="8"/>
      <c r="D685" s="8"/>
      <c r="E685" s="8"/>
      <c r="F685" s="8"/>
      <c r="G685" s="8"/>
      <c r="H685" s="8"/>
    </row>
    <row r="686" spans="1:8" ht="15.75" customHeight="1">
      <c r="A686" s="8"/>
      <c r="B686" s="8"/>
      <c r="C686" s="8"/>
      <c r="D686" s="8"/>
      <c r="E686" s="8"/>
      <c r="F686" s="8"/>
      <c r="G686" s="8"/>
      <c r="H686" s="8"/>
    </row>
    <row r="687" spans="1:8" ht="15.75" customHeight="1">
      <c r="A687" s="8"/>
      <c r="B687" s="8"/>
      <c r="C687" s="8"/>
      <c r="D687" s="8"/>
      <c r="E687" s="8"/>
      <c r="F687" s="8"/>
      <c r="G687" s="8"/>
      <c r="H687" s="8"/>
    </row>
    <row r="688" spans="1:8" ht="15.75" customHeight="1">
      <c r="A688" s="8"/>
      <c r="B688" s="8"/>
      <c r="C688" s="8"/>
      <c r="D688" s="8"/>
      <c r="E688" s="8"/>
      <c r="F688" s="8"/>
      <c r="G688" s="8"/>
      <c r="H688" s="8"/>
    </row>
    <row r="689" spans="1:8" ht="15.75" customHeight="1">
      <c r="A689" s="8"/>
      <c r="B689" s="8"/>
      <c r="C689" s="8"/>
      <c r="D689" s="8"/>
      <c r="E689" s="8"/>
      <c r="F689" s="8"/>
      <c r="G689" s="8"/>
      <c r="H689" s="8"/>
    </row>
    <row r="690" spans="1:8" ht="15.75" customHeight="1">
      <c r="A690" s="8"/>
      <c r="B690" s="8"/>
      <c r="C690" s="8"/>
      <c r="D690" s="8"/>
      <c r="E690" s="8"/>
      <c r="F690" s="8"/>
      <c r="G690" s="8"/>
      <c r="H690" s="8"/>
    </row>
    <row r="691" spans="1:8" ht="15.75" customHeight="1">
      <c r="A691" s="8"/>
      <c r="B691" s="8"/>
      <c r="C691" s="8"/>
      <c r="D691" s="8"/>
      <c r="E691" s="8"/>
      <c r="F691" s="8"/>
      <c r="G691" s="8"/>
      <c r="H691" s="8"/>
    </row>
    <row r="692" spans="1:8" ht="15.75" customHeight="1">
      <c r="A692" s="8"/>
      <c r="B692" s="8"/>
      <c r="C692" s="8"/>
      <c r="D692" s="8"/>
      <c r="E692" s="8"/>
      <c r="F692" s="8"/>
      <c r="G692" s="8"/>
      <c r="H692" s="8"/>
    </row>
    <row r="693" spans="1:8" ht="15.75" customHeight="1">
      <c r="A693" s="8"/>
      <c r="B693" s="8"/>
      <c r="C693" s="8"/>
      <c r="D693" s="8"/>
      <c r="E693" s="8"/>
      <c r="F693" s="8"/>
      <c r="G693" s="8"/>
      <c r="H693" s="8"/>
    </row>
    <row r="694" spans="1:8" ht="15.75" customHeight="1">
      <c r="A694" s="8"/>
      <c r="B694" s="8"/>
      <c r="C694" s="8"/>
      <c r="D694" s="8"/>
      <c r="E694" s="8"/>
      <c r="F694" s="8"/>
      <c r="G694" s="8"/>
      <c r="H694" s="8"/>
    </row>
    <row r="695" spans="1:8" ht="15.75" customHeight="1">
      <c r="A695" s="8"/>
      <c r="B695" s="8"/>
      <c r="C695" s="8"/>
      <c r="D695" s="8"/>
      <c r="E695" s="8"/>
      <c r="F695" s="8"/>
      <c r="G695" s="8"/>
      <c r="H695" s="8"/>
    </row>
    <row r="696" spans="1:8" ht="15.75" customHeight="1">
      <c r="A696" s="8"/>
      <c r="B696" s="8"/>
      <c r="C696" s="8"/>
      <c r="D696" s="8"/>
      <c r="E696" s="8"/>
      <c r="F696" s="8"/>
      <c r="G696" s="8"/>
      <c r="H696" s="8"/>
    </row>
    <row r="697" spans="1:8" ht="15.75" customHeight="1">
      <c r="A697" s="8"/>
      <c r="B697" s="8"/>
      <c r="C697" s="8"/>
      <c r="D697" s="8"/>
      <c r="E697" s="8"/>
      <c r="F697" s="8"/>
      <c r="G697" s="8"/>
      <c r="H697" s="8"/>
    </row>
    <row r="698" spans="1:8" ht="15.75" customHeight="1">
      <c r="A698" s="8"/>
      <c r="B698" s="8"/>
      <c r="C698" s="8"/>
      <c r="D698" s="8"/>
      <c r="E698" s="8"/>
      <c r="F698" s="8"/>
      <c r="G698" s="8"/>
      <c r="H698" s="8"/>
    </row>
    <row r="699" spans="1:8" ht="15.75" customHeight="1">
      <c r="A699" s="8"/>
      <c r="B699" s="8"/>
      <c r="C699" s="8"/>
      <c r="D699" s="8"/>
      <c r="E699" s="8"/>
      <c r="F699" s="8"/>
      <c r="G699" s="8"/>
      <c r="H699" s="8"/>
    </row>
    <row r="700" spans="1:8" ht="15.75" customHeight="1">
      <c r="A700" s="8"/>
      <c r="B700" s="8"/>
      <c r="C700" s="8"/>
      <c r="D700" s="8"/>
      <c r="E700" s="8"/>
      <c r="F700" s="8"/>
      <c r="G700" s="8"/>
      <c r="H700" s="8"/>
    </row>
    <row r="701" spans="1:8" ht="15.75" customHeight="1">
      <c r="A701" s="8"/>
      <c r="B701" s="8"/>
      <c r="C701" s="8"/>
      <c r="D701" s="8"/>
      <c r="E701" s="8"/>
      <c r="F701" s="8"/>
      <c r="G701" s="8"/>
      <c r="H701" s="8"/>
    </row>
    <row r="702" spans="1:8" ht="15.75" customHeight="1">
      <c r="A702" s="8"/>
      <c r="B702" s="8"/>
      <c r="C702" s="8"/>
      <c r="D702" s="8"/>
      <c r="E702" s="8"/>
      <c r="F702" s="8"/>
      <c r="G702" s="8"/>
      <c r="H702" s="8"/>
    </row>
    <row r="703" spans="1:8" ht="15.75" customHeight="1">
      <c r="A703" s="8"/>
      <c r="B703" s="8"/>
      <c r="C703" s="8"/>
      <c r="D703" s="8"/>
      <c r="E703" s="8"/>
      <c r="F703" s="8"/>
      <c r="G703" s="8"/>
      <c r="H703" s="8"/>
    </row>
    <row r="704" spans="1:8" ht="15.75" customHeight="1">
      <c r="A704" s="8"/>
      <c r="B704" s="8"/>
      <c r="C704" s="8"/>
      <c r="D704" s="8"/>
      <c r="E704" s="8"/>
      <c r="F704" s="8"/>
      <c r="G704" s="8"/>
      <c r="H704" s="8"/>
    </row>
    <row r="705" spans="1:8" ht="15.75" customHeight="1">
      <c r="A705" s="8"/>
      <c r="B705" s="8"/>
      <c r="C705" s="8"/>
      <c r="D705" s="8"/>
      <c r="E705" s="8"/>
      <c r="F705" s="8"/>
      <c r="G705" s="8"/>
      <c r="H705" s="8"/>
    </row>
    <row r="706" spans="1:8" ht="15.75" customHeight="1">
      <c r="A706" s="8"/>
      <c r="B706" s="8"/>
      <c r="C706" s="8"/>
      <c r="D706" s="8"/>
      <c r="E706" s="8"/>
      <c r="F706" s="8"/>
      <c r="G706" s="8"/>
      <c r="H706" s="8"/>
    </row>
    <row r="707" spans="1:8" ht="15.75" customHeight="1">
      <c r="A707" s="8"/>
      <c r="B707" s="8"/>
      <c r="C707" s="8"/>
      <c r="D707" s="8"/>
      <c r="E707" s="8"/>
      <c r="F707" s="8"/>
      <c r="G707" s="8"/>
      <c r="H707" s="8"/>
    </row>
    <row r="708" spans="1:8" ht="15.75" customHeight="1">
      <c r="A708" s="8"/>
      <c r="B708" s="8"/>
      <c r="C708" s="8"/>
      <c r="D708" s="8"/>
      <c r="E708" s="8"/>
      <c r="F708" s="8"/>
      <c r="G708" s="8"/>
      <c r="H708" s="8"/>
    </row>
    <row r="709" spans="1:8" ht="15.75" customHeight="1">
      <c r="A709" s="8"/>
      <c r="B709" s="8"/>
      <c r="C709" s="8"/>
      <c r="D709" s="8"/>
      <c r="E709" s="8"/>
      <c r="F709" s="8"/>
      <c r="G709" s="8"/>
      <c r="H709" s="8"/>
    </row>
    <row r="710" spans="1:8" ht="15.75" customHeight="1">
      <c r="A710" s="8"/>
      <c r="B710" s="8"/>
      <c r="C710" s="8"/>
      <c r="D710" s="8"/>
      <c r="E710" s="8"/>
      <c r="F710" s="8"/>
      <c r="G710" s="8"/>
      <c r="H710" s="8"/>
    </row>
    <row r="711" spans="1:8" ht="15.75" customHeight="1">
      <c r="A711" s="8"/>
      <c r="B711" s="8"/>
      <c r="C711" s="8"/>
      <c r="D711" s="8"/>
      <c r="E711" s="8"/>
      <c r="F711" s="8"/>
      <c r="G711" s="8"/>
      <c r="H711" s="8"/>
    </row>
    <row r="712" spans="1:8" ht="15.75" customHeight="1">
      <c r="A712" s="8"/>
      <c r="B712" s="8"/>
      <c r="C712" s="8"/>
      <c r="D712" s="8"/>
      <c r="E712" s="8"/>
      <c r="F712" s="8"/>
      <c r="G712" s="8"/>
      <c r="H712" s="8"/>
    </row>
    <row r="713" spans="1:8" ht="15.75" customHeight="1">
      <c r="A713" s="8"/>
      <c r="B713" s="8"/>
      <c r="C713" s="8"/>
      <c r="D713" s="8"/>
      <c r="E713" s="8"/>
      <c r="F713" s="8"/>
      <c r="G713" s="8"/>
      <c r="H713" s="8"/>
    </row>
    <row r="714" spans="1:8" ht="15.75" customHeight="1">
      <c r="A714" s="8"/>
      <c r="B714" s="8"/>
      <c r="C714" s="8"/>
      <c r="D714" s="8"/>
      <c r="E714" s="8"/>
      <c r="F714" s="8"/>
      <c r="G714" s="8"/>
      <c r="H714" s="8"/>
    </row>
    <row r="715" spans="1:8" ht="15.75" customHeight="1">
      <c r="A715" s="8"/>
      <c r="B715" s="8"/>
      <c r="C715" s="8"/>
      <c r="D715" s="8"/>
      <c r="E715" s="8"/>
      <c r="F715" s="8"/>
      <c r="G715" s="8"/>
      <c r="H715" s="8"/>
    </row>
    <row r="716" spans="1:8" ht="15.75" customHeight="1">
      <c r="A716" s="8"/>
      <c r="B716" s="8"/>
      <c r="C716" s="8"/>
      <c r="D716" s="8"/>
      <c r="E716" s="8"/>
      <c r="F716" s="8"/>
      <c r="G716" s="8"/>
      <c r="H716" s="8"/>
    </row>
    <row r="717" spans="1:8" ht="15.75" customHeight="1">
      <c r="A717" s="8"/>
      <c r="B717" s="8"/>
      <c r="C717" s="8"/>
      <c r="D717" s="8"/>
      <c r="E717" s="8"/>
      <c r="F717" s="8"/>
      <c r="G717" s="8"/>
      <c r="H717" s="8"/>
    </row>
    <row r="718" spans="1:8" ht="15.75" customHeight="1">
      <c r="A718" s="8"/>
      <c r="B718" s="8"/>
      <c r="C718" s="8"/>
      <c r="D718" s="8"/>
      <c r="E718" s="8"/>
      <c r="F718" s="8"/>
      <c r="G718" s="8"/>
      <c r="H718" s="8"/>
    </row>
    <row r="719" spans="1:8" ht="15.75" customHeight="1">
      <c r="A719" s="8"/>
      <c r="B719" s="8"/>
      <c r="C719" s="8"/>
      <c r="D719" s="8"/>
      <c r="E719" s="8"/>
      <c r="F719" s="8"/>
      <c r="G719" s="8"/>
      <c r="H719" s="8"/>
    </row>
    <row r="720" spans="1:8" ht="15.75" customHeight="1">
      <c r="A720" s="8"/>
      <c r="B720" s="8"/>
      <c r="C720" s="8"/>
      <c r="D720" s="8"/>
      <c r="E720" s="8"/>
      <c r="F720" s="8"/>
      <c r="G720" s="8"/>
      <c r="H720" s="8"/>
    </row>
    <row r="721" spans="1:8" ht="15.75" customHeight="1">
      <c r="A721" s="8"/>
      <c r="B721" s="8"/>
      <c r="C721" s="8"/>
      <c r="D721" s="8"/>
      <c r="E721" s="8"/>
      <c r="F721" s="8"/>
      <c r="G721" s="8"/>
      <c r="H721" s="8"/>
    </row>
    <row r="722" spans="1:8" ht="15.75" customHeight="1">
      <c r="A722" s="8"/>
      <c r="B722" s="8"/>
      <c r="C722" s="8"/>
      <c r="D722" s="8"/>
      <c r="E722" s="8"/>
      <c r="F722" s="8"/>
      <c r="G722" s="8"/>
      <c r="H722" s="8"/>
    </row>
    <row r="723" spans="1:8" ht="15.75" customHeight="1">
      <c r="A723" s="8"/>
      <c r="B723" s="8"/>
      <c r="C723" s="8"/>
      <c r="D723" s="8"/>
      <c r="E723" s="8"/>
      <c r="F723" s="8"/>
      <c r="G723" s="8"/>
      <c r="H723" s="8"/>
    </row>
    <row r="724" spans="1:8" ht="15.75" customHeight="1">
      <c r="A724" s="8"/>
      <c r="B724" s="8"/>
      <c r="C724" s="8"/>
      <c r="D724" s="8"/>
      <c r="E724" s="8"/>
      <c r="F724" s="8"/>
      <c r="G724" s="8"/>
      <c r="H724" s="8"/>
    </row>
    <row r="725" spans="1:8" ht="15.75" customHeight="1">
      <c r="A725" s="8"/>
      <c r="B725" s="8"/>
      <c r="C725" s="8"/>
      <c r="D725" s="8"/>
      <c r="E725" s="8"/>
      <c r="F725" s="8"/>
      <c r="G725" s="8"/>
      <c r="H725" s="8"/>
    </row>
    <row r="726" spans="1:8" ht="15.75" customHeight="1">
      <c r="A726" s="8"/>
      <c r="B726" s="8"/>
      <c r="C726" s="8"/>
      <c r="D726" s="8"/>
      <c r="E726" s="8"/>
      <c r="F726" s="8"/>
      <c r="G726" s="8"/>
      <c r="H726" s="8"/>
    </row>
    <row r="727" spans="1:8" ht="15.75" customHeight="1">
      <c r="A727" s="8"/>
      <c r="B727" s="8"/>
      <c r="C727" s="8"/>
      <c r="D727" s="8"/>
      <c r="E727" s="8"/>
      <c r="F727" s="8"/>
      <c r="G727" s="8"/>
      <c r="H727" s="8"/>
    </row>
    <row r="728" spans="1:8" ht="15.75" customHeight="1">
      <c r="A728" s="8"/>
      <c r="B728" s="8"/>
      <c r="C728" s="8"/>
      <c r="D728" s="8"/>
      <c r="E728" s="8"/>
      <c r="F728" s="8"/>
      <c r="G728" s="8"/>
      <c r="H728" s="8"/>
    </row>
    <row r="729" spans="1:8" ht="15.75" customHeight="1">
      <c r="A729" s="8"/>
      <c r="B729" s="8"/>
      <c r="C729" s="8"/>
      <c r="D729" s="8"/>
      <c r="E729" s="8"/>
      <c r="F729" s="8"/>
      <c r="G729" s="8"/>
      <c r="H729" s="8"/>
    </row>
    <row r="730" spans="1:8" ht="15.75" customHeight="1">
      <c r="A730" s="8"/>
      <c r="B730" s="8"/>
      <c r="C730" s="8"/>
      <c r="D730" s="8"/>
      <c r="E730" s="8"/>
      <c r="F730" s="8"/>
      <c r="G730" s="8"/>
      <c r="H730" s="8"/>
    </row>
    <row r="731" spans="1:8" ht="15.75" customHeight="1">
      <c r="A731" s="8"/>
      <c r="B731" s="8"/>
      <c r="C731" s="8"/>
      <c r="D731" s="8"/>
      <c r="E731" s="8"/>
      <c r="F731" s="8"/>
      <c r="G731" s="8"/>
      <c r="H731" s="8"/>
    </row>
    <row r="732" spans="1:8" ht="15.75" customHeight="1">
      <c r="A732" s="8"/>
      <c r="B732" s="8"/>
      <c r="C732" s="8"/>
      <c r="D732" s="8"/>
      <c r="E732" s="8"/>
      <c r="F732" s="8"/>
      <c r="G732" s="8"/>
      <c r="H732" s="8"/>
    </row>
    <row r="733" spans="1:8" ht="15.75" customHeight="1">
      <c r="A733" s="8"/>
      <c r="B733" s="8"/>
      <c r="C733" s="8"/>
      <c r="D733" s="8"/>
      <c r="E733" s="8"/>
      <c r="F733" s="8"/>
      <c r="G733" s="8"/>
      <c r="H733" s="8"/>
    </row>
    <row r="734" spans="1:8" ht="15.75" customHeight="1">
      <c r="A734" s="8"/>
      <c r="B734" s="8"/>
      <c r="C734" s="8"/>
      <c r="D734" s="8"/>
      <c r="E734" s="8"/>
      <c r="F734" s="8"/>
      <c r="G734" s="8"/>
      <c r="H734" s="8"/>
    </row>
    <row r="735" spans="1:8" ht="15.75" customHeight="1">
      <c r="A735" s="8"/>
      <c r="B735" s="8"/>
      <c r="C735" s="8"/>
      <c r="D735" s="8"/>
      <c r="E735" s="8"/>
      <c r="F735" s="8"/>
      <c r="G735" s="8"/>
      <c r="H735" s="8"/>
    </row>
    <row r="736" spans="1:8" ht="15.75" customHeight="1">
      <c r="A736" s="8"/>
      <c r="B736" s="8"/>
      <c r="C736" s="8"/>
      <c r="D736" s="8"/>
      <c r="E736" s="8"/>
      <c r="F736" s="8"/>
      <c r="G736" s="8"/>
      <c r="H736" s="8"/>
    </row>
    <row r="737" spans="1:8" ht="15.75" customHeight="1">
      <c r="A737" s="8"/>
      <c r="B737" s="8"/>
      <c r="C737" s="8"/>
      <c r="D737" s="8"/>
      <c r="E737" s="8"/>
      <c r="F737" s="8"/>
      <c r="G737" s="8"/>
      <c r="H737" s="8"/>
    </row>
    <row r="738" spans="1:8" ht="15.75" customHeight="1">
      <c r="A738" s="8"/>
      <c r="B738" s="8"/>
      <c r="C738" s="8"/>
      <c r="D738" s="8"/>
      <c r="E738" s="8"/>
      <c r="F738" s="8"/>
      <c r="G738" s="8"/>
      <c r="H738" s="8"/>
    </row>
    <row r="739" spans="1:8" ht="15.75" customHeight="1">
      <c r="A739" s="8"/>
      <c r="B739" s="8"/>
      <c r="C739" s="8"/>
      <c r="D739" s="8"/>
      <c r="E739" s="8"/>
      <c r="F739" s="8"/>
      <c r="G739" s="8"/>
      <c r="H739" s="8"/>
    </row>
    <row r="740" spans="1:8" ht="15.75" customHeight="1">
      <c r="A740" s="8"/>
      <c r="B740" s="8"/>
      <c r="C740" s="8"/>
      <c r="D740" s="8"/>
      <c r="E740" s="8"/>
      <c r="F740" s="8"/>
      <c r="G740" s="8"/>
      <c r="H740" s="8"/>
    </row>
    <row r="741" spans="1:8" ht="15.75" customHeight="1">
      <c r="A741" s="8"/>
      <c r="B741" s="8"/>
      <c r="C741" s="8"/>
      <c r="D741" s="8"/>
      <c r="E741" s="8"/>
      <c r="F741" s="8"/>
      <c r="G741" s="8"/>
      <c r="H741" s="8"/>
    </row>
    <row r="742" spans="1:8" ht="15.75" customHeight="1">
      <c r="A742" s="8"/>
      <c r="B742" s="8"/>
      <c r="C742" s="8"/>
      <c r="D742" s="8"/>
      <c r="E742" s="8"/>
      <c r="F742" s="8"/>
      <c r="G742" s="8"/>
      <c r="H742" s="8"/>
    </row>
    <row r="743" spans="1:8" ht="15.75" customHeight="1">
      <c r="A743" s="8"/>
      <c r="B743" s="8"/>
      <c r="C743" s="8"/>
      <c r="D743" s="8"/>
      <c r="E743" s="8"/>
      <c r="F743" s="8"/>
      <c r="G743" s="8"/>
      <c r="H743" s="8"/>
    </row>
    <row r="744" spans="1:8" ht="15.75" customHeight="1">
      <c r="A744" s="8"/>
      <c r="B744" s="8"/>
      <c r="C744" s="8"/>
      <c r="D744" s="8"/>
      <c r="E744" s="8"/>
      <c r="F744" s="8"/>
      <c r="G744" s="8"/>
      <c r="H744" s="8"/>
    </row>
    <row r="745" spans="1:8" ht="15.75" customHeight="1">
      <c r="A745" s="8"/>
      <c r="B745" s="8"/>
      <c r="C745" s="8"/>
      <c r="D745" s="8"/>
      <c r="E745" s="8"/>
      <c r="F745" s="8"/>
      <c r="G745" s="8"/>
      <c r="H745" s="8"/>
    </row>
    <row r="746" spans="1:8" ht="15.75" customHeight="1">
      <c r="A746" s="8"/>
      <c r="B746" s="8"/>
      <c r="C746" s="8"/>
      <c r="D746" s="8"/>
      <c r="E746" s="8"/>
      <c r="F746" s="8"/>
      <c r="G746" s="8"/>
      <c r="H746" s="8"/>
    </row>
    <row r="747" spans="1:8" ht="15.75" customHeight="1">
      <c r="A747" s="8"/>
      <c r="B747" s="8"/>
      <c r="C747" s="8"/>
      <c r="D747" s="8"/>
      <c r="E747" s="8"/>
      <c r="F747" s="8"/>
      <c r="G747" s="8"/>
      <c r="H747" s="8"/>
    </row>
    <row r="748" spans="1:8" ht="15.75" customHeight="1">
      <c r="A748" s="8"/>
      <c r="B748" s="8"/>
      <c r="C748" s="8"/>
      <c r="D748" s="8"/>
      <c r="E748" s="8"/>
      <c r="F748" s="8"/>
      <c r="G748" s="8"/>
      <c r="H748" s="8"/>
    </row>
    <row r="749" spans="1:8" ht="15.75" customHeight="1">
      <c r="A749" s="8"/>
      <c r="B749" s="8"/>
      <c r="C749" s="8"/>
      <c r="D749" s="8"/>
      <c r="E749" s="8"/>
      <c r="F749" s="8"/>
      <c r="G749" s="8"/>
      <c r="H749" s="8"/>
    </row>
    <row r="750" spans="1:8" ht="15.75" customHeight="1">
      <c r="A750" s="8"/>
      <c r="B750" s="8"/>
      <c r="C750" s="8"/>
      <c r="D750" s="8"/>
      <c r="E750" s="8"/>
      <c r="F750" s="8"/>
      <c r="G750" s="8"/>
      <c r="H750" s="8"/>
    </row>
    <row r="751" spans="1:8" ht="15.75" customHeight="1">
      <c r="A751" s="8"/>
      <c r="B751" s="8"/>
      <c r="C751" s="8"/>
      <c r="D751" s="8"/>
      <c r="E751" s="8"/>
      <c r="F751" s="8"/>
      <c r="G751" s="8"/>
      <c r="H751" s="8"/>
    </row>
    <row r="752" spans="1:8" ht="15.75" customHeight="1">
      <c r="A752" s="8"/>
      <c r="B752" s="8"/>
      <c r="C752" s="8"/>
      <c r="D752" s="8"/>
      <c r="E752" s="8"/>
      <c r="F752" s="8"/>
      <c r="G752" s="8"/>
      <c r="H752" s="8"/>
    </row>
    <row r="753" spans="1:8" ht="15.75" customHeight="1">
      <c r="A753" s="8"/>
      <c r="B753" s="8"/>
      <c r="C753" s="8"/>
      <c r="D753" s="8"/>
      <c r="E753" s="8"/>
      <c r="F753" s="8"/>
      <c r="G753" s="8"/>
      <c r="H753" s="8"/>
    </row>
    <row r="754" spans="1:8" ht="15.75" customHeight="1">
      <c r="A754" s="8"/>
      <c r="B754" s="8"/>
      <c r="C754" s="8"/>
      <c r="D754" s="8"/>
      <c r="E754" s="8"/>
      <c r="F754" s="8"/>
      <c r="G754" s="8"/>
      <c r="H754" s="8"/>
    </row>
    <row r="755" spans="1:8" ht="15.75" customHeight="1">
      <c r="A755" s="8"/>
      <c r="B755" s="8"/>
      <c r="C755" s="8"/>
      <c r="D755" s="8"/>
      <c r="E755" s="8"/>
      <c r="F755" s="8"/>
      <c r="G755" s="8"/>
      <c r="H755" s="8"/>
    </row>
    <row r="756" spans="1:8" ht="15.75" customHeight="1">
      <c r="A756" s="8"/>
      <c r="B756" s="8"/>
      <c r="C756" s="8"/>
      <c r="D756" s="8"/>
      <c r="E756" s="8"/>
      <c r="F756" s="8"/>
      <c r="G756" s="8"/>
      <c r="H756" s="8"/>
    </row>
    <row r="757" spans="1:8" ht="15.75" customHeight="1">
      <c r="A757" s="8"/>
      <c r="B757" s="8"/>
      <c r="C757" s="8"/>
      <c r="D757" s="8"/>
      <c r="E757" s="8"/>
      <c r="F757" s="8"/>
      <c r="G757" s="8"/>
      <c r="H757" s="8"/>
    </row>
    <row r="758" spans="1:8" ht="15.75" customHeight="1">
      <c r="A758" s="8"/>
      <c r="B758" s="8"/>
      <c r="C758" s="8"/>
      <c r="D758" s="8"/>
      <c r="E758" s="8"/>
      <c r="F758" s="8"/>
      <c r="G758" s="8"/>
      <c r="H758" s="8"/>
    </row>
    <row r="759" spans="1:8" ht="15.75" customHeight="1">
      <c r="A759" s="8"/>
      <c r="B759" s="8"/>
      <c r="C759" s="8"/>
      <c r="D759" s="8"/>
      <c r="E759" s="8"/>
      <c r="F759" s="8"/>
      <c r="G759" s="8"/>
      <c r="H759" s="8"/>
    </row>
    <row r="760" spans="1:8" ht="15.75" customHeight="1">
      <c r="A760" s="8"/>
      <c r="B760" s="8"/>
      <c r="C760" s="8"/>
      <c r="D760" s="8"/>
      <c r="E760" s="8"/>
      <c r="F760" s="8"/>
      <c r="G760" s="8"/>
      <c r="H760" s="8"/>
    </row>
    <row r="761" spans="1:8" ht="15.75" customHeight="1">
      <c r="A761" s="8"/>
      <c r="B761" s="8"/>
      <c r="C761" s="8"/>
      <c r="D761" s="8"/>
      <c r="E761" s="8"/>
      <c r="F761" s="8"/>
      <c r="G761" s="8"/>
      <c r="H761" s="8"/>
    </row>
    <row r="762" spans="1:8" ht="15.75" customHeight="1">
      <c r="A762" s="8"/>
      <c r="B762" s="8"/>
      <c r="C762" s="8"/>
      <c r="D762" s="8"/>
      <c r="E762" s="8"/>
      <c r="F762" s="8"/>
      <c r="G762" s="8"/>
      <c r="H762" s="8"/>
    </row>
    <row r="763" spans="1:8" ht="15.75" customHeight="1">
      <c r="A763" s="8"/>
      <c r="B763" s="8"/>
      <c r="C763" s="8"/>
      <c r="D763" s="8"/>
      <c r="E763" s="8"/>
      <c r="F763" s="8"/>
      <c r="G763" s="8"/>
      <c r="H763" s="8"/>
    </row>
    <row r="764" spans="1:8" ht="15.75" customHeight="1">
      <c r="A764" s="8"/>
      <c r="B764" s="8"/>
      <c r="C764" s="8"/>
      <c r="D764" s="8"/>
      <c r="E764" s="8"/>
      <c r="F764" s="8"/>
      <c r="G764" s="8"/>
      <c r="H764" s="8"/>
    </row>
    <row r="765" spans="1:8" ht="15.75" customHeight="1">
      <c r="A765" s="8"/>
      <c r="B765" s="8"/>
      <c r="C765" s="8"/>
      <c r="D765" s="8"/>
      <c r="E765" s="8"/>
      <c r="F765" s="8"/>
      <c r="G765" s="8"/>
      <c r="H765" s="8"/>
    </row>
    <row r="766" spans="1:8" ht="15.75" customHeight="1">
      <c r="A766" s="8"/>
      <c r="B766" s="8"/>
      <c r="C766" s="8"/>
      <c r="D766" s="8"/>
      <c r="E766" s="8"/>
      <c r="F766" s="8"/>
      <c r="G766" s="8"/>
      <c r="H766" s="8"/>
    </row>
    <row r="767" spans="1:8" ht="15.75" customHeight="1">
      <c r="A767" s="8"/>
      <c r="B767" s="8"/>
      <c r="C767" s="8"/>
      <c r="D767" s="8"/>
      <c r="E767" s="8"/>
      <c r="F767" s="8"/>
      <c r="G767" s="8"/>
      <c r="H767" s="8"/>
    </row>
    <row r="768" spans="1:8" ht="15.75" customHeight="1">
      <c r="A768" s="8"/>
      <c r="B768" s="8"/>
      <c r="C768" s="8"/>
      <c r="D768" s="8"/>
      <c r="E768" s="8"/>
      <c r="F768" s="8"/>
      <c r="G768" s="8"/>
      <c r="H768" s="8"/>
    </row>
    <row r="769" spans="1:8" ht="15.75" customHeight="1">
      <c r="A769" s="8"/>
      <c r="B769" s="8"/>
      <c r="C769" s="8"/>
      <c r="D769" s="8"/>
      <c r="E769" s="8"/>
      <c r="F769" s="8"/>
      <c r="G769" s="8"/>
      <c r="H769" s="8"/>
    </row>
    <row r="770" spans="1:8" ht="15.75" customHeight="1">
      <c r="A770" s="8"/>
      <c r="B770" s="8"/>
      <c r="C770" s="8"/>
      <c r="D770" s="8"/>
      <c r="E770" s="8"/>
      <c r="F770" s="8"/>
      <c r="G770" s="8"/>
      <c r="H770" s="8"/>
    </row>
    <row r="771" spans="1:8" ht="15.75" customHeight="1">
      <c r="A771" s="8"/>
      <c r="B771" s="8"/>
      <c r="C771" s="8"/>
      <c r="D771" s="8"/>
      <c r="E771" s="8"/>
      <c r="F771" s="8"/>
      <c r="G771" s="8"/>
      <c r="H771" s="8"/>
    </row>
    <row r="772" spans="1:8" ht="15.75" customHeight="1">
      <c r="A772" s="8"/>
      <c r="B772" s="8"/>
      <c r="C772" s="8"/>
      <c r="D772" s="8"/>
      <c r="E772" s="8"/>
      <c r="F772" s="8"/>
      <c r="G772" s="8"/>
      <c r="H772" s="8"/>
    </row>
    <row r="773" spans="1:8" ht="15.75" customHeight="1">
      <c r="A773" s="8"/>
      <c r="B773" s="8"/>
      <c r="C773" s="8"/>
      <c r="D773" s="8"/>
      <c r="E773" s="8"/>
      <c r="F773" s="8"/>
      <c r="G773" s="8"/>
      <c r="H773" s="8"/>
    </row>
    <row r="774" spans="1:8" ht="15.75" customHeight="1">
      <c r="A774" s="8"/>
      <c r="B774" s="8"/>
      <c r="C774" s="8"/>
      <c r="D774" s="8"/>
      <c r="E774" s="8"/>
      <c r="F774" s="8"/>
      <c r="G774" s="8"/>
      <c r="H774" s="8"/>
    </row>
    <row r="775" spans="1:8" ht="15.75" customHeight="1">
      <c r="A775" s="8"/>
      <c r="B775" s="8"/>
      <c r="C775" s="8"/>
      <c r="D775" s="8"/>
      <c r="E775" s="8"/>
      <c r="F775" s="8"/>
      <c r="G775" s="8"/>
      <c r="H775" s="8"/>
    </row>
    <row r="776" spans="1:8" ht="15.75" customHeight="1">
      <c r="A776" s="8"/>
      <c r="B776" s="8"/>
      <c r="C776" s="8"/>
      <c r="D776" s="8"/>
      <c r="E776" s="8"/>
      <c r="F776" s="8"/>
      <c r="G776" s="8"/>
      <c r="H776" s="8"/>
    </row>
    <row r="777" spans="1:8" ht="15.75" customHeight="1">
      <c r="A777" s="8"/>
      <c r="B777" s="8"/>
      <c r="C777" s="8"/>
      <c r="D777" s="8"/>
      <c r="E777" s="8"/>
      <c r="F777" s="8"/>
      <c r="G777" s="8"/>
      <c r="H777" s="8"/>
    </row>
    <row r="778" spans="1:8" ht="15.75" customHeight="1">
      <c r="A778" s="8"/>
      <c r="B778" s="8"/>
      <c r="C778" s="8"/>
      <c r="D778" s="8"/>
      <c r="E778" s="8"/>
      <c r="F778" s="8"/>
      <c r="G778" s="8"/>
      <c r="H778" s="8"/>
    </row>
    <row r="779" spans="1:8" ht="15.75" customHeight="1">
      <c r="A779" s="8"/>
      <c r="B779" s="8"/>
      <c r="C779" s="8"/>
      <c r="D779" s="8"/>
      <c r="E779" s="8"/>
      <c r="F779" s="8"/>
      <c r="G779" s="8"/>
      <c r="H779" s="8"/>
    </row>
    <row r="780" spans="1:8" ht="15.75" customHeight="1">
      <c r="A780" s="8"/>
      <c r="B780" s="8"/>
      <c r="C780" s="8"/>
      <c r="D780" s="8"/>
      <c r="E780" s="8"/>
      <c r="F780" s="8"/>
      <c r="G780" s="8"/>
      <c r="H780" s="8"/>
    </row>
    <row r="781" spans="1:8" ht="15.75" customHeight="1">
      <c r="A781" s="8"/>
      <c r="B781" s="8"/>
      <c r="C781" s="8"/>
      <c r="D781" s="8"/>
      <c r="E781" s="8"/>
      <c r="F781" s="8"/>
      <c r="G781" s="8"/>
      <c r="H781" s="8"/>
    </row>
    <row r="782" spans="1:8" ht="15.75" customHeight="1">
      <c r="A782" s="8"/>
      <c r="B782" s="8"/>
      <c r="C782" s="8"/>
      <c r="D782" s="8"/>
      <c r="E782" s="8"/>
      <c r="F782" s="8"/>
      <c r="G782" s="8"/>
      <c r="H782" s="8"/>
    </row>
    <row r="783" spans="1:8" ht="15.75" customHeight="1">
      <c r="A783" s="8"/>
      <c r="B783" s="8"/>
      <c r="C783" s="8"/>
      <c r="D783" s="8"/>
      <c r="E783" s="8"/>
      <c r="F783" s="8"/>
      <c r="G783" s="8"/>
      <c r="H783" s="8"/>
    </row>
    <row r="784" spans="1:8" ht="15.75" customHeight="1">
      <c r="A784" s="8"/>
      <c r="B784" s="8"/>
      <c r="C784" s="8"/>
      <c r="D784" s="8"/>
      <c r="E784" s="8"/>
      <c r="F784" s="8"/>
      <c r="G784" s="8"/>
      <c r="H784" s="8"/>
    </row>
    <row r="785" spans="1:8" ht="15.75" customHeight="1">
      <c r="A785" s="8"/>
      <c r="B785" s="8"/>
      <c r="C785" s="8"/>
      <c r="D785" s="8"/>
      <c r="E785" s="8"/>
      <c r="F785" s="8"/>
      <c r="G785" s="8"/>
      <c r="H785" s="8"/>
    </row>
    <row r="786" spans="1:8" ht="15.75" customHeight="1">
      <c r="A786" s="8"/>
      <c r="B786" s="8"/>
      <c r="C786" s="8"/>
      <c r="D786" s="8"/>
      <c r="E786" s="8"/>
      <c r="F786" s="8"/>
      <c r="G786" s="8"/>
      <c r="H786" s="8"/>
    </row>
    <row r="787" spans="1:8" ht="15.75" customHeight="1">
      <c r="A787" s="8"/>
      <c r="B787" s="8"/>
      <c r="C787" s="8"/>
      <c r="D787" s="8"/>
      <c r="E787" s="8"/>
      <c r="F787" s="8"/>
      <c r="G787" s="8"/>
      <c r="H787" s="8"/>
    </row>
    <row r="788" spans="1:8" ht="15.75" customHeight="1">
      <c r="A788" s="8"/>
      <c r="B788" s="8"/>
      <c r="C788" s="8"/>
      <c r="D788" s="8"/>
      <c r="E788" s="8"/>
      <c r="F788" s="8"/>
      <c r="G788" s="8"/>
      <c r="H788" s="8"/>
    </row>
    <row r="789" spans="1:8" ht="15.75" customHeight="1">
      <c r="A789" s="8"/>
      <c r="B789" s="8"/>
      <c r="C789" s="8"/>
      <c r="D789" s="8"/>
      <c r="E789" s="8"/>
      <c r="F789" s="8"/>
      <c r="G789" s="8"/>
      <c r="H789" s="8"/>
    </row>
    <row r="790" spans="1:8" ht="15.75" customHeight="1">
      <c r="A790" s="8"/>
      <c r="B790" s="8"/>
      <c r="C790" s="8"/>
      <c r="D790" s="8"/>
      <c r="E790" s="8"/>
      <c r="F790" s="8"/>
      <c r="G790" s="8"/>
      <c r="H790" s="8"/>
    </row>
    <row r="791" spans="1:8" ht="15.75" customHeight="1">
      <c r="A791" s="8"/>
      <c r="B791" s="8"/>
      <c r="C791" s="8"/>
      <c r="D791" s="8"/>
      <c r="E791" s="8"/>
      <c r="F791" s="8"/>
      <c r="G791" s="8"/>
      <c r="H791" s="8"/>
    </row>
    <row r="792" spans="1:8" ht="15.75" customHeight="1">
      <c r="A792" s="8"/>
      <c r="B792" s="8"/>
      <c r="C792" s="8"/>
      <c r="D792" s="8"/>
      <c r="E792" s="8"/>
      <c r="F792" s="8"/>
      <c r="G792" s="8"/>
      <c r="H792" s="8"/>
    </row>
    <row r="793" spans="1:8" ht="15.75" customHeight="1">
      <c r="A793" s="8"/>
      <c r="B793" s="8"/>
      <c r="C793" s="8"/>
      <c r="D793" s="8"/>
      <c r="E793" s="8"/>
      <c r="F793" s="8"/>
      <c r="G793" s="8"/>
      <c r="H793" s="8"/>
    </row>
    <row r="794" spans="1:8" ht="15.75" customHeight="1">
      <c r="A794" s="8"/>
      <c r="B794" s="8"/>
      <c r="C794" s="8"/>
      <c r="D794" s="8"/>
      <c r="E794" s="8"/>
      <c r="F794" s="8"/>
      <c r="G794" s="8"/>
      <c r="H794" s="8"/>
    </row>
    <row r="795" spans="1:8" ht="15.75" customHeight="1">
      <c r="A795" s="8"/>
      <c r="B795" s="8"/>
      <c r="C795" s="8"/>
      <c r="D795" s="8"/>
      <c r="E795" s="8"/>
      <c r="F795" s="8"/>
      <c r="G795" s="8"/>
      <c r="H795" s="8"/>
    </row>
    <row r="796" spans="1:8" ht="15.75" customHeight="1">
      <c r="A796" s="8"/>
      <c r="B796" s="8"/>
      <c r="C796" s="8"/>
      <c r="D796" s="8"/>
      <c r="E796" s="8"/>
      <c r="F796" s="8"/>
      <c r="G796" s="8"/>
      <c r="H796" s="8"/>
    </row>
    <row r="797" spans="1:8" ht="15.75" customHeight="1">
      <c r="A797" s="8"/>
      <c r="B797" s="8"/>
      <c r="C797" s="8"/>
      <c r="D797" s="8"/>
      <c r="E797" s="8"/>
      <c r="F797" s="8"/>
      <c r="G797" s="8"/>
      <c r="H797" s="8"/>
    </row>
    <row r="798" spans="1:8" ht="15.75" customHeight="1">
      <c r="A798" s="8"/>
      <c r="B798" s="8"/>
      <c r="C798" s="8"/>
      <c r="D798" s="8"/>
      <c r="E798" s="8"/>
      <c r="F798" s="8"/>
      <c r="G798" s="8"/>
      <c r="H798" s="8"/>
    </row>
    <row r="799" spans="1:8" ht="15.75" customHeight="1">
      <c r="A799" s="8"/>
      <c r="B799" s="8"/>
      <c r="C799" s="8"/>
      <c r="D799" s="8"/>
      <c r="E799" s="8"/>
      <c r="F799" s="8"/>
      <c r="G799" s="8"/>
      <c r="H799" s="8"/>
    </row>
    <row r="800" spans="1:8" ht="15.75" customHeight="1">
      <c r="A800" s="8"/>
      <c r="B800" s="8"/>
      <c r="C800" s="8"/>
      <c r="D800" s="8"/>
      <c r="E800" s="8"/>
      <c r="F800" s="8"/>
      <c r="G800" s="8"/>
      <c r="H800" s="8"/>
    </row>
    <row r="801" spans="1:8" ht="15.75" customHeight="1">
      <c r="A801" s="8"/>
      <c r="B801" s="8"/>
      <c r="C801" s="8"/>
      <c r="D801" s="8"/>
      <c r="E801" s="8"/>
      <c r="F801" s="8"/>
      <c r="G801" s="8"/>
      <c r="H801" s="8"/>
    </row>
    <row r="802" spans="1:8" ht="15.75" customHeight="1">
      <c r="A802" s="8"/>
      <c r="B802" s="8"/>
      <c r="C802" s="8"/>
      <c r="D802" s="8"/>
      <c r="E802" s="8"/>
      <c r="F802" s="8"/>
      <c r="G802" s="8"/>
      <c r="H802" s="8"/>
    </row>
    <row r="803" spans="1:8" ht="15.75" customHeight="1">
      <c r="A803" s="8"/>
      <c r="B803" s="8"/>
      <c r="C803" s="8"/>
      <c r="D803" s="8"/>
      <c r="E803" s="8"/>
      <c r="F803" s="8"/>
      <c r="G803" s="8"/>
      <c r="H803" s="8"/>
    </row>
    <row r="804" spans="1:8" ht="15.75" customHeight="1">
      <c r="A804" s="8"/>
      <c r="B804" s="8"/>
      <c r="C804" s="8"/>
      <c r="D804" s="8"/>
      <c r="E804" s="8"/>
      <c r="F804" s="8"/>
      <c r="G804" s="8"/>
      <c r="H804" s="8"/>
    </row>
    <row r="805" spans="1:8" ht="15.75" customHeight="1">
      <c r="A805" s="8"/>
      <c r="B805" s="8"/>
      <c r="C805" s="8"/>
      <c r="D805" s="8"/>
      <c r="E805" s="8"/>
      <c r="F805" s="8"/>
      <c r="G805" s="8"/>
      <c r="H805" s="8"/>
    </row>
    <row r="806" spans="1:8" ht="15.75" customHeight="1">
      <c r="A806" s="8"/>
      <c r="B806" s="8"/>
      <c r="C806" s="8"/>
      <c r="D806" s="8"/>
      <c r="E806" s="8"/>
      <c r="F806" s="8"/>
      <c r="G806" s="8"/>
      <c r="H806" s="8"/>
    </row>
    <row r="807" spans="1:8" ht="15.75" customHeight="1">
      <c r="A807" s="8"/>
      <c r="B807" s="8"/>
      <c r="C807" s="8"/>
      <c r="D807" s="8"/>
      <c r="E807" s="8"/>
      <c r="F807" s="8"/>
      <c r="G807" s="8"/>
      <c r="H807" s="8"/>
    </row>
    <row r="808" spans="1:8" ht="15.75" customHeight="1">
      <c r="A808" s="8"/>
      <c r="B808" s="8"/>
      <c r="C808" s="8"/>
      <c r="D808" s="8"/>
      <c r="E808" s="8"/>
      <c r="F808" s="8"/>
      <c r="G808" s="8"/>
      <c r="H808" s="8"/>
    </row>
    <row r="809" spans="1:8" ht="15.75" customHeight="1">
      <c r="A809" s="8"/>
      <c r="B809" s="8"/>
      <c r="C809" s="8"/>
      <c r="D809" s="8"/>
      <c r="E809" s="8"/>
      <c r="F809" s="8"/>
      <c r="G809" s="8"/>
      <c r="H809" s="8"/>
    </row>
    <row r="810" spans="1:8" ht="15.75" customHeight="1">
      <c r="A810" s="8"/>
      <c r="B810" s="8"/>
      <c r="C810" s="8"/>
      <c r="D810" s="8"/>
      <c r="E810" s="8"/>
      <c r="F810" s="8"/>
      <c r="G810" s="8"/>
      <c r="H810" s="8"/>
    </row>
    <row r="811" spans="1:8" ht="15.75" customHeight="1">
      <c r="A811" s="8"/>
      <c r="B811" s="8"/>
      <c r="C811" s="8"/>
      <c r="D811" s="8"/>
      <c r="E811" s="8"/>
      <c r="F811" s="8"/>
      <c r="G811" s="8"/>
      <c r="H811" s="8"/>
    </row>
    <row r="812" spans="1:8" ht="15.75" customHeight="1">
      <c r="A812" s="8"/>
      <c r="B812" s="8"/>
      <c r="C812" s="8"/>
      <c r="D812" s="8"/>
      <c r="E812" s="8"/>
      <c r="F812" s="8"/>
      <c r="G812" s="8"/>
      <c r="H812" s="8"/>
    </row>
    <row r="813" spans="1:8" ht="15.75" customHeight="1">
      <c r="A813" s="8"/>
      <c r="B813" s="8"/>
      <c r="C813" s="8"/>
      <c r="D813" s="8"/>
      <c r="E813" s="8"/>
      <c r="F813" s="8"/>
      <c r="G813" s="8"/>
      <c r="H813" s="8"/>
    </row>
    <row r="814" spans="1:8" ht="15.75" customHeight="1">
      <c r="A814" s="8"/>
      <c r="B814" s="8"/>
      <c r="C814" s="8"/>
      <c r="D814" s="8"/>
      <c r="E814" s="8"/>
      <c r="F814" s="8"/>
      <c r="G814" s="8"/>
      <c r="H814" s="8"/>
    </row>
    <row r="815" spans="1:8" ht="15.75" customHeight="1">
      <c r="A815" s="8"/>
      <c r="B815" s="8"/>
      <c r="C815" s="8"/>
      <c r="D815" s="8"/>
      <c r="E815" s="8"/>
      <c r="F815" s="8"/>
      <c r="G815" s="8"/>
      <c r="H815" s="8"/>
    </row>
    <row r="816" spans="1:8" ht="15.75" customHeight="1">
      <c r="A816" s="8"/>
      <c r="B816" s="8"/>
      <c r="C816" s="8"/>
      <c r="D816" s="8"/>
      <c r="E816" s="8"/>
      <c r="F816" s="8"/>
      <c r="G816" s="8"/>
      <c r="H816" s="8"/>
    </row>
    <row r="817" spans="1:8" ht="15.75" customHeight="1">
      <c r="A817" s="8"/>
      <c r="B817" s="8"/>
      <c r="C817" s="8"/>
      <c r="D817" s="8"/>
      <c r="E817" s="8"/>
      <c r="F817" s="8"/>
      <c r="G817" s="8"/>
      <c r="H817" s="8"/>
    </row>
    <row r="818" spans="1:8" ht="15.75" customHeight="1">
      <c r="A818" s="8"/>
      <c r="B818" s="8"/>
      <c r="C818" s="8"/>
      <c r="D818" s="8"/>
      <c r="E818" s="8"/>
      <c r="F818" s="8"/>
      <c r="G818" s="8"/>
      <c r="H818" s="8"/>
    </row>
    <row r="819" spans="1:8" ht="15.75" customHeight="1">
      <c r="A819" s="8"/>
      <c r="B819" s="8"/>
      <c r="C819" s="8"/>
      <c r="D819" s="8"/>
      <c r="E819" s="8"/>
      <c r="F819" s="8"/>
      <c r="G819" s="8"/>
      <c r="H819" s="8"/>
    </row>
    <row r="820" spans="1:8" ht="15.75" customHeight="1">
      <c r="A820" s="8"/>
      <c r="B820" s="8"/>
      <c r="C820" s="8"/>
      <c r="D820" s="8"/>
      <c r="E820" s="8"/>
      <c r="F820" s="8"/>
      <c r="G820" s="8"/>
      <c r="H820" s="8"/>
    </row>
    <row r="821" spans="1:8" ht="15.75" customHeight="1">
      <c r="A821" s="8"/>
      <c r="B821" s="8"/>
      <c r="C821" s="8"/>
      <c r="D821" s="8"/>
      <c r="E821" s="8"/>
      <c r="F821" s="8"/>
      <c r="G821" s="8"/>
      <c r="H821" s="8"/>
    </row>
    <row r="822" spans="1:8" ht="15.75" customHeight="1">
      <c r="A822" s="8"/>
      <c r="B822" s="8"/>
      <c r="C822" s="8"/>
      <c r="D822" s="8"/>
      <c r="E822" s="8"/>
      <c r="F822" s="8"/>
      <c r="G822" s="8"/>
      <c r="H822" s="8"/>
    </row>
    <row r="823" spans="1:8" ht="15.75" customHeight="1">
      <c r="A823" s="8"/>
      <c r="B823" s="8"/>
      <c r="C823" s="8"/>
      <c r="D823" s="8"/>
      <c r="E823" s="8"/>
      <c r="F823" s="8"/>
      <c r="G823" s="8"/>
      <c r="H823" s="8"/>
    </row>
    <row r="824" spans="1:8" ht="15.75" customHeight="1">
      <c r="A824" s="8"/>
      <c r="B824" s="8"/>
      <c r="C824" s="8"/>
      <c r="D824" s="8"/>
      <c r="E824" s="8"/>
      <c r="F824" s="8"/>
      <c r="G824" s="8"/>
      <c r="H824" s="8"/>
    </row>
    <row r="825" spans="1:8" ht="15.75" customHeight="1">
      <c r="A825" s="8"/>
      <c r="B825" s="8"/>
      <c r="C825" s="8"/>
      <c r="D825" s="8"/>
      <c r="E825" s="8"/>
      <c r="F825" s="8"/>
      <c r="G825" s="8"/>
      <c r="H825" s="8"/>
    </row>
    <row r="826" spans="1:8" ht="15.75" customHeight="1">
      <c r="A826" s="8"/>
      <c r="B826" s="8"/>
      <c r="C826" s="8"/>
      <c r="D826" s="8"/>
      <c r="E826" s="8"/>
      <c r="F826" s="8"/>
      <c r="G826" s="8"/>
      <c r="H826" s="8"/>
    </row>
    <row r="827" spans="1:8" ht="15.75" customHeight="1">
      <c r="A827" s="8"/>
      <c r="B827" s="8"/>
      <c r="C827" s="8"/>
      <c r="D827" s="8"/>
      <c r="E827" s="8"/>
      <c r="F827" s="8"/>
      <c r="G827" s="8"/>
      <c r="H827" s="8"/>
    </row>
    <row r="828" spans="1:8" ht="15.75" customHeight="1">
      <c r="A828" s="8"/>
      <c r="B828" s="8"/>
      <c r="C828" s="8"/>
      <c r="D828" s="8"/>
      <c r="E828" s="8"/>
      <c r="F828" s="8"/>
      <c r="G828" s="8"/>
      <c r="H828" s="8"/>
    </row>
    <row r="829" spans="1:8" ht="15.75" customHeight="1">
      <c r="A829" s="8"/>
      <c r="B829" s="8"/>
      <c r="C829" s="8"/>
      <c r="D829" s="8"/>
      <c r="E829" s="8"/>
      <c r="F829" s="8"/>
      <c r="G829" s="8"/>
      <c r="H829" s="8"/>
    </row>
    <row r="830" spans="1:8" ht="15.75" customHeight="1">
      <c r="A830" s="8"/>
      <c r="B830" s="8"/>
      <c r="C830" s="8"/>
      <c r="D830" s="8"/>
      <c r="E830" s="8"/>
      <c r="F830" s="8"/>
      <c r="G830" s="8"/>
      <c r="H830" s="8"/>
    </row>
    <row r="831" spans="1:8" ht="15.75" customHeight="1">
      <c r="A831" s="8"/>
      <c r="B831" s="8"/>
      <c r="C831" s="8"/>
      <c r="D831" s="8"/>
      <c r="E831" s="8"/>
      <c r="F831" s="8"/>
      <c r="G831" s="8"/>
      <c r="H831" s="8"/>
    </row>
    <row r="832" spans="1:8" ht="15.75" customHeight="1">
      <c r="A832" s="8"/>
      <c r="B832" s="8"/>
      <c r="C832" s="8"/>
      <c r="D832" s="8"/>
      <c r="E832" s="8"/>
      <c r="F832" s="8"/>
      <c r="G832" s="8"/>
      <c r="H832" s="8"/>
    </row>
    <row r="833" spans="1:8" ht="15.75" customHeight="1">
      <c r="A833" s="8"/>
      <c r="B833" s="8"/>
      <c r="C833" s="8"/>
      <c r="D833" s="8"/>
      <c r="E833" s="8"/>
      <c r="F833" s="8"/>
      <c r="G833" s="8"/>
      <c r="H833" s="8"/>
    </row>
    <row r="834" spans="1:8" ht="15.75" customHeight="1">
      <c r="A834" s="8"/>
      <c r="B834" s="8"/>
      <c r="C834" s="8"/>
      <c r="D834" s="8"/>
      <c r="E834" s="8"/>
      <c r="F834" s="8"/>
      <c r="G834" s="8"/>
      <c r="H834" s="8"/>
    </row>
    <row r="835" spans="1:8" ht="15.75" customHeight="1">
      <c r="A835" s="8"/>
      <c r="B835" s="8"/>
      <c r="C835" s="8"/>
      <c r="D835" s="8"/>
      <c r="E835" s="8"/>
      <c r="F835" s="8"/>
      <c r="G835" s="8"/>
      <c r="H835" s="8"/>
    </row>
    <row r="836" spans="1:8" ht="15.75" customHeight="1">
      <c r="A836" s="8"/>
      <c r="B836" s="8"/>
      <c r="C836" s="8"/>
      <c r="D836" s="8"/>
      <c r="E836" s="8"/>
      <c r="F836" s="8"/>
      <c r="G836" s="8"/>
      <c r="H836" s="8"/>
    </row>
    <row r="837" spans="1:8" ht="15.75" customHeight="1">
      <c r="A837" s="8"/>
      <c r="B837" s="8"/>
      <c r="C837" s="8"/>
      <c r="D837" s="8"/>
      <c r="E837" s="8"/>
      <c r="F837" s="8"/>
      <c r="G837" s="8"/>
      <c r="H837" s="8"/>
    </row>
    <row r="838" spans="1:8" ht="15.75" customHeight="1">
      <c r="A838" s="8"/>
      <c r="B838" s="8"/>
      <c r="C838" s="8"/>
      <c r="D838" s="8"/>
      <c r="E838" s="8"/>
      <c r="F838" s="8"/>
      <c r="G838" s="8"/>
      <c r="H838" s="8"/>
    </row>
    <row r="839" spans="1:8" ht="15.75" customHeight="1">
      <c r="A839" s="8"/>
      <c r="B839" s="8"/>
      <c r="C839" s="8"/>
      <c r="D839" s="8"/>
      <c r="E839" s="8"/>
      <c r="F839" s="8"/>
      <c r="G839" s="8"/>
      <c r="H839" s="8"/>
    </row>
    <row r="840" spans="1:8" ht="15.75" customHeight="1">
      <c r="A840" s="8"/>
      <c r="B840" s="8"/>
      <c r="C840" s="8"/>
      <c r="D840" s="8"/>
      <c r="E840" s="8"/>
      <c r="F840" s="8"/>
      <c r="G840" s="8"/>
      <c r="H840" s="8"/>
    </row>
    <row r="841" spans="1:8" ht="15.75" customHeight="1">
      <c r="A841" s="8"/>
      <c r="B841" s="8"/>
      <c r="C841" s="8"/>
      <c r="D841" s="8"/>
      <c r="E841" s="8"/>
      <c r="F841" s="8"/>
      <c r="G841" s="8"/>
      <c r="H841" s="8"/>
    </row>
    <row r="842" spans="1:8" ht="15.75" customHeight="1">
      <c r="A842" s="8"/>
      <c r="B842" s="8"/>
      <c r="C842" s="8"/>
      <c r="D842" s="8"/>
      <c r="E842" s="8"/>
      <c r="F842" s="8"/>
      <c r="G842" s="8"/>
      <c r="H842" s="8"/>
    </row>
    <row r="843" spans="1:8" ht="15.75" customHeight="1">
      <c r="A843" s="8"/>
      <c r="B843" s="8"/>
      <c r="C843" s="8"/>
      <c r="D843" s="8"/>
      <c r="E843" s="8"/>
      <c r="F843" s="8"/>
      <c r="G843" s="8"/>
      <c r="H843" s="8"/>
    </row>
    <row r="844" spans="1:8" ht="15.75" customHeight="1">
      <c r="A844" s="8"/>
      <c r="B844" s="8"/>
      <c r="C844" s="8"/>
      <c r="D844" s="8"/>
      <c r="E844" s="8"/>
      <c r="F844" s="8"/>
      <c r="G844" s="8"/>
      <c r="H844" s="8"/>
    </row>
    <row r="845" spans="1:8" ht="15.75" customHeight="1">
      <c r="A845" s="8"/>
      <c r="B845" s="8"/>
      <c r="C845" s="8"/>
      <c r="D845" s="8"/>
      <c r="E845" s="8"/>
      <c r="F845" s="8"/>
      <c r="G845" s="8"/>
      <c r="H845" s="8"/>
    </row>
    <row r="846" spans="1:8" ht="15.75" customHeight="1">
      <c r="A846" s="8"/>
      <c r="B846" s="8"/>
      <c r="C846" s="8"/>
      <c r="D846" s="8"/>
      <c r="E846" s="8"/>
      <c r="F846" s="8"/>
      <c r="G846" s="8"/>
      <c r="H846" s="8"/>
    </row>
    <row r="847" spans="1:8" ht="15.75" customHeight="1">
      <c r="A847" s="8"/>
      <c r="B847" s="8"/>
      <c r="C847" s="8"/>
      <c r="D847" s="8"/>
      <c r="E847" s="8"/>
      <c r="F847" s="8"/>
      <c r="G847" s="8"/>
      <c r="H847" s="8"/>
    </row>
    <row r="848" spans="1:8" ht="15.75" customHeight="1">
      <c r="A848" s="8"/>
      <c r="B848" s="8"/>
      <c r="C848" s="8"/>
      <c r="D848" s="8"/>
      <c r="E848" s="8"/>
      <c r="F848" s="8"/>
      <c r="G848" s="8"/>
      <c r="H848" s="8"/>
    </row>
    <row r="849" spans="1:8" ht="15.75" customHeight="1">
      <c r="A849" s="8"/>
      <c r="B849" s="8"/>
      <c r="C849" s="8"/>
      <c r="D849" s="8"/>
      <c r="E849" s="8"/>
      <c r="F849" s="8"/>
      <c r="G849" s="8"/>
      <c r="H849" s="8"/>
    </row>
    <row r="850" spans="1:8" ht="15.75" customHeight="1">
      <c r="A850" s="8"/>
      <c r="B850" s="8"/>
      <c r="C850" s="8"/>
      <c r="D850" s="8"/>
      <c r="E850" s="8"/>
      <c r="F850" s="8"/>
      <c r="G850" s="8"/>
      <c r="H850" s="8"/>
    </row>
    <row r="851" spans="1:8" ht="15.75" customHeight="1">
      <c r="A851" s="8"/>
      <c r="B851" s="8"/>
      <c r="C851" s="8"/>
      <c r="D851" s="8"/>
      <c r="E851" s="8"/>
      <c r="F851" s="8"/>
      <c r="G851" s="8"/>
      <c r="H851" s="8"/>
    </row>
    <row r="852" spans="1:8" ht="15.75" customHeight="1">
      <c r="A852" s="8"/>
      <c r="B852" s="8"/>
      <c r="C852" s="8"/>
      <c r="D852" s="8"/>
      <c r="E852" s="8"/>
      <c r="F852" s="8"/>
      <c r="G852" s="8"/>
      <c r="H852" s="8"/>
    </row>
    <row r="853" spans="1:8" ht="15.75" customHeight="1">
      <c r="A853" s="8"/>
      <c r="B853" s="8"/>
      <c r="C853" s="8"/>
      <c r="D853" s="8"/>
      <c r="E853" s="8"/>
      <c r="F853" s="8"/>
      <c r="G853" s="8"/>
      <c r="H853" s="8"/>
    </row>
    <row r="854" spans="1:8" ht="15.75" customHeight="1">
      <c r="A854" s="8"/>
      <c r="B854" s="8"/>
      <c r="C854" s="8"/>
      <c r="D854" s="8"/>
      <c r="E854" s="8"/>
      <c r="F854" s="8"/>
      <c r="G854" s="8"/>
      <c r="H854" s="8"/>
    </row>
    <row r="855" spans="1:8" ht="15.75" customHeight="1">
      <c r="A855" s="8"/>
      <c r="B855" s="8"/>
      <c r="C855" s="8"/>
      <c r="D855" s="8"/>
      <c r="E855" s="8"/>
      <c r="F855" s="8"/>
      <c r="G855" s="8"/>
      <c r="H855" s="8"/>
    </row>
    <row r="856" spans="1:8" ht="15.75" customHeight="1">
      <c r="A856" s="8"/>
      <c r="B856" s="8"/>
      <c r="C856" s="8"/>
      <c r="D856" s="8"/>
      <c r="E856" s="8"/>
      <c r="F856" s="8"/>
      <c r="G856" s="8"/>
      <c r="H856" s="8"/>
    </row>
    <row r="857" spans="1:8" ht="15.75" customHeight="1">
      <c r="A857" s="8"/>
      <c r="B857" s="8"/>
      <c r="C857" s="8"/>
      <c r="D857" s="8"/>
      <c r="E857" s="8"/>
      <c r="F857" s="8"/>
      <c r="G857" s="8"/>
      <c r="H857" s="8"/>
    </row>
    <row r="858" spans="1:8" ht="15.75" customHeight="1">
      <c r="A858" s="8"/>
      <c r="B858" s="8"/>
      <c r="C858" s="8"/>
      <c r="D858" s="8"/>
      <c r="E858" s="8"/>
      <c r="F858" s="8"/>
      <c r="G858" s="8"/>
      <c r="H858" s="8"/>
    </row>
    <row r="859" spans="1:8" ht="15.75" customHeight="1">
      <c r="A859" s="8"/>
      <c r="B859" s="8"/>
      <c r="C859" s="8"/>
      <c r="D859" s="8"/>
      <c r="E859" s="8"/>
      <c r="F859" s="8"/>
      <c r="G859" s="8"/>
      <c r="H859" s="8"/>
    </row>
    <row r="860" spans="1:8" ht="15.75" customHeight="1">
      <c r="A860" s="8"/>
      <c r="B860" s="8"/>
      <c r="C860" s="8"/>
      <c r="D860" s="8"/>
      <c r="E860" s="8"/>
      <c r="F860" s="8"/>
      <c r="G860" s="8"/>
      <c r="H860" s="8"/>
    </row>
    <row r="861" spans="1:8" ht="15.75" customHeight="1">
      <c r="A861" s="8"/>
      <c r="B861" s="8"/>
      <c r="C861" s="8"/>
      <c r="D861" s="8"/>
      <c r="E861" s="8"/>
      <c r="F861" s="8"/>
      <c r="G861" s="8"/>
      <c r="H861" s="8"/>
    </row>
    <row r="862" spans="1:8" ht="15.75" customHeight="1">
      <c r="A862" s="8"/>
      <c r="B862" s="8"/>
      <c r="C862" s="8"/>
      <c r="D862" s="8"/>
      <c r="E862" s="8"/>
      <c r="F862" s="8"/>
      <c r="G862" s="8"/>
      <c r="H862" s="8"/>
    </row>
    <row r="863" spans="1:8" ht="15.75" customHeight="1">
      <c r="A863" s="8"/>
      <c r="B863" s="8"/>
      <c r="C863" s="8"/>
      <c r="D863" s="8"/>
      <c r="E863" s="8"/>
      <c r="F863" s="8"/>
      <c r="G863" s="8"/>
      <c r="H863" s="8"/>
    </row>
    <row r="864" spans="1:8" ht="15.75" customHeight="1">
      <c r="A864" s="8"/>
      <c r="B864" s="8"/>
      <c r="C864" s="8"/>
      <c r="D864" s="8"/>
      <c r="E864" s="8"/>
      <c r="F864" s="8"/>
      <c r="G864" s="8"/>
      <c r="H864" s="8"/>
    </row>
    <row r="865" spans="1:8" ht="15.75" customHeight="1">
      <c r="A865" s="8"/>
      <c r="B865" s="8"/>
      <c r="C865" s="8"/>
      <c r="D865" s="8"/>
      <c r="E865" s="8"/>
      <c r="F865" s="8"/>
      <c r="G865" s="8"/>
      <c r="H865" s="8"/>
    </row>
    <row r="866" spans="1:8" ht="15.75" customHeight="1">
      <c r="A866" s="8"/>
      <c r="B866" s="8"/>
      <c r="C866" s="8"/>
      <c r="D866" s="8"/>
      <c r="E866" s="8"/>
      <c r="F866" s="8"/>
      <c r="G866" s="8"/>
      <c r="H866" s="8"/>
    </row>
    <row r="867" spans="1:8" ht="15.75" customHeight="1">
      <c r="A867" s="8"/>
      <c r="B867" s="8"/>
      <c r="C867" s="8"/>
      <c r="D867" s="8"/>
      <c r="E867" s="8"/>
      <c r="F867" s="8"/>
      <c r="G867" s="8"/>
      <c r="H867" s="8"/>
    </row>
    <row r="868" spans="1:8" ht="15.75" customHeight="1">
      <c r="A868" s="8"/>
      <c r="B868" s="8"/>
      <c r="C868" s="8"/>
      <c r="D868" s="8"/>
      <c r="E868" s="8"/>
      <c r="F868" s="8"/>
      <c r="G868" s="8"/>
      <c r="H868" s="8"/>
    </row>
    <row r="869" spans="1:8" ht="15.75" customHeight="1">
      <c r="A869" s="8"/>
      <c r="B869" s="8"/>
      <c r="C869" s="8"/>
      <c r="D869" s="8"/>
      <c r="E869" s="8"/>
      <c r="F869" s="8"/>
      <c r="G869" s="8"/>
      <c r="H869" s="8"/>
    </row>
    <row r="870" spans="1:8" ht="15.75" customHeight="1">
      <c r="A870" s="8"/>
      <c r="B870" s="8"/>
      <c r="C870" s="8"/>
      <c r="D870" s="8"/>
      <c r="E870" s="8"/>
      <c r="F870" s="8"/>
      <c r="G870" s="8"/>
      <c r="H870" s="8"/>
    </row>
    <row r="871" spans="1:8" ht="15.75" customHeight="1">
      <c r="A871" s="8"/>
      <c r="B871" s="8"/>
      <c r="C871" s="8"/>
      <c r="D871" s="8"/>
      <c r="E871" s="8"/>
      <c r="F871" s="8"/>
      <c r="G871" s="8"/>
      <c r="H871" s="8"/>
    </row>
    <row r="872" spans="1:8" ht="15.75" customHeight="1">
      <c r="A872" s="8"/>
      <c r="B872" s="8"/>
      <c r="C872" s="8"/>
      <c r="D872" s="8"/>
      <c r="E872" s="8"/>
      <c r="F872" s="8"/>
      <c r="G872" s="8"/>
      <c r="H872" s="8"/>
    </row>
    <row r="873" spans="1:8" ht="15.75" customHeight="1">
      <c r="A873" s="8"/>
      <c r="B873" s="8"/>
      <c r="C873" s="8"/>
      <c r="D873" s="8"/>
      <c r="E873" s="8"/>
      <c r="F873" s="8"/>
      <c r="G873" s="8"/>
      <c r="H873" s="8"/>
    </row>
    <row r="874" spans="1:8" ht="15.75" customHeight="1">
      <c r="A874" s="8"/>
      <c r="B874" s="8"/>
      <c r="C874" s="8"/>
      <c r="D874" s="8"/>
      <c r="E874" s="8"/>
      <c r="F874" s="8"/>
      <c r="G874" s="8"/>
      <c r="H874" s="8"/>
    </row>
    <row r="875" spans="1:8" ht="15.75" customHeight="1">
      <c r="A875" s="8"/>
      <c r="B875" s="8"/>
      <c r="C875" s="8"/>
      <c r="D875" s="8"/>
      <c r="E875" s="8"/>
      <c r="F875" s="8"/>
      <c r="G875" s="8"/>
      <c r="H875" s="8"/>
    </row>
    <row r="876" spans="1:8" ht="15.75" customHeight="1">
      <c r="A876" s="8"/>
      <c r="B876" s="8"/>
      <c r="C876" s="8"/>
      <c r="D876" s="8"/>
      <c r="E876" s="8"/>
      <c r="F876" s="8"/>
      <c r="G876" s="8"/>
      <c r="H876" s="8"/>
    </row>
    <row r="877" spans="1:8" ht="15.75" customHeight="1">
      <c r="A877" s="8"/>
      <c r="B877" s="8"/>
      <c r="C877" s="8"/>
      <c r="D877" s="8"/>
      <c r="E877" s="8"/>
      <c r="F877" s="8"/>
      <c r="G877" s="8"/>
      <c r="H877" s="8"/>
    </row>
    <row r="878" spans="1:8" ht="15.75" customHeight="1">
      <c r="A878" s="8"/>
      <c r="B878" s="8"/>
      <c r="C878" s="8"/>
      <c r="D878" s="8"/>
      <c r="E878" s="8"/>
      <c r="F878" s="8"/>
      <c r="G878" s="8"/>
      <c r="H878" s="8"/>
    </row>
    <row r="879" spans="1:8" ht="15.75" customHeight="1">
      <c r="A879" s="8"/>
      <c r="B879" s="8"/>
      <c r="C879" s="8"/>
      <c r="D879" s="8"/>
      <c r="E879" s="8"/>
      <c r="F879" s="8"/>
      <c r="G879" s="8"/>
      <c r="H879" s="8"/>
    </row>
    <row r="880" spans="1:8" ht="15.75" customHeight="1">
      <c r="A880" s="8"/>
      <c r="B880" s="8"/>
      <c r="C880" s="8"/>
      <c r="D880" s="8"/>
      <c r="E880" s="8"/>
      <c r="F880" s="8"/>
      <c r="G880" s="8"/>
      <c r="H880" s="8"/>
    </row>
    <row r="881" spans="1:8" ht="15.75" customHeight="1">
      <c r="A881" s="8"/>
      <c r="B881" s="8"/>
      <c r="C881" s="8"/>
      <c r="D881" s="8"/>
      <c r="E881" s="8"/>
      <c r="F881" s="8"/>
      <c r="G881" s="8"/>
      <c r="H881" s="8"/>
    </row>
    <row r="882" spans="1:8" ht="15.75" customHeight="1">
      <c r="A882" s="8"/>
      <c r="B882" s="8"/>
      <c r="C882" s="8"/>
      <c r="D882" s="8"/>
      <c r="E882" s="8"/>
      <c r="F882" s="8"/>
      <c r="G882" s="8"/>
      <c r="H882" s="8"/>
    </row>
    <row r="883" spans="1:8" ht="15.75" customHeight="1">
      <c r="A883" s="8"/>
      <c r="B883" s="8"/>
      <c r="C883" s="8"/>
      <c r="D883" s="8"/>
      <c r="E883" s="8"/>
      <c r="F883" s="8"/>
      <c r="G883" s="8"/>
      <c r="H883" s="8"/>
    </row>
    <row r="884" spans="1:8" ht="15.75" customHeight="1">
      <c r="A884" s="8"/>
      <c r="B884" s="8"/>
      <c r="C884" s="8"/>
      <c r="D884" s="8"/>
      <c r="E884" s="8"/>
      <c r="F884" s="8"/>
      <c r="G884" s="8"/>
      <c r="H884" s="8"/>
    </row>
    <row r="885" spans="1:8" ht="15.75" customHeight="1">
      <c r="A885" s="8"/>
      <c r="B885" s="8"/>
      <c r="C885" s="8"/>
      <c r="D885" s="8"/>
      <c r="E885" s="8"/>
      <c r="F885" s="8"/>
      <c r="G885" s="8"/>
      <c r="H885" s="8"/>
    </row>
    <row r="886" spans="1:8" ht="15.75" customHeight="1">
      <c r="A886" s="8"/>
      <c r="B886" s="8"/>
      <c r="C886" s="8"/>
      <c r="D886" s="8"/>
      <c r="E886" s="8"/>
      <c r="F886" s="8"/>
      <c r="G886" s="8"/>
      <c r="H886" s="8"/>
    </row>
    <row r="887" spans="1:8" ht="15.75" customHeight="1">
      <c r="A887" s="8"/>
      <c r="B887" s="8"/>
      <c r="C887" s="8"/>
      <c r="D887" s="8"/>
      <c r="E887" s="8"/>
      <c r="F887" s="8"/>
      <c r="G887" s="8"/>
      <c r="H887" s="8"/>
    </row>
    <row r="888" spans="1:8" ht="15.75" customHeight="1">
      <c r="A888" s="8"/>
      <c r="B888" s="8"/>
      <c r="C888" s="8"/>
      <c r="D888" s="8"/>
      <c r="E888" s="8"/>
      <c r="F888" s="8"/>
      <c r="G888" s="8"/>
      <c r="H888" s="8"/>
    </row>
    <row r="889" spans="1:8" ht="15.75" customHeight="1">
      <c r="A889" s="8"/>
      <c r="B889" s="8"/>
      <c r="C889" s="8"/>
      <c r="D889" s="8"/>
      <c r="E889" s="8"/>
      <c r="F889" s="8"/>
      <c r="G889" s="8"/>
      <c r="H889" s="8"/>
    </row>
    <row r="890" spans="1:8" ht="15.75" customHeight="1">
      <c r="A890" s="8"/>
      <c r="B890" s="8"/>
      <c r="C890" s="8"/>
      <c r="D890" s="8"/>
      <c r="E890" s="8"/>
      <c r="F890" s="8"/>
      <c r="G890" s="8"/>
      <c r="H890" s="8"/>
    </row>
    <row r="891" spans="1:8" ht="15.75" customHeight="1">
      <c r="A891" s="8"/>
      <c r="B891" s="8"/>
      <c r="C891" s="8"/>
      <c r="D891" s="8"/>
      <c r="E891" s="8"/>
      <c r="F891" s="8"/>
      <c r="G891" s="8"/>
      <c r="H891" s="8"/>
    </row>
    <row r="892" spans="1:8" ht="15.75" customHeight="1">
      <c r="A892" s="8"/>
      <c r="B892" s="8"/>
      <c r="C892" s="8"/>
      <c r="D892" s="8"/>
      <c r="E892" s="8"/>
      <c r="F892" s="8"/>
      <c r="G892" s="8"/>
      <c r="H892" s="8"/>
    </row>
    <row r="893" spans="1:8" ht="15.75" customHeight="1">
      <c r="A893" s="8"/>
      <c r="B893" s="8"/>
      <c r="C893" s="8"/>
      <c r="D893" s="8"/>
      <c r="E893" s="8"/>
      <c r="F893" s="8"/>
      <c r="G893" s="8"/>
      <c r="H893" s="8"/>
    </row>
    <row r="894" spans="1:8" ht="15.75" customHeight="1">
      <c r="A894" s="8"/>
      <c r="B894" s="8"/>
      <c r="C894" s="8"/>
      <c r="D894" s="8"/>
      <c r="E894" s="8"/>
      <c r="F894" s="8"/>
      <c r="G894" s="8"/>
      <c r="H894" s="8"/>
    </row>
    <row r="895" spans="1:8" ht="15.75" customHeight="1">
      <c r="A895" s="8"/>
      <c r="B895" s="8"/>
      <c r="C895" s="8"/>
      <c r="D895" s="8"/>
      <c r="E895" s="8"/>
      <c r="F895" s="8"/>
      <c r="G895" s="8"/>
      <c r="H895" s="8"/>
    </row>
    <row r="896" spans="1:8" ht="15.75" customHeight="1">
      <c r="A896" s="8"/>
      <c r="B896" s="8"/>
      <c r="C896" s="8"/>
      <c r="D896" s="8"/>
      <c r="E896" s="8"/>
      <c r="F896" s="8"/>
      <c r="G896" s="8"/>
      <c r="H896" s="8"/>
    </row>
    <row r="897" spans="1:8" ht="15.75" customHeight="1">
      <c r="A897" s="8"/>
      <c r="B897" s="8"/>
      <c r="C897" s="8"/>
      <c r="D897" s="8"/>
      <c r="E897" s="8"/>
      <c r="F897" s="8"/>
      <c r="G897" s="8"/>
      <c r="H897" s="8"/>
    </row>
    <row r="898" spans="1:8" ht="15.75" customHeight="1">
      <c r="A898" s="8"/>
      <c r="B898" s="8"/>
      <c r="C898" s="8"/>
      <c r="D898" s="8"/>
      <c r="E898" s="8"/>
      <c r="F898" s="8"/>
      <c r="G898" s="8"/>
      <c r="H898" s="8"/>
    </row>
    <row r="899" spans="1:8" ht="15.75" customHeight="1">
      <c r="A899" s="8"/>
      <c r="B899" s="8"/>
      <c r="C899" s="8"/>
      <c r="D899" s="8"/>
      <c r="E899" s="8"/>
      <c r="F899" s="8"/>
      <c r="G899" s="8"/>
      <c r="H899" s="8"/>
    </row>
    <row r="900" spans="1:8" ht="15.75" customHeight="1">
      <c r="A900" s="8"/>
      <c r="B900" s="8"/>
      <c r="C900" s="8"/>
      <c r="D900" s="8"/>
      <c r="E900" s="8"/>
      <c r="F900" s="8"/>
      <c r="G900" s="8"/>
      <c r="H900" s="8"/>
    </row>
    <row r="901" spans="1:8" ht="15.75" customHeight="1">
      <c r="A901" s="8"/>
      <c r="B901" s="8"/>
      <c r="C901" s="8"/>
      <c r="D901" s="8"/>
      <c r="E901" s="8"/>
      <c r="F901" s="8"/>
      <c r="G901" s="8"/>
      <c r="H901" s="8"/>
    </row>
    <row r="902" spans="1:8" ht="15.75" customHeight="1">
      <c r="A902" s="8"/>
      <c r="B902" s="8"/>
      <c r="C902" s="8"/>
      <c r="D902" s="8"/>
      <c r="E902" s="8"/>
      <c r="F902" s="8"/>
      <c r="G902" s="8"/>
      <c r="H902" s="8"/>
    </row>
    <row r="903" spans="1:8" ht="15.75" customHeight="1">
      <c r="A903" s="8"/>
      <c r="B903" s="8"/>
      <c r="C903" s="8"/>
      <c r="D903" s="8"/>
      <c r="E903" s="8"/>
      <c r="F903" s="8"/>
      <c r="G903" s="8"/>
      <c r="H903" s="8"/>
    </row>
    <row r="904" spans="1:8" ht="15.75" customHeight="1">
      <c r="A904" s="8"/>
      <c r="B904" s="8"/>
      <c r="C904" s="8"/>
      <c r="D904" s="8"/>
      <c r="E904" s="8"/>
      <c r="F904" s="8"/>
      <c r="G904" s="8"/>
      <c r="H904" s="8"/>
    </row>
    <row r="905" spans="1:8" ht="15.75" customHeight="1">
      <c r="A905" s="8"/>
      <c r="B905" s="8"/>
      <c r="C905" s="8"/>
      <c r="D905" s="8"/>
      <c r="E905" s="8"/>
      <c r="F905" s="8"/>
      <c r="G905" s="8"/>
      <c r="H905" s="8"/>
    </row>
    <row r="906" spans="1:8" ht="15.75" customHeight="1">
      <c r="A906" s="8"/>
      <c r="B906" s="8"/>
      <c r="C906" s="8"/>
      <c r="D906" s="8"/>
      <c r="E906" s="8"/>
      <c r="F906" s="8"/>
      <c r="G906" s="8"/>
      <c r="H906" s="8"/>
    </row>
    <row r="907" spans="1:8" ht="15.75" customHeight="1">
      <c r="A907" s="8"/>
      <c r="B907" s="8"/>
      <c r="C907" s="8"/>
      <c r="D907" s="8"/>
      <c r="E907" s="8"/>
      <c r="F907" s="8"/>
      <c r="G907" s="8"/>
      <c r="H907" s="8"/>
    </row>
    <row r="908" spans="1:8" ht="15.75" customHeight="1">
      <c r="A908" s="8"/>
      <c r="B908" s="8"/>
      <c r="C908" s="8"/>
      <c r="D908" s="8"/>
      <c r="E908" s="8"/>
      <c r="F908" s="8"/>
      <c r="G908" s="8"/>
      <c r="H908" s="8"/>
    </row>
    <row r="909" spans="1:8" ht="15.75" customHeight="1">
      <c r="A909" s="8"/>
      <c r="B909" s="8"/>
      <c r="C909" s="8"/>
      <c r="D909" s="8"/>
      <c r="E909" s="8"/>
      <c r="F909" s="8"/>
      <c r="G909" s="8"/>
      <c r="H909" s="8"/>
    </row>
    <row r="910" spans="1:8" ht="15.75" customHeight="1">
      <c r="A910" s="8"/>
      <c r="B910" s="8"/>
      <c r="C910" s="8"/>
      <c r="D910" s="8"/>
      <c r="E910" s="8"/>
      <c r="F910" s="8"/>
      <c r="G910" s="8"/>
      <c r="H910" s="8"/>
    </row>
    <row r="911" spans="1:8" ht="15.75" customHeight="1">
      <c r="A911" s="8"/>
      <c r="B911" s="8"/>
      <c r="C911" s="8"/>
      <c r="D911" s="8"/>
      <c r="E911" s="8"/>
      <c r="F911" s="8"/>
      <c r="G911" s="8"/>
      <c r="H911" s="8"/>
    </row>
    <row r="912" spans="1:8" ht="15.75" customHeight="1">
      <c r="A912" s="8"/>
      <c r="B912" s="8"/>
      <c r="C912" s="8"/>
      <c r="D912" s="8"/>
      <c r="E912" s="8"/>
      <c r="F912" s="8"/>
      <c r="G912" s="8"/>
      <c r="H912" s="8"/>
    </row>
    <row r="913" spans="1:8" ht="15.75" customHeight="1">
      <c r="A913" s="8"/>
      <c r="B913" s="8"/>
      <c r="C913" s="8"/>
      <c r="D913" s="8"/>
      <c r="E913" s="8"/>
      <c r="F913" s="8"/>
      <c r="G913" s="8"/>
      <c r="H913" s="8"/>
    </row>
    <row r="914" spans="1:8" ht="15.75" customHeight="1">
      <c r="A914" s="8"/>
      <c r="B914" s="8"/>
      <c r="C914" s="8"/>
      <c r="D914" s="8"/>
      <c r="E914" s="8"/>
      <c r="F914" s="8"/>
      <c r="G914" s="8"/>
      <c r="H914" s="8"/>
    </row>
    <row r="915" spans="1:8" ht="15.75" customHeight="1">
      <c r="A915" s="8"/>
      <c r="B915" s="8"/>
      <c r="C915" s="8"/>
      <c r="D915" s="8"/>
      <c r="E915" s="8"/>
      <c r="F915" s="8"/>
      <c r="G915" s="8"/>
      <c r="H915" s="8"/>
    </row>
    <row r="916" spans="1:8" ht="15.75" customHeight="1">
      <c r="A916" s="8"/>
      <c r="B916" s="8"/>
      <c r="C916" s="8"/>
      <c r="D916" s="8"/>
      <c r="E916" s="8"/>
      <c r="F916" s="8"/>
      <c r="G916" s="8"/>
      <c r="H916" s="8"/>
    </row>
    <row r="917" spans="1:8" ht="15.75" customHeight="1">
      <c r="A917" s="8"/>
      <c r="B917" s="8"/>
      <c r="C917" s="8"/>
      <c r="D917" s="8"/>
      <c r="E917" s="8"/>
      <c r="F917" s="8"/>
      <c r="G917" s="8"/>
      <c r="H917" s="8"/>
    </row>
    <row r="918" spans="1:8" ht="15.75" customHeight="1">
      <c r="A918" s="8"/>
      <c r="B918" s="8"/>
      <c r="C918" s="8"/>
      <c r="D918" s="8"/>
      <c r="E918" s="8"/>
      <c r="F918" s="8"/>
      <c r="G918" s="8"/>
      <c r="H918" s="8"/>
    </row>
    <row r="919" spans="1:8" ht="15.75" customHeight="1">
      <c r="A919" s="8"/>
      <c r="B919" s="8"/>
      <c r="C919" s="8"/>
      <c r="D919" s="8"/>
      <c r="E919" s="8"/>
      <c r="F919" s="8"/>
      <c r="G919" s="8"/>
      <c r="H919" s="8"/>
    </row>
    <row r="920" spans="1:8" ht="15.75" customHeight="1">
      <c r="A920" s="8"/>
      <c r="B920" s="8"/>
      <c r="C920" s="8"/>
      <c r="D920" s="8"/>
      <c r="E920" s="8"/>
      <c r="F920" s="8"/>
      <c r="G920" s="8"/>
      <c r="H920" s="8"/>
    </row>
    <row r="921" spans="1:8" ht="15.75" customHeight="1">
      <c r="A921" s="8"/>
      <c r="B921" s="8"/>
      <c r="C921" s="8"/>
      <c r="D921" s="8"/>
      <c r="E921" s="8"/>
      <c r="F921" s="8"/>
      <c r="G921" s="8"/>
      <c r="H921" s="8"/>
    </row>
    <row r="922" spans="1:8" ht="15.75" customHeight="1">
      <c r="A922" s="8"/>
      <c r="B922" s="8"/>
      <c r="C922" s="8"/>
      <c r="D922" s="8"/>
      <c r="E922" s="8"/>
      <c r="F922" s="8"/>
      <c r="G922" s="8"/>
      <c r="H922" s="8"/>
    </row>
    <row r="923" spans="1:8" ht="15.75" customHeight="1">
      <c r="A923" s="8"/>
      <c r="B923" s="8"/>
      <c r="C923" s="8"/>
      <c r="D923" s="8"/>
      <c r="E923" s="8"/>
      <c r="F923" s="8"/>
      <c r="G923" s="8"/>
      <c r="H923" s="8"/>
    </row>
    <row r="924" spans="1:8" ht="15.75" customHeight="1">
      <c r="A924" s="8"/>
      <c r="B924" s="8"/>
      <c r="C924" s="8"/>
      <c r="D924" s="8"/>
      <c r="E924" s="8"/>
      <c r="F924" s="8"/>
      <c r="G924" s="8"/>
      <c r="H924" s="8"/>
    </row>
    <row r="925" spans="1:8" ht="15.75" customHeight="1">
      <c r="A925" s="8"/>
      <c r="B925" s="8"/>
      <c r="C925" s="8"/>
      <c r="D925" s="8"/>
      <c r="E925" s="8"/>
      <c r="F925" s="8"/>
      <c r="G925" s="8"/>
      <c r="H925" s="8"/>
    </row>
    <row r="926" spans="1:8" ht="15.75" customHeight="1">
      <c r="A926" s="8"/>
      <c r="B926" s="8"/>
      <c r="C926" s="8"/>
      <c r="D926" s="8"/>
      <c r="E926" s="8"/>
      <c r="F926" s="8"/>
      <c r="G926" s="8"/>
      <c r="H926" s="8"/>
    </row>
    <row r="927" spans="1:8" ht="15.75" customHeight="1">
      <c r="A927" s="8"/>
      <c r="B927" s="8"/>
      <c r="C927" s="8"/>
      <c r="D927" s="8"/>
      <c r="E927" s="8"/>
      <c r="F927" s="8"/>
      <c r="G927" s="8"/>
      <c r="H927" s="8"/>
    </row>
    <row r="928" spans="1:8" ht="15.75" customHeight="1">
      <c r="A928" s="8"/>
      <c r="B928" s="8"/>
      <c r="C928" s="8"/>
      <c r="D928" s="8"/>
      <c r="E928" s="8"/>
      <c r="F928" s="8"/>
      <c r="G928" s="8"/>
      <c r="H928" s="8"/>
    </row>
    <row r="929" spans="1:8" ht="15.75" customHeight="1">
      <c r="A929" s="8"/>
      <c r="B929" s="8"/>
      <c r="C929" s="8"/>
      <c r="D929" s="8"/>
      <c r="E929" s="8"/>
      <c r="F929" s="8"/>
      <c r="G929" s="8"/>
      <c r="H929" s="8"/>
    </row>
    <row r="930" spans="1:8" ht="15.75" customHeight="1">
      <c r="A930" s="8"/>
      <c r="B930" s="8"/>
      <c r="C930" s="8"/>
      <c r="D930" s="8"/>
      <c r="E930" s="8"/>
      <c r="F930" s="8"/>
      <c r="G930" s="8"/>
      <c r="H930" s="8"/>
    </row>
    <row r="931" spans="1:8" ht="15.75" customHeight="1">
      <c r="A931" s="8"/>
      <c r="B931" s="8"/>
      <c r="C931" s="8"/>
      <c r="D931" s="8"/>
      <c r="E931" s="8"/>
      <c r="F931" s="8"/>
      <c r="G931" s="8"/>
      <c r="H931" s="8"/>
    </row>
    <row r="932" spans="1:8" ht="15.75" customHeight="1">
      <c r="A932" s="8"/>
      <c r="B932" s="8"/>
      <c r="C932" s="8"/>
      <c r="D932" s="8"/>
      <c r="E932" s="8"/>
      <c r="F932" s="8"/>
      <c r="G932" s="8"/>
      <c r="H932" s="8"/>
    </row>
    <row r="933" spans="1:8" ht="15.75" customHeight="1">
      <c r="A933" s="8"/>
      <c r="B933" s="8"/>
      <c r="C933" s="8"/>
      <c r="D933" s="8"/>
      <c r="E933" s="8"/>
      <c r="F933" s="8"/>
      <c r="G933" s="8"/>
      <c r="H933" s="8"/>
    </row>
    <row r="934" spans="1:8" ht="15.75" customHeight="1">
      <c r="A934" s="8"/>
      <c r="B934" s="8"/>
      <c r="C934" s="8"/>
      <c r="D934" s="8"/>
      <c r="E934" s="8"/>
      <c r="F934" s="8"/>
      <c r="G934" s="8"/>
      <c r="H934" s="8"/>
    </row>
    <row r="935" spans="1:8" ht="15.75" customHeight="1">
      <c r="A935" s="8"/>
      <c r="B935" s="8"/>
      <c r="C935" s="8"/>
      <c r="D935" s="8"/>
      <c r="E935" s="8"/>
      <c r="F935" s="8"/>
      <c r="G935" s="8"/>
      <c r="H935" s="8"/>
    </row>
    <row r="936" spans="1:8" ht="15.75" customHeight="1">
      <c r="A936" s="8"/>
      <c r="B936" s="8"/>
      <c r="C936" s="8"/>
      <c r="D936" s="8"/>
      <c r="E936" s="8"/>
      <c r="F936" s="8"/>
      <c r="G936" s="8"/>
      <c r="H936" s="8"/>
    </row>
    <row r="937" spans="1:8" ht="15.75" customHeight="1">
      <c r="A937" s="8"/>
      <c r="B937" s="8"/>
      <c r="C937" s="8"/>
      <c r="D937" s="8"/>
      <c r="E937" s="8"/>
      <c r="F937" s="8"/>
      <c r="G937" s="8"/>
      <c r="H937" s="8"/>
    </row>
    <row r="938" spans="1:8" ht="15.75" customHeight="1">
      <c r="A938" s="8"/>
      <c r="B938" s="8"/>
      <c r="C938" s="8"/>
      <c r="D938" s="8"/>
      <c r="E938" s="8"/>
      <c r="F938" s="8"/>
      <c r="G938" s="8"/>
      <c r="H938" s="8"/>
    </row>
    <row r="939" spans="1:8" ht="15.75" customHeight="1">
      <c r="A939" s="8"/>
      <c r="B939" s="8"/>
      <c r="C939" s="8"/>
      <c r="D939" s="8"/>
      <c r="E939" s="8"/>
      <c r="F939" s="8"/>
      <c r="G939" s="8"/>
      <c r="H939" s="8"/>
    </row>
    <row r="940" spans="1:8" ht="15.75" customHeight="1">
      <c r="A940" s="8"/>
      <c r="B940" s="8"/>
      <c r="C940" s="8"/>
      <c r="D940" s="8"/>
      <c r="E940" s="8"/>
      <c r="F940" s="8"/>
      <c r="G940" s="8"/>
      <c r="H940" s="8"/>
    </row>
    <row r="941" spans="1:8" ht="15.75" customHeight="1">
      <c r="A941" s="8"/>
      <c r="B941" s="8"/>
      <c r="C941" s="8"/>
      <c r="D941" s="8"/>
      <c r="E941" s="8"/>
      <c r="F941" s="8"/>
      <c r="G941" s="8"/>
      <c r="H941" s="8"/>
    </row>
    <row r="942" spans="1:8" ht="15.75" customHeight="1">
      <c r="A942" s="8"/>
      <c r="B942" s="8"/>
      <c r="C942" s="8"/>
      <c r="D942" s="8"/>
      <c r="E942" s="8"/>
      <c r="F942" s="8"/>
      <c r="G942" s="8"/>
      <c r="H942" s="8"/>
    </row>
    <row r="943" spans="1:8" ht="15.75" customHeight="1">
      <c r="A943" s="8"/>
      <c r="B943" s="8"/>
      <c r="C943" s="8"/>
      <c r="D943" s="8"/>
      <c r="E943" s="8"/>
      <c r="F943" s="8"/>
      <c r="G943" s="8"/>
      <c r="H943" s="8"/>
    </row>
    <row r="944" spans="1:8" ht="15.75" customHeight="1">
      <c r="A944" s="8"/>
      <c r="B944" s="8"/>
      <c r="C944" s="8"/>
      <c r="D944" s="8"/>
      <c r="E944" s="8"/>
      <c r="F944" s="8"/>
      <c r="G944" s="8"/>
      <c r="H944" s="8"/>
    </row>
    <row r="945" spans="1:8" ht="15.75" customHeight="1">
      <c r="A945" s="8"/>
      <c r="B945" s="8"/>
      <c r="C945" s="8"/>
      <c r="D945" s="8"/>
      <c r="E945" s="8"/>
      <c r="F945" s="8"/>
      <c r="G945" s="8"/>
      <c r="H945" s="8"/>
    </row>
    <row r="946" spans="1:8" ht="15.75" customHeight="1">
      <c r="A946" s="8"/>
      <c r="B946" s="8"/>
      <c r="C946" s="8"/>
      <c r="D946" s="8"/>
      <c r="E946" s="8"/>
      <c r="F946" s="8"/>
      <c r="G946" s="8"/>
      <c r="H946" s="8"/>
    </row>
    <row r="947" spans="1:8" ht="15.75" customHeight="1">
      <c r="A947" s="8"/>
      <c r="B947" s="8"/>
      <c r="C947" s="8"/>
      <c r="D947" s="8"/>
      <c r="E947" s="8"/>
      <c r="F947" s="8"/>
      <c r="G947" s="8"/>
      <c r="H947" s="8"/>
    </row>
    <row r="948" spans="1:8" ht="15.75" customHeight="1">
      <c r="A948" s="8"/>
      <c r="B948" s="8"/>
      <c r="C948" s="8"/>
      <c r="D948" s="8"/>
      <c r="E948" s="8"/>
      <c r="F948" s="8"/>
      <c r="G948" s="8"/>
      <c r="H948" s="8"/>
    </row>
    <row r="949" spans="1:8" ht="15.75" customHeight="1">
      <c r="A949" s="8"/>
      <c r="B949" s="8"/>
      <c r="C949" s="8"/>
      <c r="D949" s="8"/>
      <c r="E949" s="8"/>
      <c r="F949" s="8"/>
      <c r="G949" s="8"/>
      <c r="H949" s="8"/>
    </row>
    <row r="950" spans="1:8" ht="15.75" customHeight="1">
      <c r="A950" s="8"/>
      <c r="B950" s="8"/>
      <c r="C950" s="8"/>
      <c r="D950" s="8"/>
      <c r="E950" s="8"/>
      <c r="F950" s="8"/>
      <c r="G950" s="8"/>
      <c r="H950" s="8"/>
    </row>
    <row r="951" spans="1:8" ht="15.75" customHeight="1">
      <c r="A951" s="8"/>
      <c r="B951" s="8"/>
      <c r="C951" s="8"/>
      <c r="D951" s="8"/>
      <c r="E951" s="8"/>
      <c r="F951" s="8"/>
      <c r="G951" s="8"/>
      <c r="H951" s="8"/>
    </row>
    <row r="952" spans="1:8" ht="15.75" customHeight="1">
      <c r="A952" s="8"/>
      <c r="B952" s="8"/>
      <c r="C952" s="8"/>
      <c r="D952" s="8"/>
      <c r="E952" s="8"/>
      <c r="F952" s="8"/>
      <c r="G952" s="8"/>
      <c r="H952" s="8"/>
    </row>
    <row r="953" spans="1:8" ht="15.75" customHeight="1">
      <c r="A953" s="8"/>
      <c r="B953" s="8"/>
      <c r="C953" s="8"/>
      <c r="D953" s="8"/>
      <c r="E953" s="8"/>
      <c r="F953" s="8"/>
      <c r="G953" s="8"/>
      <c r="H953" s="8"/>
    </row>
    <row r="954" spans="1:8" ht="15.75" customHeight="1">
      <c r="A954" s="8"/>
      <c r="B954" s="8"/>
      <c r="C954" s="8"/>
      <c r="D954" s="8"/>
      <c r="E954" s="8"/>
      <c r="F954" s="8"/>
      <c r="G954" s="8"/>
      <c r="H954" s="8"/>
    </row>
    <row r="955" spans="1:8" ht="15.75" customHeight="1">
      <c r="A955" s="8"/>
      <c r="B955" s="8"/>
      <c r="C955" s="8"/>
      <c r="D955" s="8"/>
      <c r="E955" s="8"/>
      <c r="F955" s="8"/>
      <c r="G955" s="8"/>
      <c r="H955" s="8"/>
    </row>
    <row r="956" spans="1:8" ht="15.75" customHeight="1">
      <c r="A956" s="8"/>
      <c r="B956" s="8"/>
      <c r="C956" s="8"/>
      <c r="D956" s="8"/>
      <c r="E956" s="8"/>
      <c r="F956" s="8"/>
      <c r="G956" s="8"/>
      <c r="H956" s="8"/>
    </row>
    <row r="957" spans="1:8" ht="15.75" customHeight="1">
      <c r="A957" s="8"/>
      <c r="B957" s="8"/>
      <c r="C957" s="8"/>
      <c r="D957" s="8"/>
      <c r="E957" s="8"/>
      <c r="F957" s="8"/>
      <c r="G957" s="8"/>
      <c r="H957" s="8"/>
    </row>
    <row r="958" spans="1:8" ht="15.75" customHeight="1">
      <c r="A958" s="8"/>
      <c r="B958" s="8"/>
      <c r="C958" s="8"/>
      <c r="D958" s="8"/>
      <c r="E958" s="8"/>
      <c r="F958" s="8"/>
      <c r="G958" s="8"/>
      <c r="H958" s="8"/>
    </row>
    <row r="959" spans="1:8" ht="15.75" customHeight="1">
      <c r="A959" s="8"/>
      <c r="B959" s="8"/>
      <c r="C959" s="8"/>
      <c r="D959" s="8"/>
      <c r="E959" s="8"/>
      <c r="F959" s="8"/>
      <c r="G959" s="8"/>
      <c r="H959" s="8"/>
    </row>
    <row r="960" spans="1:8" ht="15.75" customHeight="1">
      <c r="A960" s="8"/>
      <c r="B960" s="8"/>
      <c r="C960" s="8"/>
      <c r="D960" s="8"/>
      <c r="E960" s="8"/>
      <c r="F960" s="8"/>
      <c r="G960" s="8"/>
      <c r="H960" s="8"/>
    </row>
    <row r="961" spans="1:8" ht="15.75" customHeight="1">
      <c r="A961" s="8"/>
      <c r="B961" s="8"/>
      <c r="C961" s="8"/>
      <c r="D961" s="8"/>
      <c r="E961" s="8"/>
      <c r="F961" s="8"/>
      <c r="G961" s="8"/>
      <c r="H961" s="8"/>
    </row>
    <row r="962" spans="1:8" ht="15.75" customHeight="1">
      <c r="A962" s="8"/>
      <c r="B962" s="8"/>
      <c r="C962" s="8"/>
      <c r="D962" s="8"/>
      <c r="E962" s="8"/>
      <c r="F962" s="8"/>
      <c r="G962" s="8"/>
      <c r="H962" s="8"/>
    </row>
    <row r="963" spans="1:8" ht="15.75" customHeight="1">
      <c r="A963" s="8"/>
      <c r="B963" s="8"/>
      <c r="C963" s="8"/>
      <c r="D963" s="8"/>
      <c r="E963" s="8"/>
      <c r="F963" s="8"/>
      <c r="G963" s="8"/>
      <c r="H963" s="8"/>
    </row>
    <row r="964" spans="1:8" ht="15.75" customHeight="1">
      <c r="A964" s="8"/>
      <c r="B964" s="8"/>
      <c r="C964" s="8"/>
      <c r="D964" s="8"/>
      <c r="E964" s="8"/>
      <c r="F964" s="8"/>
      <c r="G964" s="8"/>
      <c r="H964" s="8"/>
    </row>
    <row r="965" spans="1:8" ht="15.75" customHeight="1">
      <c r="A965" s="8"/>
      <c r="B965" s="8"/>
      <c r="C965" s="8"/>
      <c r="D965" s="8"/>
      <c r="E965" s="8"/>
      <c r="F965" s="8"/>
      <c r="G965" s="8"/>
      <c r="H965" s="8"/>
    </row>
    <row r="966" spans="1:8" ht="15.75" customHeight="1">
      <c r="A966" s="8"/>
      <c r="B966" s="8"/>
      <c r="C966" s="8"/>
      <c r="D966" s="8"/>
      <c r="E966" s="8"/>
      <c r="F966" s="8"/>
      <c r="G966" s="8"/>
      <c r="H966" s="8"/>
    </row>
    <row r="967" spans="1:8" ht="15.75" customHeight="1">
      <c r="A967" s="8"/>
      <c r="B967" s="8"/>
      <c r="C967" s="8"/>
      <c r="D967" s="8"/>
      <c r="E967" s="8"/>
      <c r="F967" s="8"/>
      <c r="G967" s="8"/>
      <c r="H967" s="8"/>
    </row>
    <row r="968" spans="1:8" ht="15.75" customHeight="1">
      <c r="A968" s="8"/>
      <c r="B968" s="8"/>
      <c r="C968" s="8"/>
      <c r="D968" s="8"/>
      <c r="E968" s="8"/>
      <c r="F968" s="8"/>
      <c r="G968" s="8"/>
      <c r="H968" s="8"/>
    </row>
    <row r="969" spans="1:8" ht="15.75" customHeight="1">
      <c r="A969" s="8"/>
      <c r="B969" s="8"/>
      <c r="C969" s="8"/>
      <c r="D969" s="8"/>
      <c r="E969" s="8"/>
      <c r="F969" s="8"/>
      <c r="G969" s="8"/>
      <c r="H969" s="8"/>
    </row>
    <row r="970" spans="1:8" ht="15.75" customHeight="1">
      <c r="A970" s="8"/>
      <c r="B970" s="8"/>
      <c r="C970" s="8"/>
      <c r="D970" s="8"/>
      <c r="E970" s="8"/>
      <c r="F970" s="8"/>
      <c r="G970" s="8"/>
      <c r="H970" s="8"/>
    </row>
    <row r="971" spans="1:8" ht="15.75" customHeight="1">
      <c r="A971" s="8"/>
      <c r="B971" s="8"/>
      <c r="C971" s="8"/>
      <c r="D971" s="8"/>
      <c r="E971" s="8"/>
      <c r="F971" s="8"/>
      <c r="G971" s="8"/>
      <c r="H971" s="8"/>
    </row>
    <row r="972" spans="1:8" ht="15.75" customHeight="1">
      <c r="A972" s="8"/>
      <c r="B972" s="8"/>
      <c r="C972" s="8"/>
      <c r="D972" s="8"/>
      <c r="E972" s="8"/>
      <c r="F972" s="8"/>
      <c r="G972" s="8"/>
      <c r="H972" s="8"/>
    </row>
    <row r="973" spans="1:8" ht="15.75" customHeight="1">
      <c r="A973" s="8"/>
      <c r="B973" s="8"/>
      <c r="C973" s="8"/>
      <c r="D973" s="8"/>
      <c r="E973" s="8"/>
      <c r="F973" s="8"/>
      <c r="G973" s="8"/>
      <c r="H973" s="8"/>
    </row>
    <row r="974" spans="1:8" ht="15.75" customHeight="1">
      <c r="A974" s="8"/>
      <c r="B974" s="8"/>
      <c r="C974" s="8"/>
      <c r="D974" s="8"/>
      <c r="E974" s="8"/>
      <c r="F974" s="8"/>
      <c r="G974" s="8"/>
      <c r="H974" s="8"/>
    </row>
    <row r="975" spans="1:8" ht="15.75" customHeight="1">
      <c r="A975" s="8"/>
      <c r="B975" s="8"/>
      <c r="C975" s="8"/>
      <c r="D975" s="8"/>
      <c r="E975" s="8"/>
      <c r="F975" s="8"/>
      <c r="G975" s="8"/>
      <c r="H975" s="8"/>
    </row>
    <row r="976" spans="1:8" ht="15.75" customHeight="1">
      <c r="A976" s="8"/>
      <c r="B976" s="8"/>
      <c r="C976" s="8"/>
      <c r="D976" s="8"/>
      <c r="E976" s="8"/>
      <c r="F976" s="8"/>
      <c r="G976" s="8"/>
      <c r="H976" s="8"/>
    </row>
    <row r="977" spans="1:8" ht="15.75" customHeight="1">
      <c r="A977" s="8"/>
      <c r="B977" s="8"/>
      <c r="C977" s="8"/>
      <c r="D977" s="8"/>
      <c r="E977" s="8"/>
      <c r="F977" s="8"/>
      <c r="G977" s="8"/>
      <c r="H977" s="8"/>
    </row>
    <row r="978" spans="1:8" ht="15.75" customHeight="1">
      <c r="A978" s="8"/>
      <c r="B978" s="8"/>
      <c r="C978" s="8"/>
      <c r="D978" s="8"/>
      <c r="E978" s="8"/>
      <c r="F978" s="8"/>
      <c r="G978" s="8"/>
      <c r="H978" s="8"/>
    </row>
    <row r="979" spans="1:8" ht="15.75" customHeight="1">
      <c r="A979" s="8"/>
      <c r="B979" s="8"/>
      <c r="C979" s="8"/>
      <c r="D979" s="8"/>
      <c r="E979" s="8"/>
      <c r="F979" s="8"/>
      <c r="G979" s="8"/>
      <c r="H979" s="8"/>
    </row>
    <row r="980" spans="1:8" ht="15.75" customHeight="1">
      <c r="A980" s="8"/>
      <c r="B980" s="8"/>
      <c r="C980" s="8"/>
      <c r="D980" s="8"/>
      <c r="E980" s="8"/>
      <c r="F980" s="8"/>
      <c r="G980" s="8"/>
      <c r="H980" s="8"/>
    </row>
    <row r="981" spans="1:8" ht="15.75" customHeight="1">
      <c r="A981" s="8"/>
      <c r="B981" s="8"/>
      <c r="C981" s="8"/>
      <c r="D981" s="8"/>
      <c r="E981" s="8"/>
      <c r="F981" s="8"/>
      <c r="G981" s="8"/>
      <c r="H981" s="8"/>
    </row>
    <row r="982" spans="1:8" ht="15.75" customHeight="1">
      <c r="A982" s="8"/>
      <c r="B982" s="8"/>
      <c r="C982" s="8"/>
      <c r="D982" s="8"/>
      <c r="E982" s="8"/>
      <c r="F982" s="8"/>
      <c r="G982" s="8"/>
      <c r="H982" s="8"/>
    </row>
    <row r="983" spans="1:8" ht="15.75" customHeight="1">
      <c r="A983" s="8"/>
      <c r="B983" s="8"/>
      <c r="C983" s="8"/>
      <c r="D983" s="8"/>
      <c r="E983" s="8"/>
      <c r="F983" s="8"/>
      <c r="G983" s="8"/>
      <c r="H983" s="8"/>
    </row>
    <row r="984" spans="1:8" ht="15.75" customHeight="1">
      <c r="A984" s="8"/>
      <c r="B984" s="8"/>
      <c r="C984" s="8"/>
      <c r="D984" s="8"/>
      <c r="E984" s="8"/>
      <c r="F984" s="8"/>
      <c r="G984" s="8"/>
      <c r="H984" s="8"/>
    </row>
    <row r="985" spans="1:8" ht="15.75" customHeight="1">
      <c r="A985" s="8"/>
      <c r="B985" s="8"/>
      <c r="C985" s="8"/>
      <c r="D985" s="8"/>
      <c r="E985" s="8"/>
      <c r="F985" s="8"/>
      <c r="G985" s="8"/>
      <c r="H985" s="8"/>
    </row>
    <row r="986" spans="1:8" ht="15.75" customHeight="1">
      <c r="A986" s="8"/>
      <c r="B986" s="8"/>
      <c r="C986" s="8"/>
      <c r="D986" s="8"/>
      <c r="E986" s="8"/>
      <c r="F986" s="8"/>
      <c r="G986" s="8"/>
      <c r="H986" s="8"/>
    </row>
    <row r="987" spans="1:8" ht="15.75" customHeight="1">
      <c r="A987" s="8"/>
      <c r="B987" s="8"/>
      <c r="C987" s="8"/>
      <c r="D987" s="8"/>
      <c r="E987" s="8"/>
      <c r="F987" s="8"/>
      <c r="G987" s="8"/>
      <c r="H987" s="8"/>
    </row>
    <row r="988" spans="1:8" ht="15.75" customHeight="1">
      <c r="A988" s="8"/>
      <c r="B988" s="8"/>
      <c r="C988" s="8"/>
      <c r="D988" s="8"/>
      <c r="E988" s="8"/>
      <c r="F988" s="8"/>
      <c r="G988" s="8"/>
      <c r="H988" s="8"/>
    </row>
    <row r="989" spans="1:8" ht="15.75" customHeight="1">
      <c r="A989" s="8"/>
      <c r="B989" s="8"/>
      <c r="C989" s="8"/>
      <c r="D989" s="8"/>
      <c r="E989" s="8"/>
      <c r="F989" s="8"/>
      <c r="G989" s="8"/>
      <c r="H989" s="8"/>
    </row>
    <row r="990" spans="1:8" ht="15.75" customHeight="1">
      <c r="A990" s="8"/>
      <c r="B990" s="8"/>
      <c r="C990" s="8"/>
      <c r="D990" s="8"/>
      <c r="E990" s="8"/>
      <c r="F990" s="8"/>
      <c r="G990" s="8"/>
      <c r="H990" s="8"/>
    </row>
    <row r="991" spans="1:8" ht="15.75" customHeight="1">
      <c r="A991" s="8"/>
      <c r="B991" s="8"/>
      <c r="C991" s="8"/>
      <c r="D991" s="8"/>
      <c r="E991" s="8"/>
      <c r="F991" s="8"/>
      <c r="G991" s="8"/>
      <c r="H991" s="8"/>
    </row>
    <row r="992" spans="1:8" ht="15.75" customHeight="1">
      <c r="A992" s="8"/>
      <c r="B992" s="8"/>
      <c r="C992" s="8"/>
      <c r="D992" s="8"/>
      <c r="E992" s="8"/>
      <c r="F992" s="8"/>
      <c r="G992" s="8"/>
      <c r="H992" s="8"/>
    </row>
    <row r="993" spans="1:8" ht="15.75" customHeight="1">
      <c r="A993" s="8"/>
      <c r="B993" s="8"/>
      <c r="C993" s="8"/>
      <c r="D993" s="8"/>
      <c r="E993" s="8"/>
      <c r="F993" s="8"/>
      <c r="G993" s="8"/>
      <c r="H993" s="8"/>
    </row>
    <row r="994" spans="1:8" ht="15.75" customHeight="1">
      <c r="A994" s="8"/>
      <c r="B994" s="8"/>
      <c r="C994" s="8"/>
      <c r="D994" s="8"/>
      <c r="E994" s="8"/>
      <c r="F994" s="8"/>
      <c r="G994" s="8"/>
      <c r="H994" s="8"/>
    </row>
    <row r="995" spans="1:8" ht="15.75" customHeight="1">
      <c r="A995" s="8"/>
      <c r="B995" s="8"/>
      <c r="C995" s="8"/>
      <c r="D995" s="8"/>
      <c r="E995" s="8"/>
      <c r="F995" s="8"/>
      <c r="G995" s="8"/>
      <c r="H995" s="8"/>
    </row>
    <row r="996" spans="1:8" ht="15.75" customHeight="1">
      <c r="A996" s="8"/>
      <c r="B996" s="8"/>
      <c r="C996" s="8"/>
      <c r="D996" s="8"/>
      <c r="E996" s="8"/>
      <c r="F996" s="8"/>
      <c r="G996" s="8"/>
      <c r="H996" s="8"/>
    </row>
    <row r="997" spans="1:8" ht="15.75" customHeight="1">
      <c r="A997" s="8"/>
      <c r="B997" s="8"/>
      <c r="C997" s="8"/>
      <c r="D997" s="8"/>
      <c r="E997" s="8"/>
      <c r="F997" s="8"/>
      <c r="G997" s="8"/>
      <c r="H997" s="8"/>
    </row>
    <row r="998" spans="1:8" ht="15.75" customHeight="1">
      <c r="A998" s="8"/>
      <c r="B998" s="8"/>
      <c r="C998" s="8"/>
      <c r="D998" s="8"/>
      <c r="E998" s="8"/>
      <c r="F998" s="8"/>
      <c r="G998" s="8"/>
      <c r="H998" s="8"/>
    </row>
    <row r="999" spans="1:8" ht="15.75" customHeight="1">
      <c r="A999" s="8"/>
      <c r="B999" s="8"/>
      <c r="C999" s="8"/>
      <c r="D999" s="8"/>
      <c r="E999" s="8"/>
      <c r="F999" s="8"/>
      <c r="G999" s="8"/>
      <c r="H999" s="8"/>
    </row>
    <row r="1000" spans="1:8" ht="15.75" customHeight="1">
      <c r="A1000" s="8"/>
      <c r="B1000" s="8"/>
      <c r="C1000" s="8"/>
      <c r="D1000" s="8"/>
      <c r="E1000" s="8"/>
      <c r="F1000" s="8"/>
      <c r="G1000" s="8"/>
      <c r="H1000" s="8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/>
  </sheetViews>
  <sheetFormatPr defaultColWidth="12.625" defaultRowHeight="15" customHeight="1"/>
  <cols>
    <col min="1" max="1" width="18.625" customWidth="1"/>
    <col min="2" max="28" width="8.125" customWidth="1"/>
  </cols>
  <sheetData>
    <row r="1" spans="1:28">
      <c r="A1" s="1" t="s">
        <v>56</v>
      </c>
      <c r="B1" s="1" t="s">
        <v>57</v>
      </c>
      <c r="C1" s="1" t="s">
        <v>58</v>
      </c>
      <c r="D1" s="1"/>
      <c r="E1" s="1" t="s">
        <v>59</v>
      </c>
      <c r="F1" s="1" t="s">
        <v>60</v>
      </c>
      <c r="G1" s="1" t="s">
        <v>8</v>
      </c>
      <c r="H1" s="1" t="s">
        <v>155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7" t="s">
        <v>156</v>
      </c>
      <c r="B2" s="7" t="s">
        <v>86</v>
      </c>
      <c r="C2" s="13">
        <f>in_gen!C9 * in_gen!C34</f>
        <v>2400</v>
      </c>
      <c r="D2" s="13"/>
      <c r="E2" s="13">
        <f>in_gen!E9 * in_gen!E34</f>
        <v>2496</v>
      </c>
      <c r="F2" s="13">
        <f>in_gen!F9 * in_gen!F34</f>
        <v>2304</v>
      </c>
      <c r="G2" s="7"/>
      <c r="H2" s="7" t="str">
        <f>in_gen!A9 &amp; " * " &amp; in_gen!A34</f>
        <v>ac_cable_cost_per_m * ac_cable_length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7" t="s">
        <v>157</v>
      </c>
      <c r="B3" s="7" t="s">
        <v>86</v>
      </c>
      <c r="C3" s="13">
        <f>in_gen!C10 * in_gen!C35</f>
        <v>28500</v>
      </c>
      <c r="D3" s="13"/>
      <c r="E3" s="13">
        <f>in_gen!E10 * in_gen!E35</f>
        <v>29640</v>
      </c>
      <c r="F3" s="13">
        <f>in_gen!F10 * in_gen!F35</f>
        <v>27360</v>
      </c>
      <c r="G3" s="7"/>
      <c r="H3" s="7" t="str">
        <f>in_gen!A10 &amp; " * " &amp; in_gen!A35</f>
        <v>mv_floating_cable_cost_per_m * mv_floating_cable_length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7" t="s">
        <v>158</v>
      </c>
      <c r="B4" s="7" t="s">
        <v>65</v>
      </c>
      <c r="C4" s="13">
        <f>in_gen!C50 * in_gen!C3 + in_gen!C4 + in_gen!C5</f>
        <v>500</v>
      </c>
      <c r="D4" s="13"/>
      <c r="E4" s="13">
        <f>in_gen!E50 * in_gen!E3 + in_gen!E4 + in_gen!E5</f>
        <v>526.65600000000006</v>
      </c>
      <c r="F4" s="13">
        <f>in_gen!F50 * in_gen!F3 + in_gen!F4 + in_gen!F5</f>
        <v>473.85599999999999</v>
      </c>
      <c r="G4" s="7" t="s">
        <v>159</v>
      </c>
      <c r="H4" s="7" t="str">
        <f>in_gen!A50 &amp; " * " &amp; in_gen!A3 &amp; " + " &amp; in_gen!A4 &amp; " + " &amp; in_gen!A5</f>
        <v>solar_panel_prod_workhours_per_kw * solar_panel_prod_workhours_cost_per_hour + solar_panel_prod_material_costs + solar_panel_prod_other_costs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7" t="s">
        <v>160</v>
      </c>
      <c r="B5" s="7" t="s">
        <v>86</v>
      </c>
      <c r="C5" s="13">
        <f>in_gen!C13+in_gen!C14+in_gen!C15+in_gen!C16+in_gen!C17+in_gen!C18+in_gen!C19+in_gen!C20+in_gen!C21</f>
        <v>39000</v>
      </c>
      <c r="D5" s="13"/>
      <c r="E5" s="13">
        <f>in_gen!E13+in_gen!E14+in_gen!E15+in_gen!E16+in_gen!E17+in_gen!E18+in_gen!E19+in_gen!E20+in_gen!E21</f>
        <v>40560</v>
      </c>
      <c r="F5" s="13">
        <f>in_gen!F13+in_gen!F14+in_gen!F15+in_gen!F16+in_gen!F17+in_gen!F18+in_gen!F19+in_gen!F20+in_gen!F21</f>
        <v>37440</v>
      </c>
      <c r="G5" s="7"/>
      <c r="H5" s="7" t="str">
        <f>in_gen!A13 &amp; " + " &amp; in_gen!A14 &amp; " + " &amp; in_gen!A15 &amp; " + " &amp; in_gen!A16 &amp; " + " &amp; in_gen!A17 &amp; " + " &amp; in_gen!A18 &amp; " + " &amp; in_gen!A19 &amp; " + " &amp; in_gen!A20 &amp; " + " &amp; in_gen!A21</f>
        <v>scada_ppc + scada_sems + scada_weather_station + scada_smart_energy_meter + scada_gateway_rtu + scada_switch_fiber + scada_local_hmi + scada_license_config + scada_cabling_racks_power_backup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9"/>
      <c r="D20" s="9"/>
      <c r="E20" s="9"/>
      <c r="F20" s="9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9"/>
      <c r="D21" s="9"/>
      <c r="E21" s="9"/>
      <c r="F21" s="9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9"/>
      <c r="D22" s="9"/>
      <c r="E22" s="9"/>
      <c r="F22" s="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9"/>
      <c r="D23" s="9"/>
      <c r="E23" s="9"/>
      <c r="F23" s="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9"/>
      <c r="D24" s="9"/>
      <c r="E24" s="9"/>
      <c r="F24" s="9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9"/>
      <c r="D25" s="9"/>
      <c r="E25" s="9"/>
      <c r="F25" s="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9"/>
      <c r="D26" s="9"/>
      <c r="E26" s="9"/>
      <c r="F26" s="9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9"/>
      <c r="D27" s="9"/>
      <c r="E27" s="9"/>
      <c r="F27" s="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9"/>
      <c r="D28" s="9"/>
      <c r="E28" s="9"/>
      <c r="F28" s="9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9"/>
      <c r="D29" s="9"/>
      <c r="E29" s="9"/>
      <c r="F29" s="9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9"/>
      <c r="D30" s="9"/>
      <c r="E30" s="9"/>
      <c r="F30" s="9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9"/>
      <c r="D31" s="9"/>
      <c r="E31" s="9"/>
      <c r="F31" s="9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9"/>
      <c r="D32" s="9"/>
      <c r="E32" s="9"/>
      <c r="F32" s="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9"/>
      <c r="D33" s="9"/>
      <c r="E33" s="9"/>
      <c r="F33" s="9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9"/>
      <c r="D34" s="9"/>
      <c r="E34" s="9"/>
      <c r="F34" s="9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9"/>
      <c r="D35" s="9"/>
      <c r="E35" s="9"/>
      <c r="F35" s="9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9"/>
      <c r="D36" s="9"/>
      <c r="E36" s="9"/>
      <c r="F36" s="9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9"/>
      <c r="D37" s="9"/>
      <c r="E37" s="9"/>
      <c r="F37" s="9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9"/>
      <c r="D38" s="9"/>
      <c r="E38" s="9"/>
      <c r="F38" s="9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9"/>
      <c r="D39" s="9"/>
      <c r="E39" s="9"/>
      <c r="F39" s="9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9"/>
      <c r="D40" s="9"/>
      <c r="E40" s="9"/>
      <c r="F40" s="9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9"/>
      <c r="D41" s="9"/>
      <c r="E41" s="9"/>
      <c r="F41" s="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9"/>
      <c r="D42" s="9"/>
      <c r="E42" s="9"/>
      <c r="F42" s="9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9"/>
      <c r="D43" s="9"/>
      <c r="E43" s="9"/>
      <c r="F43" s="9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9"/>
      <c r="D44" s="9"/>
      <c r="E44" s="9"/>
      <c r="F44" s="9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9"/>
      <c r="D45" s="9"/>
      <c r="E45" s="9"/>
      <c r="F45" s="9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9"/>
      <c r="D46" s="9"/>
      <c r="E46" s="9"/>
      <c r="F46" s="9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9"/>
      <c r="D47" s="9"/>
      <c r="E47" s="9"/>
      <c r="F47" s="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9"/>
      <c r="D48" s="9"/>
      <c r="E48" s="9"/>
      <c r="F48" s="9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9"/>
      <c r="D49" s="9"/>
      <c r="E49" s="9"/>
      <c r="F49" s="9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9"/>
      <c r="D50" s="9"/>
      <c r="E50" s="9"/>
      <c r="F50" s="9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9"/>
      <c r="D51" s="9"/>
      <c r="E51" s="9"/>
      <c r="F51" s="9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9"/>
      <c r="D52" s="9"/>
      <c r="E52" s="9"/>
      <c r="F52" s="9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9"/>
      <c r="D53" s="9"/>
      <c r="E53" s="9"/>
      <c r="F53" s="9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9"/>
      <c r="D54" s="9"/>
      <c r="E54" s="9"/>
      <c r="F54" s="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9"/>
      <c r="D55" s="9"/>
      <c r="E55" s="9"/>
      <c r="F55" s="9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9"/>
      <c r="D56" s="9"/>
      <c r="E56" s="9"/>
      <c r="F56" s="9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9"/>
      <c r="D57" s="9"/>
      <c r="E57" s="9"/>
      <c r="F57" s="9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9"/>
      <c r="D58" s="9"/>
      <c r="E58" s="9"/>
      <c r="F58" s="9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9"/>
      <c r="D59" s="9"/>
      <c r="E59" s="9"/>
      <c r="F59" s="9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9"/>
      <c r="D60" s="9"/>
      <c r="E60" s="9"/>
      <c r="F60" s="9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9"/>
      <c r="D61" s="9"/>
      <c r="E61" s="9"/>
      <c r="F61" s="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9"/>
      <c r="D62" s="9"/>
      <c r="E62" s="9"/>
      <c r="F62" s="9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9"/>
      <c r="D63" s="9"/>
      <c r="E63" s="9"/>
      <c r="F63" s="9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9"/>
      <c r="D64" s="9"/>
      <c r="E64" s="9"/>
      <c r="F64" s="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9"/>
      <c r="D65" s="9"/>
      <c r="E65" s="9"/>
      <c r="F65" s="9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9"/>
      <c r="D66" s="9"/>
      <c r="E66" s="9"/>
      <c r="F66" s="9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9"/>
      <c r="D67" s="9"/>
      <c r="E67" s="9"/>
      <c r="F67" s="9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9"/>
      <c r="D68" s="9"/>
      <c r="E68" s="9"/>
      <c r="F68" s="9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9"/>
      <c r="D69" s="9"/>
      <c r="E69" s="9"/>
      <c r="F69" s="9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9"/>
      <c r="D70" s="9"/>
      <c r="E70" s="9"/>
      <c r="F70" s="9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9"/>
      <c r="D71" s="9"/>
      <c r="E71" s="9"/>
      <c r="F71" s="9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9"/>
      <c r="D72" s="9"/>
      <c r="E72" s="9"/>
      <c r="F72" s="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9"/>
      <c r="D73" s="9"/>
      <c r="E73" s="9"/>
      <c r="F73" s="9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9"/>
      <c r="D74" s="9"/>
      <c r="E74" s="9"/>
      <c r="F74" s="9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9"/>
      <c r="D75" s="9"/>
      <c r="E75" s="9"/>
      <c r="F75" s="9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9"/>
      <c r="D76" s="9"/>
      <c r="E76" s="9"/>
      <c r="F76" s="9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9"/>
      <c r="D77" s="9"/>
      <c r="E77" s="9"/>
      <c r="F77" s="9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9"/>
      <c r="D78" s="9"/>
      <c r="E78" s="9"/>
      <c r="F78" s="9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9"/>
      <c r="D79" s="9"/>
      <c r="E79" s="9"/>
      <c r="F79" s="9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9"/>
      <c r="D80" s="9"/>
      <c r="E80" s="9"/>
      <c r="F80" s="9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9"/>
      <c r="D81" s="9"/>
      <c r="E81" s="9"/>
      <c r="F81" s="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9"/>
      <c r="D82" s="9"/>
      <c r="E82" s="9"/>
      <c r="F82" s="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9"/>
      <c r="D83" s="9"/>
      <c r="E83" s="9"/>
      <c r="F83" s="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9"/>
      <c r="D84" s="9"/>
      <c r="E84" s="9"/>
      <c r="F84" s="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9"/>
      <c r="D85" s="9"/>
      <c r="E85" s="9"/>
      <c r="F85" s="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9"/>
      <c r="D86" s="9"/>
      <c r="E86" s="9"/>
      <c r="F86" s="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9"/>
      <c r="D87" s="9"/>
      <c r="E87" s="9"/>
      <c r="F87" s="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9"/>
      <c r="D88" s="9"/>
      <c r="E88" s="9"/>
      <c r="F88" s="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9"/>
      <c r="D89" s="9"/>
      <c r="E89" s="9"/>
      <c r="F89" s="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9"/>
      <c r="D90" s="9"/>
      <c r="E90" s="9"/>
      <c r="F90" s="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9"/>
      <c r="D91" s="9"/>
      <c r="E91" s="9"/>
      <c r="F91" s="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9"/>
      <c r="D92" s="9"/>
      <c r="E92" s="9"/>
      <c r="F92" s="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9"/>
      <c r="D93" s="9"/>
      <c r="E93" s="9"/>
      <c r="F93" s="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9"/>
      <c r="D94" s="9"/>
      <c r="E94" s="9"/>
      <c r="F94" s="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9"/>
      <c r="D95" s="9"/>
      <c r="E95" s="9"/>
      <c r="F95" s="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9"/>
      <c r="D96" s="9"/>
      <c r="E96" s="9"/>
      <c r="F96" s="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9"/>
      <c r="D97" s="9"/>
      <c r="E97" s="9"/>
      <c r="F97" s="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9"/>
      <c r="D98" s="9"/>
      <c r="E98" s="9"/>
      <c r="F98" s="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9"/>
      <c r="D99" s="9"/>
      <c r="E99" s="9"/>
      <c r="F99" s="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9"/>
      <c r="D100" s="9"/>
      <c r="E100" s="9"/>
      <c r="F100" s="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9"/>
      <c r="D101" s="9"/>
      <c r="E101" s="9"/>
      <c r="F101" s="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9"/>
      <c r="D102" s="9"/>
      <c r="E102" s="9"/>
      <c r="F102" s="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9"/>
      <c r="D103" s="9"/>
      <c r="E103" s="9"/>
      <c r="F103" s="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9"/>
      <c r="D104" s="9"/>
      <c r="E104" s="9"/>
      <c r="F104" s="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9"/>
      <c r="D105" s="9"/>
      <c r="E105" s="9"/>
      <c r="F105" s="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9"/>
      <c r="D106" s="9"/>
      <c r="E106" s="9"/>
      <c r="F106" s="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9"/>
      <c r="D107" s="9"/>
      <c r="E107" s="9"/>
      <c r="F107" s="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9"/>
      <c r="D108" s="9"/>
      <c r="E108" s="9"/>
      <c r="F108" s="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9"/>
      <c r="D109" s="9"/>
      <c r="E109" s="9"/>
      <c r="F109" s="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9"/>
      <c r="D110" s="9"/>
      <c r="E110" s="9"/>
      <c r="F110" s="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9"/>
      <c r="D111" s="9"/>
      <c r="E111" s="9"/>
      <c r="F111" s="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9"/>
      <c r="D112" s="9"/>
      <c r="E112" s="9"/>
      <c r="F112" s="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pane ySplit="1" topLeftCell="A6" activePane="bottomLeft" state="frozen"/>
      <selection pane="bottomLeft" activeCell="L38" sqref="L38"/>
    </sheetView>
  </sheetViews>
  <sheetFormatPr defaultColWidth="12.625" defaultRowHeight="15" customHeight="1"/>
  <cols>
    <col min="1" max="1" width="22.375" customWidth="1"/>
    <col min="2" max="2" width="4.625" customWidth="1"/>
    <col min="3" max="3" width="6.75" customWidth="1"/>
    <col min="4" max="4" width="7.125" customWidth="1"/>
    <col min="5" max="5" width="7.75" customWidth="1"/>
    <col min="6" max="7" width="7.125" customWidth="1"/>
    <col min="8" max="9" width="7.75" customWidth="1"/>
    <col min="10" max="10" width="7.125" customWidth="1"/>
    <col min="11" max="12" width="7.75" customWidth="1"/>
    <col min="13" max="13" width="7.125" customWidth="1"/>
    <col min="14" max="14" width="7.75" customWidth="1"/>
    <col min="15" max="16" width="7.125" customWidth="1"/>
    <col min="17" max="18" width="7.75" customWidth="1"/>
    <col min="19" max="19" width="7.125" customWidth="1"/>
    <col min="20" max="21" width="7.75" customWidth="1"/>
    <col min="22" max="22" width="7.125" customWidth="1"/>
    <col min="23" max="24" width="7.75" customWidth="1"/>
    <col min="25" max="25" width="7.125" customWidth="1"/>
    <col min="26" max="27" width="7.75" customWidth="1"/>
    <col min="28" max="28" width="7.125" customWidth="1"/>
    <col min="29" max="30" width="7.75" customWidth="1"/>
  </cols>
  <sheetData>
    <row r="1" spans="1:30">
      <c r="A1" s="1" t="s">
        <v>56</v>
      </c>
      <c r="B1" s="1" t="s">
        <v>57</v>
      </c>
      <c r="C1" s="1" t="s">
        <v>8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" t="str">
        <f t="shared" ref="M1:U1" si="0">D1&amp;"_pes"</f>
        <v>n_2_pes</v>
      </c>
      <c r="N1" s="1" t="str">
        <f t="shared" si="0"/>
        <v>n_25_pes</v>
      </c>
      <c r="O1" s="1" t="str">
        <f t="shared" si="0"/>
        <v>n_10_pes</v>
      </c>
      <c r="P1" s="1" t="str">
        <f t="shared" si="0"/>
        <v>b_2_pes</v>
      </c>
      <c r="Q1" s="1" t="str">
        <f t="shared" si="0"/>
        <v>b_25_pes</v>
      </c>
      <c r="R1" s="1" t="str">
        <f t="shared" si="0"/>
        <v>b_10_pes</v>
      </c>
      <c r="S1" s="1" t="str">
        <f t="shared" si="0"/>
        <v>m_2_pes</v>
      </c>
      <c r="T1" s="1" t="str">
        <f t="shared" si="0"/>
        <v>m_25_pes</v>
      </c>
      <c r="U1" s="1" t="str">
        <f t="shared" si="0"/>
        <v>m_10_pes</v>
      </c>
      <c r="V1" s="1" t="str">
        <f t="shared" ref="V1:AD1" si="1">D1&amp;"_opt"</f>
        <v>n_2_opt</v>
      </c>
      <c r="W1" s="1" t="str">
        <f t="shared" si="1"/>
        <v>n_25_opt</v>
      </c>
      <c r="X1" s="1" t="str">
        <f t="shared" si="1"/>
        <v>n_10_opt</v>
      </c>
      <c r="Y1" s="1" t="str">
        <f t="shared" si="1"/>
        <v>b_2_opt</v>
      </c>
      <c r="Z1" s="1" t="str">
        <f t="shared" si="1"/>
        <v>b_25_opt</v>
      </c>
      <c r="AA1" s="1" t="str">
        <f t="shared" si="1"/>
        <v>b_10_opt</v>
      </c>
      <c r="AB1" s="1" t="str">
        <f t="shared" si="1"/>
        <v>m_2_opt</v>
      </c>
      <c r="AC1" s="1" t="str">
        <f t="shared" si="1"/>
        <v>m_25_opt</v>
      </c>
      <c r="AD1" s="1" t="str">
        <f t="shared" si="1"/>
        <v>m_10_opt</v>
      </c>
    </row>
    <row r="2" spans="1:30">
      <c r="A2" s="7" t="s">
        <v>161</v>
      </c>
      <c r="B2" s="7" t="s">
        <v>162</v>
      </c>
      <c r="C2" s="9"/>
      <c r="D2" s="6">
        <f>FLOOR((in_loc!D$33*1000+in_gen!$C$38)/(in_gen!$C$36+in_gen!$C$38),1)</f>
        <v>9</v>
      </c>
      <c r="E2" s="6">
        <f>FLOOR((in_loc!E$33*1000+in_gen!$C$38)/(in_gen!$C$36+in_gen!$C$38),1)</f>
        <v>9</v>
      </c>
      <c r="F2" s="6">
        <f>FLOOR((in_loc!F$33*1000+in_gen!$C$38)/(in_gen!$C$36+in_gen!$C$38),1)</f>
        <v>19</v>
      </c>
      <c r="G2" s="6">
        <f>FLOOR((in_loc!G$33*1000+in_gen!$C$38)/(in_gen!$C$36+in_gen!$C$38),1)</f>
        <v>9</v>
      </c>
      <c r="H2" s="6">
        <f>FLOOR((in_loc!H$33*1000+in_gen!$C$38)/(in_gen!$C$36+in_gen!$C$38),1)</f>
        <v>9</v>
      </c>
      <c r="I2" s="6">
        <f>FLOOR((in_loc!I$33*1000+in_gen!$C$38)/(in_gen!$C$36+in_gen!$C$38),1)</f>
        <v>19</v>
      </c>
      <c r="J2" s="6">
        <f>FLOOR((in_loc!J$33*1000+in_gen!$C$38)/(in_gen!$C$36+in_gen!$C$38),1)</f>
        <v>9</v>
      </c>
      <c r="K2" s="6">
        <f>FLOOR((in_loc!K$33*1000+in_gen!$C$38)/(in_gen!$C$36+in_gen!$C$38),1)</f>
        <v>9</v>
      </c>
      <c r="L2" s="6">
        <f>FLOOR((in_loc!L$33*1000+in_gen!$C$38)/(in_gen!$C$36+in_gen!$C$38),1)</f>
        <v>19</v>
      </c>
      <c r="M2" s="6">
        <f>FLOOR((in_loc!M$33*1000+in_gen!$C$38)/(in_gen!$E$36+in_gen!$E$38),1)</f>
        <v>9</v>
      </c>
      <c r="N2" s="6">
        <f>FLOOR((in_loc!N$33*1000+in_gen!$C$38)/(in_gen!$E$36+in_gen!$E$38),1)</f>
        <v>9</v>
      </c>
      <c r="O2" s="6">
        <f>FLOOR((in_loc!O$33*1000+in_gen!$C$38)/(in_gen!$E$36+in_gen!$E$38),1)</f>
        <v>19</v>
      </c>
      <c r="P2" s="6">
        <f>FLOOR((in_loc!P$33*1000+in_gen!$C$38)/(in_gen!$E$36+in_gen!$E$38),1)</f>
        <v>9</v>
      </c>
      <c r="Q2" s="6">
        <f>FLOOR((in_loc!Q$33*1000+in_gen!$C$38)/(in_gen!$E$36+in_gen!$E$38),1)</f>
        <v>9</v>
      </c>
      <c r="R2" s="6">
        <f>FLOOR((in_loc!R$33*1000+in_gen!$C$38)/(in_gen!$E$36+in_gen!$E$38),1)</f>
        <v>19</v>
      </c>
      <c r="S2" s="6">
        <f>FLOOR((in_loc!S$33*1000+in_gen!$C$38)/(in_gen!$E$36+in_gen!$E$38),1)</f>
        <v>9</v>
      </c>
      <c r="T2" s="6">
        <f>FLOOR((in_loc!T$33*1000+in_gen!$C$38)/(in_gen!$E$36+in_gen!$E$38),1)</f>
        <v>9</v>
      </c>
      <c r="U2" s="6">
        <f>FLOOR((in_loc!U$33*1000+in_gen!$C$38)/(in_gen!$E$36+in_gen!$E$38),1)</f>
        <v>19</v>
      </c>
      <c r="V2" s="6">
        <f>FLOOR((in_loc!V$33*1000+in_gen!$F$38)/(in_gen!$F$36+in_gen!$F$38),1)</f>
        <v>9</v>
      </c>
      <c r="W2" s="6">
        <f>FLOOR((in_loc!W$33*1000+in_gen!$F$38)/(in_gen!$F$36+in_gen!$F$38),1)</f>
        <v>9</v>
      </c>
      <c r="X2" s="6">
        <f>FLOOR((in_loc!X$33*1000+in_gen!$F$38)/(in_gen!$F$36+in_gen!$F$38),1)</f>
        <v>19</v>
      </c>
      <c r="Y2" s="6">
        <f>FLOOR((in_loc!Y$33*1000+in_gen!$F$38)/(in_gen!$F$36+in_gen!$F$38),1)</f>
        <v>9</v>
      </c>
      <c r="Z2" s="6">
        <f>FLOOR((in_loc!Z$33*1000+in_gen!$F$38)/(in_gen!$F$36+in_gen!$F$38),1)</f>
        <v>9</v>
      </c>
      <c r="AA2" s="6">
        <f>FLOOR((in_loc!AA$33*1000+in_gen!$F$38)/(in_gen!$F$36+in_gen!$F$38),1)</f>
        <v>19</v>
      </c>
      <c r="AB2" s="6">
        <f>FLOOR((in_loc!AB$33*1000+in_gen!$F$38)/(in_gen!$F$36+in_gen!$F$38),1)</f>
        <v>9</v>
      </c>
      <c r="AC2" s="6">
        <f>FLOOR((in_loc!AC$33*1000+in_gen!$F$38)/(in_gen!$F$36+in_gen!$F$38),1)</f>
        <v>9</v>
      </c>
      <c r="AD2" s="6">
        <f>FLOOR((in_loc!AD$33*1000+in_gen!$F$38)/(in_gen!$F$36+in_gen!$F$38),1)</f>
        <v>19</v>
      </c>
    </row>
    <row r="3" spans="1:30">
      <c r="A3" s="7" t="s">
        <v>163</v>
      </c>
      <c r="B3" s="7" t="s">
        <v>162</v>
      </c>
      <c r="C3" s="9"/>
      <c r="D3" s="6">
        <f>FLOOR((in_loc!D$33*1000+in_gen!$C$38)/(in_gen!$C$37+in_gen!$C$38),1)</f>
        <v>5</v>
      </c>
      <c r="E3" s="6">
        <f>FLOOR((in_loc!E$33*1000+in_gen!$C$38)/(in_gen!$C$37+in_gen!$C$38),1)</f>
        <v>5</v>
      </c>
      <c r="F3" s="6">
        <f>FLOOR((in_loc!F$33*1000+in_gen!$C$38)/(in_gen!$C$37+in_gen!$C$38),1)</f>
        <v>11</v>
      </c>
      <c r="G3" s="6">
        <f>FLOOR((in_loc!G$33*1000+in_gen!$C$38)/(in_gen!$C$37+in_gen!$C$38),1)</f>
        <v>5</v>
      </c>
      <c r="H3" s="6">
        <f>FLOOR((in_loc!H$33*1000+in_gen!$C$38)/(in_gen!$C$37+in_gen!$C$38),1)</f>
        <v>5</v>
      </c>
      <c r="I3" s="6">
        <f>FLOOR((in_loc!I$33*1000+in_gen!$C$38)/(in_gen!$C$37+in_gen!$C$38),1)</f>
        <v>11</v>
      </c>
      <c r="J3" s="6">
        <f>FLOOR((in_loc!J$33*1000+in_gen!$C$38)/(in_gen!$C$37+in_gen!$C$38),1)</f>
        <v>5</v>
      </c>
      <c r="K3" s="6">
        <f>FLOOR((in_loc!K$33*1000+in_gen!$C$38)/(in_gen!$C$37+in_gen!$C$38),1)</f>
        <v>5</v>
      </c>
      <c r="L3" s="6">
        <f>FLOOR((in_loc!L$33*1000+in_gen!$C$38)/(in_gen!$C$37+in_gen!$C$38),1)</f>
        <v>11</v>
      </c>
      <c r="M3" s="6">
        <f>FLOOR((in_loc!M$33*1000+in_gen!$E$38)/(in_gen!$E$37+in_gen!$E$38),1)</f>
        <v>5</v>
      </c>
      <c r="N3" s="6">
        <f>FLOOR((in_loc!N$33*1000+in_gen!$E$38)/(in_gen!$E$37+in_gen!$E$38),1)</f>
        <v>5</v>
      </c>
      <c r="O3" s="6">
        <f>FLOOR((in_loc!O$33*1000+in_gen!$E$38)/(in_gen!$E$37+in_gen!$E$38),1)</f>
        <v>11</v>
      </c>
      <c r="P3" s="6">
        <f>FLOOR((in_loc!P$33*1000+in_gen!$E$38)/(in_gen!$E$37+in_gen!$E$38),1)</f>
        <v>5</v>
      </c>
      <c r="Q3" s="6">
        <f>FLOOR((in_loc!Q$33*1000+in_gen!$E$38)/(in_gen!$E$37+in_gen!$E$38),1)</f>
        <v>5</v>
      </c>
      <c r="R3" s="6">
        <f>FLOOR((in_loc!R$33*1000+in_gen!$E$38)/(in_gen!$E$37+in_gen!$E$38),1)</f>
        <v>11</v>
      </c>
      <c r="S3" s="6">
        <f>FLOOR((in_loc!S$33*1000+in_gen!$E$38)/(in_gen!$E$37+in_gen!$E$38),1)</f>
        <v>5</v>
      </c>
      <c r="T3" s="6">
        <f>FLOOR((in_loc!T$33*1000+in_gen!$E$38)/(in_gen!$E$37+in_gen!$E$38),1)</f>
        <v>5</v>
      </c>
      <c r="U3" s="6">
        <f>FLOOR((in_loc!U$33*1000+in_gen!$E$38)/(in_gen!$E$37+in_gen!$E$38),1)</f>
        <v>11</v>
      </c>
      <c r="V3" s="6">
        <f>FLOOR((in_loc!V$33*1000+in_gen!$F$38)/(in_gen!$F$37+in_gen!$F$38),1)</f>
        <v>5</v>
      </c>
      <c r="W3" s="6">
        <f>FLOOR((in_loc!W$33*1000+in_gen!$F$38)/(in_gen!$F$37+in_gen!$F$38),1)</f>
        <v>5</v>
      </c>
      <c r="X3" s="6">
        <f>FLOOR((in_loc!X$33*1000+in_gen!$F$38)/(in_gen!$F$37+in_gen!$F$38),1)</f>
        <v>11</v>
      </c>
      <c r="Y3" s="6">
        <f>FLOOR((in_loc!Y$33*1000+in_gen!$F$38)/(in_gen!$F$37+in_gen!$F$38),1)</f>
        <v>5</v>
      </c>
      <c r="Z3" s="6">
        <f>FLOOR((in_loc!Z$33*1000+in_gen!$F$38)/(in_gen!$F$37+in_gen!$F$38),1)</f>
        <v>5</v>
      </c>
      <c r="AA3" s="6">
        <f>FLOOR((in_loc!AA$33*1000+in_gen!$F$38)/(in_gen!$F$37+in_gen!$F$38),1)</f>
        <v>11</v>
      </c>
      <c r="AB3" s="6">
        <f>FLOOR((in_loc!AB$33*1000+in_gen!$F$38)/(in_gen!$F$37+in_gen!$F$38),1)</f>
        <v>5</v>
      </c>
      <c r="AC3" s="6">
        <f>FLOOR((in_loc!AC$33*1000+in_gen!$F$38)/(in_gen!$F$37+in_gen!$F$38),1)</f>
        <v>5</v>
      </c>
      <c r="AD3" s="6">
        <f>FLOOR((in_loc!AD$33*1000+in_gen!$F$38)/(in_gen!$F$37+in_gen!$F$38),1)</f>
        <v>11</v>
      </c>
    </row>
    <row r="4" spans="1:30">
      <c r="A4" s="7" t="s">
        <v>164</v>
      </c>
      <c r="B4" s="7" t="s">
        <v>162</v>
      </c>
      <c r="C4" s="9"/>
      <c r="D4" s="6">
        <f t="shared" ref="D4:AD4" si="2">D$2*D$3</f>
        <v>45</v>
      </c>
      <c r="E4" s="6">
        <f t="shared" si="2"/>
        <v>45</v>
      </c>
      <c r="F4" s="6">
        <f t="shared" si="2"/>
        <v>209</v>
      </c>
      <c r="G4" s="6">
        <f t="shared" si="2"/>
        <v>45</v>
      </c>
      <c r="H4" s="6">
        <f t="shared" si="2"/>
        <v>45</v>
      </c>
      <c r="I4" s="6">
        <f t="shared" si="2"/>
        <v>209</v>
      </c>
      <c r="J4" s="6">
        <f t="shared" si="2"/>
        <v>45</v>
      </c>
      <c r="K4" s="6">
        <f t="shared" si="2"/>
        <v>45</v>
      </c>
      <c r="L4" s="6">
        <f t="shared" si="2"/>
        <v>209</v>
      </c>
      <c r="M4" s="6">
        <f t="shared" si="2"/>
        <v>45</v>
      </c>
      <c r="N4" s="6">
        <f t="shared" si="2"/>
        <v>45</v>
      </c>
      <c r="O4" s="6">
        <f t="shared" si="2"/>
        <v>209</v>
      </c>
      <c r="P4" s="6">
        <f t="shared" si="2"/>
        <v>45</v>
      </c>
      <c r="Q4" s="6">
        <f t="shared" si="2"/>
        <v>45</v>
      </c>
      <c r="R4" s="6">
        <f t="shared" si="2"/>
        <v>209</v>
      </c>
      <c r="S4" s="6">
        <f t="shared" si="2"/>
        <v>45</v>
      </c>
      <c r="T4" s="6">
        <f t="shared" si="2"/>
        <v>45</v>
      </c>
      <c r="U4" s="6">
        <f t="shared" si="2"/>
        <v>209</v>
      </c>
      <c r="V4" s="6">
        <f t="shared" si="2"/>
        <v>45</v>
      </c>
      <c r="W4" s="6">
        <f t="shared" si="2"/>
        <v>45</v>
      </c>
      <c r="X4" s="6">
        <f t="shared" si="2"/>
        <v>209</v>
      </c>
      <c r="Y4" s="6">
        <f t="shared" si="2"/>
        <v>45</v>
      </c>
      <c r="Z4" s="6">
        <f t="shared" si="2"/>
        <v>45</v>
      </c>
      <c r="AA4" s="6">
        <f t="shared" si="2"/>
        <v>209</v>
      </c>
      <c r="AB4" s="6">
        <f t="shared" si="2"/>
        <v>45</v>
      </c>
      <c r="AC4" s="6">
        <f t="shared" si="2"/>
        <v>45</v>
      </c>
      <c r="AD4" s="6">
        <f t="shared" si="2"/>
        <v>209</v>
      </c>
    </row>
    <row r="5" spans="1:30">
      <c r="A5" s="15" t="s">
        <v>165</v>
      </c>
      <c r="B5" s="15" t="s">
        <v>125</v>
      </c>
      <c r="C5" s="15"/>
      <c r="D5" s="15">
        <f>CEILING(SQRT(1+D$7^2)*in_loc!D$33,1) +in_gen!$C$39/2</f>
        <v>74.5</v>
      </c>
      <c r="E5" s="15">
        <f>CEILING(SQRT(1+E$7^2)*in_loc!E$33,1) +in_gen!$C$39/2</f>
        <v>74.5</v>
      </c>
      <c r="F5" s="15">
        <f>CEILING(SQRT(1+F$7^2)*in_loc!F$33,1) +in_gen!$C$39/2</f>
        <v>145.5</v>
      </c>
      <c r="G5" s="15">
        <f>CEILING(SQRT(1+G$7^2)*in_loc!G$33,1) +in_gen!$C$39/2</f>
        <v>74.5</v>
      </c>
      <c r="H5" s="15">
        <f>CEILING(SQRT(1+H$7^2)*in_loc!H$33,1) +in_gen!$C$39/2</f>
        <v>74.5</v>
      </c>
      <c r="I5" s="15">
        <f>CEILING(SQRT(1+I$7^2)*in_loc!I$33,1) +in_gen!$C$39/2</f>
        <v>145.5</v>
      </c>
      <c r="J5" s="15">
        <f>CEILING(SQRT(1+J$7^2)*in_loc!J$33,1) +in_gen!$C$39/2</f>
        <v>74.5</v>
      </c>
      <c r="K5" s="15">
        <f>CEILING(SQRT(1+K$7^2)*in_loc!K$33,1) +in_gen!$C$39/2</f>
        <v>74.5</v>
      </c>
      <c r="L5" s="15">
        <f>CEILING(SQRT(1+L$7^2)*in_loc!L$33,1) +in_gen!$C$39/2</f>
        <v>145.5</v>
      </c>
      <c r="M5" s="15">
        <f>CEILING(SQRT(1+M$7^2)*in_loc!M$33,1) +in_gen!$E$39/2</f>
        <v>74.5</v>
      </c>
      <c r="N5" s="15">
        <f>CEILING(SQRT(1+N$7^2)*in_loc!N$33,1) +in_gen!$E$39/2</f>
        <v>74.5</v>
      </c>
      <c r="O5" s="15">
        <f>CEILING(SQRT(1+O$7^2)*in_loc!O$33,1) +in_gen!$E$39/2</f>
        <v>145.5</v>
      </c>
      <c r="P5" s="15">
        <f>CEILING(SQRT(1+P$7^2)*in_loc!P$33,1) +in_gen!$E$39/2</f>
        <v>74.5</v>
      </c>
      <c r="Q5" s="15">
        <f>CEILING(SQRT(1+Q$7^2)*in_loc!Q$33,1) +in_gen!$E$39/2</f>
        <v>74.5</v>
      </c>
      <c r="R5" s="15">
        <f>CEILING(SQRT(1+R$7^2)*in_loc!R$33,1) +in_gen!$E$39/2</f>
        <v>145.5</v>
      </c>
      <c r="S5" s="15">
        <f>CEILING(SQRT(1+S$7^2)*in_loc!S$33,1) +in_gen!$E$39/2</f>
        <v>74.5</v>
      </c>
      <c r="T5" s="15">
        <f>CEILING(SQRT(1+T$7^2)*in_loc!T$33,1) +in_gen!$E$39/2</f>
        <v>74.5</v>
      </c>
      <c r="U5" s="15">
        <f>CEILING(SQRT(1+U$7^2)*in_loc!U$33,1) +in_gen!$E$39/2</f>
        <v>145.5</v>
      </c>
      <c r="V5" s="15">
        <f>CEILING(SQRT(1+V$7^2)*in_loc!V$33,1) +in_gen!$F$39/2</f>
        <v>74.5</v>
      </c>
      <c r="W5" s="15">
        <f>CEILING(SQRT(1+W$7^2)*in_loc!W$33,1) +in_gen!$F$39/2</f>
        <v>74.5</v>
      </c>
      <c r="X5" s="15">
        <f>CEILING(SQRT(1+X$7^2)*in_loc!X$33,1) +in_gen!$F$39/2</f>
        <v>145.5</v>
      </c>
      <c r="Y5" s="15">
        <f>CEILING(SQRT(1+Y$7^2)*in_loc!Y$33,1) +in_gen!$F$39/2</f>
        <v>74.5</v>
      </c>
      <c r="Z5" s="15">
        <f>CEILING(SQRT(1+Z$7^2)*in_loc!Z$33,1) +in_gen!$F$39/2</f>
        <v>74.5</v>
      </c>
      <c r="AA5" s="15">
        <f>CEILING(SQRT(1+AA$7^2)*in_loc!AA$33,1) +in_gen!$F$39/2</f>
        <v>145.5</v>
      </c>
      <c r="AB5" s="15">
        <f>CEILING(SQRT(1+AB$7^2)*in_loc!AB$33,1) +in_gen!$F$39/2</f>
        <v>74.5</v>
      </c>
      <c r="AC5" s="15">
        <f>CEILING(SQRT(1+AC$7^2)*in_loc!AC$33,1) +in_gen!$F$39/2</f>
        <v>74.5</v>
      </c>
      <c r="AD5" s="15">
        <f>CEILING(SQRT(1+AD$7^2)*in_loc!AD$33,1) +in_gen!$F$39/2</f>
        <v>145.5</v>
      </c>
    </row>
    <row r="6" spans="1:30">
      <c r="A6" s="7" t="s">
        <v>166</v>
      </c>
      <c r="B6" s="7" t="s">
        <v>162</v>
      </c>
      <c r="C6" s="9"/>
      <c r="D6" s="6">
        <f>D$4*in_loc!D$21*4</f>
        <v>3060</v>
      </c>
      <c r="E6" s="6">
        <f>E$4*in_loc!E$21*4</f>
        <v>3060</v>
      </c>
      <c r="F6" s="6">
        <f>F$4*in_loc!F$21*4</f>
        <v>14212</v>
      </c>
      <c r="G6" s="6">
        <f>G$4*in_loc!G$21*4</f>
        <v>3060</v>
      </c>
      <c r="H6" s="6">
        <f>H$4*in_loc!H$21*4</f>
        <v>3060</v>
      </c>
      <c r="I6" s="6">
        <f>I$4*in_loc!I$21*4</f>
        <v>14212</v>
      </c>
      <c r="J6" s="6">
        <f>J$4*in_loc!J$21*4</f>
        <v>3060</v>
      </c>
      <c r="K6" s="6">
        <f>K$4*in_loc!K$21*4</f>
        <v>3060</v>
      </c>
      <c r="L6" s="6">
        <f>L$4*in_loc!L$21*4</f>
        <v>14212</v>
      </c>
      <c r="M6" s="6">
        <f>M$4*in_loc!M$21*4</f>
        <v>3060</v>
      </c>
      <c r="N6" s="6">
        <f>N$4*in_loc!N$21*4</f>
        <v>3060</v>
      </c>
      <c r="O6" s="6">
        <f>O$4*in_loc!O$21*4</f>
        <v>14212</v>
      </c>
      <c r="P6" s="6">
        <f>P$4*in_loc!P$21*4</f>
        <v>3060</v>
      </c>
      <c r="Q6" s="6">
        <f>Q$4*in_loc!Q$21*4</f>
        <v>3060</v>
      </c>
      <c r="R6" s="6">
        <f>R$4*in_loc!R$21*4</f>
        <v>14212</v>
      </c>
      <c r="S6" s="6">
        <f>S$4*in_loc!S$21*4</f>
        <v>3060</v>
      </c>
      <c r="T6" s="6">
        <f>T$4*in_loc!T$21*4</f>
        <v>3060</v>
      </c>
      <c r="U6" s="6">
        <f>U$4*in_loc!U$21*4</f>
        <v>14212</v>
      </c>
      <c r="V6" s="6">
        <f>V$4*in_loc!V$21*4</f>
        <v>3060</v>
      </c>
      <c r="W6" s="6">
        <f>W$4*in_loc!W$21*4</f>
        <v>3060</v>
      </c>
      <c r="X6" s="6">
        <f>X$4*in_loc!X$21*4</f>
        <v>14212</v>
      </c>
      <c r="Y6" s="6">
        <f>Y$4*in_loc!Y$21*4</f>
        <v>3060</v>
      </c>
      <c r="Z6" s="6">
        <f>Z$4*in_loc!Z$21*4</f>
        <v>3060</v>
      </c>
      <c r="AA6" s="6">
        <f>AA$4*in_loc!AA$21*4</f>
        <v>14212</v>
      </c>
      <c r="AB6" s="6">
        <f>AB$4*in_loc!AB$21*4</f>
        <v>3060</v>
      </c>
      <c r="AC6" s="6">
        <f>AC$4*in_loc!AC$21*4</f>
        <v>3060</v>
      </c>
      <c r="AD6" s="6">
        <f>AD$4*in_loc!AD$21*4</f>
        <v>14212</v>
      </c>
    </row>
    <row r="7" spans="1:30">
      <c r="A7" s="7" t="s">
        <v>167</v>
      </c>
      <c r="B7" s="7" t="s">
        <v>162</v>
      </c>
      <c r="C7" s="9"/>
      <c r="D7" s="6">
        <f>CEILING(SQRT(in_loc!D$21),1)</f>
        <v>5</v>
      </c>
      <c r="E7" s="6">
        <f>CEILING(SQRT(in_loc!E$21),1)</f>
        <v>5</v>
      </c>
      <c r="F7" s="6">
        <f>CEILING(SQRT(in_loc!F$21),1)</f>
        <v>5</v>
      </c>
      <c r="G7" s="6">
        <f>CEILING(SQRT(in_loc!G$21),1)</f>
        <v>5</v>
      </c>
      <c r="H7" s="6">
        <f>CEILING(SQRT(in_loc!H$21),1)</f>
        <v>5</v>
      </c>
      <c r="I7" s="6">
        <f>CEILING(SQRT(in_loc!I$21),1)</f>
        <v>5</v>
      </c>
      <c r="J7" s="6">
        <f>CEILING(SQRT(in_loc!J$21),1)</f>
        <v>5</v>
      </c>
      <c r="K7" s="6">
        <f>CEILING(SQRT(in_loc!K$21),1)</f>
        <v>5</v>
      </c>
      <c r="L7" s="6">
        <f>CEILING(SQRT(in_loc!L$21),1)</f>
        <v>5</v>
      </c>
      <c r="M7" s="6">
        <f>CEILING(SQRT(in_loc!M$21),1)</f>
        <v>5</v>
      </c>
      <c r="N7" s="6">
        <f>CEILING(SQRT(in_loc!N$21),1)</f>
        <v>5</v>
      </c>
      <c r="O7" s="6">
        <f>CEILING(SQRT(in_loc!O$21),1)</f>
        <v>5</v>
      </c>
      <c r="P7" s="6">
        <f>CEILING(SQRT(in_loc!P$21),1)</f>
        <v>5</v>
      </c>
      <c r="Q7" s="6">
        <f>CEILING(SQRT(in_loc!Q$21),1)</f>
        <v>5</v>
      </c>
      <c r="R7" s="6">
        <f>CEILING(SQRT(in_loc!R$21),1)</f>
        <v>5</v>
      </c>
      <c r="S7" s="6">
        <f>CEILING(SQRT(in_loc!S$21),1)</f>
        <v>5</v>
      </c>
      <c r="T7" s="6">
        <f>CEILING(SQRT(in_loc!T$21),1)</f>
        <v>5</v>
      </c>
      <c r="U7" s="6">
        <f>CEILING(SQRT(in_loc!U$21),1)</f>
        <v>5</v>
      </c>
      <c r="V7" s="6">
        <f>CEILING(SQRT(in_loc!V$21),1)</f>
        <v>5</v>
      </c>
      <c r="W7" s="6">
        <f>CEILING(SQRT(in_loc!W$21),1)</f>
        <v>5</v>
      </c>
      <c r="X7" s="6">
        <f>CEILING(SQRT(in_loc!X$21),1)</f>
        <v>5</v>
      </c>
      <c r="Y7" s="6">
        <f>CEILING(SQRT(in_loc!Y$21),1)</f>
        <v>5</v>
      </c>
      <c r="Z7" s="6">
        <f>CEILING(SQRT(in_loc!Z$21),1)</f>
        <v>5</v>
      </c>
      <c r="AA7" s="6">
        <f>CEILING(SQRT(in_loc!AA$21),1)</f>
        <v>5</v>
      </c>
      <c r="AB7" s="6">
        <f>CEILING(SQRT(in_loc!AB$21),1)</f>
        <v>5</v>
      </c>
      <c r="AC7" s="6">
        <f>CEILING(SQRT(in_loc!AC$21),1)</f>
        <v>5</v>
      </c>
      <c r="AD7" s="6">
        <f>CEILING(SQRT(in_loc!AD$21),1)</f>
        <v>5</v>
      </c>
    </row>
    <row r="8" spans="1:30">
      <c r="A8" s="7" t="s">
        <v>168</v>
      </c>
      <c r="B8" s="7" t="s">
        <v>86</v>
      </c>
      <c r="C8" s="9"/>
      <c r="D8" s="6">
        <f>in_gen!$C$8*in_gen!$C$33*D$6</f>
        <v>24480</v>
      </c>
      <c r="E8" s="6">
        <f>in_gen!$C$8*in_gen!$C$33*E$6</f>
        <v>24480</v>
      </c>
      <c r="F8" s="6">
        <f>in_gen!$C$8*in_gen!$C$33*F$6</f>
        <v>113696</v>
      </c>
      <c r="G8" s="6">
        <f>in_gen!$C$8*in_gen!$C$33*G$6</f>
        <v>24480</v>
      </c>
      <c r="H8" s="6">
        <f>in_gen!$C$8*in_gen!$C$33*H$6</f>
        <v>24480</v>
      </c>
      <c r="I8" s="6">
        <f>in_gen!$C$8*in_gen!$C$33*I$6</f>
        <v>113696</v>
      </c>
      <c r="J8" s="6">
        <f>in_gen!$C$8*in_gen!$C$33*J$6</f>
        <v>24480</v>
      </c>
      <c r="K8" s="6">
        <f>in_gen!$C$8*in_gen!$C$33*K$6</f>
        <v>24480</v>
      </c>
      <c r="L8" s="6">
        <f>in_gen!$C$8*in_gen!$C$33*L$6</f>
        <v>113696</v>
      </c>
      <c r="M8" s="6">
        <f>in_gen!$E$8*in_gen!$E$33*M$6</f>
        <v>25459.200000000001</v>
      </c>
      <c r="N8" s="6">
        <f>in_gen!$E$8*in_gen!$E$33*N$6</f>
        <v>25459.200000000001</v>
      </c>
      <c r="O8" s="6">
        <f>in_gen!$E$8*in_gen!$E$33*O$6</f>
        <v>118243.84000000001</v>
      </c>
      <c r="P8" s="6">
        <f>in_gen!$E$8*in_gen!$E$33*P$6</f>
        <v>25459.200000000001</v>
      </c>
      <c r="Q8" s="6">
        <f>in_gen!$E$8*in_gen!$E$33*Q$6</f>
        <v>25459.200000000001</v>
      </c>
      <c r="R8" s="6">
        <f>in_gen!$E$8*in_gen!$E$33*R$6</f>
        <v>118243.84000000001</v>
      </c>
      <c r="S8" s="6">
        <f>in_gen!$E$8*in_gen!$E$33*S$6</f>
        <v>25459.200000000001</v>
      </c>
      <c r="T8" s="6">
        <f>in_gen!$E$8*in_gen!$E$33*T$6</f>
        <v>25459.200000000001</v>
      </c>
      <c r="U8" s="6">
        <f>in_gen!$E$8*in_gen!$E$33*U$6</f>
        <v>118243.84000000001</v>
      </c>
      <c r="V8" s="6">
        <f>in_gen!$F$8*in_gen!$F$33*V$6</f>
        <v>23500.799999999999</v>
      </c>
      <c r="W8" s="6">
        <f>in_gen!$F$8*in_gen!$F$33*W$6</f>
        <v>23500.799999999999</v>
      </c>
      <c r="X8" s="6">
        <f>in_gen!$F$8*in_gen!$F$33*X$6</f>
        <v>109148.15999999999</v>
      </c>
      <c r="Y8" s="6">
        <f>in_gen!$F$8*in_gen!$F$33*Y$6</f>
        <v>23500.799999999999</v>
      </c>
      <c r="Z8" s="6">
        <f>in_gen!$F$8*in_gen!$F$33*Z$6</f>
        <v>23500.799999999999</v>
      </c>
      <c r="AA8" s="6">
        <f>in_gen!$F$8*in_gen!$F$33*AA$6</f>
        <v>109148.15999999999</v>
      </c>
      <c r="AB8" s="6">
        <f>in_gen!$F$8*in_gen!$F$33*AB$6</f>
        <v>23500.799999999999</v>
      </c>
      <c r="AC8" s="6">
        <f>in_gen!$F$8*in_gen!$F$33*AC$6</f>
        <v>23500.799999999999</v>
      </c>
      <c r="AD8" s="6">
        <f>in_gen!$F$8*in_gen!$F$33*AD$6</f>
        <v>109148.15999999999</v>
      </c>
    </row>
    <row r="9" spans="1:30">
      <c r="A9" s="7" t="s">
        <v>169</v>
      </c>
      <c r="B9" s="7" t="s">
        <v>170</v>
      </c>
      <c r="C9" s="9"/>
      <c r="D9" s="6">
        <f>D$6*in_gen!$C$47/1000</f>
        <v>2233.8000000000002</v>
      </c>
      <c r="E9" s="6">
        <f>E$6*in_gen!$C$47/1000</f>
        <v>2233.8000000000002</v>
      </c>
      <c r="F9" s="6">
        <f>F$6*in_gen!$C$47/1000</f>
        <v>10374.76</v>
      </c>
      <c r="G9" s="6">
        <f>G$6*in_gen!$C$47/1000</f>
        <v>2233.8000000000002</v>
      </c>
      <c r="H9" s="6">
        <f>H$6*in_gen!$C$47/1000</f>
        <v>2233.8000000000002</v>
      </c>
      <c r="I9" s="6">
        <f>I$6*in_gen!$C$47/1000</f>
        <v>10374.76</v>
      </c>
      <c r="J9" s="6">
        <f>J$6*in_gen!$C$47/1000</f>
        <v>2233.8000000000002</v>
      </c>
      <c r="K9" s="6">
        <f>K$6*in_gen!$C$47/1000</f>
        <v>2233.8000000000002</v>
      </c>
      <c r="L9" s="6">
        <f>L$6*in_gen!$C$47/1000</f>
        <v>10374.76</v>
      </c>
      <c r="M9" s="6">
        <f>M$6*in_gen!$E$47/1000</f>
        <v>2233.8000000000002</v>
      </c>
      <c r="N9" s="6">
        <f>N$6*in_gen!$E$47/1000</f>
        <v>2233.8000000000002</v>
      </c>
      <c r="O9" s="6">
        <f>O$6*in_gen!$E$47/1000</f>
        <v>10374.76</v>
      </c>
      <c r="P9" s="6">
        <f>P$6*in_gen!$E$47/1000</f>
        <v>2233.8000000000002</v>
      </c>
      <c r="Q9" s="6">
        <f>Q$6*in_gen!$E$47/1000</f>
        <v>2233.8000000000002</v>
      </c>
      <c r="R9" s="6">
        <f>R$6*in_gen!$E$47/1000</f>
        <v>10374.76</v>
      </c>
      <c r="S9" s="6">
        <f>S$6*in_gen!$E$47/1000</f>
        <v>2233.8000000000002</v>
      </c>
      <c r="T9" s="6">
        <f>T$6*in_gen!$E$47/1000</f>
        <v>2233.8000000000002</v>
      </c>
      <c r="U9" s="6">
        <f>U$6*in_gen!$E$47/1000</f>
        <v>10374.76</v>
      </c>
      <c r="V9" s="6">
        <f>V$6*in_gen!$F$47/1000</f>
        <v>2233.8000000000002</v>
      </c>
      <c r="W9" s="6">
        <f>W$6*in_gen!$F$47/1000</f>
        <v>2233.8000000000002</v>
      </c>
      <c r="X9" s="6">
        <f>X$6*in_gen!$F$47/1000</f>
        <v>10374.76</v>
      </c>
      <c r="Y9" s="6">
        <f>Y$6*in_gen!$F$47/1000</f>
        <v>2233.8000000000002</v>
      </c>
      <c r="Z9" s="6">
        <f>Z$6*in_gen!$F$47/1000</f>
        <v>2233.8000000000002</v>
      </c>
      <c r="AA9" s="6">
        <f>AA$6*in_gen!$F$47/1000</f>
        <v>10374.76</v>
      </c>
      <c r="AB9" s="6">
        <f>AB$6*in_gen!$F$47/1000</f>
        <v>2233.8000000000002</v>
      </c>
      <c r="AC9" s="6">
        <f>AC$6*in_gen!$F$47/1000</f>
        <v>2233.8000000000002</v>
      </c>
      <c r="AD9" s="6">
        <f>AD$6*in_gen!$F$47/1000</f>
        <v>10374.76</v>
      </c>
    </row>
    <row r="10" spans="1:30">
      <c r="A10" s="7" t="s">
        <v>171</v>
      </c>
      <c r="B10" s="7" t="s">
        <v>162</v>
      </c>
      <c r="C10" s="9"/>
      <c r="D10" s="6">
        <f>CEILING(D$6/in_gen!$C$29,1)</f>
        <v>8</v>
      </c>
      <c r="E10" s="6">
        <f>CEILING(E$6/in_gen!$C$29,1)</f>
        <v>8</v>
      </c>
      <c r="F10" s="6">
        <f>CEILING(F$6/in_gen!$C$29,1)</f>
        <v>36</v>
      </c>
      <c r="G10" s="6">
        <f>CEILING(G$6/in_gen!$C$29,1)</f>
        <v>8</v>
      </c>
      <c r="H10" s="6">
        <f>CEILING(H$6/in_gen!$C$29,1)</f>
        <v>8</v>
      </c>
      <c r="I10" s="6">
        <f>CEILING(I$6/in_gen!$C$29,1)</f>
        <v>36</v>
      </c>
      <c r="J10" s="6">
        <f>CEILING(J$6/in_gen!$C$29,1)</f>
        <v>8</v>
      </c>
      <c r="K10" s="6">
        <f>CEILING(K$6/in_gen!$C$29,1)</f>
        <v>8</v>
      </c>
      <c r="L10" s="6">
        <f>CEILING(L$6/in_gen!$C$29,1)</f>
        <v>36</v>
      </c>
      <c r="M10" s="6">
        <f>CEILING(M$6/in_gen!$E$29,1)</f>
        <v>8</v>
      </c>
      <c r="N10" s="6">
        <f>CEILING(N$6/in_gen!$E$29,1)</f>
        <v>8</v>
      </c>
      <c r="O10" s="6">
        <f>CEILING(O$6/in_gen!$E$29,1)</f>
        <v>36</v>
      </c>
      <c r="P10" s="6">
        <f>CEILING(P$6/in_gen!$E$29,1)</f>
        <v>8</v>
      </c>
      <c r="Q10" s="6">
        <f>CEILING(Q$6/in_gen!$E$29,1)</f>
        <v>8</v>
      </c>
      <c r="R10" s="6">
        <f>CEILING(R$6/in_gen!$E$29,1)</f>
        <v>36</v>
      </c>
      <c r="S10" s="6">
        <f>CEILING(S$6/in_gen!$E$29,1)</f>
        <v>8</v>
      </c>
      <c r="T10" s="6">
        <f>CEILING(T$6/in_gen!$E$29,1)</f>
        <v>8</v>
      </c>
      <c r="U10" s="6">
        <f>CEILING(U$6/in_gen!$E$29,1)</f>
        <v>36</v>
      </c>
      <c r="V10" s="6">
        <f>CEILING(V$6/in_gen!$F$29,1)</f>
        <v>8</v>
      </c>
      <c r="W10" s="6">
        <f>CEILING(W$6/in_gen!$F$29,1)</f>
        <v>8</v>
      </c>
      <c r="X10" s="6">
        <f>CEILING(X$6/in_gen!$F$29,1)</f>
        <v>36</v>
      </c>
      <c r="Y10" s="6">
        <f>CEILING(Y$6/in_gen!$F$29,1)</f>
        <v>8</v>
      </c>
      <c r="Z10" s="6">
        <f>CEILING(Z$6/in_gen!$F$29,1)</f>
        <v>8</v>
      </c>
      <c r="AA10" s="6">
        <f>CEILING(AA$6/in_gen!$F$29,1)</f>
        <v>36</v>
      </c>
      <c r="AB10" s="6">
        <f>CEILING(AB$6/in_gen!$F$29,1)</f>
        <v>8</v>
      </c>
      <c r="AC10" s="6">
        <f>CEILING(AC$6/in_gen!$F$29,1)</f>
        <v>8</v>
      </c>
      <c r="AD10" s="6">
        <f>CEILING(AD$6/in_gen!$F$29,1)</f>
        <v>36</v>
      </c>
    </row>
    <row r="11" spans="1:30">
      <c r="A11" s="7" t="s">
        <v>172</v>
      </c>
      <c r="B11" s="7" t="s">
        <v>86</v>
      </c>
      <c r="C11" s="9"/>
      <c r="D11" s="6">
        <f>(in_gen!$C$11+in_gen!$C$12)*in_loc!D$34</f>
        <v>34000000</v>
      </c>
      <c r="E11" s="6">
        <f>(in_gen!$C$11+in_gen!$C$12)*in_loc!E$34</f>
        <v>34000000</v>
      </c>
      <c r="F11" s="6">
        <f>(in_gen!$C$11+in_gen!$C$12)*in_loc!F$34</f>
        <v>34000000</v>
      </c>
      <c r="G11" s="6">
        <f>(in_gen!$C$11+in_gen!$C$12)*in_loc!G$34</f>
        <v>6000000</v>
      </c>
      <c r="H11" s="6">
        <f>(in_gen!$C$11+in_gen!$C$12)*in_loc!H$34</f>
        <v>6000000</v>
      </c>
      <c r="I11" s="6">
        <f>(in_gen!$C$11+in_gen!$C$12)*in_loc!I$34</f>
        <v>6000000</v>
      </c>
      <c r="J11" s="6">
        <f>(in_gen!$C$11+in_gen!$C$12)*in_loc!J$34</f>
        <v>2200000</v>
      </c>
      <c r="K11" s="6">
        <f>(in_gen!$C$11+in_gen!$C$12)*in_loc!K$34</f>
        <v>2200000</v>
      </c>
      <c r="L11" s="6">
        <f>(in_gen!$C$11+in_gen!$C$12)*in_loc!L$34</f>
        <v>2200000</v>
      </c>
      <c r="M11" s="6">
        <f>(in_gen!$E$11+in_gen!$E$12)*in_loc!M$34</f>
        <v>35360000</v>
      </c>
      <c r="N11" s="6">
        <f>(in_gen!$E$11+in_gen!$E$12)*in_loc!N$34</f>
        <v>35360000</v>
      </c>
      <c r="O11" s="6">
        <f>(in_gen!$E$11+in_gen!$E$12)*in_loc!O$34</f>
        <v>35360000</v>
      </c>
      <c r="P11" s="6">
        <f>(in_gen!$E$11+in_gen!$E$12)*in_loc!P$34</f>
        <v>6240000</v>
      </c>
      <c r="Q11" s="6">
        <f>(in_gen!$E$11+in_gen!$E$12)*in_loc!Q$34</f>
        <v>6240000</v>
      </c>
      <c r="R11" s="6">
        <f>(in_gen!$E$11+in_gen!$E$12)*in_loc!R$34</f>
        <v>6240000</v>
      </c>
      <c r="S11" s="6">
        <f>(in_gen!$E$11+in_gen!$E$12)*in_loc!S$34</f>
        <v>2288000</v>
      </c>
      <c r="T11" s="6">
        <f>(in_gen!$E$11+in_gen!$E$12)*in_loc!T$34</f>
        <v>2288000</v>
      </c>
      <c r="U11" s="6">
        <f>(in_gen!$E$11+in_gen!$E$12)*in_loc!U$34</f>
        <v>2288000</v>
      </c>
      <c r="V11" s="6">
        <f>(in_gen!$F$11+in_gen!$F$12)*in_loc!V$34</f>
        <v>32640000</v>
      </c>
      <c r="W11" s="6">
        <f>(in_gen!$F$11+in_gen!$F$12)*in_loc!W$34</f>
        <v>32640000</v>
      </c>
      <c r="X11" s="6">
        <f>(in_gen!$F$11+in_gen!$F$12)*in_loc!X$34</f>
        <v>32640000</v>
      </c>
      <c r="Y11" s="6">
        <f>(in_gen!$F$11+in_gen!$F$12)*in_loc!Y$34</f>
        <v>5760000</v>
      </c>
      <c r="Z11" s="6">
        <f>(in_gen!$F$11+in_gen!$F$12)*in_loc!Z$34</f>
        <v>5760000</v>
      </c>
      <c r="AA11" s="6">
        <f>(in_gen!$F$11+in_gen!$F$12)*in_loc!AA$34</f>
        <v>5760000</v>
      </c>
      <c r="AB11" s="6">
        <f>(in_gen!$F$11+in_gen!$F$12)*in_loc!AB$34</f>
        <v>2112000</v>
      </c>
      <c r="AC11" s="6">
        <f>(in_gen!$F$11+in_gen!$F$12)*in_loc!AC$34</f>
        <v>2112000</v>
      </c>
      <c r="AD11" s="6">
        <f>(in_gen!$F$11+in_gen!$F$12)*in_loc!AD$34</f>
        <v>2112000</v>
      </c>
    </row>
    <row r="12" spans="1:30">
      <c r="A12" s="7"/>
      <c r="B12" s="7"/>
      <c r="C12" s="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>
      <c r="A13" s="7" t="s">
        <v>173</v>
      </c>
      <c r="B13" s="7" t="s">
        <v>86</v>
      </c>
      <c r="C13" s="9"/>
      <c r="D13" s="6">
        <f>in_gen!$C$22*in_loc!D$27</f>
        <v>16728</v>
      </c>
      <c r="E13" s="6">
        <f>in_gen!$C$22*in_loc!E$27</f>
        <v>83640</v>
      </c>
      <c r="F13" s="6">
        <f>in_gen!$C$22*in_loc!F$27</f>
        <v>69987</v>
      </c>
      <c r="G13" s="6">
        <f>in_gen!$C$22*in_loc!G$27</f>
        <v>16728</v>
      </c>
      <c r="H13" s="6">
        <f>in_gen!$C$22*in_loc!H$27</f>
        <v>83640</v>
      </c>
      <c r="I13" s="6">
        <f>in_gen!$C$22*in_loc!I$27</f>
        <v>69987</v>
      </c>
      <c r="J13" s="6">
        <f>in_gen!$C$22*in_loc!J$27</f>
        <v>16728</v>
      </c>
      <c r="K13" s="6">
        <f>in_gen!$C$22*in_loc!K$27</f>
        <v>83640</v>
      </c>
      <c r="L13" s="6">
        <f>in_gen!$C$22*in_loc!L$27</f>
        <v>69987</v>
      </c>
      <c r="M13" s="6">
        <f>in_gen!$E$22*in_loc!M$27</f>
        <v>17397.12</v>
      </c>
      <c r="N13" s="6">
        <f>in_gen!$E$22*in_loc!N$27</f>
        <v>86985.600000000006</v>
      </c>
      <c r="O13" s="6">
        <f>in_gen!$E$22*in_loc!O$27</f>
        <v>72786.48</v>
      </c>
      <c r="P13" s="6">
        <f>in_gen!$E$22*in_loc!P$27</f>
        <v>17397.12</v>
      </c>
      <c r="Q13" s="6">
        <f>in_gen!$E$22*in_loc!Q$27</f>
        <v>86985.600000000006</v>
      </c>
      <c r="R13" s="6">
        <f>in_gen!$E$22*in_loc!R$27</f>
        <v>72786.48</v>
      </c>
      <c r="S13" s="6">
        <f>in_gen!$E$22*in_loc!S$27</f>
        <v>17397.12</v>
      </c>
      <c r="T13" s="6">
        <f>in_gen!$E$22*in_loc!T$27</f>
        <v>86985.600000000006</v>
      </c>
      <c r="U13" s="6">
        <f>in_gen!$E$22*in_loc!U$27</f>
        <v>72786.48</v>
      </c>
      <c r="V13" s="6">
        <f>in_gen!$F$22*in_loc!V$27</f>
        <v>16058.88</v>
      </c>
      <c r="W13" s="6">
        <f>in_gen!$F$22*in_loc!W$27</f>
        <v>80294.399999999994</v>
      </c>
      <c r="X13" s="6">
        <f>in_gen!$F$22*in_loc!X$27</f>
        <v>67187.51999999999</v>
      </c>
      <c r="Y13" s="6">
        <f>in_gen!$F$22*in_loc!Y$27</f>
        <v>16058.88</v>
      </c>
      <c r="Z13" s="6">
        <f>in_gen!$F$22*in_loc!Z$27</f>
        <v>80294.399999999994</v>
      </c>
      <c r="AA13" s="6">
        <f>in_gen!$F$22*in_loc!AA$27</f>
        <v>67187.51999999999</v>
      </c>
      <c r="AB13" s="6">
        <f>in_gen!$F$22*in_loc!AB$27</f>
        <v>16058.88</v>
      </c>
      <c r="AC13" s="6">
        <f>in_gen!$F$22*in_loc!AC$27</f>
        <v>80294.399999999994</v>
      </c>
      <c r="AD13" s="6">
        <f>in_gen!$F$22*in_loc!AD$27</f>
        <v>67187.51999999999</v>
      </c>
    </row>
    <row r="14" spans="1:30">
      <c r="A14" s="7" t="s">
        <v>174</v>
      </c>
      <c r="B14" s="7" t="s">
        <v>86</v>
      </c>
      <c r="C14" s="9"/>
      <c r="D14" s="6">
        <f>in_gen!$C$23*in_loc!D$28</f>
        <v>2700</v>
      </c>
      <c r="E14" s="6">
        <f>in_gen!$C$23*in_loc!E$28</f>
        <v>13500</v>
      </c>
      <c r="F14" s="6">
        <f>in_gen!$C$23*in_loc!F$28</f>
        <v>12299.999999999998</v>
      </c>
      <c r="G14" s="6">
        <f>in_gen!$C$23*in_loc!G$28</f>
        <v>2700</v>
      </c>
      <c r="H14" s="6">
        <f>in_gen!$C$23*in_loc!H$28</f>
        <v>13500</v>
      </c>
      <c r="I14" s="6">
        <f>in_gen!$C$23*in_loc!I$28</f>
        <v>12299.999999999998</v>
      </c>
      <c r="J14" s="6">
        <f>in_gen!$C$23*in_loc!J$28</f>
        <v>2700</v>
      </c>
      <c r="K14" s="6">
        <f>in_gen!$C$23*in_loc!K$28</f>
        <v>13500</v>
      </c>
      <c r="L14" s="6">
        <f>in_gen!$C$23*in_loc!L$28</f>
        <v>12299.999999999998</v>
      </c>
      <c r="M14" s="6">
        <f>in_gen!$E$23*in_loc!M$28</f>
        <v>2808</v>
      </c>
      <c r="N14" s="6">
        <f>in_gen!$E$23*in_loc!N$28</f>
        <v>14040</v>
      </c>
      <c r="O14" s="6">
        <f>in_gen!$E$23*in_loc!O$28</f>
        <v>12791.999999999998</v>
      </c>
      <c r="P14" s="6">
        <f>in_gen!$E$23*in_loc!P$28</f>
        <v>2808</v>
      </c>
      <c r="Q14" s="6">
        <f>in_gen!$E$23*in_loc!Q$28</f>
        <v>14040</v>
      </c>
      <c r="R14" s="6">
        <f>in_gen!$E$23*in_loc!R$28</f>
        <v>12791.999999999998</v>
      </c>
      <c r="S14" s="6">
        <f>in_gen!$E$23*in_loc!S$28</f>
        <v>2808</v>
      </c>
      <c r="T14" s="6">
        <f>in_gen!$E$23*in_loc!T$28</f>
        <v>14040</v>
      </c>
      <c r="U14" s="6">
        <f>in_gen!$E$23*in_loc!U$28</f>
        <v>12791.999999999998</v>
      </c>
      <c r="V14" s="6">
        <f>in_gen!$F$23*in_loc!V$28</f>
        <v>2592</v>
      </c>
      <c r="W14" s="6">
        <f>in_gen!$F$23*in_loc!W$28</f>
        <v>12960</v>
      </c>
      <c r="X14" s="6">
        <f>in_gen!$F$23*in_loc!X$28</f>
        <v>11807.999999999998</v>
      </c>
      <c r="Y14" s="6">
        <f>in_gen!$F$23*in_loc!Y$28</f>
        <v>2592</v>
      </c>
      <c r="Z14" s="6">
        <f>in_gen!$F$23*in_loc!Z$28</f>
        <v>12960</v>
      </c>
      <c r="AA14" s="6">
        <f>in_gen!$F$23*in_loc!AA$28</f>
        <v>11807.999999999998</v>
      </c>
      <c r="AB14" s="6">
        <f>in_gen!$F$23*in_loc!AB$28</f>
        <v>2592</v>
      </c>
      <c r="AC14" s="6">
        <f>in_gen!$F$23*in_loc!AC$28</f>
        <v>12960</v>
      </c>
      <c r="AD14" s="6">
        <f>in_gen!$F$23*in_loc!AD$28</f>
        <v>11807.999999999998</v>
      </c>
    </row>
    <row r="15" spans="1:30">
      <c r="A15" s="7" t="s">
        <v>175</v>
      </c>
      <c r="B15" s="7" t="s">
        <v>86</v>
      </c>
      <c r="C15" s="9"/>
      <c r="D15" s="6">
        <f>in_loc!D$22*in_loc!D$35*D$10*VLOOKUP(D$13,freight!$A$2:$B999,2, TRUE)</f>
        <v>3501.2639999999997</v>
      </c>
      <c r="E15" s="6">
        <f>in_loc!E$22*in_loc!E$35*E$10*VLOOKUP(E$13,freight!$A$2:$B999,2, TRUE)</f>
        <v>17506.32</v>
      </c>
      <c r="F15" s="6">
        <f>in_loc!F$22*in_loc!F$35*F$10*VLOOKUP(F$13,freight!$A$2:$B999,2, TRUE)</f>
        <v>15755.688</v>
      </c>
      <c r="G15" s="6">
        <f>in_loc!G$22*in_loc!G$35*G$10*VLOOKUP(G$13,freight!$A$2:$B999,2, TRUE)</f>
        <v>5133.3047999999999</v>
      </c>
      <c r="H15" s="6">
        <f>in_loc!H$22*in_loc!H$35*H$10*VLOOKUP(H$13,freight!$A$2:$B999,2, TRUE)</f>
        <v>25666.523999999998</v>
      </c>
      <c r="I15" s="6">
        <f>in_loc!I$22*in_loc!I$35*I$10*VLOOKUP(I$13,freight!$A$2:$B999,2, TRUE)</f>
        <v>23099.871599999999</v>
      </c>
      <c r="J15" s="6">
        <f>in_loc!J$22*in_loc!J$35*J$10*VLOOKUP(J$13,freight!$A$2:$B999,2, TRUE)</f>
        <v>16382.527199999999</v>
      </c>
      <c r="K15" s="6">
        <f>in_loc!K$22*in_loc!K$35*K$10*VLOOKUP(K$13,freight!$A$2:$B999,2, TRUE)</f>
        <v>81912.635999999999</v>
      </c>
      <c r="L15" s="6">
        <f>in_loc!L$22*in_loc!L$35*L$10*VLOOKUP(L$13,freight!$A$2:$B999,2, TRUE)</f>
        <v>73721.372399999993</v>
      </c>
      <c r="M15" s="6">
        <f>in_loc!M$22*in_loc!M$35*M$10*VLOOKUP(M$13,freight!$A$2:$B999,2, TRUE)</f>
        <v>3501.2639999999997</v>
      </c>
      <c r="N15" s="6">
        <f>in_loc!N$22*in_loc!N$35*N$10*VLOOKUP(N$13,freight!$A$2:$B999,2, TRUE)</f>
        <v>17506.32</v>
      </c>
      <c r="O15" s="6">
        <f>in_loc!O$22*in_loc!O$35*O$10*VLOOKUP(O$13,freight!$A$2:$B999,2, TRUE)</f>
        <v>15755.688</v>
      </c>
      <c r="P15" s="6">
        <f>in_loc!P$22*in_loc!P$35*P$10*VLOOKUP(P$13,freight!$A$2:$B999,2, TRUE)</f>
        <v>5133.3047999999999</v>
      </c>
      <c r="Q15" s="6">
        <f>in_loc!Q$22*in_loc!Q$35*Q$10*VLOOKUP(Q$13,freight!$A$2:$B999,2, TRUE)</f>
        <v>25666.523999999998</v>
      </c>
      <c r="R15" s="6">
        <f>in_loc!R$22*in_loc!R$35*R$10*VLOOKUP(R$13,freight!$A$2:$B999,2, TRUE)</f>
        <v>23099.871599999999</v>
      </c>
      <c r="S15" s="6">
        <f>in_loc!S$22*in_loc!S$35*S$10*VLOOKUP(S$13,freight!$A$2:$B999,2, TRUE)</f>
        <v>16382.527199999999</v>
      </c>
      <c r="T15" s="6">
        <f>in_loc!T$22*in_loc!T$35*T$10*VLOOKUP(T$13,freight!$A$2:$B999,2, TRUE)</f>
        <v>81912.635999999999</v>
      </c>
      <c r="U15" s="6">
        <f>in_loc!U$22*in_loc!U$35*U$10*VLOOKUP(U$13,freight!$A$2:$B999,2, TRUE)</f>
        <v>73721.372399999993</v>
      </c>
      <c r="V15" s="6">
        <f>in_loc!V$22*in_loc!V$35*V$10*VLOOKUP(V$13,freight!$A$2:$B999,2, TRUE)</f>
        <v>3501.2639999999997</v>
      </c>
      <c r="W15" s="6">
        <f>in_loc!W$22*in_loc!W$35*W$10*VLOOKUP(W$13,freight!$A$2:$B999,2, TRUE)</f>
        <v>17506.32</v>
      </c>
      <c r="X15" s="6">
        <f>in_loc!X$22*in_loc!X$35*X$10*VLOOKUP(X$13,freight!$A$2:$B999,2, TRUE)</f>
        <v>15755.688</v>
      </c>
      <c r="Y15" s="6">
        <f>in_loc!Y$22*in_loc!Y$35*Y$10*VLOOKUP(Y$13,freight!$A$2:$B999,2, TRUE)</f>
        <v>5133.3047999999999</v>
      </c>
      <c r="Z15" s="6">
        <f>in_loc!Z$22*in_loc!Z$35*Z$10*VLOOKUP(Z$13,freight!$A$2:$B999,2, TRUE)</f>
        <v>25666.523999999998</v>
      </c>
      <c r="AA15" s="6">
        <f>in_loc!AA$22*in_loc!AA$35*AA$10*VLOOKUP(AA$13,freight!$A$2:$B999,2, TRUE)</f>
        <v>23099.871599999999</v>
      </c>
      <c r="AB15" s="6">
        <f>in_loc!AB$22*in_loc!AB$35*AB$10*VLOOKUP(AB$13,freight!$A$2:$B999,2, TRUE)</f>
        <v>16382.527199999999</v>
      </c>
      <c r="AC15" s="6">
        <f>in_loc!AC$22*in_loc!AC$35*AC$10*VLOOKUP(AC$13,freight!$A$2:$B999,2, TRUE)</f>
        <v>81912.635999999999</v>
      </c>
      <c r="AD15" s="6">
        <f>in_loc!AD$22*in_loc!AD$35*AD$10*VLOOKUP(AD$13,freight!$A$2:$B999,2, TRUE)</f>
        <v>73721.372399999993</v>
      </c>
    </row>
    <row r="16" spans="1:30">
      <c r="A16" s="7" t="s">
        <v>176</v>
      </c>
      <c r="B16" s="7" t="s">
        <v>86</v>
      </c>
      <c r="C16" s="9"/>
      <c r="D16" s="6">
        <f t="array" aca="1" ref="D16" ca="1">INDEX(pontoons!$AA3:$AA999, MATCH(D$1, pontoons!$Z3:$Z999, 0))</f>
        <v>678095.6</v>
      </c>
      <c r="E16" s="6">
        <f t="array" aca="1" ref="E16" ca="1">INDEX(pontoons!$AA3:$AA999, MATCH(E$1, pontoons!$Z3:$Z999, 0))</f>
        <v>3390478</v>
      </c>
      <c r="F16" s="6">
        <f t="array" aca="1" ref="F16" ca="1">INDEX(pontoons!$AA3:$AA999, MATCH(F$1, pontoons!$Z3:$Z999, 0))</f>
        <v>2118899</v>
      </c>
      <c r="G16" s="6">
        <f t="array" aca="1" ref="G16" ca="1">INDEX(pontoons!$AA3:$AA999, MATCH(G$1, pontoons!$Z3:$Z999, 0))</f>
        <v>678095.6</v>
      </c>
      <c r="H16" s="6">
        <f t="array" aca="1" ref="H16" ca="1">INDEX(pontoons!$AA3:$AA999, MATCH(H$1, pontoons!$Z3:$Z999, 0))</f>
        <v>3390478</v>
      </c>
      <c r="I16" s="6">
        <f t="array" aca="1" ref="I16" ca="1">INDEX(pontoons!$AA3:$AA999, MATCH(I$1, pontoons!$Z3:$Z999, 0))</f>
        <v>2118899</v>
      </c>
      <c r="J16" s="6">
        <f t="array" aca="1" ref="J16" ca="1">INDEX(pontoons!$AA3:$AA999, MATCH(J$1, pontoons!$Z3:$Z999, 0))</f>
        <v>678095.6</v>
      </c>
      <c r="K16" s="6">
        <f t="array" aca="1" ref="K16" ca="1">INDEX(pontoons!$AA3:$AA999, MATCH(K$1, pontoons!$Z3:$Z999, 0))</f>
        <v>3390478</v>
      </c>
      <c r="L16" s="6">
        <f t="array" aca="1" ref="L16" ca="1">INDEX(pontoons!$AA3:$AA999, MATCH(L$1, pontoons!$Z3:$Z999, 0))</f>
        <v>2118899</v>
      </c>
      <c r="M16" s="6">
        <f t="array" aca="1" ref="M16" ca="1">INDEX(pontoons!$AA3:$AA999, MATCH(M$1, pontoons!$Z3:$Z999, 0))</f>
        <v>705219.424</v>
      </c>
      <c r="N16" s="6">
        <f t="array" aca="1" ref="N16" ca="1">INDEX(pontoons!$AA3:$AA999, MATCH(N$1, pontoons!$Z3:$Z999, 0))</f>
        <v>3526097.12</v>
      </c>
      <c r="O16" s="6">
        <f t="array" aca="1" ref="O16" ca="1">INDEX(pontoons!$AA3:$AA999, MATCH(O$1, pontoons!$Z3:$Z999, 0))</f>
        <v>2203654.96</v>
      </c>
      <c r="P16" s="6">
        <f t="array" aca="1" ref="P16" ca="1">INDEX(pontoons!$AA3:$AA999, MATCH(P$1, pontoons!$Z3:$Z999, 0))</f>
        <v>705219.424</v>
      </c>
      <c r="Q16" s="6">
        <f t="array" aca="1" ref="Q16" ca="1">INDEX(pontoons!$AA3:$AA999, MATCH(Q$1, pontoons!$Z3:$Z999, 0))</f>
        <v>3526097.12</v>
      </c>
      <c r="R16" s="6">
        <f t="array" aca="1" ref="R16" ca="1">INDEX(pontoons!$AA3:$AA999, MATCH(R$1, pontoons!$Z3:$Z999, 0))</f>
        <v>2203654.96</v>
      </c>
      <c r="S16" s="6">
        <f t="array" aca="1" ref="S16" ca="1">INDEX(pontoons!$AA3:$AA999, MATCH(S$1, pontoons!$Z3:$Z999, 0))</f>
        <v>705219.424</v>
      </c>
      <c r="T16" s="6">
        <f t="array" aca="1" ref="T16" ca="1">INDEX(pontoons!$AA3:$AA999, MATCH(T$1, pontoons!$Z3:$Z999, 0))</f>
        <v>3526097.12</v>
      </c>
      <c r="U16" s="6">
        <f t="array" aca="1" ref="U16" ca="1">INDEX(pontoons!$AA3:$AA999, MATCH(U$1, pontoons!$Z3:$Z999, 0))</f>
        <v>2203654.96</v>
      </c>
      <c r="V16" s="6">
        <f t="array" aca="1" ref="V16" ca="1">INDEX(pontoons!$AA3:$AA999, MATCH(V$1, pontoons!$Z3:$Z999, 0))</f>
        <v>650971.77599999995</v>
      </c>
      <c r="W16" s="6">
        <f t="array" aca="1" ref="W16" ca="1">INDEX(pontoons!$AA3:$AA999, MATCH(W$1, pontoons!$Z3:$Z999, 0))</f>
        <v>3254858.88</v>
      </c>
      <c r="X16" s="6">
        <f t="array" aca="1" ref="X16" ca="1">INDEX(pontoons!$AA3:$AA999, MATCH(X$1, pontoons!$Z3:$Z999, 0))</f>
        <v>2034143.04</v>
      </c>
      <c r="Y16" s="6">
        <f t="array" aca="1" ref="Y16" ca="1">INDEX(pontoons!$AA3:$AA999, MATCH(Y$1, pontoons!$Z3:$Z999, 0))</f>
        <v>650971.77599999995</v>
      </c>
      <c r="Z16" s="6">
        <f t="array" aca="1" ref="Z16" ca="1">INDEX(pontoons!$AA3:$AA999, MATCH(Z$1, pontoons!$Z3:$Z999, 0))</f>
        <v>3254858.88</v>
      </c>
      <c r="AA16" s="6">
        <f t="array" aca="1" ref="AA16" ca="1">INDEX(pontoons!$AA3:$AA999, MATCH(AA$1, pontoons!$Z3:$Z999, 0))</f>
        <v>2034143.04</v>
      </c>
      <c r="AB16" s="6">
        <f t="array" aca="1" ref="AB16" ca="1">INDEX(pontoons!$AA3:$AA999, MATCH(AB$1, pontoons!$Z3:$Z999, 0))</f>
        <v>650971.77599999995</v>
      </c>
      <c r="AC16" s="6">
        <f t="array" aca="1" ref="AC16" ca="1">INDEX(pontoons!$AA3:$AA999, MATCH(AC$1, pontoons!$Z3:$Z999, 0))</f>
        <v>3254858.88</v>
      </c>
      <c r="AD16" s="6">
        <f t="array" aca="1" ref="AD16" ca="1">INDEX(pontoons!$AA3:$AA999, MATCH(AD$1, pontoons!$Z3:$Z999, 0))</f>
        <v>2034143.04</v>
      </c>
    </row>
    <row r="17" spans="1:30">
      <c r="A17" s="7" t="s">
        <v>177</v>
      </c>
      <c r="B17" s="7" t="s">
        <v>86</v>
      </c>
      <c r="C17" s="9"/>
      <c r="D17" s="6">
        <f>in_loc!D$22*inter_gen!$C$4*D$9</f>
        <v>1116900</v>
      </c>
      <c r="E17" s="6">
        <f>in_loc!E$22*inter_gen!$C$4*E$9</f>
        <v>5584500</v>
      </c>
      <c r="F17" s="6">
        <f>in_loc!F$22*inter_gen!$C$4*F$9</f>
        <v>5187380</v>
      </c>
      <c r="G17" s="6">
        <f>in_loc!G$22*inter_gen!$C$4*G$9</f>
        <v>1116900</v>
      </c>
      <c r="H17" s="6">
        <f>in_loc!H$22*inter_gen!$C$4*H$9</f>
        <v>5584500</v>
      </c>
      <c r="I17" s="6">
        <f>in_loc!I$22*inter_gen!$C$4*I$9</f>
        <v>5187380</v>
      </c>
      <c r="J17" s="6">
        <f>in_loc!J$22*inter_gen!$C$4*J$9</f>
        <v>1116900</v>
      </c>
      <c r="K17" s="6">
        <f>in_loc!K$22*inter_gen!$C$4*K$9</f>
        <v>5584500</v>
      </c>
      <c r="L17" s="6">
        <f>in_loc!L$22*inter_gen!$C$4*L$9</f>
        <v>5187380</v>
      </c>
      <c r="M17" s="6">
        <f>in_loc!M$22*inter_gen!$F$4*M$9</f>
        <v>1058499.5328000002</v>
      </c>
      <c r="N17" s="6">
        <f>in_loc!N$22*inter_gen!$F$4*N$9</f>
        <v>5292497.6639999999</v>
      </c>
      <c r="O17" s="6">
        <f>in_loc!O$22*inter_gen!$F$4*O$9</f>
        <v>4916142.2745599998</v>
      </c>
      <c r="P17" s="6">
        <f>in_loc!P$22*inter_gen!$F$4*P$9</f>
        <v>1058499.5328000002</v>
      </c>
      <c r="Q17" s="6">
        <f>in_loc!Q$22*inter_gen!$F$4*Q$9</f>
        <v>5292497.6639999999</v>
      </c>
      <c r="R17" s="6">
        <f>in_loc!R$22*inter_gen!$F$4*R$9</f>
        <v>4916142.2745599998</v>
      </c>
      <c r="S17" s="6">
        <f>in_loc!S$22*inter_gen!$F$4*S$9</f>
        <v>1058499.5328000002</v>
      </c>
      <c r="T17" s="6">
        <f>in_loc!T$22*inter_gen!$F$4*T$9</f>
        <v>5292497.6639999999</v>
      </c>
      <c r="U17" s="6">
        <f>in_loc!U$22*inter_gen!$F$4*U$9</f>
        <v>4916142.2745599998</v>
      </c>
      <c r="V17" s="6">
        <f>in_loc!V$22*inter_gen!$F$4*V$9</f>
        <v>1058499.5328000002</v>
      </c>
      <c r="W17" s="6">
        <f>in_loc!W$22*inter_gen!$F$4*W$9</f>
        <v>5292497.6639999999</v>
      </c>
      <c r="X17" s="6">
        <f>in_loc!X$22*inter_gen!$F$4*X$9</f>
        <v>4916142.2745599998</v>
      </c>
      <c r="Y17" s="6">
        <f>in_loc!Y$22*inter_gen!$F$4*Y$9</f>
        <v>1058499.5328000002</v>
      </c>
      <c r="Z17" s="6">
        <f>in_loc!Z$22*inter_gen!$F$4*Z$9</f>
        <v>5292497.6639999999</v>
      </c>
      <c r="AA17" s="6">
        <f>in_loc!AA$22*inter_gen!$F$4*AA$9</f>
        <v>4916142.2745599998</v>
      </c>
      <c r="AB17" s="6">
        <f>in_loc!AB$22*inter_gen!$F$4*AB$9</f>
        <v>1058499.5328000002</v>
      </c>
      <c r="AC17" s="6">
        <f>in_loc!AC$22*inter_gen!$F$4*AC$9</f>
        <v>5292497.6639999999</v>
      </c>
      <c r="AD17" s="6">
        <f>in_loc!AD$22*inter_gen!$F$4*AD$9</f>
        <v>4916142.2745599998</v>
      </c>
    </row>
    <row r="18" spans="1:30">
      <c r="A18" s="7" t="s">
        <v>178</v>
      </c>
      <c r="B18" s="7" t="s">
        <v>86</v>
      </c>
      <c r="C18" s="9"/>
      <c r="D18" s="6">
        <f>in_loc!D$22*(D$8+inter_gen!$C$2+inter_gen!$C$3)</f>
        <v>55380</v>
      </c>
      <c r="E18" s="6">
        <f>in_loc!E$22*(E$8+inter_gen!$C$2+inter_gen!$C$3)</f>
        <v>276900</v>
      </c>
      <c r="F18" s="6">
        <f>in_loc!F$22*(F$8+inter_gen!$C$2+inter_gen!$C$3)</f>
        <v>144596</v>
      </c>
      <c r="G18" s="6">
        <f>in_loc!G$22*(G$8+inter_gen!$C$2+inter_gen!$C$3)</f>
        <v>55380</v>
      </c>
      <c r="H18" s="6">
        <f>in_loc!H$22*(H$8+inter_gen!$C$2+inter_gen!$C$3)</f>
        <v>276900</v>
      </c>
      <c r="I18" s="6">
        <f>in_loc!I$22*(I$8+inter_gen!$C$2+inter_gen!$C$3)</f>
        <v>144596</v>
      </c>
      <c r="J18" s="6">
        <f>in_loc!J$22*(J$8+inter_gen!$C$2+inter_gen!$C$3)</f>
        <v>55380</v>
      </c>
      <c r="K18" s="6">
        <f>in_loc!K$22*(K$8+inter_gen!$C$2+inter_gen!$C$3)</f>
        <v>276900</v>
      </c>
      <c r="L18" s="6">
        <f>in_loc!L$22*(L$8+inter_gen!$C$2+inter_gen!$C$3)</f>
        <v>144596</v>
      </c>
      <c r="M18" s="6">
        <f>in_loc!M$22*(M$8+inter_gen!$F$2+inter_gen!$F$3)</f>
        <v>55123.199999999997</v>
      </c>
      <c r="N18" s="6">
        <f>in_loc!N$22*(N$8+inter_gen!$F$2+inter_gen!$F$3)</f>
        <v>275616</v>
      </c>
      <c r="O18" s="6">
        <f>in_loc!O$22*(O$8+inter_gen!$F$2+inter_gen!$F$3)</f>
        <v>147907.84000000003</v>
      </c>
      <c r="P18" s="6">
        <f>in_loc!P$22*(P$8+inter_gen!$F$2+inter_gen!$F$3)</f>
        <v>55123.199999999997</v>
      </c>
      <c r="Q18" s="6">
        <f>in_loc!Q$22*(Q$8+inter_gen!$F$2+inter_gen!$F$3)</f>
        <v>275616</v>
      </c>
      <c r="R18" s="6">
        <f>in_loc!R$22*(R$8+inter_gen!$F$2+inter_gen!$F$3)</f>
        <v>147907.84000000003</v>
      </c>
      <c r="S18" s="6">
        <f>in_loc!S$22*(S$8+inter_gen!$F$2+inter_gen!$F$3)</f>
        <v>55123.199999999997</v>
      </c>
      <c r="T18" s="6">
        <f>in_loc!T$22*(T$8+inter_gen!$F$2+inter_gen!$F$3)</f>
        <v>275616</v>
      </c>
      <c r="U18" s="6">
        <f>in_loc!U$22*(U$8+inter_gen!$F$2+inter_gen!$F$3)</f>
        <v>147907.84000000003</v>
      </c>
      <c r="V18" s="6">
        <f>in_loc!V$22*(V$8+inter_gen!$F$2+inter_gen!$F$3)</f>
        <v>53164.800000000003</v>
      </c>
      <c r="W18" s="6">
        <f>in_loc!W$22*(W$8+inter_gen!$F$2+inter_gen!$F$3)</f>
        <v>265824</v>
      </c>
      <c r="X18" s="6">
        <f>in_loc!X$22*(X$8+inter_gen!$F$2+inter_gen!$F$3)</f>
        <v>138812.15999999997</v>
      </c>
      <c r="Y18" s="6">
        <f>in_loc!Y$22*(Y$8+inter_gen!$F$2+inter_gen!$F$3)</f>
        <v>53164.800000000003</v>
      </c>
      <c r="Z18" s="6">
        <f>in_loc!Z$22*(Z$8+inter_gen!$F$2+inter_gen!$F$3)</f>
        <v>265824</v>
      </c>
      <c r="AA18" s="6">
        <f>in_loc!AA$22*(AA$8+inter_gen!$F$2+inter_gen!$F$3)</f>
        <v>138812.15999999997</v>
      </c>
      <c r="AB18" s="6">
        <f>in_loc!AB$22*(AB$8+inter_gen!$F$2+inter_gen!$F$3)</f>
        <v>53164.800000000003</v>
      </c>
      <c r="AC18" s="6">
        <f>in_loc!AC$22*(AC$8+inter_gen!$F$2+inter_gen!$F$3)</f>
        <v>265824</v>
      </c>
      <c r="AD18" s="6">
        <f>in_loc!AD$22*(AD$8+inter_gen!$F$2+inter_gen!$F$3)</f>
        <v>138812.15999999997</v>
      </c>
    </row>
    <row r="19" spans="1:30">
      <c r="A19" s="7" t="s">
        <v>179</v>
      </c>
      <c r="B19" s="7" t="s">
        <v>86</v>
      </c>
      <c r="C19" s="9"/>
      <c r="D19" s="6">
        <f>in_loc!D$22*(D$8+inter_gen!$C$2)+D$11</f>
        <v>34026880</v>
      </c>
      <c r="E19" s="6">
        <f>in_loc!E$22*(E$8+inter_gen!$C$2)+E$11</f>
        <v>34134400</v>
      </c>
      <c r="F19" s="6">
        <f>in_loc!F$22*(F$8+inter_gen!$C$2)+F$11</f>
        <v>34116096</v>
      </c>
      <c r="G19" s="6">
        <f>in_loc!G$22*(G$8+inter_gen!$C$2)+G$11</f>
        <v>6026880</v>
      </c>
      <c r="H19" s="6">
        <f>in_loc!H$22*(H$8+inter_gen!$C$2)+H$11</f>
        <v>6134400</v>
      </c>
      <c r="I19" s="6">
        <f>in_loc!I$22*(I$8+inter_gen!$C$2)+I$11</f>
        <v>6116096</v>
      </c>
      <c r="J19" s="6">
        <f>in_loc!J$22*(J$8+inter_gen!$C$2)+J$11</f>
        <v>2226880</v>
      </c>
      <c r="K19" s="6">
        <f>in_loc!K$22*(K$8+inter_gen!$C$2)+K$11</f>
        <v>2334400</v>
      </c>
      <c r="L19" s="6">
        <f>in_loc!L$22*(L$8+inter_gen!$C$2)+L$11</f>
        <v>2316096</v>
      </c>
      <c r="M19" s="6">
        <f>in_loc!M$22*(M$8+inter_gen!$F$2)+M$11</f>
        <v>35387763.200000003</v>
      </c>
      <c r="N19" s="6">
        <f>in_loc!N$22*(N$8+inter_gen!$F$2)+N$11</f>
        <v>35498816</v>
      </c>
      <c r="O19" s="6">
        <f>in_loc!O$22*(O$8+inter_gen!$F$2)+O$11</f>
        <v>35480547.840000004</v>
      </c>
      <c r="P19" s="6">
        <f>in_loc!P$22*(P$8+inter_gen!$F$2)+P$11</f>
        <v>6267763.2000000002</v>
      </c>
      <c r="Q19" s="6">
        <f>in_loc!Q$22*(Q$8+inter_gen!$F$2)+Q$11</f>
        <v>6378816</v>
      </c>
      <c r="R19" s="6">
        <f>in_loc!R$22*(R$8+inter_gen!$F$2)+R$11</f>
        <v>6360547.8399999999</v>
      </c>
      <c r="S19" s="6">
        <f>in_loc!S$22*(S$8+inter_gen!$F$2)+S$11</f>
        <v>2315763.2000000002</v>
      </c>
      <c r="T19" s="6">
        <f>in_loc!T$22*(T$8+inter_gen!$F$2)+T$11</f>
        <v>2426816</v>
      </c>
      <c r="U19" s="6">
        <f>in_loc!U$22*(U$8+inter_gen!$F$2)+U$11</f>
        <v>2408547.84</v>
      </c>
      <c r="V19" s="6">
        <f>in_loc!V$22*(V$8+inter_gen!$F$2)+V$11</f>
        <v>32665804.800000001</v>
      </c>
      <c r="W19" s="6">
        <f>in_loc!W$22*(W$8+inter_gen!$F$2)+W$11</f>
        <v>32769024</v>
      </c>
      <c r="X19" s="6">
        <f>in_loc!X$22*(X$8+inter_gen!$F$2)+X$11</f>
        <v>32751452.16</v>
      </c>
      <c r="Y19" s="6">
        <f>in_loc!Y$22*(Y$8+inter_gen!$F$2)+Y$11</f>
        <v>5785804.7999999998</v>
      </c>
      <c r="Z19" s="6">
        <f>in_loc!Z$22*(Z$8+inter_gen!$F$2)+Z$11</f>
        <v>5889024</v>
      </c>
      <c r="AA19" s="6">
        <f>in_loc!AA$22*(AA$8+inter_gen!$F$2)+AA$11</f>
        <v>5871452.1600000001</v>
      </c>
      <c r="AB19" s="6">
        <f>in_loc!AB$22*(AB$8+inter_gen!$F$2)+AB$11</f>
        <v>2137804.7999999998</v>
      </c>
      <c r="AC19" s="6">
        <f>in_loc!AC$22*(AC$8+inter_gen!$F$2)+AC$11</f>
        <v>2241024</v>
      </c>
      <c r="AD19" s="6">
        <f>in_loc!AD$22*(AD$8+inter_gen!$F$2)+AD$11</f>
        <v>2223452.1600000001</v>
      </c>
    </row>
    <row r="20" spans="1:30">
      <c r="A20" s="7" t="s">
        <v>180</v>
      </c>
      <c r="B20" s="7" t="s">
        <v>86</v>
      </c>
      <c r="C20" s="9"/>
      <c r="D20" s="6">
        <f>in_loc!D$22*(in_loc!D$25*in_gen!$C$24+in_loc!D$26*in_gen!$C$25)</f>
        <v>148210</v>
      </c>
      <c r="E20" s="6">
        <f>in_loc!E$22*(in_loc!E$25*in_gen!$C$24+in_loc!E$26*in_gen!$C$25)</f>
        <v>741050</v>
      </c>
      <c r="F20" s="6">
        <f>in_loc!F$22*(in_loc!F$25*in_gen!$C$24+in_loc!F$26*in_gen!$C$25)</f>
        <v>212580</v>
      </c>
      <c r="G20" s="6">
        <f>in_loc!G$22*(in_loc!G$25*in_gen!$C$24+in_loc!G$26*in_gen!$C$25)</f>
        <v>54460</v>
      </c>
      <c r="H20" s="6">
        <f>in_loc!H$22*(in_loc!H$25*in_gen!$C$24+in_loc!H$26*in_gen!$C$25)</f>
        <v>272300</v>
      </c>
      <c r="I20" s="6">
        <f>in_loc!I$22*(in_loc!I$25*in_gen!$C$24+in_loc!I$26*in_gen!$C$25)</f>
        <v>124490</v>
      </c>
      <c r="J20" s="6">
        <f>in_loc!J$22*(in_loc!J$25*in_gen!$C$24+in_loc!J$26*in_gen!$C$25)</f>
        <v>90920</v>
      </c>
      <c r="K20" s="6">
        <f>in_loc!K$22*(in_loc!K$25*in_gen!$C$24+in_loc!K$26*in_gen!$C$25)</f>
        <v>454600</v>
      </c>
      <c r="L20" s="6">
        <f>in_loc!L$22*(in_loc!L$25*in_gen!$C$24+in_loc!L$26*in_gen!$C$25)</f>
        <v>208650</v>
      </c>
      <c r="M20" s="6">
        <f>in_loc!M$22*(in_loc!M$25*in_gen!$E$24+in_loc!M$26*in_gen!$E$25)</f>
        <v>154138.4</v>
      </c>
      <c r="N20" s="6">
        <f>in_loc!N$22*(in_loc!N$25*in_gen!$E$24+in_loc!N$26*in_gen!$E$25)</f>
        <v>770692</v>
      </c>
      <c r="O20" s="6">
        <f>in_loc!O$22*(in_loc!O$25*in_gen!$E$24+in_loc!O$26*in_gen!$E$25)</f>
        <v>221083.2</v>
      </c>
      <c r="P20" s="6">
        <f>in_loc!P$22*(in_loc!P$25*in_gen!$E$24+in_loc!P$26*in_gen!$E$25)</f>
        <v>56638.400000000001</v>
      </c>
      <c r="Q20" s="6">
        <f>in_loc!Q$22*(in_loc!Q$25*in_gen!$E$24+in_loc!Q$26*in_gen!$E$25)</f>
        <v>283192</v>
      </c>
      <c r="R20" s="6">
        <f>in_loc!R$22*(in_loc!R$25*in_gen!$E$24+in_loc!R$26*in_gen!$E$25)</f>
        <v>129469.6</v>
      </c>
      <c r="S20" s="6">
        <f>in_loc!S$22*(in_loc!S$25*in_gen!$E$24+in_loc!S$26*in_gen!$E$25)</f>
        <v>94556.800000000003</v>
      </c>
      <c r="T20" s="6">
        <f>in_loc!T$22*(in_loc!T$25*in_gen!$E$24+in_loc!T$26*in_gen!$E$25)</f>
        <v>472784</v>
      </c>
      <c r="U20" s="6">
        <f>in_loc!U$22*(in_loc!U$25*in_gen!$E$24+in_loc!U$26*in_gen!$E$25)</f>
        <v>216996</v>
      </c>
      <c r="V20" s="6">
        <f>in_loc!V$22*(in_loc!V$25*in_gen!$F$24+in_loc!V$26*in_gen!$F$25)</f>
        <v>142281.60000000001</v>
      </c>
      <c r="W20" s="6">
        <f>in_loc!W$22*(in_loc!W$25*in_gen!$F$24+in_loc!W$26*in_gen!$F$25)</f>
        <v>711408</v>
      </c>
      <c r="X20" s="6">
        <f>in_loc!X$22*(in_loc!X$25*in_gen!$F$24+in_loc!X$26*in_gen!$F$25)</f>
        <v>204076.79999999999</v>
      </c>
      <c r="Y20" s="6">
        <f>in_loc!Y$22*(in_loc!Y$25*in_gen!$F$24+in_loc!Y$26*in_gen!$F$25)</f>
        <v>52281.599999999999</v>
      </c>
      <c r="Z20" s="6">
        <f>in_loc!Z$22*(in_loc!Z$25*in_gen!$F$24+in_loc!Z$26*in_gen!$F$25)</f>
        <v>261408</v>
      </c>
      <c r="AA20" s="6">
        <f>in_loc!AA$22*(in_loc!AA$25*in_gen!$F$24+in_loc!AA$26*in_gen!$F$25)</f>
        <v>119510.39999999999</v>
      </c>
      <c r="AB20" s="6">
        <f>in_loc!AB$22*(in_loc!AB$25*in_gen!$F$24+in_loc!AB$26*in_gen!$F$25)</f>
        <v>87283.199999999997</v>
      </c>
      <c r="AC20" s="6">
        <f>in_loc!AC$22*(in_loc!AC$25*in_gen!$F$24+in_loc!AC$26*in_gen!$F$25)</f>
        <v>436416</v>
      </c>
      <c r="AD20" s="6">
        <f>in_loc!AD$22*(in_loc!AD$25*in_gen!$F$24+in_loc!AD$26*in_gen!$F$25)</f>
        <v>200304</v>
      </c>
    </row>
    <row r="21" spans="1:30" ht="15.75" customHeight="1">
      <c r="A21" s="7" t="s">
        <v>181</v>
      </c>
      <c r="B21" s="7" t="s">
        <v>86</v>
      </c>
      <c r="C21" s="9"/>
      <c r="D21" s="6">
        <f>in_loc!D$22*(in_loc!D$3+in_loc!D$4+in_loc!D$5+in_loc!D$6+in_loc!D$7+in_loc!D$8)</f>
        <v>1874000</v>
      </c>
      <c r="E21" s="6">
        <f>in_loc!E$22*(in_loc!E$3+in_loc!E$4+in_loc!E$5+in_loc!E$6+in_loc!E$7+in_loc!E$8)</f>
        <v>8108000</v>
      </c>
      <c r="F21" s="6">
        <f>in_loc!F$22*(in_loc!F$3+in_loc!F$4+in_loc!F$5+in_loc!F$6+in_loc!F$7+in_loc!F$8)</f>
        <v>5607000</v>
      </c>
      <c r="G21" s="6">
        <f>in_loc!G$22*(in_loc!G$3+in_loc!G$4+in_loc!G$5+in_loc!G$6+in_loc!G$7+in_loc!G$8)</f>
        <v>681000</v>
      </c>
      <c r="H21" s="6">
        <f>in_loc!H$22*(in_loc!H$3+in_loc!H$4+in_loc!H$5+in_loc!H$6+in_loc!H$7+in_loc!H$8)</f>
        <v>3204000</v>
      </c>
      <c r="I21" s="6">
        <f>in_loc!I$22*(in_loc!I$3+in_loc!I$4+in_loc!I$5+in_loc!I$6+in_loc!I$7+in_loc!I$8)</f>
        <v>2017000</v>
      </c>
      <c r="J21" s="6">
        <f>in_loc!J$22*(in_loc!J$3+in_loc!J$4+in_loc!J$5+in_loc!J$6+in_loc!J$7+in_loc!J$8)</f>
        <v>584000</v>
      </c>
      <c r="K21" s="6">
        <f>in_loc!K$22*(in_loc!K$3+in_loc!K$4+in_loc!K$5+in_loc!K$6+in_loc!K$7+in_loc!K$8)</f>
        <v>2706000</v>
      </c>
      <c r="L21" s="6">
        <f>in_loc!L$22*(in_loc!L$3+in_loc!L$4+in_loc!L$5+in_loc!L$6+in_loc!L$7+in_loc!L$8)</f>
        <v>1624000</v>
      </c>
      <c r="M21" s="6">
        <f>in_loc!M$22*(in_loc!M$3+in_loc!M$4+in_loc!M$5+in_loc!M$6+in_loc!M$7+in_loc!M$8)</f>
        <v>1948960</v>
      </c>
      <c r="N21" s="6">
        <f>in_loc!N$22*(in_loc!N$3+in_loc!N$4+in_loc!N$5+in_loc!N$6+in_loc!N$7+in_loc!N$8)</f>
        <v>8432320</v>
      </c>
      <c r="O21" s="6">
        <f>in_loc!O$22*(in_loc!O$3+in_loc!O$4+in_loc!O$5+in_loc!O$6+in_loc!O$7+in_loc!O$8)</f>
        <v>5831280</v>
      </c>
      <c r="P21" s="6">
        <f>in_loc!P$22*(in_loc!P$3+in_loc!P$4+in_loc!P$5+in_loc!P$6+in_loc!P$7+in_loc!P$8)</f>
        <v>708240</v>
      </c>
      <c r="Q21" s="6">
        <f>in_loc!Q$22*(in_loc!Q$3+in_loc!Q$4+in_loc!Q$5+in_loc!Q$6+in_loc!Q$7+in_loc!Q$8)</f>
        <v>3332160</v>
      </c>
      <c r="R21" s="6">
        <f>in_loc!R$22*(in_loc!R$3+in_loc!R$4+in_loc!R$5+in_loc!R$6+in_loc!R$7+in_loc!R$8)</f>
        <v>2097680</v>
      </c>
      <c r="S21" s="6">
        <f>in_loc!S$22*(in_loc!S$3+in_loc!S$4+in_loc!S$5+in_loc!S$6+in_loc!S$7+in_loc!S$8)</f>
        <v>607360</v>
      </c>
      <c r="T21" s="6">
        <f>in_loc!T$22*(in_loc!T$3+in_loc!T$4+in_loc!T$5+in_loc!T$6+in_loc!T$7+in_loc!T$8)</f>
        <v>2814240</v>
      </c>
      <c r="U21" s="6">
        <f>in_loc!U$22*(in_loc!U$3+in_loc!U$4+in_loc!U$5+in_loc!U$6+in_loc!U$7+in_loc!U$8)</f>
        <v>1688960</v>
      </c>
      <c r="V21" s="6">
        <f>in_loc!V$22*(in_loc!V$3+in_loc!V$4+in_loc!V$5+in_loc!V$6+in_loc!V$7+in_loc!V$8)</f>
        <v>1799040</v>
      </c>
      <c r="W21" s="6">
        <f>in_loc!W$22*(in_loc!W$3+in_loc!W$4+in_loc!W$5+in_loc!W$6+in_loc!W$7+in_loc!W$8)</f>
        <v>7783680</v>
      </c>
      <c r="X21" s="6">
        <f>in_loc!X$22*(in_loc!X$3+in_loc!X$4+in_loc!X$5+in_loc!X$6+in_loc!X$7+in_loc!X$8)</f>
        <v>5382720</v>
      </c>
      <c r="Y21" s="6">
        <f>in_loc!Y$22*(in_loc!Y$3+in_loc!Y$4+in_loc!Y$5+in_loc!Y$6+in_loc!Y$7+in_loc!Y$8)</f>
        <v>653760</v>
      </c>
      <c r="Z21" s="6">
        <f>in_loc!Z$22*(in_loc!Z$3+in_loc!Z$4+in_loc!Z$5+in_loc!Z$6+in_loc!Z$7+in_loc!Z$8)</f>
        <v>3075840</v>
      </c>
      <c r="AA21" s="6">
        <f>in_loc!AA$22*(in_loc!AA$3+in_loc!AA$4+in_loc!AA$5+in_loc!AA$6+in_loc!AA$7+in_loc!AA$8)</f>
        <v>1936320</v>
      </c>
      <c r="AB21" s="6">
        <f>in_loc!AB$22*(in_loc!AB$3+in_loc!AB$4+in_loc!AB$5+in_loc!AB$6+in_loc!AB$7+in_loc!AB$8)</f>
        <v>560640</v>
      </c>
      <c r="AC21" s="6">
        <f>in_loc!AC$22*(in_loc!AC$3+in_loc!AC$4+in_loc!AC$5+in_loc!AC$6+in_loc!AC$7+in_loc!AC$8)</f>
        <v>2597760</v>
      </c>
      <c r="AD21" s="6">
        <f>in_loc!AD$22*(in_loc!AD$3+in_loc!AD$4+in_loc!AD$5+in_loc!AD$6+in_loc!AD$7+in_loc!AD$8)</f>
        <v>1559040</v>
      </c>
    </row>
    <row r="22" spans="1:30" ht="15.75" customHeight="1">
      <c r="A22" s="7"/>
      <c r="B22" s="7"/>
      <c r="C22" s="1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15.75" customHeight="1">
      <c r="A23" s="7" t="s">
        <v>182</v>
      </c>
      <c r="B23" s="7" t="s">
        <v>86</v>
      </c>
      <c r="C23" s="17" t="s">
        <v>183</v>
      </c>
      <c r="D23" s="6">
        <f t="shared" ref="D23:AD23" ca="1" si="3">D$13+D$14+D$15+D$16+D$17+D$18+D$20+D$21</f>
        <v>3895514.8640000001</v>
      </c>
      <c r="E23" s="6">
        <f t="shared" ca="1" si="3"/>
        <v>18215574.32</v>
      </c>
      <c r="F23" s="6">
        <f t="shared" ca="1" si="3"/>
        <v>13368497.688000001</v>
      </c>
      <c r="G23" s="6">
        <f t="shared" ca="1" si="3"/>
        <v>2610396.9048000001</v>
      </c>
      <c r="H23" s="6">
        <f t="shared" ca="1" si="3"/>
        <v>12850984.524</v>
      </c>
      <c r="I23" s="6">
        <f t="shared" ca="1" si="3"/>
        <v>9697751.8716000002</v>
      </c>
      <c r="J23" s="6">
        <f t="shared" ca="1" si="3"/>
        <v>2561106.1272</v>
      </c>
      <c r="K23" s="6">
        <f t="shared" ca="1" si="3"/>
        <v>12591530.636</v>
      </c>
      <c r="L23" s="6">
        <f t="shared" ca="1" si="3"/>
        <v>9439533.3724000007</v>
      </c>
      <c r="M23" s="6">
        <f t="shared" ca="1" si="3"/>
        <v>3945646.9408</v>
      </c>
      <c r="N23" s="6">
        <f t="shared" ca="1" si="3"/>
        <v>18415754.704</v>
      </c>
      <c r="O23" s="6">
        <f t="shared" ca="1" si="3"/>
        <v>13421402.442559998</v>
      </c>
      <c r="P23" s="6">
        <f t="shared" ca="1" si="3"/>
        <v>2609058.9816000001</v>
      </c>
      <c r="Q23" s="6">
        <f t="shared" ca="1" si="3"/>
        <v>12836254.908</v>
      </c>
      <c r="R23" s="6">
        <f t="shared" ca="1" si="3"/>
        <v>9603533.0261599999</v>
      </c>
      <c r="S23" s="6">
        <f t="shared" ca="1" si="3"/>
        <v>2557346.6040000003</v>
      </c>
      <c r="T23" s="6">
        <f t="shared" ca="1" si="3"/>
        <v>12564173.02</v>
      </c>
      <c r="U23" s="6">
        <f t="shared" ca="1" si="3"/>
        <v>9332960.9269599989</v>
      </c>
      <c r="V23" s="6">
        <f t="shared" ca="1" si="3"/>
        <v>3726109.8528000005</v>
      </c>
      <c r="W23" s="6">
        <f t="shared" ca="1" si="3"/>
        <v>17419029.263999999</v>
      </c>
      <c r="X23" s="6">
        <f t="shared" ca="1" si="3"/>
        <v>12770645.482560001</v>
      </c>
      <c r="Y23" s="6">
        <f t="shared" ca="1" si="3"/>
        <v>2492461.8936000001</v>
      </c>
      <c r="Z23" s="6">
        <f t="shared" ca="1" si="3"/>
        <v>12269349.468</v>
      </c>
      <c r="AA23" s="6">
        <f t="shared" ca="1" si="3"/>
        <v>9247023.2661600001</v>
      </c>
      <c r="AB23" s="6">
        <f t="shared" ca="1" si="3"/>
        <v>2445592.716</v>
      </c>
      <c r="AC23" s="6">
        <f t="shared" ca="1" si="3"/>
        <v>12022523.58</v>
      </c>
      <c r="AD23" s="6">
        <f t="shared" ca="1" si="3"/>
        <v>9001158.3669600002</v>
      </c>
    </row>
    <row r="24" spans="1:30" ht="15.75" customHeight="1">
      <c r="A24" s="7" t="s">
        <v>184</v>
      </c>
      <c r="B24" s="7" t="s">
        <v>185</v>
      </c>
      <c r="C24" s="7" t="s">
        <v>186</v>
      </c>
      <c r="D24" s="6" cm="1">
        <f t="array" ref="D24">in_loc!D$22 * D$9 * SUM(in_loc!D$42 * (1 - in_loc!D$39) * (1 + in_gen!$C$43) * (1 - in_loc!D$38 * _xlfn.SEQUENCE(1, in_gen!$C$51, 0, 1)) * (1 - in_gen!$C$42) ^ _xlfn.SEQUENCE(1, in_gen!$C$51, 0, 1))</f>
        <v>21732542.544939023</v>
      </c>
      <c r="E24" s="6" cm="1">
        <f t="array" ref="E24">in_loc!E$22 * E$9 * SUM(in_loc!E$42 * (1 - in_loc!E$39) * (1 + in_gen!$C$43) * (1 - in_loc!E$38 * _xlfn.SEQUENCE(1, in_gen!$C$51, 0, 1)) * (1 - in_gen!$C$42) ^ _xlfn.SEQUENCE(1, in_gen!$C$51, 0, 1))</f>
        <v>108662712.7246951</v>
      </c>
      <c r="F24" s="6" cm="1">
        <f t="array" ref="F24">in_loc!F$22 * F$9 * SUM(in_loc!F$42 * (1 - in_loc!F$39) * (1 + in_gen!$C$43) * (1 - in_loc!F$38 * _xlfn.SEQUENCE(1, in_gen!$C$51, 0, 1)) * (1 - in_gen!$C$42) ^ _xlfn.SEQUENCE(1, in_gen!$C$51, 0, 1))</f>
        <v>99425072.697518274</v>
      </c>
      <c r="G24" s="6" cm="1">
        <f t="array" ref="G24">in_loc!G$22 * G$9 * SUM(in_loc!G$42 * (1 - in_loc!G$39) * (1 + in_gen!$C$43) * (1 - in_loc!G$38 * _xlfn.SEQUENCE(1, in_gen!$C$51, 0, 1)) * (1 - in_gen!$C$42) ^ _xlfn.SEQUENCE(1, in_gen!$C$51, 0, 1))</f>
        <v>22942217.457037497</v>
      </c>
      <c r="H24" s="6" cm="1">
        <f t="array" ref="H24">in_loc!H$22 * H$9 * SUM(in_loc!H$42 * (1 - in_loc!H$39) * (1 + in_gen!$C$43) * (1 - in_loc!H$38 * _xlfn.SEQUENCE(1, in_gen!$C$51, 0, 1)) * (1 - in_gen!$C$42) ^ _xlfn.SEQUENCE(1, in_gen!$C$51, 0, 1))</f>
        <v>114711087.28518748</v>
      </c>
      <c r="I24" s="6" cm="1">
        <f t="array" ref="I24">in_loc!I$22 * I$9 * SUM(in_loc!I$42 * (1 - in_loc!I$39) * (1 + in_gen!$C$43) * (1 - in_loc!I$38 * _xlfn.SEQUENCE(1, in_gen!$C$51, 0, 1)) * (1 - in_gen!$C$42) ^ _xlfn.SEQUENCE(1, in_gen!$C$51, 0, 1))</f>
        <v>105765007.39797734</v>
      </c>
      <c r="J24" s="6" cm="1">
        <f t="array" ref="J24">in_loc!J$22 * J$9 * SUM(in_loc!J$42 * (1 - in_loc!J$39) * (1 + in_gen!$C$43) * (1 - in_loc!J$38 * _xlfn.SEQUENCE(1, in_gen!$C$51, 0, 1)) * (1 - in_gen!$C$42) ^ _xlfn.SEQUENCE(1, in_gen!$C$51, 0, 1))</f>
        <v>32725845.537861325</v>
      </c>
      <c r="K24" s="6" cm="1">
        <f t="array" ref="K24">in_loc!K$22 * K$9 * SUM(in_loc!K$42 * (1 - in_loc!K$39) * (1 + in_gen!$C$43) * (1 - in_loc!K$38 * _xlfn.SEQUENCE(1, in_gen!$C$51, 0, 1)) * (1 - in_gen!$C$42) ^ _xlfn.SEQUENCE(1, in_gen!$C$51, 0, 1))</f>
        <v>163629227.68930662</v>
      </c>
      <c r="L24" s="6" cm="1">
        <f t="array" ref="L24">in_loc!L$22 * L$9 * SUM(in_loc!L$42 * (1 - in_loc!L$39) * (1 + in_gen!$C$43) * (1 - in_loc!L$38 * _xlfn.SEQUENCE(1, in_gen!$C$51, 0, 1)) * (1 - in_gen!$C$42) ^ _xlfn.SEQUENCE(1, in_gen!$C$51, 0, 1))</f>
        <v>151233010.7059949</v>
      </c>
      <c r="M24" s="6" cm="1">
        <f t="array" ref="M24">in_loc!M$22 * M$9 * SUM(in_loc!M$42 * (1 - in_loc!M$39) * (1 + in_gen!$C$43) * (1 - in_loc!M$38 * _xlfn.SEQUENCE(1, in_gen!$E$51, 0, 1)) * (1 - in_gen!$E$42) ^ _xlfn.SEQUENCE(1, in_gen!$E$51, 0, 1))</f>
        <v>20052430.041581981</v>
      </c>
      <c r="N24" s="6" cm="1">
        <f t="array" ref="N24">in_loc!N$22 * N$9 * SUM(in_loc!N$42 * (1 - in_loc!N$39) * (1 + in_gen!$C$43) * (1 - in_loc!N$38 * _xlfn.SEQUENCE(1, in_gen!$E$51, 0, 1)) * (1 - in_gen!$E$42) ^ _xlfn.SEQUENCE(1, in_gen!$E$51, 0, 1))</f>
        <v>100262150.20790988</v>
      </c>
      <c r="O24" s="6" cm="1">
        <f t="array" ref="O24">in_loc!O$22 * O$9 * SUM(in_loc!O$42 * (1 - in_loc!O$39) * (1 + in_gen!$C$43) * (1 - in_loc!O$38 * _xlfn.SEQUENCE(1, in_gen!$E$51, 0, 1)) * (1 - in_gen!$E$42) ^ _xlfn.SEQUENCE(1, in_gen!$E$51, 0, 1))</f>
        <v>91723738.601566181</v>
      </c>
      <c r="P24" s="6" cm="1">
        <f t="array" ref="P24">in_loc!P$22 * P$9 * SUM(in_loc!P$42 * (1 - in_loc!P$39) * (1 + in_gen!$C$43) * (1 - in_loc!P$38 * _xlfn.SEQUENCE(1, in_gen!$E$51, 0, 1)) * (1 - in_gen!$E$42) ^ _xlfn.SEQUENCE(1, in_gen!$E$51, 0, 1))</f>
        <v>21173702.160995882</v>
      </c>
      <c r="Q24" s="6" cm="1">
        <f t="array" ref="Q24">in_loc!Q$22 * Q$9 * SUM(in_loc!Q$42 * (1 - in_loc!Q$39) * (1 + in_gen!$C$43) * (1 - in_loc!Q$38 * _xlfn.SEQUENCE(1, in_gen!$E$51, 0, 1)) * (1 - in_gen!$E$42) ^ _xlfn.SEQUENCE(1, in_gen!$E$51, 0, 1))</f>
        <v>105868510.8049794</v>
      </c>
      <c r="R24" s="6" cm="1">
        <f t="array" ref="R24">in_loc!R$22 * R$9 * SUM(in_loc!R$42 * (1 - in_loc!R$39) * (1 + in_gen!$C$43) * (1 - in_loc!R$38 * _xlfn.SEQUENCE(1, in_gen!$E$51, 0, 1)) * (1 - in_gen!$E$42) ^ _xlfn.SEQUENCE(1, in_gen!$E$51, 0, 1))</f>
        <v>97604214.171425253</v>
      </c>
      <c r="S24" s="6" cm="1">
        <f t="array" ref="S24">in_loc!S$22 * S$9 * SUM(in_loc!S$42 * (1 - in_loc!S$39) * (1 + in_gen!$C$43) * (1 - in_loc!S$38 * _xlfn.SEQUENCE(1, in_gen!$E$51, 0, 1)) * (1 - in_gen!$E$42) ^ _xlfn.SEQUENCE(1, in_gen!$E$51, 0, 1))</f>
        <v>30207203.072082933</v>
      </c>
      <c r="T24" s="6" cm="1">
        <f t="array" ref="T24">in_loc!T$22 * T$9 * SUM(in_loc!T$42 * (1 - in_loc!T$39) * (1 + in_gen!$C$43) * (1 - in_loc!T$38 * _xlfn.SEQUENCE(1, in_gen!$E$51, 0, 1)) * (1 - in_gen!$E$42) ^ _xlfn.SEQUENCE(1, in_gen!$E$51, 0, 1))</f>
        <v>151036015.36041465</v>
      </c>
      <c r="U24" s="6" cm="1">
        <f t="array" ref="U24">in_loc!U$22 * U$9 * SUM(in_loc!U$42 * (1 - in_loc!U$39) * (1 + in_gen!$C$43) * (1 - in_loc!U$38 * _xlfn.SEQUENCE(1, in_gen!$E$51, 0, 1)) * (1 - in_gen!$E$42) ^ _xlfn.SEQUENCE(1, in_gen!$E$51, 0, 1))</f>
        <v>139586273.5318059</v>
      </c>
      <c r="V24" s="6" cm="1">
        <f t="array" ref="V24">in_loc!V$22 * V$9 * SUM(in_loc!V$42 * (1 - in_loc!V$39) * (1 + in_gen!$F$43) * (1 - in_loc!V$38 * _xlfn.SEQUENCE(1, in_gen!$F$51, 0, 1)) * (1 - in_gen!$F$42) ^ _xlfn.SEQUENCE(1, in_gen!$F$51, 0, 1))</f>
        <v>23604064.606547948</v>
      </c>
      <c r="W24" s="6" cm="1">
        <f t="array" ref="W24">in_loc!W$22 * W$9 * SUM(in_loc!W$42 * (1 - in_loc!W$39) * (1 + in_gen!$F$43) * (1 - in_loc!W$38 * _xlfn.SEQUENCE(1, in_gen!$F$51, 0, 1)) * (1 - in_gen!$F$42) ^ _xlfn.SEQUENCE(1, in_gen!$F$51, 0, 1))</f>
        <v>118020323.03273974</v>
      </c>
      <c r="X24" s="6" cm="1">
        <f t="array" ref="X24">in_loc!X$22 * X$9 * SUM(in_loc!X$42 * (1 - in_loc!X$39) * (1 + in_gen!$F$43) * (1 - in_loc!X$38 * _xlfn.SEQUENCE(1, in_gen!$F$51, 0, 1)) * (1 - in_gen!$F$42) ^ _xlfn.SEQUENCE(1, in_gen!$F$51, 0, 1))</f>
        <v>108006809.19013226</v>
      </c>
      <c r="Y24" s="6" cm="1">
        <f t="array" ref="Y24">in_loc!Y$22 * Y$9 * SUM(in_loc!Y$42 * (1 - in_loc!Y$39) * (1 + in_gen!$F$43) * (1 - in_loc!Y$38 * _xlfn.SEQUENCE(1, in_gen!$F$51, 0, 1)) * (1 - in_gen!$F$42) ^ _xlfn.SEQUENCE(1, in_gen!$F$51, 0, 1))</f>
        <v>24911189.51719794</v>
      </c>
      <c r="Z24" s="6" cm="1">
        <f t="array" ref="Z24">in_loc!Z$22 * Z$9 * SUM(in_loc!Z$42 * (1 - in_loc!Z$39) * (1 + in_gen!$F$43) * (1 - in_loc!Z$38 * _xlfn.SEQUENCE(1, in_gen!$F$51, 0, 1)) * (1 - in_gen!$F$42) ^ _xlfn.SEQUENCE(1, in_gen!$F$51, 0, 1))</f>
        <v>124555947.58598968</v>
      </c>
      <c r="AA24" s="6" cm="1">
        <f t="array" ref="AA24">in_loc!AA$22 * AA$9 * SUM(in_loc!AA$42 * (1 - in_loc!AA$39) * (1 + in_gen!$F$43) * (1 - in_loc!AA$38 * _xlfn.SEQUENCE(1, in_gen!$F$51, 0, 1)) * (1 - in_gen!$F$42) ^ _xlfn.SEQUENCE(1, in_gen!$F$51, 0, 1))</f>
        <v>114852372.71681766</v>
      </c>
      <c r="AB24" s="6" cm="1">
        <f t="array" ref="AB24">in_loc!AB$22 * AB$9 * SUM(in_loc!AB$42 * (1 - in_loc!AB$39) * (1 + in_gen!$F$43) * (1 - in_loc!AB$38 * _xlfn.SEQUENCE(1, in_gen!$F$51, 0, 1)) * (1 - in_gen!$F$42) ^ _xlfn.SEQUENCE(1, in_gen!$F$51, 0, 1))</f>
        <v>35529163.438686632</v>
      </c>
      <c r="AC24" s="6" cm="1">
        <f t="array" ref="AC24">in_loc!AC$22 * AC$9 * SUM(in_loc!AC$42 * (1 - in_loc!AC$39) * (1 + in_gen!$F$43) * (1 - in_loc!AC$38 * _xlfn.SEQUENCE(1, in_gen!$F$51, 0, 1)) * (1 - in_gen!$F$42) ^ _xlfn.SEQUENCE(1, in_gen!$F$51, 0, 1))</f>
        <v>177645817.19343314</v>
      </c>
      <c r="AD24" s="6" cm="1">
        <f t="array" ref="AD24">in_loc!AD$22 * AD$9 * SUM(in_loc!AD$42 * (1 - in_loc!AD$39) * (1 + in_gen!$F$43) * (1 - in_loc!AD$38 * _xlfn.SEQUENCE(1, in_gen!$F$51, 0, 1)) * (1 - in_gen!$F$42) ^ _xlfn.SEQUENCE(1, in_gen!$F$51, 0, 1))</f>
        <v>164197652.62987375</v>
      </c>
    </row>
    <row r="25" spans="1:30" ht="15.75" customHeight="1">
      <c r="A25" s="7" t="s">
        <v>187</v>
      </c>
      <c r="B25" s="7" t="s">
        <v>86</v>
      </c>
      <c r="C25" s="7" t="s">
        <v>188</v>
      </c>
      <c r="D25" s="6" cm="1">
        <f t="array" ref="D25">in_loc!D$22 * D$9 * SUM(in_loc!D$16 * (1 - in_gen!$C$42) ^ _xlfn.SEQUENCE(1, in_gen!$C$51, 0, 1))</f>
        <v>468559.58084578323</v>
      </c>
      <c r="E25" s="6" cm="1">
        <f t="array" ref="E25">in_loc!E$22 * E$9 * SUM(in_loc!E$16 * (1 - in_gen!$C$42) ^ _xlfn.SEQUENCE(1, in_gen!$C$51, 0, 1))</f>
        <v>2342797.9042289159</v>
      </c>
      <c r="F25" s="6" cm="1">
        <f t="array" ref="F25">in_loc!F$22 * F$9 * SUM(in_loc!F$16 * (1 - in_gen!$C$42) ^ _xlfn.SEQUENCE(1, in_gen!$C$51, 0, 1))</f>
        <v>1632149.206612811</v>
      </c>
      <c r="G25" s="6" cm="1">
        <f t="array" ref="G25">in_loc!G$22 * G$9 * SUM(in_loc!G$16 * (1 - in_gen!$C$42) ^ _xlfn.SEQUENCE(1, in_gen!$C$51, 0, 1))</f>
        <v>374847.6646766265</v>
      </c>
      <c r="H25" s="6" cm="1">
        <f t="array" ref="H25">in_loc!H$22 * H$9 * SUM(in_loc!H$16 * (1 - in_gen!$C$42) ^ _xlfn.SEQUENCE(1, in_gen!$C$51, 0, 1))</f>
        <v>1874238.3233831325</v>
      </c>
      <c r="I25" s="6" cm="1">
        <f t="array" ref="I25">in_loc!I$22 * I$9 * SUM(in_loc!I$16 * (1 - in_gen!$C$42) ^ _xlfn.SEQUENCE(1, in_gen!$C$51, 0, 1))</f>
        <v>1305719.365290249</v>
      </c>
      <c r="J25" s="6" cm="1">
        <f t="array" ref="J25">in_loc!J$22 * J$9 * SUM(in_loc!J$16 * (1 - in_gen!$C$42) ^ _xlfn.SEQUENCE(1, in_gen!$C$51, 0, 1))</f>
        <v>234279.79042289162</v>
      </c>
      <c r="K25" s="6" cm="1">
        <f t="array" ref="K25">in_loc!K$22 * K$9 * SUM(in_loc!K$16 * (1 - in_gen!$C$42) ^ _xlfn.SEQUENCE(1, in_gen!$C$51, 0, 1))</f>
        <v>1171398.952114458</v>
      </c>
      <c r="L25" s="6" cm="1">
        <f t="array" ref="L25">in_loc!L$22 * L$9 * SUM(in_loc!L$16 * (1 - in_gen!$C$42) ^ _xlfn.SEQUENCE(1, in_gen!$C$51, 0, 1))</f>
        <v>816074.60330640548</v>
      </c>
      <c r="M25" s="6" cm="1">
        <f t="array" ref="M25">in_loc!M$22 * M$9 * SUM(in_loc!M$16 * (1 - in_gen!$E$42) ^ _xlfn.SEQUENCE(1, in_gen!$E$51, 0, 1))</f>
        <v>468588.96141244267</v>
      </c>
      <c r="N25" s="6" cm="1">
        <f t="array" ref="N25">in_loc!N$22 * N$9 * SUM(in_loc!N$16 * (1 - in_gen!$E$42) ^ _xlfn.SEQUENCE(1, in_gen!$E$51, 0, 1))</f>
        <v>2342944.8070622133</v>
      </c>
      <c r="O25" s="6" cm="1">
        <f t="array" ref="O25">in_loc!O$22 * O$9 * SUM(in_loc!O$16 * (1 - in_gen!$E$42) ^ _xlfn.SEQUENCE(1, in_gen!$E$51, 0, 1))</f>
        <v>1632251.5489200088</v>
      </c>
      <c r="P25" s="6" cm="1">
        <f t="array" ref="P25">in_loc!P$22 * P$9 * SUM(in_loc!P$16 * (1 - in_gen!$E$42) ^ _xlfn.SEQUENCE(1, in_gen!$E$51, 0, 1))</f>
        <v>374871.16912995413</v>
      </c>
      <c r="Q25" s="6" cm="1">
        <f t="array" ref="Q25">in_loc!Q$22 * Q$9 * SUM(in_loc!Q$16 * (1 - in_gen!$E$42) ^ _xlfn.SEQUENCE(1, in_gen!$E$51, 0, 1))</f>
        <v>1874355.8456497705</v>
      </c>
      <c r="R25" s="6" cm="1">
        <f t="array" ref="R25">in_loc!R$22 * R$9 * SUM(in_loc!R$16 * (1 - in_gen!$E$42) ^ _xlfn.SEQUENCE(1, in_gen!$E$51, 0, 1))</f>
        <v>1305801.2391360071</v>
      </c>
      <c r="S25" s="6" cm="1">
        <f t="array" ref="S25">in_loc!S$22 * S$9 * SUM(in_loc!S$16 * (1 - in_gen!$E$42) ^ _xlfn.SEQUENCE(1, in_gen!$E$51, 0, 1))</f>
        <v>234294.48070622134</v>
      </c>
      <c r="T25" s="6" cm="1">
        <f t="array" ref="T25">in_loc!T$22 * T$9 * SUM(in_loc!T$16 * (1 - in_gen!$E$42) ^ _xlfn.SEQUENCE(1, in_gen!$E$51, 0, 1))</f>
        <v>1171472.4035311067</v>
      </c>
      <c r="U25" s="6" cm="1">
        <f t="array" ref="U25">in_loc!U$22 * U$9 * SUM(in_loc!U$16 * (1 - in_gen!$E$42) ^ _xlfn.SEQUENCE(1, in_gen!$E$51, 0, 1))</f>
        <v>816125.77446000441</v>
      </c>
      <c r="V25" s="6" cm="1">
        <f t="array" ref="V25">in_loc!V$22 * V$9 * SUM(in_loc!V$16 * (1 - in_gen!$F$42) ^ _xlfn.SEQUENCE(1, in_gen!$F$51, 0, 1))</f>
        <v>468124.32134938741</v>
      </c>
      <c r="W25" s="6" cm="1">
        <f t="array" ref="W25">in_loc!W$22 * W$9 * SUM(in_loc!W$16 * (1 - in_gen!$F$42) ^ _xlfn.SEQUENCE(1, in_gen!$F$51, 0, 1))</f>
        <v>2340621.6067469367</v>
      </c>
      <c r="X25" s="6" cm="1">
        <f t="array" ref="X25">in_loc!X$22 * X$9 * SUM(in_loc!X$16 * (1 - in_gen!$F$42) ^ _xlfn.SEQUENCE(1, in_gen!$F$51, 0, 1))</f>
        <v>1630633.0527003661</v>
      </c>
      <c r="Y25" s="6" cm="1">
        <f t="array" ref="Y25">in_loc!Y$22 * Y$9 * SUM(in_loc!Y$16 * (1 - in_gen!$F$42) ^ _xlfn.SEQUENCE(1, in_gen!$F$51, 0, 1))</f>
        <v>374499.45707950997</v>
      </c>
      <c r="Z25" s="6" cm="1">
        <f t="array" ref="Z25">in_loc!Z$22 * Z$9 * SUM(in_loc!Z$16 * (1 - in_gen!$F$42) ^ _xlfn.SEQUENCE(1, in_gen!$F$51, 0, 1))</f>
        <v>1872497.2853975496</v>
      </c>
      <c r="AA25" s="6" cm="1">
        <f t="array" ref="AA25">in_loc!AA$22 * AA$9 * SUM(in_loc!AA$16 * (1 - in_gen!$F$42) ^ _xlfn.SEQUENCE(1, in_gen!$F$51, 0, 1))</f>
        <v>1304506.4421602928</v>
      </c>
      <c r="AB25" s="6" cm="1">
        <f t="array" ref="AB25">in_loc!AB$22 * AB$9 * SUM(in_loc!AB$16 * (1 - in_gen!$F$42) ^ _xlfn.SEQUENCE(1, in_gen!$F$51, 0, 1))</f>
        <v>234062.1606746937</v>
      </c>
      <c r="AC25" s="6" cm="1">
        <f t="array" ref="AC25">in_loc!AC$22 * AC$9 * SUM(in_loc!AC$16 * (1 - in_gen!$F$42) ^ _xlfn.SEQUENCE(1, in_gen!$F$51, 0, 1))</f>
        <v>1170310.8033734683</v>
      </c>
      <c r="AD25" s="6" cm="1">
        <f t="array" ref="AD25">in_loc!AD$22 * AD$9 * SUM(in_loc!AD$16 * (1 - in_gen!$F$42) ^ _xlfn.SEQUENCE(1, in_gen!$F$51, 0, 1))</f>
        <v>815316.52635018306</v>
      </c>
    </row>
    <row r="26" spans="1:30" ht="15.75" customHeight="1">
      <c r="A26" s="17" t="s">
        <v>189</v>
      </c>
      <c r="B26" s="17" t="s">
        <v>114</v>
      </c>
      <c r="C26" s="17" t="s">
        <v>190</v>
      </c>
      <c r="D26" s="17">
        <f t="shared" ref="D26:AD26" ca="1" si="4">(D$23+D$25+D29)/(D$24+D28)</f>
        <v>0.18461679538807638</v>
      </c>
      <c r="E26" s="17">
        <f t="shared" ca="1" si="4"/>
        <v>0.17405196189821284</v>
      </c>
      <c r="F26" s="17">
        <f t="shared" ca="1" si="4"/>
        <v>0.13872828397877232</v>
      </c>
      <c r="G26" s="17">
        <f t="shared" ca="1" si="4"/>
        <v>0.11984226329338174</v>
      </c>
      <c r="H26" s="17">
        <f t="shared" ca="1" si="4"/>
        <v>0.11824831398455916</v>
      </c>
      <c r="I26" s="17">
        <f t="shared" ca="1" si="4"/>
        <v>9.5754474893224209E-2</v>
      </c>
      <c r="J26" s="17">
        <f t="shared" ca="1" si="4"/>
        <v>7.8349115502967817E-2</v>
      </c>
      <c r="K26" s="17">
        <f t="shared" ca="1" si="4"/>
        <v>7.7159417487006138E-2</v>
      </c>
      <c r="L26" s="17">
        <f t="shared" ca="1" si="4"/>
        <v>6.2175145045814409E-2</v>
      </c>
      <c r="M26" s="17">
        <f t="shared" ca="1" si="4"/>
        <v>0.20242918261117365</v>
      </c>
      <c r="N26" s="17">
        <f t="shared" ca="1" si="4"/>
        <v>0.19051661276809501</v>
      </c>
      <c r="O26" s="17">
        <f t="shared" ca="1" si="4"/>
        <v>0.15095289251457655</v>
      </c>
      <c r="P26" s="17">
        <f t="shared" ca="1" si="4"/>
        <v>0.12983845129956201</v>
      </c>
      <c r="Q26" s="17">
        <f t="shared" ca="1" si="4"/>
        <v>0.12804159903015017</v>
      </c>
      <c r="R26" s="17">
        <f t="shared" ca="1" si="4"/>
        <v>0.10291753446592855</v>
      </c>
      <c r="S26" s="17">
        <f t="shared" ca="1" si="4"/>
        <v>8.4798477696176086E-2</v>
      </c>
      <c r="T26" s="17">
        <f t="shared" ca="1" si="4"/>
        <v>8.3457515998853454E-2</v>
      </c>
      <c r="U26" s="17">
        <f t="shared" ca="1" si="4"/>
        <v>6.6691974863891404E-2</v>
      </c>
      <c r="V26" s="17">
        <f t="shared" ca="1" si="4"/>
        <v>0.16345216448676619</v>
      </c>
      <c r="W26" s="17">
        <f t="shared" ca="1" si="4"/>
        <v>0.15411408355702816</v>
      </c>
      <c r="X26" s="17">
        <f t="shared" ca="1" si="4"/>
        <v>0.12267171815840847</v>
      </c>
      <c r="Y26" s="17">
        <f t="shared" ca="1" si="4"/>
        <v>0.10606486366455137</v>
      </c>
      <c r="Z26" s="17">
        <f t="shared" ca="1" si="4"/>
        <v>0.10465561813784034</v>
      </c>
      <c r="AA26" s="17">
        <f t="shared" ca="1" si="4"/>
        <v>8.4609361610572781E-2</v>
      </c>
      <c r="AB26" s="17">
        <f t="shared" ca="1" si="4"/>
        <v>6.9210322013103259E-2</v>
      </c>
      <c r="AC26" s="17">
        <f t="shared" ca="1" si="4"/>
        <v>6.8158326555026114E-2</v>
      </c>
      <c r="AD26" s="17">
        <f t="shared" ca="1" si="4"/>
        <v>5.483779655259241E-2</v>
      </c>
    </row>
    <row r="27" spans="1:30" ht="15.75" customHeight="1">
      <c r="A27" s="7" t="s">
        <v>191</v>
      </c>
      <c r="B27" s="7" t="s">
        <v>86</v>
      </c>
      <c r="C27" s="7" t="s">
        <v>192</v>
      </c>
      <c r="D27" s="6" cm="1">
        <f t="array" ref="D27">IFERROR((D$17 + in_loc!D$12 + in_loc!D$13 + in_loc!D$14) * (1 - in_gen!$C$42) * (1 - in_gen!$C$42) ^ _xlfn.SEQUENCE(1, in_gen!$C$30 - 1, in_gen!$C$51, in_gen!$C$51), 0)</f>
        <v>190447.11796941396</v>
      </c>
      <c r="E27" s="6" cm="1">
        <f t="array" ref="E27">IFERROR((E$17 + in_loc!E$12 + in_loc!E$13 + in_loc!E$14) * (1 - in_gen!$C$42) * (1 - in_gen!$C$42) ^ _xlfn.SEQUENCE(1, in_gen!$C$30 - 1, in_gen!$C$51, in_gen!$C$51), 0)</f>
        <v>613682.79564251273</v>
      </c>
      <c r="F27" s="6" cm="1">
        <f t="array" ref="F27">IFERROR((F$17 + in_loc!F$12 + in_loc!F$13 + in_loc!F$14) * (1 - in_gen!$C$42) * (1 - in_gen!$C$42) ^ _xlfn.SEQUENCE(1, in_gen!$C$30 - 1, in_gen!$C$51, in_gen!$C$51), 0)</f>
        <v>809629.13744692656</v>
      </c>
      <c r="G27" s="6" cm="1">
        <f t="array" ref="G27">IFERROR((G$17 + in_loc!G$12 + in_loc!G$13 + in_loc!G$14) * (1 - in_gen!$C$42) * (1 - in_gen!$C$42) ^ _xlfn.SEQUENCE(1, in_gen!$C$30 - 1, in_gen!$C$51, in_gen!$C$51), 0)</f>
        <v>142485.30662407429</v>
      </c>
      <c r="H27" s="6" cm="1">
        <f t="array" ref="H27">IFERROR((H$17 + in_loc!H$12 + in_loc!H$13 + in_loc!H$14) * (1 - in_gen!$C$42) * (1 - in_gen!$C$42) ^ _xlfn.SEQUENCE(1, in_gen!$C$30 - 1, in_gen!$C$51, in_gen!$C$51), 0)</f>
        <v>582125.31397470948</v>
      </c>
      <c r="I27" s="6" cm="1">
        <f t="array" ref="I27">IFERROR((I$17 + in_loc!I$12 + in_loc!I$13 + in_loc!I$14) * (1 - in_gen!$C$42) * (1 - in_gen!$C$42) ^ _xlfn.SEQUENCE(1, in_gen!$C$30 - 1, in_gen!$C$51, in_gen!$C$51), 0)</f>
        <v>660083.6138732587</v>
      </c>
      <c r="J27" s="6" cm="1">
        <f t="array" ref="J27">IFERROR((J$17 + in_loc!J$12 + in_loc!J$13 + in_loc!J$14) * (1 - in_gen!$C$42) * (1 - in_gen!$C$42) ^ _xlfn.SEQUENCE(1, in_gen!$C$30 - 1, in_gen!$C$51, in_gen!$C$51), 0)</f>
        <v>137718.91543447532</v>
      </c>
      <c r="K27" s="6" cm="1">
        <f t="array" ref="K27">IFERROR((K$17 + in_loc!K$12 + in_loc!K$13 + in_loc!K$14) * (1 - in_gen!$C$42) * (1 - in_gen!$C$42) ^ _xlfn.SEQUENCE(1, in_gen!$C$30 - 1, in_gen!$C$51, in_gen!$C$51), 0)</f>
        <v>578272.48109645036</v>
      </c>
      <c r="L27" s="6" cm="1">
        <f t="array" ref="L27">IFERROR((L$17 + in_loc!L$12 + in_loc!L$13 + in_loc!L$14) * (1 - in_gen!$C$42) * (1 - in_gen!$C$42) ^ _xlfn.SEQUENCE(1, in_gen!$C$30 - 1, in_gen!$C$51, in_gen!$C$51), 0)</f>
        <v>636350.95774171385</v>
      </c>
      <c r="M27" s="6" cm="1">
        <f t="array" ref="M27">IFERROR((M$17 + in_loc!M$12 + in_loc!M$13 + in_loc!M$14) * (1 - in_gen!$E$42) * (1 - in_gen!$E$42) ^ _xlfn.SEQUENCE(1, in_gen!$E$30 - 1, in_gen!$E$51, in_gen!$E$51), 0)</f>
        <v>187035.19427536178</v>
      </c>
      <c r="N27" s="6" cm="1">
        <f t="array" ref="N27">IFERROR((N$17 + in_loc!N$12 + in_loc!N$13 + in_loc!N$14) * (1 - in_gen!$E$42) * (1 - in_gen!$E$42) ^ _xlfn.SEQUENCE(1, in_gen!$E$30 - 1, in_gen!$E$51, in_gen!$E$51), 0)</f>
        <v>584570.08050482767</v>
      </c>
      <c r="O27" s="6" cm="1">
        <f t="array" ref="O27">IFERROR((O$17 + in_loc!O$12 + in_loc!O$13 + in_loc!O$14) * (1 - in_gen!$E$42) * (1 - in_gen!$E$42) ^ _xlfn.SEQUENCE(1, in_gen!$E$30 - 1, in_gen!$E$51, in_gen!$E$51), 0)</f>
        <v>791116.35846282018</v>
      </c>
      <c r="P27" s="6" cm="1">
        <f t="array" ref="P27">IFERROR((P$17 + in_loc!P$12 + in_loc!P$13 + in_loc!P$14) * (1 - in_gen!$E$42) * (1 - in_gen!$E$42) ^ _xlfn.SEQUENCE(1, in_gen!$E$30 - 1, in_gen!$E$51, in_gen!$E$51), 0)</f>
        <v>137365.85501004619</v>
      </c>
      <c r="Q27" s="6" cm="1">
        <f t="array" ref="Q27">IFERROR((Q$17 + in_loc!Q$12 + in_loc!Q$13 + in_loc!Q$14) * (1 - in_gen!$E$42) * (1 - in_gen!$E$42) ^ _xlfn.SEQUENCE(1, in_gen!$E$30 - 1, in_gen!$E$51, in_gen!$E$51), 0)</f>
        <v>551889.09495924308</v>
      </c>
      <c r="R27" s="6" cm="1">
        <f t="array" ref="R27">IFERROR((R$17 + in_loc!R$12 + in_loc!R$13 + in_loc!R$14) * (1 - in_gen!$E$42) * (1 - in_gen!$E$42) ^ _xlfn.SEQUENCE(1, in_gen!$E$30 - 1, in_gen!$E$51, in_gen!$E$51), 0)</f>
        <v>636246.74162314064</v>
      </c>
      <c r="S27" s="6" cm="1">
        <f t="array" ref="S27">IFERROR((S$17 + in_loc!S$12 + in_loc!S$13 + in_loc!S$14) * (1 - in_gen!$E$42) * (1 - in_gen!$E$42) ^ _xlfn.SEQUENCE(1, in_gen!$E$30 - 1, in_gen!$E$51, in_gen!$E$51), 0)</f>
        <v>132429.77160479745</v>
      </c>
      <c r="T27" s="6" cm="1">
        <f t="array" ref="T27">IFERROR((T$17 + in_loc!T$12 + in_loc!T$13 + in_loc!T$14) * (1 - in_gen!$E$42) * (1 - in_gen!$E$42) ^ _xlfn.SEQUENCE(1, in_gen!$E$30 - 1, in_gen!$E$51, in_gen!$E$51), 0)</f>
        <v>547899.09420666704</v>
      </c>
      <c r="U27" s="6" cm="1">
        <f t="array" ref="U27">IFERROR((U$17 + in_loc!U$12 + in_loc!U$13 + in_loc!U$14) * (1 - in_gen!$E$42) * (1 - in_gen!$E$42) ^ _xlfn.SEQUENCE(1, in_gen!$E$30 - 1, in_gen!$E$51, in_gen!$E$51), 0)</f>
        <v>611669.15966783953</v>
      </c>
      <c r="V27" s="6" cm="1">
        <f t="array" ref="V27">IFERROR((V$17 + in_loc!V$12 + in_loc!V$13 + in_loc!V$14) * (1 - in_gen!$F$42) * (1 - in_gen!$F$42) ^ _xlfn.SEQUENCE(1, in_gen!$F$30 - 1, in_gen!$F$51, in_gen!$F$51), 0)</f>
        <v>183530.56229624743</v>
      </c>
      <c r="W27" s="6" cm="1">
        <f t="array" ref="W27">IFERROR((W$17 + in_loc!W$12 + in_loc!W$13 + in_loc!W$14) * (1 - in_gen!$F$42) * (1 - in_gen!$F$42) ^ _xlfn.SEQUENCE(1, in_gen!$F$30 - 1, in_gen!$F$51, in_gen!$F$51), 0)</f>
        <v>588945.15785197634</v>
      </c>
      <c r="X27" s="6" cm="1">
        <f t="array" ref="X27">IFERROR((X$17 + in_loc!X$12 + in_loc!X$13 + in_loc!X$14) * (1 - in_gen!$F$42) * (1 - in_gen!$F$42) ^ _xlfn.SEQUENCE(1, in_gen!$F$30 - 1, in_gen!$F$51, in_gen!$F$51), 0)</f>
        <v>779683.44155620167</v>
      </c>
      <c r="Y27" s="6" cm="1">
        <f t="array" ref="Y27">IFERROR((Y$17 + in_loc!Y$12 + in_loc!Y$13 + in_loc!Y$14) * (1 - in_gen!$F$42) * (1 - in_gen!$F$42) ^ _xlfn.SEQUENCE(1, in_gen!$F$30 - 1, in_gen!$F$51, in_gen!$F$51), 0)</f>
        <v>136963.48401181822</v>
      </c>
      <c r="Z27" s="6" cm="1">
        <f t="array" ref="Z27">IFERROR((Z$17 + in_loc!Z$12 + in_loc!Z$13 + in_loc!Z$14) * (1 - in_gen!$F$42) * (1 - in_gen!$F$42) ^ _xlfn.SEQUENCE(1, in_gen!$F$30 - 1, in_gen!$F$51, in_gen!$F$51), 0)</f>
        <v>558305.37011120701</v>
      </c>
      <c r="AA27" s="6" cm="1">
        <f t="array" ref="AA27">IFERROR((AA$17 + in_loc!AA$12 + in_loc!AA$13 + in_loc!AA$14) * (1 - in_gen!$F$42) * (1 - in_gen!$F$42) ^ _xlfn.SEQUENCE(1, in_gen!$F$30 - 1, in_gen!$F$51, in_gen!$F$51), 0)</f>
        <v>634486.71299232927</v>
      </c>
      <c r="AB27" s="6" cm="1">
        <f t="array" ref="AB27">IFERROR((AB$17 + in_loc!AB$12 + in_loc!AB$13 + in_loc!AB$14) * (1 - in_gen!$F$42) * (1 - in_gen!$F$42) ^ _xlfn.SEQUENCE(1, in_gen!$F$30 - 1, in_gen!$F$51, in_gen!$F$51), 0)</f>
        <v>132335.69983448365</v>
      </c>
      <c r="AC27" s="6" cm="1">
        <f t="array" ref="AC27">IFERROR((AC$17 + in_loc!AC$12 + in_loc!AC$13 + in_loc!AC$14) * (1 - in_gen!$F$42) * (1 - in_gen!$F$42) ^ _xlfn.SEQUENCE(1, in_gen!$F$30 - 1, in_gen!$F$51, in_gen!$F$51), 0)</f>
        <v>554564.57790119492</v>
      </c>
      <c r="AD27" s="6" cm="1">
        <f t="array" ref="AD27">IFERROR((AD$17 + in_loc!AD$12 + in_loc!AD$13 + in_loc!AD$14) * (1 - in_gen!$F$42) * (1 - in_gen!$F$42) ^ _xlfn.SEQUENCE(1, in_gen!$F$30 - 1, in_gen!$F$51, in_gen!$F$51), 0)</f>
        <v>611444.20427601761</v>
      </c>
    </row>
    <row r="28" spans="1:30" ht="15.75" customHeight="1">
      <c r="A28" s="7" t="s">
        <v>193</v>
      </c>
      <c r="B28" s="7" t="s">
        <v>185</v>
      </c>
      <c r="C28" s="7" t="s">
        <v>194</v>
      </c>
      <c r="D28" s="6" cm="1">
        <f t="array" ref="D28">IFERROR((D$24) * (1 - in_gen!$C$42) * (1 - in_gen!$C$42) ^ _xlfn.SEQUENCE(1, in_gen!$C$30 - 1, in_gen!$C$51, in_gen!$C$51), 0)</f>
        <v>2158037.4857037957</v>
      </c>
      <c r="E28" s="6" cm="1">
        <f t="array" ref="E28">IFERROR((E$24) * (1 - in_gen!$C$42) * (1 - in_gen!$C$42) ^ _xlfn.SEQUENCE(1, in_gen!$C$30 - 1, in_gen!$C$51, in_gen!$C$51), 0)</f>
        <v>10790187.428518977</v>
      </c>
      <c r="F28" s="6" cm="1">
        <f t="array" ref="F28">IFERROR((F$24) * (1 - in_gen!$C$42) * (1 - in_gen!$C$42) ^ _xlfn.SEQUENCE(1, in_gen!$C$30 - 1, in_gen!$C$51, in_gen!$C$51), 0)</f>
        <v>9872891.4693893436</v>
      </c>
      <c r="G28" s="6" cm="1">
        <f t="array" ref="G28">IFERROR((G$24) * (1 - in_gen!$C$42) * (1 - in_gen!$C$42) ^ _xlfn.SEQUENCE(1, in_gen!$C$30 - 1, in_gen!$C$51, in_gen!$C$51), 0)</f>
        <v>2278157.9824393182</v>
      </c>
      <c r="H28" s="6" cm="1">
        <f t="array" ref="H28">IFERROR((H$24) * (1 - in_gen!$C$42) * (1 - in_gen!$C$42) ^ _xlfn.SEQUENCE(1, in_gen!$C$30 - 1, in_gen!$C$51, in_gen!$C$51), 0)</f>
        <v>11390789.91219659</v>
      </c>
      <c r="I28" s="6" cm="1">
        <f t="array" ref="I28">IFERROR((I$24) * (1 - in_gen!$C$42) * (1 - in_gen!$C$42) ^ _xlfn.SEQUENCE(1, in_gen!$C$30 - 1, in_gen!$C$51, in_gen!$C$51), 0)</f>
        <v>10502445.821449779</v>
      </c>
      <c r="J28" s="6" cm="1">
        <f t="array" ref="J28">IFERROR((J$24) * (1 - in_gen!$C$42) * (1 - in_gen!$C$42) ^ _xlfn.SEQUENCE(1, in_gen!$C$30 - 1, in_gen!$C$51, in_gen!$C$51), 0)</f>
        <v>3249670.4550799807</v>
      </c>
      <c r="K28" s="6" cm="1">
        <f t="array" ref="K28">IFERROR((K$24) * (1 - in_gen!$C$42) * (1 - in_gen!$C$42) ^ _xlfn.SEQUENCE(1, in_gen!$C$30 - 1, in_gen!$C$51, in_gen!$C$51), 0)</f>
        <v>16248352.275399903</v>
      </c>
      <c r="L28" s="6" cm="1">
        <f t="array" ref="L28">IFERROR((L$24) * (1 - in_gen!$C$42) * (1 - in_gen!$C$42) ^ _xlfn.SEQUENCE(1, in_gen!$C$30 - 1, in_gen!$C$51, in_gen!$C$51), 0)</f>
        <v>15017410.204282943</v>
      </c>
      <c r="M28" s="6" cm="1">
        <f t="array" ref="M28">IFERROR((M$24) * (1 - in_gen!$E$42) * (1 - in_gen!$E$42) ^ _xlfn.SEQUENCE(1, in_gen!$E$30 - 1, in_gen!$E$51, in_gen!$E$51), 0)</f>
        <v>1982781.7941339018</v>
      </c>
      <c r="N28" s="6" cm="1">
        <f t="array" ref="N28">IFERROR((N$24) * (1 - in_gen!$E$42) * (1 - in_gen!$E$42) ^ _xlfn.SEQUENCE(1, in_gen!$E$30 - 1, in_gen!$E$51, in_gen!$E$51), 0)</f>
        <v>9913908.9706695061</v>
      </c>
      <c r="O28" s="6" cm="1">
        <f t="array" ref="O28">IFERROR((O$24) * (1 - in_gen!$E$42) * (1 - in_gen!$E$42) ^ _xlfn.SEQUENCE(1, in_gen!$E$30 - 1, in_gen!$E$51, in_gen!$E$51), 0)</f>
        <v>9069631.8905962594</v>
      </c>
      <c r="P28" s="6" cm="1">
        <f t="array" ref="P28">IFERROR((P$24) * (1 - in_gen!$E$42) * (1 - in_gen!$E$42) ^ _xlfn.SEQUENCE(1, in_gen!$E$30 - 1, in_gen!$E$51, in_gen!$E$51), 0)</f>
        <v>2093653.0421588831</v>
      </c>
      <c r="Q28" s="6" cm="1">
        <f t="array" ref="Q28">IFERROR((Q$24) * (1 - in_gen!$E$42) * (1 - in_gen!$E$42) ^ _xlfn.SEQUENCE(1, in_gen!$E$30 - 1, in_gen!$E$51, in_gen!$E$51), 0)</f>
        <v>10468265.210794413</v>
      </c>
      <c r="R28" s="6" cm="1">
        <f t="array" ref="R28">IFERROR((R$24) * (1 - in_gen!$E$42) * (1 - in_gen!$E$42) ^ _xlfn.SEQUENCE(1, in_gen!$E$30 - 1, in_gen!$E$51, in_gen!$E$51), 0)</f>
        <v>9651092.5852146912</v>
      </c>
      <c r="S28" s="6" cm="1">
        <f t="array" ref="S28">IFERROR((S$24) * (1 - in_gen!$E$42) * (1 - in_gen!$E$42) ^ _xlfn.SEQUENCE(1, in_gen!$E$30 - 1, in_gen!$E$51, in_gen!$E$51), 0)</f>
        <v>2986884.4912477508</v>
      </c>
      <c r="T28" s="6" cm="1">
        <f t="array" ref="T28">IFERROR((T$24) * (1 - in_gen!$E$42) * (1 - in_gen!$E$42) ^ _xlfn.SEQUENCE(1, in_gen!$E$30 - 1, in_gen!$E$51, in_gen!$E$51), 0)</f>
        <v>14934422.456238752</v>
      </c>
      <c r="U28" s="6" cm="1">
        <f t="array" ref="U28">IFERROR((U$24) * (1 - in_gen!$E$42) * (1 - in_gen!$E$42) ^ _xlfn.SEQUENCE(1, in_gen!$E$30 - 1, in_gen!$E$51, in_gen!$E$51), 0)</f>
        <v>13802273.405065313</v>
      </c>
      <c r="V28" s="6" cm="1">
        <f t="array" ref="V28">IFERROR((V$24) * (1 - in_gen!$C$42) * (1 - in_gen!$C$42) ^ _xlfn.SEQUENCE(1, in_gen!$C$30 - 1, in_gen!$C$51, in_gen!$C$51), 0)</f>
        <v>2343879.2829036475</v>
      </c>
      <c r="W28" s="6" cm="1">
        <f t="array" ref="W28">IFERROR((W$24) * (1 - in_gen!$C$42) * (1 - in_gen!$C$42) ^ _xlfn.SEQUENCE(1, in_gen!$C$30 - 1, in_gen!$C$51, in_gen!$C$51), 0)</f>
        <v>11719396.414518237</v>
      </c>
      <c r="X28" s="6" cm="1">
        <f t="array" ref="X28">IFERROR((X$24) * (1 - in_gen!$C$42) * (1 - in_gen!$C$42) ^ _xlfn.SEQUENCE(1, in_gen!$C$30 - 1, in_gen!$C$51, in_gen!$C$51), 0)</f>
        <v>10725056.327927995</v>
      </c>
      <c r="Y28" s="6" cm="1">
        <f t="array" ref="Y28">IFERROR((Y$24) * (1 - in_gen!$C$42) * (1 - in_gen!$C$42) ^ _xlfn.SEQUENCE(1, in_gen!$C$30 - 1, in_gen!$C$51, in_gen!$C$51), 0)</f>
        <v>2473676.5466083866</v>
      </c>
      <c r="Z28" s="6" cm="1">
        <f t="array" ref="Z28">IFERROR((Z$24) * (1 - in_gen!$C$42) * (1 - in_gen!$C$42) ^ _xlfn.SEQUENCE(1, in_gen!$C$30 - 1, in_gen!$C$51, in_gen!$C$51), 0)</f>
        <v>12368382.733041931</v>
      </c>
      <c r="AA28" s="6" cm="1">
        <f t="array" ref="AA28">IFERROR((AA$24) * (1 - in_gen!$C$42) * (1 - in_gen!$C$42) ^ _xlfn.SEQUENCE(1, in_gen!$C$30 - 1, in_gen!$C$51, in_gen!$C$51), 0)</f>
        <v>11404819.529624524</v>
      </c>
      <c r="AB28" s="6" cm="1">
        <f t="array" ref="AB28">IFERROR((AB$24) * (1 - in_gen!$C$42) * (1 - in_gen!$C$42) ^ _xlfn.SEQUENCE(1, in_gen!$C$30 - 1, in_gen!$C$51, in_gen!$C$51), 0)</f>
        <v>3528039.4080828731</v>
      </c>
      <c r="AC28" s="6" cm="1">
        <f t="array" ref="AC28">IFERROR((AC$24) * (1 - in_gen!$C$42) * (1 - in_gen!$C$42) ^ _xlfn.SEQUENCE(1, in_gen!$C$30 - 1, in_gen!$C$51, in_gen!$C$51), 0)</f>
        <v>17640197.040414363</v>
      </c>
      <c r="AD28" s="6" cm="1">
        <f t="array" ref="AD28">IFERROR((AD$24) * (1 - in_gen!$C$42) * (1 - in_gen!$C$42) ^ _xlfn.SEQUENCE(1, in_gen!$C$30 - 1, in_gen!$C$51, in_gen!$C$51), 0)</f>
        <v>16304796.76766381</v>
      </c>
    </row>
    <row r="29" spans="1:30" ht="15.75" customHeight="1">
      <c r="A29" s="7" t="s">
        <v>195</v>
      </c>
      <c r="B29" s="7" t="s">
        <v>86</v>
      </c>
      <c r="C29" s="7" t="s">
        <v>196</v>
      </c>
      <c r="D29" s="6" cm="1">
        <f t="array" ref="D29">IFERROR((D$25) * (1 - in_gen!$C$42) * (1 - in_gen!$C$42) ^ _xlfn.SEQUENCE(1, in_gen!$C$30 - 1, in_gen!$C$51, in_gen!$C$51), 0)</f>
        <v>46527.880373865184</v>
      </c>
      <c r="E29" s="6" cm="1">
        <f t="array" ref="E29">IFERROR((E$25) * (1 - in_gen!$C$42) * (1 - in_gen!$C$42) ^ _xlfn.SEQUENCE(1, in_gen!$C$30 - 1, in_gen!$C$51, in_gen!$C$51), 0)</f>
        <v>232639.40186932587</v>
      </c>
      <c r="F29" s="6" cm="1">
        <f t="array" ref="F29">IFERROR((F$25) * (1 - in_gen!$C$42) * (1 - in_gen!$C$42) ^ _xlfn.SEQUENCE(1, in_gen!$C$30 - 1, in_gen!$C$51, in_gen!$C$51), 0)</f>
        <v>162072.11663563034</v>
      </c>
      <c r="G29" s="6" cm="1">
        <f t="array" ref="G29">IFERROR((G$25) * (1 - in_gen!$C$42) * (1 - in_gen!$C$42) ^ _xlfn.SEQUENCE(1, in_gen!$C$30 - 1, in_gen!$C$51, in_gen!$C$51), 0)</f>
        <v>37222.304299092139</v>
      </c>
      <c r="H29" s="6" cm="1">
        <f t="array" ref="H29">IFERROR((H$25) * (1 - in_gen!$C$42) * (1 - in_gen!$C$42) ^ _xlfn.SEQUENCE(1, in_gen!$C$30 - 1, in_gen!$C$51, in_gen!$C$51), 0)</f>
        <v>186111.52149546068</v>
      </c>
      <c r="I29" s="6" cm="1">
        <f t="array" ref="I29">IFERROR((I$25) * (1 - in_gen!$C$42) * (1 - in_gen!$C$42) ^ _xlfn.SEQUENCE(1, in_gen!$C$30 - 1, in_gen!$C$51, in_gen!$C$51), 0)</f>
        <v>129657.69330850428</v>
      </c>
      <c r="J29" s="6" cm="1">
        <f t="array" ref="J29">IFERROR((J$25) * (1 - in_gen!$C$42) * (1 - in_gen!$C$42) ^ _xlfn.SEQUENCE(1, in_gen!$C$30 - 1, in_gen!$C$51, in_gen!$C$51), 0)</f>
        <v>23263.940186932592</v>
      </c>
      <c r="K29" s="6" cm="1">
        <f t="array" ref="K29">IFERROR((K$25) * (1 - in_gen!$C$42) * (1 - in_gen!$C$42) ^ _xlfn.SEQUENCE(1, in_gen!$C$30 - 1, in_gen!$C$51, in_gen!$C$51), 0)</f>
        <v>116319.70093466293</v>
      </c>
      <c r="L29" s="6" cm="1">
        <f t="array" ref="L29">IFERROR((L$25) * (1 - in_gen!$C$42) * (1 - in_gen!$C$42) ^ _xlfn.SEQUENCE(1, in_gen!$C$30 - 1, in_gen!$C$51, in_gen!$C$51), 0)</f>
        <v>81036.058317815172</v>
      </c>
      <c r="M29" s="6" cm="1">
        <f t="array" ref="M29">IFERROR((M$25) * (1 - in_gen!$E$42) * (1 - in_gen!$E$42) ^ _xlfn.SEQUENCE(1, in_gen!$E$30 - 1, in_gen!$E$51, in_gen!$E$51), 0)</f>
        <v>46334.018355583059</v>
      </c>
      <c r="N29" s="6" cm="1">
        <f t="array" ref="N29">IFERROR((N$25) * (1 - in_gen!$E$42) * (1 - in_gen!$E$42) ^ _xlfn.SEQUENCE(1, in_gen!$E$30 - 1, in_gen!$E$51, in_gen!$E$51), 0)</f>
        <v>231670.09177791528</v>
      </c>
      <c r="O29" s="6" cm="1">
        <f t="array" ref="O29">IFERROR((O$25) * (1 - in_gen!$E$42) * (1 - in_gen!$E$42) ^ _xlfn.SEQUENCE(1, in_gen!$E$30 - 1, in_gen!$E$51, in_gen!$E$51), 0)</f>
        <v>161396.83060528102</v>
      </c>
      <c r="P29" s="6" cm="1">
        <f t="array" ref="P29">IFERROR((P$25) * (1 - in_gen!$E$42) * (1 - in_gen!$E$42) ^ _xlfn.SEQUENCE(1, in_gen!$E$30 - 1, in_gen!$E$51, in_gen!$E$51), 0)</f>
        <v>37067.214684466446</v>
      </c>
      <c r="Q29" s="6" cm="1">
        <f t="array" ref="Q29">IFERROR((Q$25) * (1 - in_gen!$E$42) * (1 - in_gen!$E$42) ^ _xlfn.SEQUENCE(1, in_gen!$E$30 - 1, in_gen!$E$51, in_gen!$E$51), 0)</f>
        <v>185336.07342233224</v>
      </c>
      <c r="R29" s="6" cm="1">
        <f t="array" ref="R29">IFERROR((R$25) * (1 - in_gen!$E$42) * (1 - in_gen!$E$42) ^ _xlfn.SEQUENCE(1, in_gen!$E$30 - 1, in_gen!$E$51, in_gen!$E$51), 0)</f>
        <v>129117.46448422482</v>
      </c>
      <c r="S29" s="6" cm="1">
        <f t="array" ref="S29">IFERROR((S$25) * (1 - in_gen!$E$42) * (1 - in_gen!$E$42) ^ _xlfn.SEQUENCE(1, in_gen!$E$30 - 1, in_gen!$E$51, in_gen!$E$51), 0)</f>
        <v>23167.00917779153</v>
      </c>
      <c r="T29" s="6" cm="1">
        <f t="array" ref="T29">IFERROR((T$25) * (1 - in_gen!$E$42) * (1 - in_gen!$E$42) ^ _xlfn.SEQUENCE(1, in_gen!$E$30 - 1, in_gen!$E$51, in_gen!$E$51), 0)</f>
        <v>115835.04588895764</v>
      </c>
      <c r="U29" s="6" cm="1">
        <f t="array" ref="U29">IFERROR((U$25) * (1 - in_gen!$E$42) * (1 - in_gen!$E$42) ^ _xlfn.SEQUENCE(1, in_gen!$E$30 - 1, in_gen!$E$51, in_gen!$E$51), 0)</f>
        <v>80698.415302640511</v>
      </c>
      <c r="V29" s="6" cm="1">
        <f t="array" ref="V29">IFERROR((V$25) * (1 - in_gen!$F$42) * (1 - in_gen!$F$42) ^ _xlfn.SEQUENCE(1, in_gen!$F$30 - 1, in_gen!$F$51, in_gen!$F$51), 0)</f>
        <v>47013.418562634171</v>
      </c>
      <c r="W29" s="6" cm="1">
        <f t="array" ref="W29">IFERROR((W$25) * (1 - in_gen!$F$42) * (1 - in_gen!$F$42) ^ _xlfn.SEQUENCE(1, in_gen!$F$30 - 1, in_gen!$F$51, in_gen!$F$51), 0)</f>
        <v>235067.09281317081</v>
      </c>
      <c r="X29" s="6" cm="1">
        <f t="array" ref="X29">IFERROR((X$25) * (1 - in_gen!$F$42) * (1 - in_gen!$F$42) ^ _xlfn.SEQUENCE(1, in_gen!$F$30 - 1, in_gen!$F$51, in_gen!$F$51), 0)</f>
        <v>163763.40799317567</v>
      </c>
      <c r="Y29" s="6" cm="1">
        <f t="array" ref="Y29">IFERROR((Y$25) * (1 - in_gen!$F$42) * (1 - in_gen!$F$42) ^ _xlfn.SEQUENCE(1, in_gen!$F$30 - 1, in_gen!$F$51, in_gen!$F$51), 0)</f>
        <v>37610.734850107343</v>
      </c>
      <c r="Z29" s="6" cm="1">
        <f t="array" ref="Z29">IFERROR((Z$25) * (1 - in_gen!$F$42) * (1 - in_gen!$F$42) ^ _xlfn.SEQUENCE(1, in_gen!$F$30 - 1, in_gen!$F$51, in_gen!$F$51), 0)</f>
        <v>188053.67425053669</v>
      </c>
      <c r="AA29" s="6" cm="1">
        <f t="array" ref="AA29">IFERROR((AA$25) * (1 - in_gen!$F$42) * (1 - in_gen!$F$42) ^ _xlfn.SEQUENCE(1, in_gen!$F$30 - 1, in_gen!$F$51, in_gen!$F$51), 0)</f>
        <v>131010.72639454051</v>
      </c>
      <c r="AB29" s="6" cm="1">
        <f t="array" ref="AB29">IFERROR((AB$25) * (1 - in_gen!$F$42) * (1 - in_gen!$F$42) ^ _xlfn.SEQUENCE(1, in_gen!$F$30 - 1, in_gen!$F$51, in_gen!$F$51), 0)</f>
        <v>23506.709281317086</v>
      </c>
      <c r="AC29" s="6" cm="1">
        <f t="array" ref="AC29">IFERROR((AC$25) * (1 - in_gen!$F$42) * (1 - in_gen!$F$42) ^ _xlfn.SEQUENCE(1, in_gen!$F$30 - 1, in_gen!$F$51, in_gen!$F$51), 0)</f>
        <v>117533.5464065854</v>
      </c>
      <c r="AD29" s="6" cm="1">
        <f t="array" ref="AD29">IFERROR((AD$25) * (1 - in_gen!$F$42) * (1 - in_gen!$F$42) ^ _xlfn.SEQUENCE(1, in_gen!$F$30 - 1, in_gen!$F$51, in_gen!$F$51), 0)</f>
        <v>81881.703996587836</v>
      </c>
    </row>
    <row r="30" spans="1:30" ht="15.75" customHeight="1">
      <c r="A30" s="7" t="s">
        <v>197</v>
      </c>
      <c r="B30" s="7" t="s">
        <v>86</v>
      </c>
      <c r="C30" s="7" t="s">
        <v>198</v>
      </c>
      <c r="D30" s="6">
        <f>in_gen!$C$26*(D$24+D$28)</f>
        <v>2866869.6036771382</v>
      </c>
      <c r="E30" s="6">
        <f>in_gen!$C$26*(E$24+E$28)</f>
        <v>14334348.01838569</v>
      </c>
      <c r="F30" s="6">
        <f>in_gen!$C$26*(F$24+F$28)</f>
        <v>13115755.700028915</v>
      </c>
      <c r="G30" s="6">
        <f>in_gen!$C$26*(G$24+G$28)</f>
        <v>3026445.0527372174</v>
      </c>
      <c r="H30" s="6">
        <f>in_gen!$C$26*(H$24+H$28)</f>
        <v>15132225.263686089</v>
      </c>
      <c r="I30" s="6">
        <f>in_gen!$C$26*(I$24+I$28)</f>
        <v>13952094.386331253</v>
      </c>
      <c r="J30" s="6">
        <f>in_gen!$C$26*(J$24+J$28)</f>
        <v>4317061.9191529565</v>
      </c>
      <c r="K30" s="6">
        <f>in_gen!$C$26*(K$24+K$28)</f>
        <v>21585309.595764782</v>
      </c>
      <c r="L30" s="6">
        <f>in_gen!$C$26*(L$24+L$28)</f>
        <v>19950050.509233341</v>
      </c>
      <c r="M30" s="6">
        <f>in_gen!$E$26*(M$24+M$28)</f>
        <v>2749994.4370973422</v>
      </c>
      <c r="N30" s="6">
        <f>in_gen!$E$26*(N$24+N$28)</f>
        <v>13749972.185486708</v>
      </c>
      <c r="O30" s="6">
        <f>in_gen!$E$26*(O$24+O$28)</f>
        <v>12579012.637421871</v>
      </c>
      <c r="P30" s="6">
        <f>in_gen!$E$26*(P$24+P$28)</f>
        <v>2903765.9293537145</v>
      </c>
      <c r="Q30" s="6">
        <f>in_gen!$E$26*(Q$24+Q$28)</f>
        <v>14518829.646768572</v>
      </c>
      <c r="R30" s="6">
        <f>in_gen!$E$26*(R$24+R$28)</f>
        <v>13385462.283228664</v>
      </c>
      <c r="S30" s="6">
        <f>in_gen!$E$26*(S$24+S$28)</f>
        <v>4142622.1279036691</v>
      </c>
      <c r="T30" s="6">
        <f>in_gen!$E$26*(T$24+T$28)</f>
        <v>20713110.639518343</v>
      </c>
      <c r="U30" s="6">
        <f>in_gen!$E$26*(U$24+U$28)</f>
        <v>19142890.657721527</v>
      </c>
      <c r="V30" s="6">
        <f>in_gen!$F$26*(V$24+V$28)</f>
        <v>2989203.1360648237</v>
      </c>
      <c r="W30" s="6">
        <f>in_gen!$F$26*(W$24+W$28)</f>
        <v>14946015.680324119</v>
      </c>
      <c r="X30" s="6">
        <f>in_gen!$F$26*(X$24+X$28)</f>
        <v>13677910.907680541</v>
      </c>
      <c r="Y30" s="6">
        <f>in_gen!$F$26*(Y$24+Y$28)</f>
        <v>3154736.5705504888</v>
      </c>
      <c r="Z30" s="6">
        <f>in_gen!$F$26*(Z$24+Z$28)</f>
        <v>15773682.852752443</v>
      </c>
      <c r="AA30" s="6">
        <f>in_gen!$F$26*(AA$24+AA$28)</f>
        <v>14544828.54679014</v>
      </c>
      <c r="AB30" s="6">
        <f>in_gen!$F$26*(AB$24+AB$28)</f>
        <v>4499389.767947847</v>
      </c>
      <c r="AC30" s="6">
        <f>in_gen!$F$26*(AC$24+AC$28)</f>
        <v>22496948.83973923</v>
      </c>
      <c r="AD30" s="6">
        <f>in_gen!$F$26*(AD$24+AD$28)</f>
        <v>20793882.170596328</v>
      </c>
    </row>
    <row r="31" spans="1:30" ht="15.75" customHeight="1">
      <c r="A31" s="7" t="s">
        <v>199</v>
      </c>
      <c r="B31" s="7" t="s">
        <v>86</v>
      </c>
      <c r="C31" s="7" t="s">
        <v>200</v>
      </c>
      <c r="D31" s="6">
        <f t="shared" ref="D31:AD31" ca="1" si="5">D$30-(D$23+D$25+D$27+D$29)</f>
        <v>-1734179.8395119249</v>
      </c>
      <c r="E31" s="6">
        <f t="shared" ca="1" si="5"/>
        <v>-7070346.4033550657</v>
      </c>
      <c r="F31" s="6">
        <f t="shared" ca="1" si="5"/>
        <v>-2856592.4486664534</v>
      </c>
      <c r="G31" s="6">
        <f t="shared" ca="1" si="5"/>
        <v>-138507.1276625758</v>
      </c>
      <c r="H31" s="6">
        <f t="shared" ca="1" si="5"/>
        <v>-361234.419167215</v>
      </c>
      <c r="I31" s="6">
        <f t="shared" ca="1" si="5"/>
        <v>2158881.8422592413</v>
      </c>
      <c r="J31" s="6">
        <f t="shared" ca="1" si="5"/>
        <v>1360693.1459086565</v>
      </c>
      <c r="K31" s="6">
        <f t="shared" ca="1" si="5"/>
        <v>7127787.8256192114</v>
      </c>
      <c r="L31" s="6">
        <f t="shared" ca="1" si="5"/>
        <v>8977055.5174674056</v>
      </c>
      <c r="M31" s="6">
        <f t="shared" ca="1" si="5"/>
        <v>-1897610.6777460449</v>
      </c>
      <c r="N31" s="6">
        <f t="shared" ca="1" si="5"/>
        <v>-7824967.4978582487</v>
      </c>
      <c r="O31" s="6">
        <f t="shared" ca="1" si="5"/>
        <v>-3427154.5431262385</v>
      </c>
      <c r="P31" s="6">
        <f t="shared" ca="1" si="5"/>
        <v>-254597.29107075231</v>
      </c>
      <c r="Q31" s="6">
        <f t="shared" ca="1" si="5"/>
        <v>-929006.27526277304</v>
      </c>
      <c r="R31" s="6">
        <f t="shared" ca="1" si="5"/>
        <v>1710763.8118252922</v>
      </c>
      <c r="S31" s="6">
        <f t="shared" ca="1" si="5"/>
        <v>1195384.2624148587</v>
      </c>
      <c r="T31" s="6">
        <f t="shared" ca="1" si="5"/>
        <v>6313731.0758916121</v>
      </c>
      <c r="U31" s="6">
        <f t="shared" ca="1" si="5"/>
        <v>8301436.3813310433</v>
      </c>
      <c r="V31" s="6">
        <f t="shared" ca="1" si="5"/>
        <v>-1435575.0189434458</v>
      </c>
      <c r="W31" s="6">
        <f t="shared" ca="1" si="5"/>
        <v>-5637647.4410879649</v>
      </c>
      <c r="X31" s="6">
        <f t="shared" ca="1" si="5"/>
        <v>-1666814.4771292042</v>
      </c>
      <c r="Y31" s="6">
        <f t="shared" ca="1" si="5"/>
        <v>113201.00100905308</v>
      </c>
      <c r="Z31" s="6">
        <f t="shared" ca="1" si="5"/>
        <v>885477.05499314889</v>
      </c>
      <c r="AA31" s="6">
        <f t="shared" ca="1" si="5"/>
        <v>3227801.3990829773</v>
      </c>
      <c r="AB31" s="6">
        <f t="shared" ca="1" si="5"/>
        <v>1663892.4821573528</v>
      </c>
      <c r="AC31" s="6">
        <f t="shared" ca="1" si="5"/>
        <v>8632016.332057979</v>
      </c>
      <c r="AD31" s="6">
        <f t="shared" ca="1" si="5"/>
        <v>10284081.369013539</v>
      </c>
    </row>
    <row r="32" spans="1:30" ht="15.75" customHeight="1">
      <c r="A32" s="7" t="s">
        <v>201</v>
      </c>
      <c r="B32" s="7" t="s">
        <v>139</v>
      </c>
      <c r="C32" s="7" t="s">
        <v>202</v>
      </c>
      <c r="D32" s="5">
        <f t="shared" ref="D32:AD32" ca="1" si="6">D$31/D$23</f>
        <v>-0.44517346231641147</v>
      </c>
      <c r="E32" s="5">
        <f t="shared" ca="1" si="6"/>
        <v>-0.38814842063980914</v>
      </c>
      <c r="F32" s="5">
        <f t="shared" ca="1" si="6"/>
        <v>-0.21368088736183302</v>
      </c>
      <c r="G32" s="5">
        <f t="shared" ca="1" si="6"/>
        <v>-5.3059796158924637E-2</v>
      </c>
      <c r="H32" s="5">
        <f t="shared" ca="1" si="6"/>
        <v>-2.8109474296898234E-2</v>
      </c>
      <c r="I32" s="5">
        <f t="shared" ca="1" si="6"/>
        <v>0.22261673332574702</v>
      </c>
      <c r="J32" s="5">
        <f t="shared" ca="1" si="6"/>
        <v>0.53129119932108082</v>
      </c>
      <c r="K32" s="5">
        <f t="shared" ca="1" si="6"/>
        <v>0.56607794808046652</v>
      </c>
      <c r="L32" s="5">
        <f t="shared" ca="1" si="6"/>
        <v>0.95100628000481235</v>
      </c>
      <c r="M32" s="5">
        <f t="shared" ca="1" si="6"/>
        <v>-0.48093777933443144</v>
      </c>
      <c r="N32" s="5">
        <f t="shared" ca="1" si="6"/>
        <v>-0.42490615365107054</v>
      </c>
      <c r="O32" s="5">
        <f t="shared" ca="1" si="6"/>
        <v>-0.25534995748719558</v>
      </c>
      <c r="P32" s="5">
        <f t="shared" ca="1" si="6"/>
        <v>-9.7582037380627193E-2</v>
      </c>
      <c r="Q32" s="5">
        <f t="shared" ca="1" si="6"/>
        <v>-7.2373623141729918E-2</v>
      </c>
      <c r="R32" s="5">
        <f t="shared" ca="1" si="6"/>
        <v>0.17813900438153082</v>
      </c>
      <c r="S32" s="5">
        <f t="shared" ca="1" si="6"/>
        <v>0.46743146218237791</v>
      </c>
      <c r="T32" s="5">
        <f t="shared" ca="1" si="6"/>
        <v>0.50251863499820004</v>
      </c>
      <c r="U32" s="5">
        <f t="shared" ca="1" si="6"/>
        <v>0.88947510294946119</v>
      </c>
      <c r="V32" s="5">
        <f t="shared" ca="1" si="6"/>
        <v>-0.38527447543305171</v>
      </c>
      <c r="W32" s="5">
        <f t="shared" ca="1" si="6"/>
        <v>-0.323648772594884</v>
      </c>
      <c r="X32" s="5">
        <f t="shared" ca="1" si="6"/>
        <v>-0.13051920354421073</v>
      </c>
      <c r="Y32" s="5">
        <f t="shared" ca="1" si="6"/>
        <v>4.5417344714366183E-2</v>
      </c>
      <c r="Z32" s="5">
        <f t="shared" ca="1" si="6"/>
        <v>7.2169845459417709E-2</v>
      </c>
      <c r="AA32" s="5">
        <f t="shared" ca="1" si="6"/>
        <v>0.34906383450934936</v>
      </c>
      <c r="AB32" s="5">
        <f t="shared" ca="1" si="6"/>
        <v>0.68036368904418709</v>
      </c>
      <c r="AC32" s="5">
        <f t="shared" ca="1" si="6"/>
        <v>0.71798705776029581</v>
      </c>
      <c r="AD32" s="5">
        <f t="shared" ca="1" si="6"/>
        <v>1.1425286557297654</v>
      </c>
    </row>
    <row r="33" spans="1:30" ht="15.75" customHeight="1">
      <c r="A33" s="7" t="s">
        <v>203</v>
      </c>
      <c r="B33" s="7" t="s">
        <v>153</v>
      </c>
      <c r="C33" s="7" t="s">
        <v>204</v>
      </c>
      <c r="D33" s="6" t="str" cm="1">
        <f t="array" aca="1" ref="D33" ca="1">IFERROR(MATCH(TRUE, D$23 &lt;= _xlfn.SCAN(0, in_loc!D$22 * D$9 * (in_gen!$C$26 * in_loc!D$42 * (1 - in_loc!D$39) * (1 + in_gen!$C$43) - in_loc!D$16) * (1 - in_loc!D$38 * _xlfn.SEQUENCE(1, in_gen!$C$51, 0, 1)) * (1 - in_gen!$C$42) ^ _xlfn.SEQUENCE(1, in_gen!$C$51, 0, 1), _xlfn.LAMBDA(_xlpm.a,_xlpm.b, _xlpm.a + _xlpm.b)), 0), "-")</f>
        <v>-</v>
      </c>
      <c r="E33" s="6" t="str" cm="1">
        <f t="array" aca="1" ref="E33" ca="1">IFERROR(MATCH(TRUE, E$23 &lt;= _xlfn.SCAN(0, in_loc!E$22 * E$9 * (in_gen!$C$26 * in_loc!E$42 * (1 - in_loc!E$39) * (1 + in_gen!$C$43) - in_loc!E$16) * (1 - in_loc!E$38 * _xlfn.SEQUENCE(1, in_gen!$C$51, 0, 1)) * (1 - in_gen!$C$42) ^ _xlfn.SEQUENCE(1, in_gen!$C$51, 0, 1), _xlfn.LAMBDA(_xlpm.a,_xlpm.b, _xlpm.a + _xlpm.b)), 0), "-")</f>
        <v>-</v>
      </c>
      <c r="F33" s="6" t="str" cm="1">
        <f t="array" aca="1" ref="F33" ca="1">IFERROR(MATCH(TRUE, F$23 &lt;= _xlfn.SCAN(0, in_loc!F$22 * F$9 * (in_gen!$C$26 * in_loc!F$42 * (1 - in_loc!F$39) * (1 + in_gen!$C$43) - in_loc!F$16) * (1 - in_loc!F$38 * _xlfn.SEQUENCE(1, in_gen!$C$51, 0, 1)) * (1 - in_gen!$C$42) ^ _xlfn.SEQUENCE(1, in_gen!$C$51, 0, 1), _xlfn.LAMBDA(_xlpm.a,_xlpm.b, _xlpm.a + _xlpm.b)), 0), "-")</f>
        <v>-</v>
      </c>
      <c r="G33" s="6" t="str" cm="1">
        <f t="array" aca="1" ref="G33" ca="1">IFERROR(MATCH(TRUE, G$23 &lt;= _xlfn.SCAN(0, in_loc!G$22 * G$9 * (in_gen!$C$26 * in_loc!G$42 * (1 - in_loc!G$39) * (1 + in_gen!$C$43) - in_loc!G$16) * (1 - in_loc!G$38 * _xlfn.SEQUENCE(1, in_gen!$C$51, 0, 1)) * (1 - in_gen!$C$42) ^ _xlfn.SEQUENCE(1, in_gen!$C$51, 0, 1), _xlfn.LAMBDA(_xlpm.a,_xlpm.b, _xlpm.a + _xlpm.b)), 0), "-")</f>
        <v>-</v>
      </c>
      <c r="H33" s="6" t="str" cm="1">
        <f t="array" aca="1" ref="H33" ca="1">IFERROR(MATCH(TRUE, H$23 &lt;= _xlfn.SCAN(0, in_loc!H$22 * H$9 * (in_gen!$C$26 * in_loc!H$42 * (1 - in_loc!H$39) * (1 + in_gen!$C$43) - in_loc!H$16) * (1 - in_loc!H$38 * _xlfn.SEQUENCE(1, in_gen!$C$51, 0, 1)) * (1 - in_gen!$C$42) ^ _xlfn.SEQUENCE(1, in_gen!$C$51, 0, 1), _xlfn.LAMBDA(_xlpm.a,_xlpm.b, _xlpm.a + _xlpm.b)), 0), "-")</f>
        <v>-</v>
      </c>
      <c r="I33" s="6" cm="1">
        <f t="array" aca="1" ref="I33" ca="1">IFERROR(MATCH(TRUE, I$23 &lt;= _xlfn.SCAN(0, in_loc!I$22 * I$9 * (in_gen!$C$26 * in_loc!I$42 * (1 - in_loc!I$39) * (1 + in_gen!$C$43) - in_loc!I$16) * (1 - in_loc!I$38 * _xlfn.SEQUENCE(1, in_gen!$C$51, 0, 1)) * (1 - in_gen!$C$42) ^ _xlfn.SEQUENCE(1, in_gen!$C$51, 0, 1), _xlfn.LAMBDA(_xlpm.a,_xlpm.b, _xlpm.a + _xlpm.b)), 0), "-")</f>
        <v>16</v>
      </c>
      <c r="J33" s="6" cm="1">
        <f t="array" aca="1" ref="J33" ca="1">IFERROR(MATCH(TRUE, J$23 &lt;= _xlfn.SCAN(0, in_loc!J$22 * J$9 * (in_gen!$C$26 * in_loc!J$42 * (1 - in_loc!J$39) * (1 + in_gen!$C$43) - in_loc!J$16) * (1 - in_loc!J$38 * _xlfn.SEQUENCE(1, in_gen!$C$51, 0, 1)) * (1 - in_gen!$C$42) ^ _xlfn.SEQUENCE(1, in_gen!$C$51, 0, 1), _xlfn.LAMBDA(_xlpm.a,_xlpm.b, _xlpm.a + _xlpm.b)), 0), "-")</f>
        <v>11</v>
      </c>
      <c r="K33" s="6" cm="1">
        <f t="array" aca="1" ref="K33" ca="1">IFERROR(MATCH(TRUE, K$23 &lt;= _xlfn.SCAN(0, in_loc!K$22 * K$9 * (in_gen!$C$26 * in_loc!K$42 * (1 - in_loc!K$39) * (1 + in_gen!$C$43) - in_loc!K$16) * (1 - in_loc!K$38 * _xlfn.SEQUENCE(1, in_gen!$C$51, 0, 1)) * (1 - in_gen!$C$42) ^ _xlfn.SEQUENCE(1, in_gen!$C$51, 0, 1), _xlfn.LAMBDA(_xlpm.a,_xlpm.b, _xlpm.a + _xlpm.b)), 0), "-")</f>
        <v>11</v>
      </c>
      <c r="L33" s="6" cm="1">
        <f t="array" aca="1" ref="L33" ca="1">IFERROR(MATCH(TRUE, L$23 &lt;= _xlfn.SCAN(0, in_loc!L$22 * L$9 * (in_gen!$C$26 * in_loc!L$42 * (1 - in_loc!L$39) * (1 + in_gen!$C$43) - in_loc!L$16) * (1 - in_loc!L$38 * _xlfn.SEQUENCE(1, in_gen!$C$51, 0, 1)) * (1 - in_gen!$C$42) ^ _xlfn.SEQUENCE(1, in_gen!$C$51, 0, 1), _xlfn.LAMBDA(_xlpm.a,_xlpm.b, _xlpm.a + _xlpm.b)), 0), "-")</f>
        <v>8</v>
      </c>
      <c r="M33" s="6" t="str" cm="1">
        <f t="array" aca="1" ref="M33" ca="1">IFERROR(MATCH(TRUE, M$23 &lt;= _xlfn.SCAN(0, in_loc!M$22 * M$9 * (in_gen!$E$26 * in_loc!M$42 * (1 - in_loc!M$39) * (1 + in_gen!$E$43) - in_loc!M$16) * (1 - in_loc!M$38 * _xlfn.SEQUENCE(1, in_gen!$E$51, 0, 1)) * (1 - in_gen!$E$42) ^ _xlfn.SEQUENCE(1, in_gen!$E$51, 0, 1), _xlfn.LAMBDA(_xlpm.a,_xlpm.b, _xlpm.a + _xlpm.b)), 0), "-")</f>
        <v>-</v>
      </c>
      <c r="N33" s="6" t="str" cm="1">
        <f t="array" aca="1" ref="N33" ca="1">IFERROR(MATCH(TRUE, N$23 &lt;= _xlfn.SCAN(0, in_loc!N$22 * N$9 * (in_gen!$E$26 * in_loc!N$42 * (1 - in_loc!N$39) * (1 + in_gen!$E$43) - in_loc!N$16) * (1 - in_loc!N$38 * _xlfn.SEQUENCE(1, in_gen!$E$51, 0, 1)) * (1 - in_gen!$E$42) ^ _xlfn.SEQUENCE(1, in_gen!$E$51, 0, 1), _xlfn.LAMBDA(_xlpm.a,_xlpm.b, _xlpm.a + _xlpm.b)), 0), "-")</f>
        <v>-</v>
      </c>
      <c r="O33" s="6" t="str" cm="1">
        <f t="array" aca="1" ref="O33" ca="1">IFERROR(MATCH(TRUE, O$23 &lt;= _xlfn.SCAN(0, in_loc!O$22 * O$9 * (in_gen!$E$26 * in_loc!O$42 * (1 - in_loc!O$39) * (1 + in_gen!$E$43) - in_loc!O$16) * (1 - in_loc!O$38 * _xlfn.SEQUENCE(1, in_gen!$E$51, 0, 1)) * (1 - in_gen!$E$42) ^ _xlfn.SEQUENCE(1, in_gen!$E$51, 0, 1), _xlfn.LAMBDA(_xlpm.a,_xlpm.b, _xlpm.a + _xlpm.b)), 0), "-")</f>
        <v>-</v>
      </c>
      <c r="P33" s="6" t="str" cm="1">
        <f t="array" aca="1" ref="P33" ca="1">IFERROR(MATCH(TRUE, P$23 &lt;= _xlfn.SCAN(0, in_loc!P$22 * P$9 * (in_gen!$E$26 * in_loc!P$42 * (1 - in_loc!P$39) * (1 + in_gen!$E$43) - in_loc!P$16) * (1 - in_loc!P$38 * _xlfn.SEQUENCE(1, in_gen!$E$51, 0, 1)) * (1 - in_gen!$E$42) ^ _xlfn.SEQUENCE(1, in_gen!$E$51, 0, 1), _xlfn.LAMBDA(_xlpm.a,_xlpm.b, _xlpm.a + _xlpm.b)), 0), "-")</f>
        <v>-</v>
      </c>
      <c r="Q33" s="6" t="str" cm="1">
        <f t="array" aca="1" ref="Q33" ca="1">IFERROR(MATCH(TRUE, Q$23 &lt;= _xlfn.SCAN(0, in_loc!Q$22 * Q$9 * (in_gen!$E$26 * in_loc!Q$42 * (1 - in_loc!Q$39) * (1 + in_gen!$E$43) - in_loc!Q$16) * (1 - in_loc!Q$38 * _xlfn.SEQUENCE(1, in_gen!$E$51, 0, 1)) * (1 - in_gen!$E$42) ^ _xlfn.SEQUENCE(1, in_gen!$E$51, 0, 1), _xlfn.LAMBDA(_xlpm.a,_xlpm.b, _xlpm.a + _xlpm.b)), 0), "-")</f>
        <v>-</v>
      </c>
      <c r="R33" s="6" cm="1">
        <f t="array" aca="1" ref="R33" ca="1">IFERROR(MATCH(TRUE, R$23 &lt;= _xlfn.SCAN(0, in_loc!R$22 * R$9 * (in_gen!$E$26 * in_loc!R$42 * (1 - in_loc!R$39) * (1 + in_gen!$E$43) - in_loc!R$16) * (1 - in_loc!R$38 * _xlfn.SEQUENCE(1, in_gen!$E$51, 0, 1)) * (1 - in_gen!$E$42) ^ _xlfn.SEQUENCE(1, in_gen!$E$51, 0, 1), _xlfn.LAMBDA(_xlpm.a,_xlpm.b, _xlpm.a + _xlpm.b)), 0), "-")</f>
        <v>17</v>
      </c>
      <c r="S33" s="6" cm="1">
        <f t="array" aca="1" ref="S33" ca="1">IFERROR(MATCH(TRUE, S$23 &lt;= _xlfn.SCAN(0, in_loc!S$22 * S$9 * (in_gen!$E$26 * in_loc!S$42 * (1 - in_loc!S$39) * (1 + in_gen!$E$43) - in_loc!S$16) * (1 - in_loc!S$38 * _xlfn.SEQUENCE(1, in_gen!$E$51, 0, 1)) * (1 - in_gen!$E$42) ^ _xlfn.SEQUENCE(1, in_gen!$E$51, 0, 1), _xlfn.LAMBDA(_xlpm.a,_xlpm.b, _xlpm.a + _xlpm.b)), 0), "-")</f>
        <v>12</v>
      </c>
      <c r="T33" s="6" cm="1">
        <f t="array" aca="1" ref="T33" ca="1">IFERROR(MATCH(TRUE, T$23 &lt;= _xlfn.SCAN(0, in_loc!T$22 * T$9 * (in_gen!$E$26 * in_loc!T$42 * (1 - in_loc!T$39) * (1 + in_gen!$E$43) - in_loc!T$16) * (1 - in_loc!T$38 * _xlfn.SEQUENCE(1, in_gen!$E$51, 0, 1)) * (1 - in_gen!$E$42) ^ _xlfn.SEQUENCE(1, in_gen!$E$51, 0, 1), _xlfn.LAMBDA(_xlpm.a,_xlpm.b, _xlpm.a + _xlpm.b)), 0), "-")</f>
        <v>11</v>
      </c>
      <c r="U33" s="6" cm="1">
        <f t="array" aca="1" ref="U33" ca="1">IFERROR(MATCH(TRUE, U$23 &lt;= _xlfn.SCAN(0, in_loc!U$22 * U$9 * (in_gen!$E$26 * in_loc!U$42 * (1 - in_loc!U$39) * (1 + in_gen!$E$43) - in_loc!U$16) * (1 - in_loc!U$38 * _xlfn.SEQUENCE(1, in_gen!$E$51, 0, 1)) * (1 - in_gen!$E$42) ^ _xlfn.SEQUENCE(1, in_gen!$E$51, 0, 1), _xlfn.LAMBDA(_xlpm.a,_xlpm.b, _xlpm.a + _xlpm.b)), 0), "-")</f>
        <v>8</v>
      </c>
      <c r="V33" s="6" t="str" cm="1">
        <f t="array" aca="1" ref="V33" ca="1">IFERROR(MATCH(TRUE, V$23 &lt;= _xlfn.SCAN(0, in_loc!V$22 * V$9 * (in_gen!$F$26 * in_loc!V$42 * (1 - in_loc!V$39) * (1 + in_gen!$F$43) - in_loc!V$16) * (1 - in_loc!V$38 * _xlfn.SEQUENCE(1, in_gen!$F$51, 0, 1)) * (1 - in_gen!$F$42) ^ _xlfn.SEQUENCE(1, in_gen!$F$51, 0, 1), _xlfn.LAMBDA(_xlpm.a,_xlpm.b, _xlpm.a + _xlpm.b)), 0), "-")</f>
        <v>-</v>
      </c>
      <c r="W33" s="6" t="str" cm="1">
        <f t="array" aca="1" ref="W33" ca="1">IFERROR(MATCH(TRUE, W$23 &lt;= _xlfn.SCAN(0, in_loc!W$22 * W$9 * (in_gen!$F$26 * in_loc!W$42 * (1 - in_loc!W$39) * (1 + in_gen!$F$43) - in_loc!W$16) * (1 - in_loc!W$38 * _xlfn.SEQUENCE(1, in_gen!$F$51, 0, 1)) * (1 - in_gen!$F$42) ^ _xlfn.SEQUENCE(1, in_gen!$F$51, 0, 1), _xlfn.LAMBDA(_xlpm.a,_xlpm.b, _xlpm.a + _xlpm.b)), 0), "-")</f>
        <v>-</v>
      </c>
      <c r="X33" s="6" t="str" cm="1">
        <f t="array" aca="1" ref="X33" ca="1">IFERROR(MATCH(TRUE, X$23 &lt;= _xlfn.SCAN(0, in_loc!X$22 * X$9 * (in_gen!$F$26 * in_loc!X$42 * (1 - in_loc!X$39) * (1 + in_gen!$F$43) - in_loc!X$16) * (1 - in_loc!X$38 * _xlfn.SEQUENCE(1, in_gen!$F$51, 0, 1)) * (1 - in_gen!$F$42) ^ _xlfn.SEQUENCE(1, in_gen!$F$51, 0, 1), _xlfn.LAMBDA(_xlpm.a,_xlpm.b, _xlpm.a + _xlpm.b)), 0), "-")</f>
        <v>-</v>
      </c>
      <c r="Y33" s="6" cm="1">
        <f t="array" aca="1" ref="Y33" ca="1">IFERROR(MATCH(TRUE, Y$23 &lt;= _xlfn.SCAN(0, in_loc!Y$22 * Y$9 * (in_gen!$F$26 * in_loc!Y$42 * (1 - in_loc!Y$39) * (1 + in_gen!$F$43) - in_loc!Y$16) * (1 - in_loc!Y$38 * _xlfn.SEQUENCE(1, in_gen!$F$51, 0, 1)) * (1 - in_gen!$F$42) ^ _xlfn.SEQUENCE(1, in_gen!$F$51, 0, 1), _xlfn.LAMBDA(_xlpm.a,_xlpm.b, _xlpm.a + _xlpm.b)), 0), "-")</f>
        <v>26</v>
      </c>
      <c r="Z33" s="6" cm="1">
        <f t="array" aca="1" ref="Z33" ca="1">IFERROR(MATCH(TRUE, Z$23 &lt;= _xlfn.SCAN(0, in_loc!Z$22 * Z$9 * (in_gen!$F$26 * in_loc!Z$42 * (1 - in_loc!Z$39) * (1 + in_gen!$F$43) - in_loc!Z$16) * (1 - in_loc!Z$38 * _xlfn.SEQUENCE(1, in_gen!$F$51, 0, 1)) * (1 - in_gen!$F$42) ^ _xlfn.SEQUENCE(1, in_gen!$F$51, 0, 1), _xlfn.LAMBDA(_xlpm.a,_xlpm.b, _xlpm.a + _xlpm.b)), 0), "-")</f>
        <v>25</v>
      </c>
      <c r="AA33" s="6" cm="1">
        <f t="array" aca="1" ref="AA33" ca="1">IFERROR(MATCH(TRUE, AA$23 &lt;= _xlfn.SCAN(0, in_loc!AA$22 * AA$9 * (in_gen!$F$26 * in_loc!AA$42 * (1 - in_loc!AA$39) * (1 + in_gen!$F$43) - in_loc!AA$16) * (1 - in_loc!AA$38 * _xlfn.SEQUENCE(1, in_gen!$F$51, 0, 1)) * (1 - in_gen!$F$42) ^ _xlfn.SEQUENCE(1, in_gen!$F$51, 0, 1), _xlfn.LAMBDA(_xlpm.a,_xlpm.b, _xlpm.a + _xlpm.b)), 0), "-")</f>
        <v>14</v>
      </c>
      <c r="AB33" s="6" cm="1">
        <f t="array" aca="1" ref="AB33" ca="1">IFERROR(MATCH(TRUE, AB$23 &lt;= _xlfn.SCAN(0, in_loc!AB$22 * AB$9 * (in_gen!$F$26 * in_loc!AB$42 * (1 - in_loc!AB$39) * (1 + in_gen!$F$43) - in_loc!AB$16) * (1 - in_loc!AB$38 * _xlfn.SEQUENCE(1, in_gen!$F$51, 0, 1)) * (1 - in_gen!$F$42) ^ _xlfn.SEQUENCE(1, in_gen!$F$51, 0, 1), _xlfn.LAMBDA(_xlpm.a,_xlpm.b, _xlpm.a + _xlpm.b)), 0), "-")</f>
        <v>10</v>
      </c>
      <c r="AC33" s="6" cm="1">
        <f t="array" aca="1" ref="AC33" ca="1">IFERROR(MATCH(TRUE, AC$23 &lt;= _xlfn.SCAN(0, in_loc!AC$22 * AC$9 * (in_gen!$F$26 * in_loc!AC$42 * (1 - in_loc!AC$39) * (1 + in_gen!$F$43) - in_loc!AC$16) * (1 - in_loc!AC$38 * _xlfn.SEQUENCE(1, in_gen!$F$51, 0, 1)) * (1 - in_gen!$F$42) ^ _xlfn.SEQUENCE(1, in_gen!$F$51, 0, 1), _xlfn.LAMBDA(_xlpm.a,_xlpm.b, _xlpm.a + _xlpm.b)), 0), "-")</f>
        <v>10</v>
      </c>
      <c r="AD33" s="6" cm="1">
        <f t="array" aca="1" ref="AD33" ca="1">IFERROR(MATCH(TRUE, AD$23 &lt;= _xlfn.SCAN(0, in_loc!AD$22 * AD$9 * (in_gen!$F$26 * in_loc!AD$42 * (1 - in_loc!AD$39) * (1 + in_gen!$F$43) - in_loc!AD$16) * (1 - in_loc!AD$38 * _xlfn.SEQUENCE(1, in_gen!$F$51, 0, 1)) * (1 - in_gen!$F$42) ^ _xlfn.SEQUENCE(1, in_gen!$F$51, 0, 1), _xlfn.LAMBDA(_xlpm.a,_xlpm.b, _xlpm.a + _xlpm.b)), 0), "-")</f>
        <v>7</v>
      </c>
    </row>
    <row r="34" spans="1:30" ht="15.75" customHeight="1">
      <c r="A34" s="7" t="s">
        <v>205</v>
      </c>
      <c r="B34" s="7" t="s">
        <v>139</v>
      </c>
      <c r="C34" s="7" t="s">
        <v>206</v>
      </c>
      <c r="D34" s="5" cm="1">
        <f t="array" aca="1" ref="D34" ca="1">IRR(in_loc!D$22 * D$9 * (in_gen!$C$26 * in_loc!D$42 * (1 - in_loc!D$39) * (1 + in_gen!$C$43) - in_loc!D$16) * (1 - in_loc!D$38 * _xlfn.SEQUENCE(1, in_gen!$C$51, 0, 1)) * (1 - in_gen!$C$42) ^ _xlfn.SEQUENCE(1, in_gen!$C$51, 0, 1) - IF(_xlfn.SEQUENCE(1, in_gen!$C$51) = 1, D$23, 0))</f>
        <v>-6.3591132984577414E-2</v>
      </c>
      <c r="E34" s="5" cm="1">
        <f t="array" aca="1" ref="E34" ca="1">IRR(in_loc!E$22 * E$9 * (in_gen!$C$26 * in_loc!E$42 * (1 - in_loc!E$39) * (1 + in_gen!$C$43) - in_loc!E$16) * (1 - in_loc!E$38 * _xlfn.SEQUENCE(1, in_gen!$C$51, 0, 1)) * (1 - in_gen!$C$42) ^ _xlfn.SEQUENCE(1, in_gen!$C$51, 0, 1) - IF(_xlfn.SEQUENCE(1, in_gen!$C$51) = 1, E$23, 0))</f>
        <v>-5.7564485853905722E-2</v>
      </c>
      <c r="F34" s="5" cm="1">
        <f t="array" aca="1" ref="F34" ca="1">IRR(in_loc!F$22 * F$9 * (in_gen!$C$26 * in_loc!F$42 * (1 - in_loc!F$39) * (1 + in_gen!$C$43) - in_loc!F$16) * (1 - in_loc!F$38 * _xlfn.SEQUENCE(1, in_gen!$C$51, 0, 1)) * (1 - in_gen!$C$42) ^ _xlfn.SEQUENCE(1, in_gen!$C$51, 0, 1) - IF(_xlfn.SEQUENCE(1, in_gen!$C$51) = 1, F$23, 0))</f>
        <v>-3.0717706655411958E-2</v>
      </c>
      <c r="G34" s="5" cm="1">
        <f t="array" aca="1" ref="G34" ca="1">IRR(in_loc!G$22 * G$9 * (in_gen!$C$26 * in_loc!G$42 * (1 - in_loc!G$39) * (1 + in_gen!$C$43) - in_loc!G$16) * (1 - in_loc!G$38 * _xlfn.SEQUENCE(1, in_gen!$C$51, 0, 1)) * (1 - in_gen!$C$42) ^ _xlfn.SEQUENCE(1, in_gen!$C$51, 0, 1) - IF(_xlfn.SEQUENCE(1, in_gen!$C$51) = 1, G$23, 0))</f>
        <v>-1.1461387288812186E-2</v>
      </c>
      <c r="H34" s="5" cm="1">
        <f t="array" aca="1" ref="H34" ca="1">IRR(in_loc!H$22 * H$9 * (in_gen!$C$26 * in_loc!H$42 * (1 - in_loc!H$39) * (1 + in_gen!$C$43) - in_loc!H$16) * (1 - in_loc!H$38 * _xlfn.SEQUENCE(1, in_gen!$C$51, 0, 1)) * (1 - in_gen!$C$42) ^ _xlfn.SEQUENCE(1, in_gen!$C$51, 0, 1) - IF(_xlfn.SEQUENCE(1, in_gen!$C$51) = 1, H$23, 0))</f>
        <v>-9.5622735743624565E-3</v>
      </c>
      <c r="I34" s="5" cm="1">
        <f t="array" aca="1" ref="I34" ca="1">IRR(in_loc!I$22 * I$9 * (in_gen!$C$26 * in_loc!I$42 * (1 - in_loc!I$39) * (1 + in_gen!$C$43) - in_loc!I$16) * (1 - in_loc!I$38 * _xlfn.SEQUENCE(1, in_gen!$C$51, 0, 1)) * (1 - in_gen!$C$42) ^ _xlfn.SEQUENCE(1, in_gen!$C$51, 0, 1) - IF(_xlfn.SEQUENCE(1, in_gen!$C$51) = 1, I$23, 0))</f>
        <v>2.2949342754303936E-2</v>
      </c>
      <c r="J34" s="5" cm="1">
        <f t="array" aca="1" ref="J34" ca="1">IRR(in_loc!J$22 * J$9 * (in_gen!$C$26 * in_loc!J$42 * (1 - in_loc!J$39) * (1 + in_gen!$C$43) - in_loc!J$16) * (1 - in_loc!J$38 * _xlfn.SEQUENCE(1, in_gen!$C$51, 0, 1)) * (1 - in_gen!$C$42) ^ _xlfn.SEQUENCE(1, in_gen!$C$51, 0, 1) - IF(_xlfn.SEQUENCE(1, in_gen!$C$51) = 1, J$23, 0))</f>
        <v>5.655948534852695E-2</v>
      </c>
      <c r="K34" s="5" cm="1">
        <f t="array" aca="1" ref="K34" ca="1">IRR(in_loc!K$22 * K$9 * (in_gen!$C$26 * in_loc!K$42 * (1 - in_loc!K$39) * (1 + in_gen!$C$43) - in_loc!K$16) * (1 - in_loc!K$38 * _xlfn.SEQUENCE(1, in_gen!$C$51, 0, 1)) * (1 - in_gen!$C$42) ^ _xlfn.SEQUENCE(1, in_gen!$C$51, 0, 1) - IF(_xlfn.SEQUENCE(1, in_gen!$C$51) = 1, K$23, 0))</f>
        <v>5.9693657281204127E-2</v>
      </c>
      <c r="L34" s="5" cm="1">
        <f t="array" aca="1" ref="L34" ca="1">IRR(in_loc!L$22 * L$9 * (in_gen!$C$26 * in_loc!L$42 * (1 - in_loc!L$39) * (1 + in_gen!$C$43) - in_loc!L$16) * (1 - in_loc!L$38 * _xlfn.SEQUENCE(1, in_gen!$C$51, 0, 1)) * (1 - in_gen!$C$42) ^ _xlfn.SEQUENCE(1, in_gen!$C$51, 0, 1) - IF(_xlfn.SEQUENCE(1, in_gen!$C$51) = 1, L$23, 0))</f>
        <v>0.10827541845927446</v>
      </c>
      <c r="M34" s="5" cm="1">
        <f t="array" aca="1" ref="M34" ca="1">IRR(in_loc!M$22 * M$9 * (in_gen!$E$26 * in_loc!M$42 * (1 - in_loc!M$39) * (1 + in_gen!$E$43) - in_loc!M$16) * (1 - in_loc!M$38 * _xlfn.SEQUENCE(1, in_gen!$E$51, 0, 1)) * (1 - in_gen!$E$42) ^ _xlfn.SEQUENCE(1, in_gen!$E$51, 0, 1) - IF(_xlfn.SEQUENCE(1, in_gen!$E$51) = 1, M$23, 0))</f>
        <v>-7.2289149953680965E-2</v>
      </c>
      <c r="N34" s="5" cm="1">
        <f t="array" aca="1" ref="N34" ca="1">IRR(in_loc!N$22 * N$9 * (in_gen!$E$26 * in_loc!N$42 * (1 - in_loc!N$39) * (1 + in_gen!$E$43) - in_loc!N$16) * (1 - in_loc!N$38 * _xlfn.SEQUENCE(1, in_gen!$E$51, 0, 1)) * (1 - in_gen!$E$42) ^ _xlfn.SEQUENCE(1, in_gen!$E$51, 0, 1) - IF(_xlfn.SEQUENCE(1, in_gen!$E$51) = 1, N$23, 0))</f>
        <v>-6.6075183429028628E-2</v>
      </c>
      <c r="O34" s="5" cm="1">
        <f t="array" aca="1" ref="O34" ca="1">IRR(in_loc!O$22 * O$9 * (in_gen!$E$26 * in_loc!O$42 * (1 - in_loc!O$39) * (1 + in_gen!$E$43) - in_loc!O$16) * (1 - in_loc!O$38 * _xlfn.SEQUENCE(1, in_gen!$E$51, 0, 1)) * (1 - in_gen!$E$42) ^ _xlfn.SEQUENCE(1, in_gen!$E$51, 0, 1) - IF(_xlfn.SEQUENCE(1, in_gen!$E$51) = 1, O$23, 0))</f>
        <v>-3.8233773837892393E-2</v>
      </c>
      <c r="P34" s="5" cm="1">
        <f t="array" aca="1" ref="P34" ca="1">IRR(in_loc!P$22 * P$9 * (in_gen!$E$26 * in_loc!P$42 * (1 - in_loc!P$39) * (1 + in_gen!$E$43) - in_loc!P$16) * (1 - in_loc!P$38 * _xlfn.SEQUENCE(1, in_gen!$E$51, 0, 1)) * (1 - in_gen!$E$42) ^ _xlfn.SEQUENCE(1, in_gen!$E$51, 0, 1) - IF(_xlfn.SEQUENCE(1, in_gen!$E$51) = 1, P$23, 0))</f>
        <v>-1.8248876747649745E-2</v>
      </c>
      <c r="Q34" s="5" cm="1">
        <f t="array" aca="1" ref="Q34" ca="1">IRR(in_loc!Q$22 * Q$9 * (in_gen!$E$26 * in_loc!Q$42 * (1 - in_loc!Q$39) * (1 + in_gen!$E$43) - in_loc!Q$16) * (1 - in_loc!Q$38 * _xlfn.SEQUENCE(1, in_gen!$E$51, 0, 1)) * (1 - in_gen!$E$42) ^ _xlfn.SEQUENCE(1, in_gen!$E$51, 0, 1) - IF(_xlfn.SEQUENCE(1, in_gen!$E$51) = 1, Q$23, 0))</f>
        <v>-1.6264367350902531E-2</v>
      </c>
      <c r="R34" s="5" cm="1">
        <f t="array" aca="1" ref="R34" ca="1">IRR(in_loc!R$22 * R$9 * (in_gen!$E$26 * in_loc!R$42 * (1 - in_loc!R$39) * (1 + in_gen!$E$43) - in_loc!R$16) * (1 - in_loc!R$38 * _xlfn.SEQUENCE(1, in_gen!$E$51, 0, 1)) * (1 - in_gen!$E$42) ^ _xlfn.SEQUENCE(1, in_gen!$E$51, 0, 1) - IF(_xlfn.SEQUENCE(1, in_gen!$E$51) = 1, R$23, 0))</f>
        <v>1.7858163191129872E-2</v>
      </c>
      <c r="S34" s="5" cm="1">
        <f t="array" aca="1" ref="S34" ca="1">IRR(in_loc!S$22 * S$9 * (in_gen!$E$26 * in_loc!S$42 * (1 - in_loc!S$39) * (1 + in_gen!$E$43) - in_loc!S$16) * (1 - in_loc!S$38 * _xlfn.SEQUENCE(1, in_gen!$E$51, 0, 1)) * (1 - in_gen!$E$42) ^ _xlfn.SEQUENCE(1, in_gen!$E$51, 0, 1) - IF(_xlfn.SEQUENCE(1, in_gen!$E$51) = 1, S$23, 0))</f>
        <v>5.0678535538359437E-2</v>
      </c>
      <c r="T34" s="5" cm="1">
        <f t="array" aca="1" ref="T34" ca="1">IRR(in_loc!T$22 * T$9 * (in_gen!$E$26 * in_loc!T$42 * (1 - in_loc!T$39) * (1 + in_gen!$E$43) - in_loc!T$16) * (1 - in_loc!T$38 * _xlfn.SEQUENCE(1, in_gen!$E$51, 0, 1)) * (1 - in_gen!$E$42) ^ _xlfn.SEQUENCE(1, in_gen!$E$51, 0, 1) - IF(_xlfn.SEQUENCE(1, in_gen!$E$51) = 1, T$23, 0))</f>
        <v>5.394142351354092E-2</v>
      </c>
      <c r="U34" s="5" cm="1">
        <f t="array" aca="1" ref="U34" ca="1">IRR(in_loc!U$22 * U$9 * (in_gen!$E$26 * in_loc!U$42 * (1 - in_loc!U$39) * (1 + in_gen!$E$43) - in_loc!U$16) * (1 - in_loc!U$38 * _xlfn.SEQUENCE(1, in_gen!$E$51, 0, 1)) * (1 - in_gen!$E$42) ^ _xlfn.SEQUENCE(1, in_gen!$E$51, 0, 1) - IF(_xlfn.SEQUENCE(1, in_gen!$E$51) = 1, U$23, 0))</f>
        <v>0.10478506400930909</v>
      </c>
      <c r="V34" s="5" cm="1">
        <f t="array" aca="1" ref="V34" ca="1">IRR(in_loc!V$22 * V$9 * (in_gen!$F$26 * in_loc!V$42 * (1 - in_loc!V$39) * (1 + in_gen!$F$43) - in_loc!V$16) * (1 - in_loc!V$38 * _xlfn.SEQUENCE(1, in_gen!$F$51, 0, 1)) * (1 - in_gen!$F$42) ^ _xlfn.SEQUENCE(1, in_gen!$F$51, 0, 1) - IF(_xlfn.SEQUENCE(1, in_gen!$F$51) = 1, V$23, 0))</f>
        <v>-5.2745576492548518E-2</v>
      </c>
      <c r="W34" s="5" cm="1">
        <f t="array" aca="1" ref="W34" ca="1">IRR(in_loc!W$22 * W$9 * (in_gen!$F$26 * in_loc!W$42 * (1 - in_loc!W$39) * (1 + in_gen!$F$43) - in_loc!W$16) * (1 - in_loc!W$38 * _xlfn.SEQUENCE(1, in_gen!$F$51, 0, 1)) * (1 - in_gen!$F$42) ^ _xlfn.SEQUENCE(1, in_gen!$F$51, 0, 1) - IF(_xlfn.SEQUENCE(1, in_gen!$F$51) = 1, W$23, 0))</f>
        <v>-4.6601845212377535E-2</v>
      </c>
      <c r="X34" s="5" cm="1">
        <f t="array" aca="1" ref="X34" ca="1">IRR(in_loc!X$22 * X$9 * (in_gen!$F$26 * in_loc!X$42 * (1 - in_loc!X$39) * (1 + in_gen!$F$43) - in_loc!X$16) * (1 - in_loc!X$38 * _xlfn.SEQUENCE(1, in_gen!$F$51, 0, 1)) * (1 - in_gen!$F$42) ^ _xlfn.SEQUENCE(1, in_gen!$F$51, 0, 1) - IF(_xlfn.SEQUENCE(1, in_gen!$F$51) = 1, X$23, 0))</f>
        <v>-1.9229051421080112E-2</v>
      </c>
      <c r="Y34" s="5" cm="1">
        <f t="array" aca="1" ref="Y34" ca="1">IRR(in_loc!Y$22 * Y$9 * (in_gen!$F$26 * in_loc!Y$42 * (1 - in_loc!Y$39) * (1 + in_gen!$F$43) - in_loc!Y$16) * (1 - in_loc!Y$38 * _xlfn.SEQUENCE(1, in_gen!$F$51, 0, 1)) * (1 - in_gen!$F$42) ^ _xlfn.SEQUENCE(1, in_gen!$F$51, 0, 1) - IF(_xlfn.SEQUENCE(1, in_gen!$F$51) = 1, Y$23, 0))</f>
        <v>4.1424724573424498E-4</v>
      </c>
      <c r="Z34" s="5" cm="1">
        <f t="array" aca="1" ref="Z34" ca="1">IRR(in_loc!Z$22 * Z$9 * (in_gen!$F$26 * in_loc!Z$42 * (1 - in_loc!Z$39) * (1 + in_gen!$F$43) - in_loc!Z$16) * (1 - in_loc!Z$38 * _xlfn.SEQUENCE(1, in_gen!$F$51, 0, 1)) * (1 - in_gen!$F$42) ^ _xlfn.SEQUENCE(1, in_gen!$F$51, 0, 1) - IF(_xlfn.SEQUENCE(1, in_gen!$F$51) = 1, Z$23, 0))</f>
        <v>2.3874908894370162E-3</v>
      </c>
      <c r="AA34" s="5" cm="1">
        <f t="array" aca="1" ref="AA34" ca="1">IRR(in_loc!AA$22 * AA$9 * (in_gen!$F$26 * in_loc!AA$42 * (1 - in_loc!AA$39) * (1 + in_gen!$F$43) - in_loc!AA$16) * (1 - in_loc!AA$38 * _xlfn.SEQUENCE(1, in_gen!$F$51, 0, 1)) * (1 - in_gen!$F$42) ^ _xlfn.SEQUENCE(1, in_gen!$F$51, 0, 1) - IF(_xlfn.SEQUENCE(1, in_gen!$F$51) = 1, AA$23, 0))</f>
        <v>3.6194228086748881E-2</v>
      </c>
      <c r="AB34" s="5" cm="1">
        <f t="array" aca="1" ref="AB34" ca="1">IRR(in_loc!AB$22 * AB$9 * (in_gen!$F$26 * in_loc!AB$42 * (1 - in_loc!AB$39) * (1 + in_gen!$F$43) - in_loc!AB$16) * (1 - in_loc!AB$38 * _xlfn.SEQUENCE(1, in_gen!$F$51, 0, 1)) * (1 - in_gen!$F$42) ^ _xlfn.SEQUENCE(1, in_gen!$F$51, 0, 1) - IF(_xlfn.SEQUENCE(1, in_gen!$F$51) = 1, AB$23, 0))</f>
        <v>7.068065762547171E-2</v>
      </c>
      <c r="AC34" s="5" cm="1">
        <f t="array" aca="1" ref="AC34" ca="1">IRR(in_loc!AC$22 * AC$9 * (in_gen!$F$26 * in_loc!AC$42 * (1 - in_loc!AC$39) * (1 + in_gen!$F$43) - in_loc!AC$16) * (1 - in_loc!AC$38 * _xlfn.SEQUENCE(1, in_gen!$F$51, 0, 1)) * (1 - in_gen!$F$42) ^ _xlfn.SEQUENCE(1, in_gen!$F$51, 0, 1) - IF(_xlfn.SEQUENCE(1, in_gen!$F$51) = 1, AC$23, 0))</f>
        <v>7.4001074531355515E-2</v>
      </c>
      <c r="AD34" s="5" cm="1">
        <f t="array" aca="1" ref="AD34" ca="1">IRR(in_loc!AD$22 * AD$9 * (in_gen!$F$26 * in_loc!AD$42 * (1 - in_loc!AD$39) * (1 + in_gen!$F$43) - in_loc!AD$16) * (1 - in_loc!AD$38 * _xlfn.SEQUENCE(1, in_gen!$F$51, 0, 1)) * (1 - in_gen!$F$42) ^ _xlfn.SEQUENCE(1, in_gen!$F$51, 0, 1) - IF(_xlfn.SEQUENCE(1, in_gen!$F$51) = 1, AD$23, 0))</f>
        <v>0.12580190532343427</v>
      </c>
    </row>
    <row r="35" spans="1:30" ht="15.75" customHeight="1">
      <c r="A35" s="7"/>
      <c r="B35" s="7"/>
      <c r="C35" s="9"/>
      <c r="D35" s="6"/>
      <c r="E35" s="6"/>
      <c r="F35" s="6"/>
      <c r="G35" s="6"/>
      <c r="H35" s="6"/>
      <c r="I35" s="6"/>
      <c r="J35" s="6"/>
      <c r="K35" s="6"/>
      <c r="L35" s="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6"/>
      <c r="E36" s="6"/>
      <c r="F36" s="6"/>
      <c r="G36" s="6"/>
      <c r="H36" s="6"/>
      <c r="I36" s="6"/>
      <c r="J36" s="6"/>
      <c r="K36" s="6"/>
      <c r="L36" s="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6"/>
      <c r="E37" s="6"/>
      <c r="F37" s="6"/>
      <c r="G37" s="6"/>
      <c r="H37" s="6"/>
      <c r="I37" s="6"/>
      <c r="J37" s="6"/>
      <c r="K37" s="6"/>
      <c r="L37" s="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6"/>
      <c r="E38" s="6"/>
      <c r="F38" s="6"/>
      <c r="G38" s="6"/>
      <c r="H38" s="6"/>
      <c r="I38" s="6"/>
      <c r="J38" s="6"/>
      <c r="K38" s="6"/>
      <c r="L38" s="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6"/>
      <c r="E39" s="6"/>
      <c r="F39" s="6"/>
      <c r="G39" s="6"/>
      <c r="H39" s="6"/>
      <c r="I39" s="6"/>
      <c r="J39" s="6"/>
      <c r="K39" s="6"/>
      <c r="L39" s="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18"/>
      <c r="E40" s="6"/>
      <c r="F40" s="18"/>
      <c r="G40" s="6"/>
      <c r="H40" s="6"/>
      <c r="I40" s="6"/>
      <c r="J40" s="6"/>
      <c r="K40" s="6"/>
      <c r="L40" s="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6"/>
      <c r="E41" s="6"/>
      <c r="F41" s="6"/>
      <c r="G41" s="6"/>
      <c r="H41" s="6"/>
      <c r="I41" s="6"/>
      <c r="J41" s="6"/>
      <c r="K41" s="6"/>
      <c r="L41" s="6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18"/>
      <c r="E42" s="6"/>
      <c r="F42" s="6"/>
      <c r="G42" s="6"/>
      <c r="H42" s="6"/>
      <c r="I42" s="6"/>
      <c r="J42" s="6"/>
      <c r="K42" s="6"/>
      <c r="L42" s="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6"/>
      <c r="E43" s="6"/>
      <c r="F43" s="6"/>
      <c r="G43" s="6"/>
      <c r="H43" s="6"/>
      <c r="I43" s="6"/>
      <c r="J43" s="6"/>
      <c r="K43" s="6"/>
      <c r="L43" s="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6"/>
      <c r="E44" s="6"/>
      <c r="F44" s="6"/>
      <c r="G44" s="6"/>
      <c r="H44" s="6"/>
      <c r="I44" s="6"/>
      <c r="J44" s="6"/>
      <c r="K44" s="6"/>
      <c r="L44" s="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6"/>
      <c r="E45" s="6"/>
      <c r="F45" s="6"/>
      <c r="G45" s="6"/>
      <c r="H45" s="6"/>
      <c r="I45" s="6"/>
      <c r="J45" s="6"/>
      <c r="K45" s="6"/>
      <c r="L45" s="6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6"/>
      <c r="E46" s="9"/>
      <c r="F46" s="6"/>
      <c r="G46" s="6"/>
      <c r="H46" s="6"/>
      <c r="I46" s="6"/>
      <c r="J46" s="6"/>
      <c r="K46" s="6"/>
      <c r="L46" s="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6"/>
      <c r="E47" s="6"/>
      <c r="F47" s="6"/>
      <c r="G47" s="6"/>
      <c r="H47" s="6"/>
      <c r="I47" s="6"/>
      <c r="J47" s="6"/>
      <c r="K47" s="6"/>
      <c r="L47" s="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6"/>
      <c r="E48" s="6"/>
      <c r="F48" s="6"/>
      <c r="G48" s="6"/>
      <c r="H48" s="6"/>
      <c r="I48" s="6"/>
      <c r="J48" s="6"/>
      <c r="K48" s="6"/>
      <c r="L48" s="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12"/>
      <c r="B49" s="9"/>
      <c r="C49" s="9"/>
      <c r="D49" s="6"/>
      <c r="E49" s="6"/>
      <c r="F49" s="6"/>
      <c r="G49" s="6"/>
      <c r="H49" s="6"/>
      <c r="I49" s="6"/>
      <c r="J49" s="6"/>
      <c r="K49" s="6"/>
      <c r="L49" s="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6"/>
      <c r="E50" s="6"/>
      <c r="F50" s="6"/>
      <c r="G50" s="6"/>
      <c r="H50" s="6"/>
      <c r="I50" s="6"/>
      <c r="J50" s="6"/>
      <c r="K50" s="6"/>
      <c r="L50" s="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6"/>
      <c r="E51" s="6"/>
      <c r="F51" s="6"/>
      <c r="G51" s="6"/>
      <c r="H51" s="6"/>
      <c r="I51" s="6"/>
      <c r="J51" s="6"/>
      <c r="K51" s="6"/>
      <c r="L51" s="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6"/>
      <c r="E52" s="6"/>
      <c r="F52" s="6"/>
      <c r="G52" s="6"/>
      <c r="H52" s="6"/>
      <c r="I52" s="6"/>
      <c r="J52" s="6"/>
      <c r="K52" s="6"/>
      <c r="L52" s="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17"/>
      <c r="E53" s="6"/>
      <c r="F53" s="6"/>
      <c r="G53" s="6"/>
      <c r="H53" s="6"/>
      <c r="I53" s="6"/>
      <c r="J53" s="6"/>
      <c r="K53" s="6"/>
      <c r="L53" s="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6"/>
      <c r="E54" s="6"/>
      <c r="F54" s="6"/>
      <c r="G54" s="6"/>
      <c r="H54" s="6"/>
      <c r="I54" s="6"/>
      <c r="J54" s="6"/>
      <c r="K54" s="6"/>
      <c r="L54" s="6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17"/>
      <c r="E55" s="6"/>
      <c r="F55" s="6"/>
      <c r="G55" s="6"/>
      <c r="H55" s="6"/>
      <c r="I55" s="6"/>
      <c r="J55" s="6"/>
      <c r="K55" s="6"/>
      <c r="L55" s="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6"/>
      <c r="E56" s="6"/>
      <c r="F56" s="6"/>
      <c r="G56" s="6"/>
      <c r="H56" s="6"/>
      <c r="I56" s="6"/>
      <c r="J56" s="6"/>
      <c r="K56" s="6"/>
      <c r="L56" s="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6"/>
      <c r="E57" s="6"/>
      <c r="F57" s="6"/>
      <c r="G57" s="6"/>
      <c r="H57" s="6"/>
      <c r="I57" s="6"/>
      <c r="J57" s="6"/>
      <c r="K57" s="6"/>
      <c r="L57" s="6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6"/>
      <c r="E58" s="6"/>
      <c r="F58" s="6"/>
      <c r="G58" s="6"/>
      <c r="H58" s="6"/>
      <c r="I58" s="6"/>
      <c r="J58" s="6"/>
      <c r="K58" s="6"/>
      <c r="L58" s="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6"/>
      <c r="E59" s="6"/>
      <c r="F59" s="6"/>
      <c r="G59" s="6"/>
      <c r="H59" s="6"/>
      <c r="I59" s="6"/>
      <c r="J59" s="6"/>
      <c r="K59" s="6"/>
      <c r="L59" s="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6"/>
      <c r="E60" s="6"/>
      <c r="F60" s="6"/>
      <c r="G60" s="6"/>
      <c r="H60" s="6"/>
      <c r="I60" s="6"/>
      <c r="J60" s="6"/>
      <c r="K60" s="6"/>
      <c r="L60" s="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6"/>
      <c r="E61" s="6"/>
      <c r="F61" s="6"/>
      <c r="G61" s="6"/>
      <c r="H61" s="6"/>
      <c r="I61" s="6"/>
      <c r="J61" s="6"/>
      <c r="K61" s="6"/>
      <c r="L61" s="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6"/>
      <c r="E62" s="6"/>
      <c r="F62" s="6"/>
      <c r="G62" s="6"/>
      <c r="H62" s="6"/>
      <c r="I62" s="6"/>
      <c r="J62" s="6"/>
      <c r="K62" s="6"/>
      <c r="L62" s="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6"/>
      <c r="E63" s="6"/>
      <c r="F63" s="6"/>
      <c r="G63" s="6"/>
      <c r="H63" s="6"/>
      <c r="I63" s="6"/>
      <c r="J63" s="6"/>
      <c r="K63" s="6"/>
      <c r="L63" s="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6"/>
      <c r="E64" s="6"/>
      <c r="F64" s="6"/>
      <c r="G64" s="6"/>
      <c r="H64" s="6"/>
      <c r="I64" s="6"/>
      <c r="J64" s="6"/>
      <c r="K64" s="6"/>
      <c r="L64" s="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6"/>
      <c r="E65" s="6"/>
      <c r="F65" s="6"/>
      <c r="G65" s="6"/>
      <c r="H65" s="6"/>
      <c r="I65" s="6"/>
      <c r="J65" s="6"/>
      <c r="K65" s="6"/>
      <c r="L65" s="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6"/>
      <c r="E66" s="6"/>
      <c r="F66" s="6"/>
      <c r="G66" s="6"/>
      <c r="H66" s="6"/>
      <c r="I66" s="6"/>
      <c r="J66" s="6"/>
      <c r="K66" s="6"/>
      <c r="L66" s="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6"/>
      <c r="E67" s="6"/>
      <c r="F67" s="6"/>
      <c r="G67" s="6"/>
      <c r="H67" s="6"/>
      <c r="I67" s="6"/>
      <c r="J67" s="6"/>
      <c r="K67" s="6"/>
      <c r="L67" s="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6"/>
      <c r="E68" s="6"/>
      <c r="F68" s="6"/>
      <c r="G68" s="6"/>
      <c r="H68" s="6"/>
      <c r="I68" s="6"/>
      <c r="J68" s="6"/>
      <c r="K68" s="6"/>
      <c r="L68" s="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6"/>
      <c r="E69" s="6"/>
      <c r="F69" s="6"/>
      <c r="G69" s="6"/>
      <c r="H69" s="6"/>
      <c r="I69" s="6"/>
      <c r="J69" s="6"/>
      <c r="K69" s="6"/>
      <c r="L69" s="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6"/>
      <c r="E70" s="6"/>
      <c r="F70" s="6"/>
      <c r="G70" s="6"/>
      <c r="H70" s="6"/>
      <c r="I70" s="6"/>
      <c r="J70" s="6"/>
      <c r="K70" s="6"/>
      <c r="L70" s="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6"/>
      <c r="E71" s="6"/>
      <c r="F71" s="6"/>
      <c r="G71" s="6"/>
      <c r="H71" s="6"/>
      <c r="I71" s="6"/>
      <c r="J71" s="6"/>
      <c r="K71" s="6"/>
      <c r="L71" s="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6"/>
      <c r="E72" s="6"/>
      <c r="F72" s="6"/>
      <c r="G72" s="6"/>
      <c r="H72" s="6"/>
      <c r="I72" s="6"/>
      <c r="J72" s="6"/>
      <c r="K72" s="6"/>
      <c r="L72" s="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6"/>
      <c r="E73" s="6"/>
      <c r="F73" s="6"/>
      <c r="G73" s="6"/>
      <c r="H73" s="6"/>
      <c r="I73" s="6"/>
      <c r="J73" s="6"/>
      <c r="K73" s="6"/>
      <c r="L73" s="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6"/>
      <c r="E74" s="6"/>
      <c r="F74" s="6"/>
      <c r="G74" s="6"/>
      <c r="H74" s="6"/>
      <c r="I74" s="6"/>
      <c r="J74" s="6"/>
      <c r="K74" s="6"/>
      <c r="L74" s="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6"/>
      <c r="E75" s="6"/>
      <c r="F75" s="6"/>
      <c r="G75" s="6"/>
      <c r="H75" s="6"/>
      <c r="I75" s="6"/>
      <c r="J75" s="6"/>
      <c r="K75" s="6"/>
      <c r="L75" s="6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6"/>
      <c r="E76" s="6"/>
      <c r="F76" s="6"/>
      <c r="G76" s="6"/>
      <c r="H76" s="6"/>
      <c r="I76" s="6"/>
      <c r="J76" s="6"/>
      <c r="K76" s="6"/>
      <c r="L76" s="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6"/>
      <c r="E77" s="6"/>
      <c r="F77" s="6"/>
      <c r="G77" s="6"/>
      <c r="H77" s="6"/>
      <c r="I77" s="6"/>
      <c r="J77" s="6"/>
      <c r="K77" s="6"/>
      <c r="L77" s="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6"/>
      <c r="E78" s="6"/>
      <c r="F78" s="6"/>
      <c r="G78" s="6"/>
      <c r="H78" s="6"/>
      <c r="I78" s="6"/>
      <c r="J78" s="6"/>
      <c r="K78" s="6"/>
      <c r="L78" s="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6"/>
      <c r="E79" s="6"/>
      <c r="F79" s="6"/>
      <c r="G79" s="6"/>
      <c r="H79" s="6"/>
      <c r="I79" s="6"/>
      <c r="J79" s="6"/>
      <c r="K79" s="6"/>
      <c r="L79" s="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6"/>
      <c r="E80" s="6"/>
      <c r="F80" s="6"/>
      <c r="G80" s="6"/>
      <c r="H80" s="6"/>
      <c r="I80" s="6"/>
      <c r="J80" s="6"/>
      <c r="K80" s="6"/>
      <c r="L80" s="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6"/>
      <c r="E81" s="6"/>
      <c r="F81" s="6"/>
      <c r="G81" s="6"/>
      <c r="H81" s="6"/>
      <c r="I81" s="6"/>
      <c r="J81" s="6"/>
      <c r="K81" s="6"/>
      <c r="L81" s="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6"/>
      <c r="E82" s="6"/>
      <c r="F82" s="6"/>
      <c r="G82" s="6"/>
      <c r="H82" s="6"/>
      <c r="I82" s="6"/>
      <c r="J82" s="6"/>
      <c r="K82" s="6"/>
      <c r="L82" s="6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6"/>
      <c r="E83" s="6"/>
      <c r="F83" s="6"/>
      <c r="G83" s="6"/>
      <c r="H83" s="6"/>
      <c r="I83" s="6"/>
      <c r="J83" s="6"/>
      <c r="K83" s="6"/>
      <c r="L83" s="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6"/>
      <c r="E84" s="6"/>
      <c r="F84" s="6"/>
      <c r="G84" s="6"/>
      <c r="H84" s="6"/>
      <c r="I84" s="6"/>
      <c r="J84" s="6"/>
      <c r="K84" s="6"/>
      <c r="L84" s="6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6"/>
      <c r="E85" s="6"/>
      <c r="F85" s="6"/>
      <c r="G85" s="6"/>
      <c r="H85" s="6"/>
      <c r="I85" s="6"/>
      <c r="J85" s="6"/>
      <c r="K85" s="6"/>
      <c r="L85" s="6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6"/>
      <c r="E86" s="6"/>
      <c r="F86" s="6"/>
      <c r="G86" s="6"/>
      <c r="H86" s="6"/>
      <c r="I86" s="6"/>
      <c r="J86" s="6"/>
      <c r="K86" s="6"/>
      <c r="L86" s="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6"/>
      <c r="E87" s="6"/>
      <c r="F87" s="6"/>
      <c r="G87" s="6"/>
      <c r="H87" s="6"/>
      <c r="I87" s="6"/>
      <c r="J87" s="6"/>
      <c r="K87" s="6"/>
      <c r="L87" s="6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6"/>
      <c r="E88" s="6"/>
      <c r="F88" s="6"/>
      <c r="G88" s="6"/>
      <c r="H88" s="6"/>
      <c r="I88" s="6"/>
      <c r="J88" s="6"/>
      <c r="K88" s="6"/>
      <c r="L88" s="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6"/>
      <c r="E89" s="6"/>
      <c r="F89" s="6"/>
      <c r="G89" s="6"/>
      <c r="H89" s="6"/>
      <c r="I89" s="6"/>
      <c r="J89" s="6"/>
      <c r="K89" s="6"/>
      <c r="L89" s="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6"/>
      <c r="E90" s="6"/>
      <c r="F90" s="6"/>
      <c r="G90" s="6"/>
      <c r="H90" s="6"/>
      <c r="I90" s="6"/>
      <c r="J90" s="6"/>
      <c r="K90" s="6"/>
      <c r="L90" s="6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6"/>
      <c r="E91" s="6"/>
      <c r="F91" s="6"/>
      <c r="G91" s="6"/>
      <c r="H91" s="6"/>
      <c r="I91" s="6"/>
      <c r="J91" s="6"/>
      <c r="K91" s="6"/>
      <c r="L91" s="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6"/>
      <c r="E92" s="6"/>
      <c r="F92" s="6"/>
      <c r="G92" s="6"/>
      <c r="H92" s="6"/>
      <c r="I92" s="6"/>
      <c r="J92" s="6"/>
      <c r="K92" s="6"/>
      <c r="L92" s="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6"/>
      <c r="E93" s="6"/>
      <c r="F93" s="6"/>
      <c r="G93" s="6"/>
      <c r="H93" s="6"/>
      <c r="I93" s="6"/>
      <c r="J93" s="6"/>
      <c r="K93" s="6"/>
      <c r="L93" s="6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6"/>
      <c r="E94" s="6"/>
      <c r="F94" s="6"/>
      <c r="G94" s="6"/>
      <c r="H94" s="6"/>
      <c r="I94" s="6"/>
      <c r="J94" s="6"/>
      <c r="K94" s="6"/>
      <c r="L94" s="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6"/>
      <c r="E95" s="6"/>
      <c r="F95" s="6"/>
      <c r="G95" s="6"/>
      <c r="H95" s="6"/>
      <c r="I95" s="6"/>
      <c r="J95" s="6"/>
      <c r="K95" s="6"/>
      <c r="L95" s="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6"/>
      <c r="E96" s="6"/>
      <c r="F96" s="6"/>
      <c r="G96" s="6"/>
      <c r="H96" s="6"/>
      <c r="I96" s="6"/>
      <c r="J96" s="6"/>
      <c r="K96" s="6"/>
      <c r="L96" s="6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6"/>
      <c r="E97" s="6"/>
      <c r="F97" s="6"/>
      <c r="G97" s="6"/>
      <c r="H97" s="6"/>
      <c r="I97" s="6"/>
      <c r="J97" s="6"/>
      <c r="K97" s="6"/>
      <c r="L97" s="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6"/>
      <c r="E98" s="6"/>
      <c r="F98" s="6"/>
      <c r="G98" s="6"/>
      <c r="H98" s="6"/>
      <c r="I98" s="6"/>
      <c r="J98" s="6"/>
      <c r="K98" s="6"/>
      <c r="L98" s="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6"/>
      <c r="E99" s="6"/>
      <c r="F99" s="6"/>
      <c r="G99" s="6"/>
      <c r="H99" s="6"/>
      <c r="I99" s="6"/>
      <c r="J99" s="6"/>
      <c r="K99" s="6"/>
      <c r="L99" s="6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6"/>
      <c r="E100" s="6"/>
      <c r="F100" s="6"/>
      <c r="G100" s="6"/>
      <c r="H100" s="6"/>
      <c r="I100" s="6"/>
      <c r="J100" s="6"/>
      <c r="K100" s="6"/>
      <c r="L100" s="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6"/>
      <c r="E106" s="6"/>
      <c r="F106" s="6"/>
      <c r="G106" s="6"/>
      <c r="H106" s="6"/>
      <c r="I106" s="6"/>
      <c r="J106" s="6"/>
      <c r="K106" s="6"/>
      <c r="L106" s="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6"/>
      <c r="E107" s="6"/>
      <c r="F107" s="6"/>
      <c r="G107" s="6"/>
      <c r="H107" s="6"/>
      <c r="I107" s="6"/>
      <c r="J107" s="6"/>
      <c r="K107" s="6"/>
      <c r="L107" s="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6"/>
      <c r="E108" s="6"/>
      <c r="F108" s="6"/>
      <c r="G108" s="6"/>
      <c r="H108" s="6"/>
      <c r="I108" s="6"/>
      <c r="J108" s="6"/>
      <c r="K108" s="6"/>
      <c r="L108" s="6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6"/>
      <c r="E109" s="6"/>
      <c r="F109" s="6"/>
      <c r="G109" s="6"/>
      <c r="H109" s="6"/>
      <c r="I109" s="6"/>
      <c r="J109" s="6"/>
      <c r="K109" s="6"/>
      <c r="L109" s="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6"/>
      <c r="E110" s="6"/>
      <c r="F110" s="6"/>
      <c r="G110" s="6"/>
      <c r="H110" s="6"/>
      <c r="I110" s="6"/>
      <c r="J110" s="6"/>
      <c r="K110" s="6"/>
      <c r="L110" s="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6"/>
      <c r="E115" s="6"/>
      <c r="F115" s="6"/>
      <c r="G115" s="6"/>
      <c r="H115" s="6"/>
      <c r="I115" s="6"/>
      <c r="J115" s="6"/>
      <c r="K115" s="6"/>
      <c r="L115" s="6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7"/>
      <c r="B117" s="7"/>
      <c r="C117" s="9"/>
      <c r="D117" s="6"/>
      <c r="E117" s="6"/>
      <c r="F117" s="6"/>
      <c r="G117" s="6"/>
      <c r="H117" s="6"/>
      <c r="I117" s="6"/>
      <c r="J117" s="6"/>
      <c r="K117" s="6"/>
      <c r="L117" s="6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7"/>
      <c r="B118" s="7"/>
      <c r="C118" s="9"/>
      <c r="D118" s="6"/>
      <c r="E118" s="6"/>
      <c r="F118" s="6"/>
      <c r="G118" s="6"/>
      <c r="H118" s="6"/>
      <c r="I118" s="6"/>
      <c r="J118" s="6"/>
      <c r="K118" s="6"/>
      <c r="L118" s="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7"/>
      <c r="B119" s="7"/>
      <c r="C119" s="9"/>
      <c r="D119" s="6"/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7"/>
      <c r="B120" s="7"/>
      <c r="C120" s="9"/>
      <c r="D120" s="6"/>
      <c r="E120" s="6"/>
      <c r="F120" s="6"/>
      <c r="G120" s="6"/>
      <c r="H120" s="6"/>
      <c r="I120" s="6"/>
      <c r="J120" s="6"/>
      <c r="K120" s="6"/>
      <c r="L120" s="6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7"/>
      <c r="B121" s="7"/>
      <c r="C121" s="9"/>
      <c r="D121" s="6"/>
      <c r="E121" s="6"/>
      <c r="F121" s="6"/>
      <c r="G121" s="6"/>
      <c r="H121" s="6"/>
      <c r="I121" s="6"/>
      <c r="J121" s="6"/>
      <c r="K121" s="6"/>
      <c r="L121" s="6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7"/>
      <c r="B122" s="7"/>
      <c r="C122" s="9"/>
      <c r="D122" s="6"/>
      <c r="E122" s="6"/>
      <c r="F122" s="6"/>
      <c r="G122" s="6"/>
      <c r="H122" s="6"/>
      <c r="I122" s="6"/>
      <c r="J122" s="6"/>
      <c r="K122" s="6"/>
      <c r="L122" s="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7"/>
      <c r="B123" s="7"/>
      <c r="C123" s="9"/>
      <c r="D123" s="6"/>
      <c r="E123" s="6"/>
      <c r="F123" s="6"/>
      <c r="G123" s="6"/>
      <c r="H123" s="6"/>
      <c r="I123" s="6"/>
      <c r="J123" s="6"/>
      <c r="K123" s="6"/>
      <c r="L123" s="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7"/>
      <c r="B124" s="7"/>
      <c r="C124" s="9"/>
      <c r="D124" s="6"/>
      <c r="E124" s="6"/>
      <c r="F124" s="6"/>
      <c r="G124" s="6"/>
      <c r="H124" s="6"/>
      <c r="I124" s="6"/>
      <c r="J124" s="6"/>
      <c r="K124" s="6"/>
      <c r="L124" s="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7"/>
      <c r="B125" s="7"/>
      <c r="C125" s="9"/>
      <c r="D125" s="6"/>
      <c r="E125" s="6"/>
      <c r="F125" s="6"/>
      <c r="G125" s="6"/>
      <c r="H125" s="6"/>
      <c r="I125" s="6"/>
      <c r="J125" s="6"/>
      <c r="K125" s="6"/>
      <c r="L125" s="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7"/>
      <c r="B126" s="7"/>
      <c r="C126" s="9"/>
      <c r="D126" s="6"/>
      <c r="E126" s="6"/>
      <c r="F126" s="6"/>
      <c r="G126" s="6"/>
      <c r="H126" s="6"/>
      <c r="I126" s="6"/>
      <c r="J126" s="6"/>
      <c r="K126" s="6"/>
      <c r="L126" s="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7"/>
      <c r="B127" s="7"/>
      <c r="C127" s="9"/>
      <c r="D127" s="6"/>
      <c r="E127" s="6"/>
      <c r="F127" s="6"/>
      <c r="G127" s="6"/>
      <c r="H127" s="6"/>
      <c r="I127" s="6"/>
      <c r="J127" s="6"/>
      <c r="K127" s="6"/>
      <c r="L127" s="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7"/>
      <c r="B128" s="7"/>
      <c r="C128" s="9"/>
      <c r="D128" s="6"/>
      <c r="E128" s="6"/>
      <c r="F128" s="6"/>
      <c r="G128" s="6"/>
      <c r="H128" s="6"/>
      <c r="I128" s="6"/>
      <c r="J128" s="6"/>
      <c r="K128" s="6"/>
      <c r="L128" s="6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7"/>
      <c r="B129" s="7"/>
      <c r="C129" s="9"/>
      <c r="D129" s="6"/>
      <c r="E129" s="6"/>
      <c r="F129" s="6"/>
      <c r="G129" s="6"/>
      <c r="H129" s="6"/>
      <c r="I129" s="6"/>
      <c r="J129" s="6"/>
      <c r="K129" s="6"/>
      <c r="L129" s="6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7"/>
      <c r="B130" s="7"/>
      <c r="C130" s="9"/>
      <c r="D130" s="6"/>
      <c r="E130" s="6"/>
      <c r="F130" s="6"/>
      <c r="G130" s="6"/>
      <c r="H130" s="6"/>
      <c r="I130" s="6"/>
      <c r="J130" s="6"/>
      <c r="K130" s="6"/>
      <c r="L130" s="6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7"/>
      <c r="B131" s="7"/>
      <c r="C131" s="9"/>
      <c r="D131" s="6"/>
      <c r="E131" s="6"/>
      <c r="F131" s="6"/>
      <c r="G131" s="6"/>
      <c r="H131" s="6"/>
      <c r="I131" s="6"/>
      <c r="J131" s="6"/>
      <c r="K131" s="6"/>
      <c r="L131" s="6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7"/>
      <c r="B132" s="7"/>
      <c r="C132" s="9"/>
      <c r="D132" s="6"/>
      <c r="E132" s="6"/>
      <c r="F132" s="6"/>
      <c r="G132" s="6"/>
      <c r="H132" s="6"/>
      <c r="I132" s="6"/>
      <c r="J132" s="6"/>
      <c r="K132" s="6"/>
      <c r="L132" s="6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7"/>
      <c r="B133" s="7"/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7"/>
      <c r="B134" s="7"/>
      <c r="C134" s="9"/>
      <c r="D134" s="6"/>
      <c r="E134" s="6"/>
      <c r="F134" s="6"/>
      <c r="G134" s="6"/>
      <c r="H134" s="6"/>
      <c r="I134" s="6"/>
      <c r="J134" s="6"/>
      <c r="K134" s="6"/>
      <c r="L134" s="6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7"/>
      <c r="B135" s="7"/>
      <c r="C135" s="9"/>
      <c r="D135" s="6"/>
      <c r="E135" s="6"/>
      <c r="F135" s="6"/>
      <c r="G135" s="6"/>
      <c r="H135" s="6"/>
      <c r="I135" s="6"/>
      <c r="J135" s="6"/>
      <c r="K135" s="6"/>
      <c r="L135" s="6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7"/>
      <c r="B136" s="7"/>
      <c r="C136" s="9"/>
      <c r="D136" s="6"/>
      <c r="E136" s="6"/>
      <c r="F136" s="6"/>
      <c r="G136" s="6"/>
      <c r="H136" s="6"/>
      <c r="I136" s="6"/>
      <c r="J136" s="6"/>
      <c r="K136" s="6"/>
      <c r="L136" s="6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7"/>
      <c r="B137" s="7"/>
      <c r="C137" s="9"/>
      <c r="D137" s="6"/>
      <c r="E137" s="6"/>
      <c r="F137" s="6"/>
      <c r="G137" s="6"/>
      <c r="H137" s="6"/>
      <c r="I137" s="6"/>
      <c r="J137" s="6"/>
      <c r="K137" s="6"/>
      <c r="L137" s="6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7"/>
      <c r="B138" s="7"/>
      <c r="C138" s="9"/>
      <c r="D138" s="6"/>
      <c r="E138" s="6"/>
      <c r="F138" s="6"/>
      <c r="G138" s="6"/>
      <c r="H138" s="6"/>
      <c r="I138" s="6"/>
      <c r="J138" s="6"/>
      <c r="K138" s="6"/>
      <c r="L138" s="6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7"/>
      <c r="B139" s="7"/>
      <c r="C139" s="9"/>
      <c r="D139" s="6"/>
      <c r="E139" s="6"/>
      <c r="F139" s="6"/>
      <c r="G139" s="6"/>
      <c r="H139" s="6"/>
      <c r="I139" s="6"/>
      <c r="J139" s="6"/>
      <c r="K139" s="6"/>
      <c r="L139" s="6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7"/>
      <c r="B140" s="7"/>
      <c r="C140" s="9"/>
      <c r="D140" s="6"/>
      <c r="E140" s="6"/>
      <c r="F140" s="6"/>
      <c r="G140" s="6"/>
      <c r="H140" s="6"/>
      <c r="I140" s="6"/>
      <c r="J140" s="6"/>
      <c r="K140" s="6"/>
      <c r="L140" s="6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7"/>
      <c r="B141" s="7"/>
      <c r="C141" s="9"/>
      <c r="D141" s="6"/>
      <c r="E141" s="6"/>
      <c r="F141" s="6"/>
      <c r="G141" s="6"/>
      <c r="H141" s="6"/>
      <c r="I141" s="6"/>
      <c r="J141" s="6"/>
      <c r="K141" s="6"/>
      <c r="L141" s="6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7"/>
      <c r="B142" s="7"/>
      <c r="C142" s="9"/>
      <c r="D142" s="6"/>
      <c r="E142" s="6"/>
      <c r="F142" s="6"/>
      <c r="G142" s="6"/>
      <c r="H142" s="6"/>
      <c r="I142" s="6"/>
      <c r="J142" s="6"/>
      <c r="K142" s="6"/>
      <c r="L142" s="6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7"/>
      <c r="B143" s="7"/>
      <c r="C143" s="9"/>
      <c r="D143" s="6"/>
      <c r="E143" s="6"/>
      <c r="F143" s="6"/>
      <c r="G143" s="6"/>
      <c r="H143" s="6"/>
      <c r="I143" s="6"/>
      <c r="J143" s="6"/>
      <c r="K143" s="6"/>
      <c r="L143" s="6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7"/>
      <c r="B144" s="7"/>
      <c r="C144" s="9"/>
      <c r="D144" s="6"/>
      <c r="E144" s="6"/>
      <c r="F144" s="6"/>
      <c r="G144" s="6"/>
      <c r="H144" s="6"/>
      <c r="I144" s="6"/>
      <c r="J144" s="6"/>
      <c r="K144" s="6"/>
      <c r="L144" s="6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7"/>
      <c r="B145" s="7"/>
      <c r="C145" s="9"/>
      <c r="D145" s="6"/>
      <c r="E145" s="6"/>
      <c r="F145" s="6"/>
      <c r="G145" s="6"/>
      <c r="H145" s="6"/>
      <c r="I145" s="6"/>
      <c r="J145" s="6"/>
      <c r="K145" s="6"/>
      <c r="L145" s="6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7"/>
      <c r="B146" s="7"/>
      <c r="C146" s="9"/>
      <c r="D146" s="6"/>
      <c r="E146" s="6"/>
      <c r="F146" s="6"/>
      <c r="G146" s="6"/>
      <c r="H146" s="6"/>
      <c r="I146" s="6"/>
      <c r="J146" s="6"/>
      <c r="K146" s="6"/>
      <c r="L146" s="6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7"/>
      <c r="B147" s="7"/>
      <c r="C147" s="9"/>
      <c r="D147" s="6"/>
      <c r="E147" s="6"/>
      <c r="F147" s="6"/>
      <c r="G147" s="6"/>
      <c r="H147" s="6"/>
      <c r="I147" s="6"/>
      <c r="J147" s="6"/>
      <c r="K147" s="6"/>
      <c r="L147" s="6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7"/>
      <c r="B148" s="7"/>
      <c r="C148" s="9"/>
      <c r="D148" s="6"/>
      <c r="E148" s="6"/>
      <c r="F148" s="6"/>
      <c r="G148" s="6"/>
      <c r="H148" s="6"/>
      <c r="I148" s="6"/>
      <c r="J148" s="6"/>
      <c r="K148" s="6"/>
      <c r="L148" s="6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7"/>
      <c r="B149" s="7"/>
      <c r="C149" s="9"/>
      <c r="D149" s="6"/>
      <c r="E149" s="6"/>
      <c r="F149" s="6"/>
      <c r="G149" s="6"/>
      <c r="H149" s="6"/>
      <c r="I149" s="6"/>
      <c r="J149" s="6"/>
      <c r="K149" s="6"/>
      <c r="L149" s="6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7"/>
      <c r="B150" s="7"/>
      <c r="C150" s="9"/>
      <c r="D150" s="6"/>
      <c r="E150" s="6"/>
      <c r="F150" s="6"/>
      <c r="G150" s="6"/>
      <c r="H150" s="6"/>
      <c r="I150" s="6"/>
      <c r="J150" s="6"/>
      <c r="K150" s="6"/>
      <c r="L150" s="6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7"/>
      <c r="B151" s="7"/>
      <c r="C151" s="9"/>
      <c r="D151" s="6"/>
      <c r="E151" s="6"/>
      <c r="F151" s="6"/>
      <c r="G151" s="6"/>
      <c r="H151" s="6"/>
      <c r="I151" s="6"/>
      <c r="J151" s="6"/>
      <c r="K151" s="6"/>
      <c r="L151" s="6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7"/>
      <c r="B152" s="7"/>
      <c r="C152" s="9"/>
      <c r="D152" s="6"/>
      <c r="E152" s="6"/>
      <c r="F152" s="6"/>
      <c r="G152" s="6"/>
      <c r="H152" s="6"/>
      <c r="I152" s="6"/>
      <c r="J152" s="6"/>
      <c r="K152" s="6"/>
      <c r="L152" s="6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7"/>
      <c r="B153" s="7"/>
      <c r="C153" s="9"/>
      <c r="D153" s="6"/>
      <c r="E153" s="6"/>
      <c r="F153" s="6"/>
      <c r="G153" s="6"/>
      <c r="H153" s="6"/>
      <c r="I153" s="6"/>
      <c r="J153" s="6"/>
      <c r="K153" s="6"/>
      <c r="L153" s="6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7"/>
      <c r="B154" s="7"/>
      <c r="C154" s="9"/>
      <c r="D154" s="6"/>
      <c r="E154" s="6"/>
      <c r="F154" s="6"/>
      <c r="G154" s="6"/>
      <c r="H154" s="6"/>
      <c r="I154" s="6"/>
      <c r="J154" s="6"/>
      <c r="K154" s="6"/>
      <c r="L154" s="6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7"/>
      <c r="B155" s="7"/>
      <c r="C155" s="9"/>
      <c r="D155" s="6"/>
      <c r="E155" s="6"/>
      <c r="F155" s="6"/>
      <c r="G155" s="6"/>
      <c r="H155" s="6"/>
      <c r="I155" s="6"/>
      <c r="J155" s="6"/>
      <c r="K155" s="6"/>
      <c r="L155" s="6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7"/>
      <c r="B156" s="7"/>
      <c r="C156" s="9"/>
      <c r="D156" s="6"/>
      <c r="E156" s="6"/>
      <c r="F156" s="6"/>
      <c r="G156" s="6"/>
      <c r="H156" s="6"/>
      <c r="I156" s="6"/>
      <c r="J156" s="6"/>
      <c r="K156" s="6"/>
      <c r="L156" s="6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7"/>
      <c r="B157" s="7"/>
      <c r="C157" s="9"/>
      <c r="D157" s="6"/>
      <c r="E157" s="6"/>
      <c r="F157" s="6"/>
      <c r="G157" s="6"/>
      <c r="H157" s="6"/>
      <c r="I157" s="6"/>
      <c r="J157" s="6"/>
      <c r="K157" s="6"/>
      <c r="L157" s="6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7"/>
      <c r="B158" s="7"/>
      <c r="C158" s="9"/>
      <c r="D158" s="6"/>
      <c r="E158" s="6"/>
      <c r="F158" s="6"/>
      <c r="G158" s="6"/>
      <c r="H158" s="6"/>
      <c r="I158" s="6"/>
      <c r="J158" s="6"/>
      <c r="K158" s="6"/>
      <c r="L158" s="6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7"/>
      <c r="B159" s="7"/>
      <c r="C159" s="9"/>
      <c r="D159" s="6"/>
      <c r="E159" s="6"/>
      <c r="F159" s="6"/>
      <c r="G159" s="6"/>
      <c r="H159" s="6"/>
      <c r="I159" s="6"/>
      <c r="J159" s="6"/>
      <c r="K159" s="6"/>
      <c r="L159" s="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7"/>
      <c r="B160" s="7"/>
      <c r="C160" s="9"/>
      <c r="D160" s="6"/>
      <c r="E160" s="6"/>
      <c r="F160" s="6"/>
      <c r="G160" s="6"/>
      <c r="H160" s="6"/>
      <c r="I160" s="6"/>
      <c r="J160" s="6"/>
      <c r="K160" s="6"/>
      <c r="L160" s="6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7"/>
      <c r="B161" s="7"/>
      <c r="C161" s="9"/>
      <c r="D161" s="6"/>
      <c r="E161" s="6"/>
      <c r="F161" s="6"/>
      <c r="G161" s="6"/>
      <c r="H161" s="6"/>
      <c r="I161" s="6"/>
      <c r="J161" s="6"/>
      <c r="K161" s="6"/>
      <c r="L161" s="6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7"/>
      <c r="B162" s="7"/>
      <c r="C162" s="9"/>
      <c r="D162" s="6"/>
      <c r="E162" s="6"/>
      <c r="F162" s="6"/>
      <c r="G162" s="6"/>
      <c r="H162" s="6"/>
      <c r="I162" s="6"/>
      <c r="J162" s="6"/>
      <c r="K162" s="6"/>
      <c r="L162" s="6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7"/>
      <c r="B163" s="7"/>
      <c r="C163" s="9"/>
      <c r="D163" s="6"/>
      <c r="E163" s="6"/>
      <c r="F163" s="6"/>
      <c r="G163" s="6"/>
      <c r="H163" s="6"/>
      <c r="I163" s="6"/>
      <c r="J163" s="6"/>
      <c r="K163" s="6"/>
      <c r="L163" s="6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7"/>
      <c r="B164" s="7"/>
      <c r="C164" s="9"/>
      <c r="D164" s="6"/>
      <c r="E164" s="6"/>
      <c r="F164" s="6"/>
      <c r="G164" s="6"/>
      <c r="H164" s="6"/>
      <c r="I164" s="6"/>
      <c r="J164" s="6"/>
      <c r="K164" s="6"/>
      <c r="L164" s="6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7"/>
      <c r="B165" s="7"/>
      <c r="C165" s="9"/>
      <c r="D165" s="6"/>
      <c r="E165" s="6"/>
      <c r="F165" s="6"/>
      <c r="G165" s="6"/>
      <c r="H165" s="6"/>
      <c r="I165" s="6"/>
      <c r="J165" s="6"/>
      <c r="K165" s="6"/>
      <c r="L165" s="6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7"/>
      <c r="B166" s="7"/>
      <c r="C166" s="9"/>
      <c r="D166" s="6"/>
      <c r="E166" s="6"/>
      <c r="F166" s="6"/>
      <c r="G166" s="6"/>
      <c r="H166" s="6"/>
      <c r="I166" s="6"/>
      <c r="J166" s="6"/>
      <c r="K166" s="6"/>
      <c r="L166" s="6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7"/>
      <c r="B167" s="7"/>
      <c r="C167" s="9"/>
      <c r="D167" s="6"/>
      <c r="E167" s="6"/>
      <c r="F167" s="6"/>
      <c r="G167" s="6"/>
      <c r="H167" s="6"/>
      <c r="I167" s="6"/>
      <c r="J167" s="6"/>
      <c r="K167" s="6"/>
      <c r="L167" s="6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7"/>
      <c r="B168" s="7"/>
      <c r="C168" s="9"/>
      <c r="D168" s="6"/>
      <c r="E168" s="6"/>
      <c r="F168" s="6"/>
      <c r="G168" s="6"/>
      <c r="H168" s="6"/>
      <c r="I168" s="6"/>
      <c r="J168" s="6"/>
      <c r="K168" s="6"/>
      <c r="L168" s="6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7"/>
      <c r="B169" s="7"/>
      <c r="C169" s="9"/>
      <c r="D169" s="6"/>
      <c r="E169" s="6"/>
      <c r="F169" s="6"/>
      <c r="G169" s="6"/>
      <c r="H169" s="6"/>
      <c r="I169" s="6"/>
      <c r="J169" s="6"/>
      <c r="K169" s="6"/>
      <c r="L169" s="6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7"/>
      <c r="B170" s="7"/>
      <c r="C170" s="9"/>
      <c r="D170" s="6"/>
      <c r="E170" s="6"/>
      <c r="F170" s="6"/>
      <c r="G170" s="6"/>
      <c r="H170" s="6"/>
      <c r="I170" s="6"/>
      <c r="J170" s="6"/>
      <c r="K170" s="6"/>
      <c r="L170" s="6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7"/>
      <c r="B171" s="7"/>
      <c r="C171" s="9"/>
      <c r="D171" s="6"/>
      <c r="E171" s="6"/>
      <c r="F171" s="6"/>
      <c r="G171" s="6"/>
      <c r="H171" s="6"/>
      <c r="I171" s="6"/>
      <c r="J171" s="6"/>
      <c r="K171" s="6"/>
      <c r="L171" s="6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7"/>
      <c r="B172" s="7"/>
      <c r="C172" s="9"/>
      <c r="D172" s="6"/>
      <c r="E172" s="6"/>
      <c r="F172" s="6"/>
      <c r="G172" s="6"/>
      <c r="H172" s="6"/>
      <c r="I172" s="6"/>
      <c r="J172" s="6"/>
      <c r="K172" s="6"/>
      <c r="L172" s="6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7"/>
      <c r="B173" s="7"/>
      <c r="C173" s="9"/>
      <c r="D173" s="6"/>
      <c r="E173" s="6"/>
      <c r="F173" s="6"/>
      <c r="G173" s="6"/>
      <c r="H173" s="6"/>
      <c r="I173" s="6"/>
      <c r="J173" s="6"/>
      <c r="K173" s="6"/>
      <c r="L173" s="6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7"/>
      <c r="B174" s="7"/>
      <c r="C174" s="9"/>
      <c r="D174" s="6"/>
      <c r="E174" s="6"/>
      <c r="F174" s="6"/>
      <c r="G174" s="6"/>
      <c r="H174" s="6"/>
      <c r="I174" s="6"/>
      <c r="J174" s="6"/>
      <c r="K174" s="6"/>
      <c r="L174" s="6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7"/>
      <c r="B175" s="7"/>
      <c r="C175" s="9"/>
      <c r="D175" s="6"/>
      <c r="E175" s="6"/>
      <c r="F175" s="6"/>
      <c r="G175" s="6"/>
      <c r="H175" s="6"/>
      <c r="I175" s="6"/>
      <c r="J175" s="6"/>
      <c r="K175" s="6"/>
      <c r="L175" s="6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7"/>
      <c r="B176" s="7"/>
      <c r="C176" s="9"/>
      <c r="D176" s="6"/>
      <c r="E176" s="6"/>
      <c r="F176" s="6"/>
      <c r="G176" s="6"/>
      <c r="H176" s="6"/>
      <c r="I176" s="6"/>
      <c r="J176" s="6"/>
      <c r="K176" s="6"/>
      <c r="L176" s="6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7"/>
      <c r="B177" s="7"/>
      <c r="C177" s="9"/>
      <c r="D177" s="6"/>
      <c r="E177" s="6"/>
      <c r="F177" s="6"/>
      <c r="G177" s="6"/>
      <c r="H177" s="6"/>
      <c r="I177" s="6"/>
      <c r="J177" s="6"/>
      <c r="K177" s="6"/>
      <c r="L177" s="6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7"/>
      <c r="B178" s="7"/>
      <c r="C178" s="9"/>
      <c r="D178" s="6"/>
      <c r="E178" s="6"/>
      <c r="F178" s="6"/>
      <c r="G178" s="6"/>
      <c r="H178" s="6"/>
      <c r="I178" s="6"/>
      <c r="J178" s="6"/>
      <c r="K178" s="6"/>
      <c r="L178" s="6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7"/>
      <c r="B179" s="7"/>
      <c r="C179" s="9"/>
      <c r="D179" s="6"/>
      <c r="E179" s="6"/>
      <c r="F179" s="6"/>
      <c r="G179" s="6"/>
      <c r="H179" s="6"/>
      <c r="I179" s="6"/>
      <c r="J179" s="6"/>
      <c r="K179" s="6"/>
      <c r="L179" s="6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7"/>
      <c r="B180" s="7"/>
      <c r="C180" s="9"/>
      <c r="D180" s="6"/>
      <c r="E180" s="6"/>
      <c r="F180" s="6"/>
      <c r="G180" s="6"/>
      <c r="H180" s="6"/>
      <c r="I180" s="6"/>
      <c r="J180" s="6"/>
      <c r="K180" s="6"/>
      <c r="L180" s="6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7"/>
      <c r="B181" s="7"/>
      <c r="C181" s="9"/>
      <c r="D181" s="6"/>
      <c r="E181" s="6"/>
      <c r="F181" s="6"/>
      <c r="G181" s="6"/>
      <c r="H181" s="6"/>
      <c r="I181" s="6"/>
      <c r="J181" s="6"/>
      <c r="K181" s="6"/>
      <c r="L181" s="6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7"/>
      <c r="B182" s="7"/>
      <c r="C182" s="9"/>
      <c r="D182" s="6"/>
      <c r="E182" s="6"/>
      <c r="F182" s="6"/>
      <c r="G182" s="6"/>
      <c r="H182" s="6"/>
      <c r="I182" s="6"/>
      <c r="J182" s="6"/>
      <c r="K182" s="6"/>
      <c r="L182" s="6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7"/>
      <c r="B183" s="7"/>
      <c r="C183" s="9"/>
      <c r="D183" s="6"/>
      <c r="E183" s="6"/>
      <c r="F183" s="6"/>
      <c r="G183" s="6"/>
      <c r="H183" s="6"/>
      <c r="I183" s="6"/>
      <c r="J183" s="6"/>
      <c r="K183" s="6"/>
      <c r="L183" s="6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7"/>
      <c r="B184" s="7"/>
      <c r="C184" s="9"/>
      <c r="D184" s="6"/>
      <c r="E184" s="6"/>
      <c r="F184" s="6"/>
      <c r="G184" s="6"/>
      <c r="H184" s="6"/>
      <c r="I184" s="6"/>
      <c r="J184" s="6"/>
      <c r="K184" s="6"/>
      <c r="L184" s="6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7"/>
      <c r="B185" s="7"/>
      <c r="C185" s="9"/>
      <c r="D185" s="6"/>
      <c r="E185" s="6"/>
      <c r="F185" s="6"/>
      <c r="G185" s="6"/>
      <c r="H185" s="6"/>
      <c r="I185" s="6"/>
      <c r="J185" s="6"/>
      <c r="K185" s="6"/>
      <c r="L185" s="6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7"/>
      <c r="B186" s="7"/>
      <c r="C186" s="9"/>
      <c r="D186" s="6"/>
      <c r="E186" s="6"/>
      <c r="F186" s="6"/>
      <c r="G186" s="6"/>
      <c r="H186" s="6"/>
      <c r="I186" s="6"/>
      <c r="J186" s="6"/>
      <c r="K186" s="6"/>
      <c r="L186" s="6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7"/>
      <c r="B187" s="7"/>
      <c r="C187" s="9"/>
      <c r="D187" s="6"/>
      <c r="E187" s="6"/>
      <c r="F187" s="6"/>
      <c r="G187" s="6"/>
      <c r="H187" s="6"/>
      <c r="I187" s="6"/>
      <c r="J187" s="6"/>
      <c r="K187" s="6"/>
      <c r="L187" s="6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7"/>
      <c r="B188" s="7"/>
      <c r="C188" s="9"/>
      <c r="D188" s="6"/>
      <c r="E188" s="6"/>
      <c r="F188" s="6"/>
      <c r="G188" s="6"/>
      <c r="H188" s="6"/>
      <c r="I188" s="6"/>
      <c r="J188" s="6"/>
      <c r="K188" s="6"/>
      <c r="L188" s="6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7"/>
      <c r="B189" s="7"/>
      <c r="C189" s="9"/>
      <c r="D189" s="6"/>
      <c r="E189" s="6"/>
      <c r="F189" s="6"/>
      <c r="G189" s="6"/>
      <c r="H189" s="6"/>
      <c r="I189" s="6"/>
      <c r="J189" s="6"/>
      <c r="K189" s="6"/>
      <c r="L189" s="6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7"/>
      <c r="B190" s="7"/>
      <c r="C190" s="9"/>
      <c r="D190" s="6"/>
      <c r="E190" s="6"/>
      <c r="F190" s="6"/>
      <c r="G190" s="6"/>
      <c r="H190" s="6"/>
      <c r="I190" s="6"/>
      <c r="J190" s="6"/>
      <c r="K190" s="6"/>
      <c r="L190" s="6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7"/>
      <c r="B191" s="7"/>
      <c r="C191" s="9"/>
      <c r="D191" s="6"/>
      <c r="E191" s="6"/>
      <c r="F191" s="6"/>
      <c r="G191" s="6"/>
      <c r="H191" s="6"/>
      <c r="I191" s="6"/>
      <c r="J191" s="6"/>
      <c r="K191" s="6"/>
      <c r="L191" s="6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7"/>
      <c r="B192" s="7"/>
      <c r="C192" s="9"/>
      <c r="D192" s="6"/>
      <c r="E192" s="6"/>
      <c r="F192" s="6"/>
      <c r="G192" s="6"/>
      <c r="H192" s="6"/>
      <c r="I192" s="6"/>
      <c r="J192" s="6"/>
      <c r="K192" s="6"/>
      <c r="L192" s="6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7"/>
      <c r="B193" s="7"/>
      <c r="C193" s="9"/>
      <c r="D193" s="6"/>
      <c r="E193" s="6"/>
      <c r="F193" s="6"/>
      <c r="G193" s="6"/>
      <c r="H193" s="6"/>
      <c r="I193" s="6"/>
      <c r="J193" s="6"/>
      <c r="K193" s="6"/>
      <c r="L193" s="6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7"/>
      <c r="B194" s="7"/>
      <c r="C194" s="9"/>
      <c r="D194" s="6"/>
      <c r="E194" s="6"/>
      <c r="F194" s="6"/>
      <c r="G194" s="6"/>
      <c r="H194" s="6"/>
      <c r="I194" s="6"/>
      <c r="J194" s="6"/>
      <c r="K194" s="6"/>
      <c r="L194" s="6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7"/>
      <c r="B195" s="7"/>
      <c r="C195" s="9"/>
      <c r="D195" s="6"/>
      <c r="E195" s="6"/>
      <c r="F195" s="6"/>
      <c r="G195" s="6"/>
      <c r="H195" s="6"/>
      <c r="I195" s="6"/>
      <c r="J195" s="6"/>
      <c r="K195" s="6"/>
      <c r="L195" s="6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7"/>
      <c r="B196" s="7"/>
      <c r="C196" s="9"/>
      <c r="D196" s="6"/>
      <c r="E196" s="6"/>
      <c r="F196" s="6"/>
      <c r="G196" s="6"/>
      <c r="H196" s="6"/>
      <c r="I196" s="6"/>
      <c r="J196" s="6"/>
      <c r="K196" s="6"/>
      <c r="L196" s="6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7"/>
      <c r="B197" s="7"/>
      <c r="C197" s="9"/>
      <c r="D197" s="6"/>
      <c r="E197" s="6"/>
      <c r="F197" s="6"/>
      <c r="G197" s="6"/>
      <c r="H197" s="6"/>
      <c r="I197" s="6"/>
      <c r="J197" s="6"/>
      <c r="K197" s="6"/>
      <c r="L197" s="6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7"/>
      <c r="B198" s="7"/>
      <c r="C198" s="9"/>
      <c r="D198" s="6"/>
      <c r="E198" s="6"/>
      <c r="F198" s="6"/>
      <c r="G198" s="6"/>
      <c r="H198" s="6"/>
      <c r="I198" s="6"/>
      <c r="J198" s="6"/>
      <c r="K198" s="6"/>
      <c r="L198" s="6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7"/>
      <c r="B199" s="7"/>
      <c r="C199" s="9"/>
      <c r="D199" s="6"/>
      <c r="E199" s="6"/>
      <c r="F199" s="6"/>
      <c r="G199" s="6"/>
      <c r="H199" s="6"/>
      <c r="I199" s="6"/>
      <c r="J199" s="6"/>
      <c r="K199" s="6"/>
      <c r="L199" s="6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7"/>
      <c r="B200" s="7"/>
      <c r="C200" s="9"/>
      <c r="D200" s="6"/>
      <c r="E200" s="6"/>
      <c r="F200" s="6"/>
      <c r="G200" s="6"/>
      <c r="H200" s="6"/>
      <c r="I200" s="6"/>
      <c r="J200" s="6"/>
      <c r="K200" s="6"/>
      <c r="L200" s="6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7"/>
      <c r="B201" s="7"/>
      <c r="C201" s="9"/>
      <c r="D201" s="6"/>
      <c r="E201" s="6"/>
      <c r="F201" s="6"/>
      <c r="G201" s="6"/>
      <c r="H201" s="6"/>
      <c r="I201" s="6"/>
      <c r="J201" s="6"/>
      <c r="K201" s="6"/>
      <c r="L201" s="6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7"/>
      <c r="B202" s="7"/>
      <c r="C202" s="9"/>
      <c r="D202" s="6"/>
      <c r="E202" s="6"/>
      <c r="F202" s="6"/>
      <c r="G202" s="6"/>
      <c r="H202" s="6"/>
      <c r="I202" s="6"/>
      <c r="J202" s="6"/>
      <c r="K202" s="6"/>
      <c r="L202" s="6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7"/>
      <c r="B203" s="7"/>
      <c r="C203" s="9"/>
      <c r="D203" s="6"/>
      <c r="E203" s="6"/>
      <c r="F203" s="6"/>
      <c r="G203" s="6"/>
      <c r="H203" s="6"/>
      <c r="I203" s="6"/>
      <c r="J203" s="6"/>
      <c r="K203" s="6"/>
      <c r="L203" s="6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7"/>
      <c r="B204" s="7"/>
      <c r="C204" s="9"/>
      <c r="D204" s="6"/>
      <c r="E204" s="6"/>
      <c r="F204" s="6"/>
      <c r="G204" s="6"/>
      <c r="H204" s="6"/>
      <c r="I204" s="6"/>
      <c r="J204" s="6"/>
      <c r="K204" s="6"/>
      <c r="L204" s="6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7"/>
      <c r="B205" s="7"/>
      <c r="C205" s="9"/>
      <c r="D205" s="6"/>
      <c r="E205" s="6"/>
      <c r="F205" s="6"/>
      <c r="G205" s="6"/>
      <c r="H205" s="6"/>
      <c r="I205" s="6"/>
      <c r="J205" s="6"/>
      <c r="K205" s="6"/>
      <c r="L205" s="6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7"/>
      <c r="B206" s="7"/>
      <c r="C206" s="9"/>
      <c r="D206" s="6"/>
      <c r="E206" s="6"/>
      <c r="F206" s="6"/>
      <c r="G206" s="6"/>
      <c r="H206" s="6"/>
      <c r="I206" s="6"/>
      <c r="J206" s="6"/>
      <c r="K206" s="6"/>
      <c r="L206" s="6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7"/>
      <c r="B207" s="7"/>
      <c r="C207" s="9"/>
      <c r="D207" s="6"/>
      <c r="E207" s="6"/>
      <c r="F207" s="6"/>
      <c r="G207" s="6"/>
      <c r="H207" s="6"/>
      <c r="I207" s="6"/>
      <c r="J207" s="6"/>
      <c r="K207" s="6"/>
      <c r="L207" s="6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7"/>
      <c r="B208" s="7"/>
      <c r="C208" s="9"/>
      <c r="D208" s="6"/>
      <c r="E208" s="6"/>
      <c r="F208" s="6"/>
      <c r="G208" s="6"/>
      <c r="H208" s="6"/>
      <c r="I208" s="6"/>
      <c r="J208" s="6"/>
      <c r="K208" s="6"/>
      <c r="L208" s="6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7"/>
      <c r="B209" s="7"/>
      <c r="C209" s="9"/>
      <c r="D209" s="6"/>
      <c r="E209" s="6"/>
      <c r="F209" s="6"/>
      <c r="G209" s="6"/>
      <c r="H209" s="6"/>
      <c r="I209" s="6"/>
      <c r="J209" s="6"/>
      <c r="K209" s="6"/>
      <c r="L209" s="6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7"/>
      <c r="B210" s="7"/>
      <c r="C210" s="9"/>
      <c r="D210" s="6"/>
      <c r="E210" s="6"/>
      <c r="F210" s="6"/>
      <c r="G210" s="6"/>
      <c r="H210" s="6"/>
      <c r="I210" s="6"/>
      <c r="J210" s="6"/>
      <c r="K210" s="6"/>
      <c r="L210" s="6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7"/>
      <c r="B211" s="7"/>
      <c r="C211" s="9"/>
      <c r="D211" s="6"/>
      <c r="E211" s="6"/>
      <c r="F211" s="6"/>
      <c r="G211" s="6"/>
      <c r="H211" s="6"/>
      <c r="I211" s="6"/>
      <c r="J211" s="6"/>
      <c r="K211" s="6"/>
      <c r="L211" s="6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7"/>
      <c r="B212" s="7"/>
      <c r="C212" s="9"/>
      <c r="D212" s="6"/>
      <c r="E212" s="6"/>
      <c r="F212" s="6"/>
      <c r="G212" s="6"/>
      <c r="H212" s="6"/>
      <c r="I212" s="6"/>
      <c r="J212" s="6"/>
      <c r="K212" s="6"/>
      <c r="L212" s="6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7"/>
      <c r="B213" s="7"/>
      <c r="C213" s="9"/>
      <c r="D213" s="6"/>
      <c r="E213" s="6"/>
      <c r="F213" s="6"/>
      <c r="G213" s="6"/>
      <c r="H213" s="6"/>
      <c r="I213" s="6"/>
      <c r="J213" s="6"/>
      <c r="K213" s="6"/>
      <c r="L213" s="6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7"/>
      <c r="B214" s="7"/>
      <c r="C214" s="9"/>
      <c r="D214" s="6"/>
      <c r="E214" s="6"/>
      <c r="F214" s="6"/>
      <c r="G214" s="6"/>
      <c r="H214" s="6"/>
      <c r="I214" s="6"/>
      <c r="J214" s="6"/>
      <c r="K214" s="6"/>
      <c r="L214" s="6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7"/>
      <c r="B215" s="7"/>
      <c r="C215" s="9"/>
      <c r="D215" s="6"/>
      <c r="E215" s="6"/>
      <c r="F215" s="6"/>
      <c r="G215" s="6"/>
      <c r="H215" s="6"/>
      <c r="I215" s="6"/>
      <c r="J215" s="6"/>
      <c r="K215" s="6"/>
      <c r="L215" s="6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7"/>
      <c r="B216" s="7"/>
      <c r="C216" s="9"/>
      <c r="D216" s="6"/>
      <c r="E216" s="6"/>
      <c r="F216" s="6"/>
      <c r="G216" s="6"/>
      <c r="H216" s="6"/>
      <c r="I216" s="6"/>
      <c r="J216" s="6"/>
      <c r="K216" s="6"/>
      <c r="L216" s="6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7"/>
      <c r="B217" s="7"/>
      <c r="C217" s="9"/>
      <c r="D217" s="6"/>
      <c r="E217" s="6"/>
      <c r="F217" s="6"/>
      <c r="G217" s="6"/>
      <c r="H217" s="6"/>
      <c r="I217" s="6"/>
      <c r="J217" s="6"/>
      <c r="K217" s="6"/>
      <c r="L217" s="6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7"/>
      <c r="B218" s="7"/>
      <c r="C218" s="9"/>
      <c r="D218" s="6"/>
      <c r="E218" s="6"/>
      <c r="F218" s="6"/>
      <c r="G218" s="6"/>
      <c r="H218" s="6"/>
      <c r="I218" s="6"/>
      <c r="J218" s="6"/>
      <c r="K218" s="6"/>
      <c r="L218" s="6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7"/>
      <c r="B219" s="7"/>
      <c r="C219" s="9"/>
      <c r="D219" s="6"/>
      <c r="E219" s="6"/>
      <c r="F219" s="6"/>
      <c r="G219" s="6"/>
      <c r="H219" s="6"/>
      <c r="I219" s="6"/>
      <c r="J219" s="6"/>
      <c r="K219" s="6"/>
      <c r="L219" s="6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7"/>
      <c r="B220" s="7"/>
      <c r="C220" s="9"/>
      <c r="D220" s="6"/>
      <c r="E220" s="6"/>
      <c r="F220" s="6"/>
      <c r="G220" s="6"/>
      <c r="H220" s="6"/>
      <c r="I220" s="6"/>
      <c r="J220" s="6"/>
      <c r="K220" s="6"/>
      <c r="L220" s="6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7"/>
      <c r="B221" s="7"/>
      <c r="C221" s="9"/>
      <c r="D221" s="6"/>
      <c r="E221" s="6"/>
      <c r="F221" s="6"/>
      <c r="G221" s="6"/>
      <c r="H221" s="6"/>
      <c r="I221" s="6"/>
      <c r="J221" s="6"/>
      <c r="K221" s="6"/>
      <c r="L221" s="6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7"/>
      <c r="B222" s="7"/>
      <c r="C222" s="9"/>
      <c r="D222" s="6"/>
      <c r="E222" s="6"/>
      <c r="F222" s="6"/>
      <c r="G222" s="6"/>
      <c r="H222" s="6"/>
      <c r="I222" s="6"/>
      <c r="J222" s="6"/>
      <c r="K222" s="6"/>
      <c r="L222" s="6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7"/>
      <c r="B223" s="7"/>
      <c r="C223" s="9"/>
      <c r="D223" s="6"/>
      <c r="E223" s="6"/>
      <c r="F223" s="6"/>
      <c r="G223" s="6"/>
      <c r="H223" s="6"/>
      <c r="I223" s="6"/>
      <c r="J223" s="6"/>
      <c r="K223" s="6"/>
      <c r="L223" s="6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7"/>
      <c r="B224" s="7"/>
      <c r="C224" s="9"/>
      <c r="D224" s="6"/>
      <c r="E224" s="6"/>
      <c r="F224" s="6"/>
      <c r="G224" s="6"/>
      <c r="H224" s="6"/>
      <c r="I224" s="6"/>
      <c r="J224" s="6"/>
      <c r="K224" s="6"/>
      <c r="L224" s="6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7"/>
      <c r="B225" s="7"/>
      <c r="C225" s="9"/>
      <c r="D225" s="6"/>
      <c r="E225" s="6"/>
      <c r="F225" s="6"/>
      <c r="G225" s="6"/>
      <c r="H225" s="6"/>
      <c r="I225" s="6"/>
      <c r="J225" s="6"/>
      <c r="K225" s="6"/>
      <c r="L225" s="6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7"/>
      <c r="B226" s="7"/>
      <c r="C226" s="9"/>
      <c r="D226" s="6"/>
      <c r="E226" s="6"/>
      <c r="F226" s="6"/>
      <c r="G226" s="6"/>
      <c r="H226" s="6"/>
      <c r="I226" s="6"/>
      <c r="J226" s="6"/>
      <c r="K226" s="6"/>
      <c r="L226" s="6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7"/>
      <c r="B227" s="7"/>
      <c r="C227" s="9"/>
      <c r="D227" s="6"/>
      <c r="E227" s="6"/>
      <c r="F227" s="6"/>
      <c r="G227" s="6"/>
      <c r="H227" s="6"/>
      <c r="I227" s="6"/>
      <c r="J227" s="6"/>
      <c r="K227" s="6"/>
      <c r="L227" s="6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7"/>
      <c r="B228" s="7"/>
      <c r="C228" s="9"/>
      <c r="D228" s="6"/>
      <c r="E228" s="6"/>
      <c r="F228" s="6"/>
      <c r="G228" s="6"/>
      <c r="H228" s="6"/>
      <c r="I228" s="6"/>
      <c r="J228" s="6"/>
      <c r="K228" s="6"/>
      <c r="L228" s="6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7"/>
      <c r="B229" s="7"/>
      <c r="C229" s="9"/>
      <c r="D229" s="6"/>
      <c r="E229" s="6"/>
      <c r="F229" s="6"/>
      <c r="G229" s="6"/>
      <c r="H229" s="6"/>
      <c r="I229" s="6"/>
      <c r="J229" s="6"/>
      <c r="K229" s="6"/>
      <c r="L229" s="6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7"/>
      <c r="B230" s="7"/>
      <c r="C230" s="9"/>
      <c r="D230" s="6"/>
      <c r="E230" s="6"/>
      <c r="F230" s="6"/>
      <c r="G230" s="6"/>
      <c r="H230" s="6"/>
      <c r="I230" s="6"/>
      <c r="J230" s="6"/>
      <c r="K230" s="6"/>
      <c r="L230" s="6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7"/>
      <c r="B231" s="7"/>
      <c r="C231" s="9"/>
      <c r="D231" s="6"/>
      <c r="E231" s="6"/>
      <c r="F231" s="6"/>
      <c r="G231" s="6"/>
      <c r="H231" s="6"/>
      <c r="I231" s="6"/>
      <c r="J231" s="6"/>
      <c r="K231" s="6"/>
      <c r="L231" s="6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7"/>
      <c r="B232" s="7"/>
      <c r="C232" s="9"/>
      <c r="D232" s="6"/>
      <c r="E232" s="6"/>
      <c r="F232" s="6"/>
      <c r="G232" s="6"/>
      <c r="H232" s="6"/>
      <c r="I232" s="6"/>
      <c r="J232" s="6"/>
      <c r="K232" s="6"/>
      <c r="L232" s="6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7"/>
      <c r="B233" s="7"/>
      <c r="C233" s="9"/>
      <c r="D233" s="6"/>
      <c r="E233" s="6"/>
      <c r="F233" s="6"/>
      <c r="G233" s="6"/>
      <c r="H233" s="6"/>
      <c r="I233" s="6"/>
      <c r="J233" s="6"/>
      <c r="K233" s="6"/>
      <c r="L233" s="6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7"/>
      <c r="B234" s="7"/>
      <c r="C234" s="9"/>
      <c r="D234" s="6"/>
      <c r="E234" s="6"/>
      <c r="F234" s="6"/>
      <c r="G234" s="6"/>
      <c r="H234" s="6"/>
      <c r="I234" s="6"/>
      <c r="J234" s="6"/>
      <c r="K234" s="6"/>
      <c r="L234" s="6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1036"/>
  <sheetViews>
    <sheetView tabSelected="1" workbookViewId="0">
      <pane ySplit="2" topLeftCell="A3" activePane="bottomLeft" state="frozen"/>
      <selection pane="bottomLeft" activeCell="D3" sqref="D3:D5"/>
    </sheetView>
  </sheetViews>
  <sheetFormatPr defaultColWidth="12.625" defaultRowHeight="15" customHeight="1"/>
  <cols>
    <col min="1" max="1" width="12" customWidth="1"/>
    <col min="2" max="2" width="8" customWidth="1"/>
    <col min="3" max="3" width="7.875" customWidth="1"/>
    <col min="4" max="4" width="9.625" customWidth="1"/>
    <col min="5" max="5" width="8.875" customWidth="1"/>
    <col min="6" max="6" width="9.5" customWidth="1"/>
    <col min="7" max="7" width="9.625" customWidth="1"/>
    <col min="8" max="8" width="6.875" customWidth="1"/>
    <col min="9" max="9" width="8" customWidth="1"/>
    <col min="10" max="10" width="7.875" customWidth="1"/>
    <col min="11" max="11" width="5" customWidth="1"/>
    <col min="12" max="12" width="12.375" customWidth="1"/>
    <col min="13" max="13" width="8" customWidth="1"/>
    <col min="14" max="14" width="7.875" customWidth="1"/>
    <col min="15" max="15" width="9.5" customWidth="1"/>
    <col min="16" max="16" width="10.875" style="8" customWidth="1"/>
    <col min="17" max="17" width="8" customWidth="1"/>
    <col min="18" max="18" width="7.875" customWidth="1"/>
    <col min="19" max="19" width="9.375" customWidth="1"/>
    <col min="20" max="20" width="5" customWidth="1"/>
    <col min="21" max="21" width="13.625" customWidth="1"/>
    <col min="22" max="22" width="8" customWidth="1"/>
    <col min="23" max="23" width="5.375" style="16" customWidth="1"/>
    <col min="24" max="24" width="8.375" style="16" customWidth="1"/>
    <col min="25" max="25" width="9.375" style="21" customWidth="1"/>
    <col min="26" max="26" width="13.625" customWidth="1"/>
    <col min="27" max="27" width="10.125" customWidth="1"/>
  </cols>
  <sheetData>
    <row r="1" spans="1:35">
      <c r="A1" s="45" t="s">
        <v>207</v>
      </c>
      <c r="B1" s="46"/>
      <c r="C1" s="46"/>
      <c r="D1" s="46"/>
      <c r="E1" s="46"/>
      <c r="F1" s="47"/>
      <c r="G1" s="45" t="s">
        <v>208</v>
      </c>
      <c r="H1" s="47"/>
      <c r="I1" s="45" t="s">
        <v>209</v>
      </c>
      <c r="J1" s="46"/>
      <c r="K1" s="47"/>
      <c r="L1" s="45" t="s">
        <v>210</v>
      </c>
      <c r="M1" s="46"/>
      <c r="N1" s="46"/>
      <c r="O1" s="47"/>
      <c r="P1" s="45" t="s">
        <v>211</v>
      </c>
      <c r="Q1" s="46"/>
      <c r="R1" s="46"/>
      <c r="S1" s="46"/>
      <c r="T1" s="47"/>
      <c r="U1" s="20" t="s">
        <v>212</v>
      </c>
      <c r="V1" s="20"/>
      <c r="Z1" s="48" t="s">
        <v>212</v>
      </c>
      <c r="AA1" s="46"/>
      <c r="AB1" s="20"/>
      <c r="AC1" s="20"/>
      <c r="AD1" s="20"/>
      <c r="AE1" s="20"/>
      <c r="AF1" s="20"/>
      <c r="AG1" s="20"/>
      <c r="AH1" s="20"/>
      <c r="AI1" s="20"/>
    </row>
    <row r="2" spans="1:35">
      <c r="A2" s="19" t="s">
        <v>213</v>
      </c>
      <c r="B2" s="20" t="s">
        <v>214</v>
      </c>
      <c r="C2" s="19" t="s">
        <v>215</v>
      </c>
      <c r="D2" s="19" t="s">
        <v>216</v>
      </c>
      <c r="E2" s="20" t="s">
        <v>217</v>
      </c>
      <c r="F2" s="22" t="s">
        <v>218</v>
      </c>
      <c r="G2" s="19" t="s">
        <v>216</v>
      </c>
      <c r="H2" s="22" t="s">
        <v>219</v>
      </c>
      <c r="I2" s="19" t="str">
        <f t="shared" ref="I2:J2" si="0">B2</f>
        <v>Installation</v>
      </c>
      <c r="J2" s="19" t="str">
        <f t="shared" si="0"/>
        <v>Pontoon</v>
      </c>
      <c r="K2" s="23" t="s">
        <v>35</v>
      </c>
      <c r="L2" s="19" t="str">
        <f t="shared" ref="L2:N2" si="1">A2</f>
        <v>Design</v>
      </c>
      <c r="M2" s="24" t="str">
        <f t="shared" si="1"/>
        <v>Installation</v>
      </c>
      <c r="N2" s="24" t="str">
        <f t="shared" si="1"/>
        <v>Pontoon</v>
      </c>
      <c r="O2" s="22" t="str">
        <f>F2</f>
        <v>Total Cost (€)</v>
      </c>
      <c r="P2" s="19" t="str">
        <f t="shared" ref="P2:R2" si="2">A2</f>
        <v>Design</v>
      </c>
      <c r="Q2" s="20" t="str">
        <f t="shared" si="2"/>
        <v>Installation</v>
      </c>
      <c r="R2" s="20" t="str">
        <f t="shared" si="2"/>
        <v>Pontoon</v>
      </c>
      <c r="S2" s="20" t="str">
        <f>F2</f>
        <v>Total Cost (€)</v>
      </c>
      <c r="T2" s="22" t="str">
        <f>K2</f>
        <v>Count</v>
      </c>
      <c r="U2" s="20" t="s">
        <v>220</v>
      </c>
      <c r="V2" s="20" t="s">
        <v>214</v>
      </c>
      <c r="W2" s="20" t="s">
        <v>221</v>
      </c>
      <c r="X2" s="20" t="s">
        <v>222</v>
      </c>
      <c r="Y2" s="22" t="s">
        <v>223</v>
      </c>
      <c r="Z2" s="20" t="s">
        <v>224</v>
      </c>
      <c r="AA2" s="20" t="s">
        <v>225</v>
      </c>
      <c r="AB2" s="20"/>
      <c r="AC2" s="20"/>
      <c r="AD2" s="20"/>
      <c r="AE2" s="20"/>
      <c r="AF2" s="20"/>
      <c r="AG2" s="20"/>
      <c r="AH2" s="20"/>
      <c r="AI2" s="20"/>
    </row>
    <row r="3" spans="1:35">
      <c r="A3" s="25" t="s">
        <v>226</v>
      </c>
      <c r="B3" s="26" t="s">
        <v>227</v>
      </c>
      <c r="C3" s="25" t="s">
        <v>228</v>
      </c>
      <c r="D3" s="25" t="s">
        <v>229</v>
      </c>
      <c r="E3" s="27">
        <v>6107.7</v>
      </c>
      <c r="F3" s="28">
        <f t="shared" ref="F3:F66" si="3">VLOOKUP($D3,$G$3:$H$8,2,FALSE)*$E3</f>
        <v>610770</v>
      </c>
      <c r="G3" s="25" t="s">
        <v>230</v>
      </c>
      <c r="H3" s="29">
        <v>150</v>
      </c>
      <c r="I3" s="25" t="s">
        <v>227</v>
      </c>
      <c r="J3" s="25" t="s">
        <v>231</v>
      </c>
      <c r="K3" s="30">
        <v>17</v>
      </c>
      <c r="L3" s="25" t="str" cm="1">
        <f t="array" ref="L3:N23">_xlfn.UNIQUE(A3:C1031)</f>
        <v>O0 Conv Ref</v>
      </c>
      <c r="M3" s="26" t="str">
        <v>10MW</v>
      </c>
      <c r="N3" s="12" t="str">
        <v>Breakwater</v>
      </c>
      <c r="O3" s="21">
        <f t="shared" ref="O3:O8" si="4">SUMIFS($F$3:$F1031,$A$3:$A1031,$L3,$B$3:$B1031,$M3,$C$3:C1031,$N3)</f>
        <v>1221594</v>
      </c>
      <c r="P3" s="25" t="str" cm="1">
        <f t="array" ref="P3:P1019">_xlfn.MAP(Q3:Q1019, R3:R1019, S3:S1019, _xlfn.LAMBDA(_xlpm.inst,_xlpm.pont,_xlpm.cost, INDEX(L3:L1019, MATCH(1, (M3:M1019 = _xlpm.inst) * (N3:N1019 = _xlpm.pont) * (O3:O1019 = _xlpm.cost), 0))))</f>
        <v>O0 Conv Ref</v>
      </c>
      <c r="Q3" s="12" t="str" cm="1">
        <f t="array" ref="Q3:R7">_xlfn.UNIQUE(_xlfn._xlws.FILTER(M3:N1019, (M3:M1019 &lt;&gt; "") * (N3:N1019 &lt;&gt; "")))</f>
        <v>10MW</v>
      </c>
      <c r="R3" s="12" t="str">
        <v>Breakwater</v>
      </c>
      <c r="S3" s="16" cm="1">
        <f t="array" ref="S3:S1019">_xlfn.MAP(Q3:Q1019, R3:R1019, _xlfn.LAMBDA(_xlpm.inst,_xlpm.pont, _xlfn.MINIFS(O3:O1019, M3:M1019, _xlpm.inst, N3:N1019, _xlpm.pont)))</f>
        <v>1221594</v>
      </c>
      <c r="T3" s="21" cm="1">
        <f t="array" ref="T3">_xlfn._xlws.FILTER($K$3:$K1019, ($I$3:$I1019 = $Q3) * ($J$3:$J1019 = $R3))</f>
        <v>56</v>
      </c>
      <c r="U3" s="12" t="s">
        <v>232</v>
      </c>
      <c r="V3" s="12" t="s">
        <v>227</v>
      </c>
      <c r="W3" s="16">
        <v>214.9</v>
      </c>
      <c r="X3" s="16">
        <v>600</v>
      </c>
      <c r="Y3" s="21">
        <f t="shared" ref="Y3:Y6" si="5">W3*X3</f>
        <v>128940</v>
      </c>
      <c r="Z3" s="12" t="str">
        <f t="array" ref="Z3:Z29">TRANSPOSE(in_loc!D1:AD1)</f>
        <v>n_2</v>
      </c>
      <c r="AA3" s="16">
        <f ca="1">AA4/5</f>
        <v>678095.6</v>
      </c>
      <c r="AB3" s="16"/>
      <c r="AC3" s="12"/>
      <c r="AD3" s="12"/>
      <c r="AE3" s="12"/>
      <c r="AF3" s="12"/>
      <c r="AG3" s="12"/>
      <c r="AH3" s="12"/>
      <c r="AI3" s="12"/>
    </row>
    <row r="4" spans="1:35">
      <c r="A4" s="25" t="s">
        <v>226</v>
      </c>
      <c r="B4" s="26" t="s">
        <v>227</v>
      </c>
      <c r="C4" s="25" t="s">
        <v>228</v>
      </c>
      <c r="D4" s="25" t="s">
        <v>233</v>
      </c>
      <c r="E4" s="27">
        <v>195.1</v>
      </c>
      <c r="F4" s="28">
        <f t="shared" si="3"/>
        <v>214610</v>
      </c>
      <c r="G4" s="25" t="s">
        <v>233</v>
      </c>
      <c r="H4" s="31">
        <v>1100</v>
      </c>
      <c r="I4" s="25" t="s">
        <v>227</v>
      </c>
      <c r="J4" s="25" t="s">
        <v>234</v>
      </c>
      <c r="K4" s="30">
        <v>18</v>
      </c>
      <c r="L4" s="25" t="str">
        <v>O0 Conv Ref</v>
      </c>
      <c r="M4" s="26" t="str">
        <v>10MW</v>
      </c>
      <c r="N4" s="12" t="str">
        <v>Bridge1968</v>
      </c>
      <c r="O4" s="21">
        <f t="shared" si="4"/>
        <v>379588</v>
      </c>
      <c r="P4" s="25" t="str">
        <v>O0 Conv Ref</v>
      </c>
      <c r="Q4" s="12" t="str">
        <v>10MW</v>
      </c>
      <c r="R4" s="12" t="str">
        <v>Bridge1968</v>
      </c>
      <c r="S4" s="16">
        <v>379588</v>
      </c>
      <c r="T4" s="21" cm="1">
        <f t="array" ref="T4">_xlfn._xlws.FILTER($K$3:$K1019, ($I$3:$I1019 = $Q4) * ($J$3:$J1019 = $R4))</f>
        <v>17</v>
      </c>
      <c r="U4" s="12" t="s">
        <v>232</v>
      </c>
      <c r="V4" s="12" t="s">
        <v>235</v>
      </c>
      <c r="W4" s="16">
        <v>472.5</v>
      </c>
      <c r="X4" s="16">
        <v>600</v>
      </c>
      <c r="Y4" s="21">
        <f t="shared" si="5"/>
        <v>283500</v>
      </c>
      <c r="Z4" s="12" t="str">
        <v>n_25</v>
      </c>
      <c r="AA4" s="16">
        <f ca="1">IFERROR(__xludf.UNSUPPORTED("SUMPRODUCT({FILTER($S$3:$S1019,$Q$3:$Q1019=""2MW_5""),FILTER($T$3:$T1019,$Q$3:$Q1019=""2MW_5"")})+SUM(FILTER($Y$3:$Y1019,$V$3:$V1019=""2MW_5""))"),3390478)</f>
        <v>3390478</v>
      </c>
      <c r="AB4" s="12"/>
      <c r="AC4" s="12"/>
      <c r="AD4" s="12"/>
      <c r="AE4" s="12"/>
      <c r="AF4" s="12"/>
      <c r="AG4" s="12"/>
      <c r="AH4" s="12"/>
      <c r="AI4" s="12"/>
    </row>
    <row r="5" spans="1:35">
      <c r="A5" s="25" t="s">
        <v>226</v>
      </c>
      <c r="B5" s="26" t="s">
        <v>227</v>
      </c>
      <c r="C5" s="25" t="s">
        <v>228</v>
      </c>
      <c r="D5" s="25" t="s">
        <v>236</v>
      </c>
      <c r="E5" s="27">
        <v>404.3</v>
      </c>
      <c r="F5" s="28">
        <f t="shared" si="3"/>
        <v>396214</v>
      </c>
      <c r="G5" s="25" t="s">
        <v>236</v>
      </c>
      <c r="H5" s="31">
        <v>980</v>
      </c>
      <c r="I5" s="25" t="s">
        <v>227</v>
      </c>
      <c r="J5" s="25" t="s">
        <v>228</v>
      </c>
      <c r="K5" s="30">
        <v>56</v>
      </c>
      <c r="L5" s="25" t="str">
        <v>O0 Conv Ref</v>
      </c>
      <c r="M5" s="26" t="str">
        <v>10MW</v>
      </c>
      <c r="N5" s="12" t="str">
        <v>Bridge1830</v>
      </c>
      <c r="O5" s="21">
        <f t="shared" si="4"/>
        <v>375926</v>
      </c>
      <c r="P5" s="25" t="str">
        <v>O0 Conv Ref</v>
      </c>
      <c r="Q5" s="12" t="str">
        <v>10MW</v>
      </c>
      <c r="R5" s="12" t="str">
        <v>Bridge1830</v>
      </c>
      <c r="S5" s="16">
        <v>375926</v>
      </c>
      <c r="T5" s="21" cm="1">
        <f t="array" ref="T5">_xlfn._xlws.FILTER($K$3:$K1019, ($I$3:$I1019 = $Q5) * ($J$3:$J1019 = $R5))</f>
        <v>18</v>
      </c>
      <c r="U5" s="12" t="s">
        <v>237</v>
      </c>
      <c r="V5" s="12" t="s">
        <v>227</v>
      </c>
      <c r="W5" s="16">
        <v>31.9</v>
      </c>
      <c r="X5" s="16">
        <v>400</v>
      </c>
      <c r="Y5" s="21">
        <f t="shared" si="5"/>
        <v>12760</v>
      </c>
      <c r="Z5" s="12" t="str">
        <v>n_10</v>
      </c>
      <c r="AA5" s="16">
        <f ca="1">IFERROR(__xludf.UNSUPPORTED("SUMPRODUCT({FILTER($S$3:$S1019,$Q$3:$Q1019=""10MW""),FILTER($T$3:$T1019,$Q$3:$Q1019=""10MW"")})+SUM(FILTER($Y$3:$Y1019,$V$3:$V1019=""10MW""))"),2118899)</f>
        <v>2118899</v>
      </c>
      <c r="AB5" s="12"/>
      <c r="AC5" s="12"/>
      <c r="AD5" s="12"/>
      <c r="AE5" s="12"/>
      <c r="AF5" s="12"/>
      <c r="AG5" s="12"/>
      <c r="AH5" s="12"/>
      <c r="AI5" s="12"/>
    </row>
    <row r="6" spans="1:35">
      <c r="A6" s="25" t="s">
        <v>226</v>
      </c>
      <c r="B6" s="26" t="s">
        <v>227</v>
      </c>
      <c r="C6" s="25" t="s">
        <v>231</v>
      </c>
      <c r="D6" s="25" t="s">
        <v>229</v>
      </c>
      <c r="E6" s="27">
        <v>1900.5</v>
      </c>
      <c r="F6" s="28">
        <f t="shared" si="3"/>
        <v>190050</v>
      </c>
      <c r="G6" s="25" t="s">
        <v>238</v>
      </c>
      <c r="H6" s="31">
        <v>110</v>
      </c>
      <c r="I6" s="25" t="s">
        <v>235</v>
      </c>
      <c r="J6" s="25" t="s">
        <v>228</v>
      </c>
      <c r="K6" s="30">
        <v>32</v>
      </c>
      <c r="L6" s="25" t="str">
        <v>O0 Conv Ref</v>
      </c>
      <c r="M6" s="26" t="str">
        <v>2MW_5</v>
      </c>
      <c r="N6" s="12" t="str">
        <v>Breakwater</v>
      </c>
      <c r="O6" s="21">
        <f t="shared" si="4"/>
        <v>3084546</v>
      </c>
      <c r="P6" s="25" t="str">
        <v>O0 Conv Ref</v>
      </c>
      <c r="Q6" s="12" t="str">
        <v>2MW_5</v>
      </c>
      <c r="R6" s="12" t="str">
        <v>Breakwater</v>
      </c>
      <c r="S6" s="16">
        <v>3084546</v>
      </c>
      <c r="T6" s="21" cm="1">
        <f t="array" ref="T6">_xlfn._xlws.FILTER($K$3:$K1019, ($I$3:$I1019 = $Q6) * ($J$3:$J1019 = $R6))</f>
        <v>32</v>
      </c>
      <c r="U6" s="12" t="s">
        <v>237</v>
      </c>
      <c r="V6" s="12" t="s">
        <v>235</v>
      </c>
      <c r="W6" s="16">
        <v>56</v>
      </c>
      <c r="X6" s="16">
        <v>400</v>
      </c>
      <c r="Y6" s="21">
        <f t="shared" si="5"/>
        <v>22400</v>
      </c>
      <c r="Z6" s="12" t="str">
        <v>b_2</v>
      </c>
      <c r="AA6" s="16">
        <f t="shared" ref="AA6:AA11" ca="1" si="6">AA3</f>
        <v>678095.6</v>
      </c>
      <c r="AB6" s="12"/>
      <c r="AC6" s="12"/>
      <c r="AD6" s="12"/>
      <c r="AE6" s="12"/>
      <c r="AF6" s="12"/>
      <c r="AG6" s="12"/>
      <c r="AH6" s="12"/>
      <c r="AI6" s="12"/>
    </row>
    <row r="7" spans="1:35">
      <c r="A7" s="25" t="s">
        <v>226</v>
      </c>
      <c r="B7" s="26" t="s">
        <v>227</v>
      </c>
      <c r="C7" s="25" t="s">
        <v>231</v>
      </c>
      <c r="D7" s="25" t="s">
        <v>233</v>
      </c>
      <c r="E7" s="27">
        <v>61.3</v>
      </c>
      <c r="F7" s="28">
        <f t="shared" si="3"/>
        <v>67430</v>
      </c>
      <c r="G7" s="25" t="s">
        <v>239</v>
      </c>
      <c r="H7" s="31">
        <v>275</v>
      </c>
      <c r="I7" s="25"/>
      <c r="J7" s="25"/>
      <c r="K7" s="30"/>
      <c r="L7" s="25" t="str">
        <v>O1 Conv LWAC</v>
      </c>
      <c r="M7" s="26" t="str">
        <v>10MW</v>
      </c>
      <c r="N7" s="12" t="str">
        <v>Breakwater</v>
      </c>
      <c r="O7" s="21">
        <f t="shared" si="4"/>
        <v>1341740</v>
      </c>
      <c r="P7" s="25">
        <v>0</v>
      </c>
      <c r="Q7" s="12">
        <v>0</v>
      </c>
      <c r="R7" s="12">
        <v>0</v>
      </c>
      <c r="S7" s="12">
        <v>0</v>
      </c>
      <c r="T7" s="21"/>
      <c r="U7" s="12"/>
      <c r="V7" s="12"/>
      <c r="Z7" s="12" t="str">
        <v>b_25</v>
      </c>
      <c r="AA7" s="16">
        <f t="shared" ca="1" si="6"/>
        <v>3390478</v>
      </c>
      <c r="AB7" s="12"/>
      <c r="AC7" s="12"/>
      <c r="AD7" s="12"/>
      <c r="AE7" s="12"/>
      <c r="AF7" s="12"/>
      <c r="AG7" s="12"/>
      <c r="AH7" s="12"/>
      <c r="AI7" s="12"/>
    </row>
    <row r="8" spans="1:35">
      <c r="A8" s="25" t="s">
        <v>226</v>
      </c>
      <c r="B8" s="26" t="s">
        <v>227</v>
      </c>
      <c r="C8" s="25" t="s">
        <v>231</v>
      </c>
      <c r="D8" s="25" t="s">
        <v>236</v>
      </c>
      <c r="E8" s="27">
        <v>124.6</v>
      </c>
      <c r="F8" s="28">
        <f t="shared" si="3"/>
        <v>122108</v>
      </c>
      <c r="G8" s="25" t="s">
        <v>229</v>
      </c>
      <c r="H8" s="31">
        <v>100</v>
      </c>
      <c r="I8" s="25"/>
      <c r="J8" s="25"/>
      <c r="K8" s="30"/>
      <c r="L8" s="25" t="str">
        <v>O1 Conv LWAC</v>
      </c>
      <c r="M8" s="26" t="str">
        <v>10MW</v>
      </c>
      <c r="N8" s="12" t="str">
        <v>Bridge1968</v>
      </c>
      <c r="O8" s="21">
        <f t="shared" si="4"/>
        <v>416937</v>
      </c>
      <c r="P8" s="25">
        <v>0</v>
      </c>
      <c r="Q8" s="12"/>
      <c r="R8" s="12"/>
      <c r="S8" s="12">
        <v>0</v>
      </c>
      <c r="T8" s="21"/>
      <c r="U8" s="12"/>
      <c r="V8" s="12"/>
      <c r="Z8" s="12" t="str">
        <v>b_10</v>
      </c>
      <c r="AA8" s="16">
        <f t="shared" ca="1" si="6"/>
        <v>2118899</v>
      </c>
      <c r="AB8" s="12"/>
      <c r="AC8" s="12"/>
      <c r="AD8" s="12"/>
      <c r="AE8" s="12"/>
      <c r="AF8" s="12"/>
      <c r="AG8" s="12"/>
      <c r="AH8" s="12"/>
      <c r="AI8" s="12"/>
    </row>
    <row r="9" spans="1:35">
      <c r="A9" s="25" t="s">
        <v>226</v>
      </c>
      <c r="B9" s="26" t="s">
        <v>227</v>
      </c>
      <c r="C9" s="25" t="s">
        <v>234</v>
      </c>
      <c r="D9" s="25" t="s">
        <v>229</v>
      </c>
      <c r="E9" s="27">
        <v>1882.1</v>
      </c>
      <c r="F9" s="28">
        <f t="shared" si="3"/>
        <v>188210</v>
      </c>
      <c r="G9" s="25"/>
      <c r="H9" s="31"/>
      <c r="I9" s="25"/>
      <c r="J9" s="25"/>
      <c r="K9" s="30"/>
      <c r="L9" s="25" t="str">
        <v>O1 Conv LWAC</v>
      </c>
      <c r="M9" s="26" t="str">
        <v>10MW</v>
      </c>
      <c r="N9" s="12" t="str">
        <v>Bridge1830</v>
      </c>
      <c r="O9" s="21">
        <f t="shared" ref="O9:O22" si="7">SUMIFS($F$3:$F1042,$A$3:$A1042,$L9,$B$3:$B1042,$M9,$C$3:C1042,$N9)</f>
        <v>412266</v>
      </c>
      <c r="P9" s="25">
        <v>0</v>
      </c>
      <c r="Q9" s="12"/>
      <c r="R9" s="12"/>
      <c r="S9" s="12">
        <v>0</v>
      </c>
      <c r="T9" s="21"/>
      <c r="U9" s="12"/>
      <c r="V9" s="12"/>
      <c r="Z9" s="12" t="str">
        <v>m_2</v>
      </c>
      <c r="AA9" s="16">
        <f t="shared" ca="1" si="6"/>
        <v>678095.6</v>
      </c>
      <c r="AB9" s="12"/>
      <c r="AC9" s="12"/>
      <c r="AD9" s="12"/>
      <c r="AE9" s="12"/>
      <c r="AF9" s="12"/>
      <c r="AG9" s="12"/>
      <c r="AH9" s="12"/>
      <c r="AI9" s="12"/>
    </row>
    <row r="10" spans="1:35">
      <c r="A10" s="25" t="s">
        <v>226</v>
      </c>
      <c r="B10" s="26" t="s">
        <v>227</v>
      </c>
      <c r="C10" s="25" t="s">
        <v>234</v>
      </c>
      <c r="D10" s="25" t="s">
        <v>233</v>
      </c>
      <c r="E10" s="27">
        <v>60</v>
      </c>
      <c r="F10" s="28">
        <f t="shared" si="3"/>
        <v>66000</v>
      </c>
      <c r="G10" s="25"/>
      <c r="H10" s="31"/>
      <c r="I10" s="25"/>
      <c r="J10" s="25"/>
      <c r="K10" s="30"/>
      <c r="L10" s="25" t="str">
        <v>O1 Conv LWAC</v>
      </c>
      <c r="M10" s="26" t="str">
        <v>2MW_5</v>
      </c>
      <c r="N10" s="12" t="str">
        <v>Breakwater</v>
      </c>
      <c r="O10" s="21">
        <f t="shared" si="7"/>
        <v>3390913</v>
      </c>
      <c r="P10" s="25">
        <v>0</v>
      </c>
      <c r="Q10" s="12"/>
      <c r="R10" s="12"/>
      <c r="S10" s="12">
        <v>0</v>
      </c>
      <c r="T10" s="21"/>
      <c r="U10" s="12"/>
      <c r="V10" s="12"/>
      <c r="Z10" s="12" t="str">
        <v>m_25</v>
      </c>
      <c r="AA10" s="16">
        <f t="shared" ca="1" si="6"/>
        <v>3390478</v>
      </c>
      <c r="AB10" s="12"/>
      <c r="AC10" s="12"/>
      <c r="AD10" s="12"/>
      <c r="AE10" s="12"/>
      <c r="AF10" s="12"/>
      <c r="AG10" s="12"/>
      <c r="AH10" s="12"/>
      <c r="AI10" s="12"/>
    </row>
    <row r="11" spans="1:35">
      <c r="A11" s="25" t="s">
        <v>226</v>
      </c>
      <c r="B11" s="26" t="s">
        <v>227</v>
      </c>
      <c r="C11" s="25" t="s">
        <v>234</v>
      </c>
      <c r="D11" s="25" t="s">
        <v>236</v>
      </c>
      <c r="E11" s="27">
        <v>124.2</v>
      </c>
      <c r="F11" s="28">
        <f t="shared" si="3"/>
        <v>121716</v>
      </c>
      <c r="G11" s="25"/>
      <c r="H11" s="31"/>
      <c r="I11" s="25"/>
      <c r="J11" s="25"/>
      <c r="K11" s="30"/>
      <c r="L11" s="25" t="str">
        <v>O2 Hybrid</v>
      </c>
      <c r="M11" s="26" t="str">
        <v>10MW</v>
      </c>
      <c r="N11" s="12" t="str">
        <v>Breakwater</v>
      </c>
      <c r="O11" s="21">
        <f t="shared" si="7"/>
        <v>1403286</v>
      </c>
      <c r="P11" s="25">
        <v>0</v>
      </c>
      <c r="Q11" s="12"/>
      <c r="R11" s="12"/>
      <c r="S11" s="12">
        <v>0</v>
      </c>
      <c r="T11" s="21"/>
      <c r="U11" s="12"/>
      <c r="V11" s="12"/>
      <c r="Z11" s="12" t="str">
        <v>m_10</v>
      </c>
      <c r="AA11" s="16">
        <f t="shared" ca="1" si="6"/>
        <v>2118899</v>
      </c>
      <c r="AB11" s="12"/>
      <c r="AC11" s="12"/>
      <c r="AD11" s="12"/>
      <c r="AE11" s="12"/>
      <c r="AF11" s="12"/>
      <c r="AG11" s="12"/>
      <c r="AH11" s="12"/>
      <c r="AI11" s="12"/>
    </row>
    <row r="12" spans="1:35">
      <c r="A12" s="25" t="s">
        <v>226</v>
      </c>
      <c r="B12" s="26" t="s">
        <v>235</v>
      </c>
      <c r="C12" s="25" t="s">
        <v>228</v>
      </c>
      <c r="D12" s="25" t="s">
        <v>229</v>
      </c>
      <c r="E12" s="27">
        <v>15520.4</v>
      </c>
      <c r="F12" s="28">
        <f t="shared" si="3"/>
        <v>1552040</v>
      </c>
      <c r="G12" s="25"/>
      <c r="H12" s="31"/>
      <c r="I12" s="25"/>
      <c r="J12" s="25"/>
      <c r="K12" s="30"/>
      <c r="L12" s="25" t="str">
        <v>O2 Hybrid</v>
      </c>
      <c r="M12" s="26" t="str">
        <v>10MW</v>
      </c>
      <c r="N12" s="12" t="str">
        <v>Bridge1968</v>
      </c>
      <c r="O12" s="21">
        <f t="shared" si="7"/>
        <v>435233</v>
      </c>
      <c r="P12" s="25">
        <v>0</v>
      </c>
      <c r="Q12" s="12"/>
      <c r="R12" s="12"/>
      <c r="S12" s="12">
        <v>0</v>
      </c>
      <c r="T12" s="21"/>
      <c r="U12" s="12"/>
      <c r="V12" s="12"/>
      <c r="Z12" s="12" t="str">
        <v>n_2_pes</v>
      </c>
      <c r="AA12" s="16">
        <f ca="1">AA3*(1+in_gen!$C$44)</f>
        <v>705219.424</v>
      </c>
      <c r="AB12" s="12"/>
      <c r="AC12" s="12"/>
      <c r="AD12" s="12"/>
      <c r="AE12" s="12"/>
      <c r="AF12" s="12"/>
      <c r="AG12" s="12"/>
      <c r="AH12" s="12"/>
      <c r="AI12" s="12"/>
    </row>
    <row r="13" spans="1:35">
      <c r="A13" s="25" t="s">
        <v>226</v>
      </c>
      <c r="B13" s="26" t="s">
        <v>235</v>
      </c>
      <c r="C13" s="25" t="s">
        <v>228</v>
      </c>
      <c r="D13" s="25" t="s">
        <v>233</v>
      </c>
      <c r="E13" s="27">
        <v>492.3</v>
      </c>
      <c r="F13" s="28">
        <f t="shared" si="3"/>
        <v>541530</v>
      </c>
      <c r="G13" s="25"/>
      <c r="H13" s="31"/>
      <c r="I13" s="25"/>
      <c r="J13" s="25"/>
      <c r="K13" s="30"/>
      <c r="L13" s="25" t="str">
        <v>O2 Hybrid</v>
      </c>
      <c r="M13" s="26" t="str">
        <v>10MW</v>
      </c>
      <c r="N13" s="12" t="str">
        <v>Bridge1830</v>
      </c>
      <c r="O13" s="21">
        <f t="shared" si="7"/>
        <v>433686</v>
      </c>
      <c r="P13" s="25">
        <v>0</v>
      </c>
      <c r="Q13" s="12"/>
      <c r="R13" s="12"/>
      <c r="S13" s="12">
        <v>0</v>
      </c>
      <c r="T13" s="21"/>
      <c r="U13" s="12"/>
      <c r="V13" s="12"/>
      <c r="Z13" s="12" t="str">
        <v>n_25_pes</v>
      </c>
      <c r="AA13" s="16">
        <f ca="1">AA4*(1+in_gen!$C$44)</f>
        <v>3526097.12</v>
      </c>
      <c r="AB13" s="12"/>
      <c r="AC13" s="12"/>
      <c r="AD13" s="12"/>
      <c r="AE13" s="12"/>
      <c r="AF13" s="12"/>
      <c r="AG13" s="12"/>
      <c r="AH13" s="12"/>
      <c r="AI13" s="12"/>
    </row>
    <row r="14" spans="1:35">
      <c r="A14" s="25" t="s">
        <v>226</v>
      </c>
      <c r="B14" s="26" t="s">
        <v>235</v>
      </c>
      <c r="C14" s="25" t="s">
        <v>228</v>
      </c>
      <c r="D14" s="25" t="s">
        <v>236</v>
      </c>
      <c r="E14" s="27">
        <v>1011.2</v>
      </c>
      <c r="F14" s="28">
        <f t="shared" si="3"/>
        <v>990976</v>
      </c>
      <c r="G14" s="25"/>
      <c r="H14" s="31"/>
      <c r="I14" s="25"/>
      <c r="J14" s="25"/>
      <c r="K14" s="30"/>
      <c r="L14" s="25" t="str">
        <v>O2 Hybrid</v>
      </c>
      <c r="M14" s="26" t="str">
        <v>2MW_5</v>
      </c>
      <c r="N14" s="12" t="str">
        <v>Breakwater</v>
      </c>
      <c r="O14" s="21">
        <f t="shared" si="7"/>
        <v>3481663</v>
      </c>
      <c r="P14" s="25">
        <v>0</v>
      </c>
      <c r="Q14" s="12"/>
      <c r="R14" s="12"/>
      <c r="S14" s="12">
        <v>0</v>
      </c>
      <c r="T14" s="21"/>
      <c r="U14" s="12"/>
      <c r="V14" s="12"/>
      <c r="Z14" s="12" t="str">
        <v>n_10_pes</v>
      </c>
      <c r="AA14" s="16">
        <f ca="1">AA5*(1+in_gen!$C$44)</f>
        <v>2203654.96</v>
      </c>
      <c r="AB14" s="12"/>
      <c r="AC14" s="12"/>
      <c r="AD14" s="12"/>
      <c r="AE14" s="12"/>
      <c r="AF14" s="12"/>
      <c r="AG14" s="12"/>
      <c r="AH14" s="12"/>
      <c r="AI14" s="12"/>
    </row>
    <row r="15" spans="1:35">
      <c r="A15" s="25" t="s">
        <v>240</v>
      </c>
      <c r="B15" s="26" t="s">
        <v>227</v>
      </c>
      <c r="C15" s="25" t="s">
        <v>228</v>
      </c>
      <c r="D15" s="25" t="s">
        <v>230</v>
      </c>
      <c r="E15" s="27">
        <v>5119.2</v>
      </c>
      <c r="F15" s="28">
        <f t="shared" si="3"/>
        <v>767880</v>
      </c>
      <c r="G15" s="25"/>
      <c r="H15" s="31"/>
      <c r="I15" s="25"/>
      <c r="J15" s="25"/>
      <c r="K15" s="30"/>
      <c r="L15" s="25" t="str">
        <v>O3 Sure LWAC</v>
      </c>
      <c r="M15" s="26" t="str">
        <v>10MW</v>
      </c>
      <c r="N15" s="12" t="str">
        <v>Breakwater</v>
      </c>
      <c r="O15" s="21">
        <f t="shared" si="7"/>
        <v>1513384</v>
      </c>
      <c r="P15" s="25">
        <v>0</v>
      </c>
      <c r="Q15" s="12"/>
      <c r="R15" s="12"/>
      <c r="S15" s="12">
        <v>0</v>
      </c>
      <c r="T15" s="21"/>
      <c r="U15" s="12"/>
      <c r="V15" s="12"/>
      <c r="Z15" s="12" t="str">
        <v>b_2_pes</v>
      </c>
      <c r="AA15" s="16">
        <f ca="1">AA6*(1+in_gen!$C$44)</f>
        <v>705219.424</v>
      </c>
      <c r="AB15" s="12"/>
      <c r="AC15" s="12"/>
      <c r="AD15" s="12"/>
      <c r="AE15" s="12"/>
      <c r="AF15" s="12"/>
      <c r="AG15" s="12"/>
      <c r="AH15" s="12"/>
      <c r="AI15" s="12"/>
    </row>
    <row r="16" spans="1:35">
      <c r="A16" s="25" t="s">
        <v>240</v>
      </c>
      <c r="B16" s="26" t="s">
        <v>227</v>
      </c>
      <c r="C16" s="25" t="s">
        <v>228</v>
      </c>
      <c r="D16" s="25" t="s">
        <v>233</v>
      </c>
      <c r="E16" s="27">
        <v>168</v>
      </c>
      <c r="F16" s="28">
        <f t="shared" si="3"/>
        <v>184800</v>
      </c>
      <c r="G16" s="25"/>
      <c r="H16" s="31"/>
      <c r="I16" s="25"/>
      <c r="J16" s="25"/>
      <c r="K16" s="30"/>
      <c r="L16" s="25" t="str">
        <v>O3 Sure LWAC</v>
      </c>
      <c r="M16" s="26" t="str">
        <v>10MW</v>
      </c>
      <c r="N16" s="12" t="str">
        <v>Bridge1968</v>
      </c>
      <c r="O16" s="21">
        <f t="shared" si="7"/>
        <v>468718</v>
      </c>
      <c r="P16" s="25">
        <v>0</v>
      </c>
      <c r="Q16" s="12"/>
      <c r="R16" s="12"/>
      <c r="S16" s="12">
        <v>0</v>
      </c>
      <c r="T16" s="21" cm="1">
        <f t="array" ref="T16:T1028">_xlfn._xlws.FILTER($K$3:$K1019, ($I$3:$I1019 = $Q16) * ($J$3:$J1019 = $R16))</f>
        <v>0</v>
      </c>
      <c r="U16" s="12"/>
      <c r="V16" s="12"/>
      <c r="Z16" s="12" t="str">
        <v>b_25_pes</v>
      </c>
      <c r="AA16" s="16">
        <f ca="1">AA7*(1+in_gen!$C$44)</f>
        <v>3526097.12</v>
      </c>
      <c r="AB16" s="12"/>
      <c r="AC16" s="12"/>
      <c r="AD16" s="12"/>
      <c r="AE16" s="12"/>
      <c r="AF16" s="12"/>
      <c r="AG16" s="12"/>
      <c r="AH16" s="12"/>
      <c r="AI16" s="12"/>
    </row>
    <row r="17" spans="1:35">
      <c r="A17" s="25" t="s">
        <v>240</v>
      </c>
      <c r="B17" s="26" t="s">
        <v>227</v>
      </c>
      <c r="C17" s="25" t="s">
        <v>228</v>
      </c>
      <c r="D17" s="25" t="s">
        <v>236</v>
      </c>
      <c r="E17" s="27">
        <v>397</v>
      </c>
      <c r="F17" s="28">
        <f t="shared" si="3"/>
        <v>389060</v>
      </c>
      <c r="G17" s="25"/>
      <c r="H17" s="31"/>
      <c r="I17" s="25"/>
      <c r="J17" s="25"/>
      <c r="K17" s="30"/>
      <c r="L17" s="25" t="str">
        <v>O3 Sure LWAC</v>
      </c>
      <c r="M17" s="26" t="str">
        <v>10MW</v>
      </c>
      <c r="N17" s="12" t="str">
        <v>Bridge1830</v>
      </c>
      <c r="O17" s="21">
        <f t="shared" si="7"/>
        <v>470903</v>
      </c>
      <c r="P17" s="25">
        <v>0</v>
      </c>
      <c r="Q17" s="12"/>
      <c r="R17" s="12"/>
      <c r="S17" s="12">
        <v>0</v>
      </c>
      <c r="T17" s="29">
        <v>0</v>
      </c>
      <c r="U17" s="12"/>
      <c r="V17" s="12"/>
      <c r="Z17" s="12" t="str">
        <v>b_10_pes</v>
      </c>
      <c r="AA17" s="16">
        <f ca="1">AA8*(1+in_gen!$C$44)</f>
        <v>2203654.96</v>
      </c>
      <c r="AB17" s="12"/>
      <c r="AC17" s="12"/>
      <c r="AD17" s="12"/>
      <c r="AE17" s="12"/>
      <c r="AF17" s="12"/>
      <c r="AG17" s="12"/>
      <c r="AH17" s="12"/>
      <c r="AI17" s="12"/>
    </row>
    <row r="18" spans="1:35">
      <c r="A18" s="25" t="s">
        <v>240</v>
      </c>
      <c r="B18" s="26" t="s">
        <v>227</v>
      </c>
      <c r="C18" s="25" t="s">
        <v>231</v>
      </c>
      <c r="D18" s="25" t="s">
        <v>230</v>
      </c>
      <c r="E18" s="27">
        <v>1592.7</v>
      </c>
      <c r="F18" s="28">
        <f t="shared" si="3"/>
        <v>238905</v>
      </c>
      <c r="G18" s="25"/>
      <c r="H18" s="31"/>
      <c r="I18" s="25"/>
      <c r="J18" s="25"/>
      <c r="K18" s="30"/>
      <c r="L18" s="25" t="str">
        <v>O3 Sure LWAC</v>
      </c>
      <c r="M18" s="26" t="str">
        <v>2MW_5</v>
      </c>
      <c r="N18" s="12" t="str">
        <v>Breakwater</v>
      </c>
      <c r="O18" s="21">
        <f t="shared" si="7"/>
        <v>3823934</v>
      </c>
      <c r="P18" s="25">
        <v>0</v>
      </c>
      <c r="Q18" s="12"/>
      <c r="R18" s="12"/>
      <c r="S18" s="12">
        <v>0</v>
      </c>
      <c r="T18" s="29">
        <v>0</v>
      </c>
      <c r="U18" s="12"/>
      <c r="V18" s="12"/>
      <c r="Z18" s="12" t="str">
        <v>m_2_pes</v>
      </c>
      <c r="AA18" s="16">
        <f ca="1">AA9*(1+in_gen!$C$44)</f>
        <v>705219.424</v>
      </c>
      <c r="AB18" s="12"/>
      <c r="AC18" s="12"/>
      <c r="AD18" s="12"/>
      <c r="AE18" s="12"/>
      <c r="AF18" s="12"/>
      <c r="AG18" s="12"/>
      <c r="AH18" s="12"/>
      <c r="AI18" s="12"/>
    </row>
    <row r="19" spans="1:35">
      <c r="A19" s="25" t="s">
        <v>240</v>
      </c>
      <c r="B19" s="26" t="s">
        <v>227</v>
      </c>
      <c r="C19" s="25" t="s">
        <v>231</v>
      </c>
      <c r="D19" s="25" t="s">
        <v>233</v>
      </c>
      <c r="E19" s="27">
        <v>52.8</v>
      </c>
      <c r="F19" s="28">
        <f t="shared" si="3"/>
        <v>58080</v>
      </c>
      <c r="G19" s="25"/>
      <c r="H19" s="31"/>
      <c r="I19" s="25"/>
      <c r="J19" s="25"/>
      <c r="K19" s="30"/>
      <c r="L19" s="25" t="str">
        <v>O4 Sure HPC</v>
      </c>
      <c r="M19" s="26" t="str">
        <v>10MW</v>
      </c>
      <c r="N19" s="12" t="str">
        <v>Breakwater</v>
      </c>
      <c r="O19" s="21">
        <f t="shared" si="7"/>
        <v>2146101.5</v>
      </c>
      <c r="P19" s="25">
        <v>0</v>
      </c>
      <c r="Q19" s="12"/>
      <c r="R19" s="12"/>
      <c r="S19" s="12">
        <v>0</v>
      </c>
      <c r="T19" s="29">
        <v>0</v>
      </c>
      <c r="U19" s="12"/>
      <c r="V19" s="12"/>
      <c r="Z19" s="12" t="str">
        <v>m_25_pes</v>
      </c>
      <c r="AA19" s="16">
        <f ca="1">AA10*(1+in_gen!$C$44)</f>
        <v>3526097.12</v>
      </c>
      <c r="AB19" s="12"/>
      <c r="AC19" s="12"/>
      <c r="AD19" s="12"/>
      <c r="AE19" s="12"/>
      <c r="AF19" s="12"/>
      <c r="AG19" s="12"/>
      <c r="AH19" s="12"/>
      <c r="AI19" s="12"/>
    </row>
    <row r="20" spans="1:35">
      <c r="A20" s="25" t="s">
        <v>240</v>
      </c>
      <c r="B20" s="26" t="s">
        <v>227</v>
      </c>
      <c r="C20" s="25" t="s">
        <v>231</v>
      </c>
      <c r="D20" s="25" t="s">
        <v>236</v>
      </c>
      <c r="E20" s="27">
        <v>122.4</v>
      </c>
      <c r="F20" s="28">
        <f t="shared" si="3"/>
        <v>119952</v>
      </c>
      <c r="G20" s="19"/>
      <c r="H20" s="22"/>
      <c r="I20" s="19"/>
      <c r="J20" s="19"/>
      <c r="K20" s="23"/>
      <c r="L20" s="25" t="str">
        <v>O4 Sure HPC</v>
      </c>
      <c r="M20" s="26" t="str">
        <v>10MW</v>
      </c>
      <c r="N20" s="12" t="str">
        <v>Bridge1968</v>
      </c>
      <c r="O20" s="21">
        <f t="shared" si="7"/>
        <v>670110</v>
      </c>
      <c r="P20" s="19">
        <v>0</v>
      </c>
      <c r="Q20" s="12"/>
      <c r="R20" s="12"/>
      <c r="S20" s="12">
        <v>0</v>
      </c>
      <c r="T20" s="29">
        <v>0</v>
      </c>
      <c r="U20" s="12"/>
      <c r="V20" s="12"/>
      <c r="Z20" s="12" t="str">
        <v>m_10_pes</v>
      </c>
      <c r="AA20" s="16">
        <f ca="1">AA11*(1+in_gen!$C$44)</f>
        <v>2203654.96</v>
      </c>
      <c r="AB20" s="12"/>
      <c r="AC20" s="12"/>
      <c r="AD20" s="12"/>
      <c r="AE20" s="12"/>
      <c r="AF20" s="12"/>
      <c r="AG20" s="12"/>
      <c r="AH20" s="12"/>
      <c r="AI20" s="12"/>
    </row>
    <row r="21" spans="1:35" ht="15.75" customHeight="1">
      <c r="A21" s="25" t="s">
        <v>240</v>
      </c>
      <c r="B21" s="26" t="s">
        <v>227</v>
      </c>
      <c r="C21" s="25" t="s">
        <v>234</v>
      </c>
      <c r="D21" s="25" t="s">
        <v>230</v>
      </c>
      <c r="E21" s="27">
        <v>1574.2</v>
      </c>
      <c r="F21" s="28">
        <f t="shared" si="3"/>
        <v>236130</v>
      </c>
      <c r="G21" s="25"/>
      <c r="H21" s="29"/>
      <c r="I21" s="25"/>
      <c r="J21" s="25"/>
      <c r="K21" s="32"/>
      <c r="L21" s="25" t="str">
        <v>O4 Sure HPC</v>
      </c>
      <c r="M21" s="26" t="str">
        <v>10MW</v>
      </c>
      <c r="N21" s="12" t="str">
        <v>Bridge1830</v>
      </c>
      <c r="O21" s="21">
        <f t="shared" si="7"/>
        <v>678486</v>
      </c>
      <c r="P21" s="25">
        <v>0</v>
      </c>
      <c r="Q21" s="12"/>
      <c r="R21" s="12"/>
      <c r="S21" s="12">
        <v>0</v>
      </c>
      <c r="T21" s="29">
        <v>0</v>
      </c>
      <c r="U21" s="12"/>
      <c r="V21" s="12"/>
      <c r="Z21" s="12" t="str">
        <v>n_2_opt</v>
      </c>
      <c r="AA21" s="16">
        <f ca="1">AA3*(1-in_gen!$C$44)</f>
        <v>650971.77599999995</v>
      </c>
      <c r="AB21" s="12"/>
      <c r="AC21" s="12"/>
      <c r="AD21" s="12"/>
      <c r="AE21" s="12"/>
      <c r="AF21" s="12"/>
      <c r="AG21" s="12"/>
      <c r="AH21" s="12"/>
      <c r="AI21" s="12"/>
    </row>
    <row r="22" spans="1:35" ht="15.75" customHeight="1">
      <c r="A22" s="25" t="s">
        <v>240</v>
      </c>
      <c r="B22" s="26" t="s">
        <v>227</v>
      </c>
      <c r="C22" s="25" t="s">
        <v>234</v>
      </c>
      <c r="D22" s="25" t="s">
        <v>233</v>
      </c>
      <c r="E22" s="27">
        <v>51.7</v>
      </c>
      <c r="F22" s="28">
        <f t="shared" si="3"/>
        <v>56870</v>
      </c>
      <c r="G22" s="25"/>
      <c r="H22" s="31"/>
      <c r="I22" s="25"/>
      <c r="J22" s="25"/>
      <c r="K22" s="30"/>
      <c r="L22" s="25" t="str">
        <v>O4 Sure HPC</v>
      </c>
      <c r="M22" s="26" t="str">
        <v>2MW_5</v>
      </c>
      <c r="N22" s="12" t="str">
        <v>Breakwater</v>
      </c>
      <c r="O22" s="21">
        <f t="shared" si="7"/>
        <v>5477516</v>
      </c>
      <c r="P22" s="25">
        <v>0</v>
      </c>
      <c r="Q22" s="12"/>
      <c r="R22" s="12"/>
      <c r="S22" s="12">
        <v>0</v>
      </c>
      <c r="T22" s="29">
        <v>0</v>
      </c>
      <c r="V22" s="12"/>
      <c r="Z22" s="12" t="str">
        <v>n_25_opt</v>
      </c>
      <c r="AA22" s="16">
        <f ca="1">AA4*(1-in_gen!$C$44)</f>
        <v>3254858.88</v>
      </c>
      <c r="AB22" s="12"/>
      <c r="AC22" s="12"/>
      <c r="AD22" s="12"/>
      <c r="AE22" s="12"/>
      <c r="AF22" s="12"/>
      <c r="AG22" s="12"/>
      <c r="AH22" s="12"/>
      <c r="AI22" s="12"/>
    </row>
    <row r="23" spans="1:35" ht="15.75" customHeight="1">
      <c r="A23" s="25" t="s">
        <v>240</v>
      </c>
      <c r="B23" s="26" t="s">
        <v>227</v>
      </c>
      <c r="C23" s="25" t="s">
        <v>234</v>
      </c>
      <c r="D23" s="25" t="s">
        <v>236</v>
      </c>
      <c r="E23" s="27">
        <v>121.7</v>
      </c>
      <c r="F23" s="28">
        <f t="shared" si="3"/>
        <v>119266</v>
      </c>
      <c r="G23" s="25"/>
      <c r="H23" s="31"/>
      <c r="I23" s="25"/>
      <c r="J23" s="25"/>
      <c r="K23" s="30"/>
      <c r="L23" s="25">
        <v>0</v>
      </c>
      <c r="M23" s="26">
        <v>0</v>
      </c>
      <c r="N23" s="12">
        <v>0</v>
      </c>
      <c r="O23" s="21"/>
      <c r="P23" s="25">
        <v>0</v>
      </c>
      <c r="Q23" s="12"/>
      <c r="R23" s="12"/>
      <c r="S23" s="12">
        <v>0</v>
      </c>
      <c r="T23" s="29">
        <v>0</v>
      </c>
      <c r="U23" s="12"/>
      <c r="V23" s="12"/>
      <c r="Z23" s="12" t="str">
        <v>n_10_opt</v>
      </c>
      <c r="AA23" s="16">
        <f ca="1">AA5*(1-in_gen!$C$44)</f>
        <v>2034143.04</v>
      </c>
      <c r="AB23" s="12"/>
      <c r="AC23" s="12"/>
      <c r="AD23" s="12"/>
      <c r="AE23" s="12"/>
      <c r="AF23" s="12"/>
      <c r="AG23" s="12"/>
      <c r="AH23" s="12"/>
      <c r="AI23" s="12"/>
    </row>
    <row r="24" spans="1:35" ht="15.75" customHeight="1">
      <c r="A24" s="25" t="s">
        <v>240</v>
      </c>
      <c r="B24" s="26" t="s">
        <v>235</v>
      </c>
      <c r="C24" s="25" t="s">
        <v>228</v>
      </c>
      <c r="D24" s="25" t="s">
        <v>230</v>
      </c>
      <c r="E24" s="27">
        <v>13004.5</v>
      </c>
      <c r="F24" s="28">
        <f t="shared" si="3"/>
        <v>1950675</v>
      </c>
      <c r="G24" s="25"/>
      <c r="H24" s="31"/>
      <c r="I24" s="25"/>
      <c r="J24" s="25"/>
      <c r="K24" s="30"/>
      <c r="L24" s="25"/>
      <c r="M24" s="26"/>
      <c r="N24" s="12"/>
      <c r="O24" s="21"/>
      <c r="P24" s="25">
        <v>0</v>
      </c>
      <c r="Q24" s="12"/>
      <c r="R24" s="12"/>
      <c r="S24" s="12">
        <v>0</v>
      </c>
      <c r="T24" s="29">
        <v>0</v>
      </c>
      <c r="U24" s="12"/>
      <c r="V24" s="12"/>
      <c r="Z24" s="12" t="str">
        <v>b_2_opt</v>
      </c>
      <c r="AA24" s="16">
        <f ca="1">AA6*(1-in_gen!$C$44)</f>
        <v>650971.77599999995</v>
      </c>
      <c r="AB24" s="12"/>
      <c r="AC24" s="12"/>
      <c r="AD24" s="12"/>
      <c r="AE24" s="12"/>
      <c r="AF24" s="12"/>
      <c r="AG24" s="12"/>
      <c r="AH24" s="12"/>
      <c r="AI24" s="12"/>
    </row>
    <row r="25" spans="1:35" ht="15.75" customHeight="1">
      <c r="A25" s="25" t="s">
        <v>240</v>
      </c>
      <c r="B25" s="26" t="s">
        <v>235</v>
      </c>
      <c r="C25" s="25" t="s">
        <v>228</v>
      </c>
      <c r="D25" s="25" t="s">
        <v>233</v>
      </c>
      <c r="E25" s="27">
        <v>424.1</v>
      </c>
      <c r="F25" s="28">
        <f t="shared" si="3"/>
        <v>466510</v>
      </c>
      <c r="G25" s="25"/>
      <c r="H25" s="31"/>
      <c r="I25" s="25"/>
      <c r="J25" s="25"/>
      <c r="K25" s="30"/>
      <c r="L25" s="25"/>
      <c r="M25" s="26"/>
      <c r="N25" s="12"/>
      <c r="O25" s="21"/>
      <c r="P25" s="25">
        <v>0</v>
      </c>
      <c r="Q25" s="12"/>
      <c r="R25" s="12"/>
      <c r="S25" s="12">
        <v>0</v>
      </c>
      <c r="T25" s="29">
        <v>0</v>
      </c>
      <c r="U25" s="12"/>
      <c r="V25" s="12"/>
      <c r="Z25" s="12" t="str">
        <v>b_25_opt</v>
      </c>
      <c r="AA25" s="16">
        <f ca="1">AA7*(1-in_gen!$C$44)</f>
        <v>3254858.88</v>
      </c>
      <c r="AB25" s="12"/>
      <c r="AC25" s="12"/>
      <c r="AD25" s="12"/>
      <c r="AE25" s="12"/>
      <c r="AF25" s="12"/>
      <c r="AG25" s="12"/>
      <c r="AH25" s="12"/>
      <c r="AI25" s="12"/>
    </row>
    <row r="26" spans="1:35" ht="15.75" customHeight="1">
      <c r="A26" s="25" t="s">
        <v>240</v>
      </c>
      <c r="B26" s="26" t="s">
        <v>235</v>
      </c>
      <c r="C26" s="25" t="s">
        <v>228</v>
      </c>
      <c r="D26" s="25" t="s">
        <v>236</v>
      </c>
      <c r="E26" s="27">
        <v>993.6</v>
      </c>
      <c r="F26" s="28">
        <f t="shared" si="3"/>
        <v>973728</v>
      </c>
      <c r="G26" s="25"/>
      <c r="H26" s="31"/>
      <c r="I26" s="25"/>
      <c r="J26" s="25"/>
      <c r="K26" s="30"/>
      <c r="L26" s="25"/>
      <c r="M26" s="26"/>
      <c r="N26" s="12"/>
      <c r="O26" s="21"/>
      <c r="P26" s="25">
        <v>0</v>
      </c>
      <c r="Q26" s="12"/>
      <c r="R26" s="12"/>
      <c r="S26" s="12">
        <v>0</v>
      </c>
      <c r="T26" s="29">
        <v>0</v>
      </c>
      <c r="U26" s="12"/>
      <c r="V26" s="12"/>
      <c r="Z26" s="12" t="str">
        <v>b_10_opt</v>
      </c>
      <c r="AA26" s="16">
        <f ca="1">AA8*(1-in_gen!$C$44)</f>
        <v>2034143.04</v>
      </c>
      <c r="AB26" s="12"/>
      <c r="AC26" s="12"/>
      <c r="AD26" s="12"/>
      <c r="AE26" s="12"/>
      <c r="AF26" s="12"/>
      <c r="AG26" s="12"/>
      <c r="AH26" s="12"/>
      <c r="AI26" s="12"/>
    </row>
    <row r="27" spans="1:35" ht="15.75" customHeight="1">
      <c r="A27" s="25" t="s">
        <v>241</v>
      </c>
      <c r="B27" s="26" t="s">
        <v>227</v>
      </c>
      <c r="C27" s="25" t="s">
        <v>228</v>
      </c>
      <c r="D27" s="25" t="s">
        <v>230</v>
      </c>
      <c r="E27" s="27">
        <v>5160.8</v>
      </c>
      <c r="F27" s="28">
        <f t="shared" si="3"/>
        <v>774120</v>
      </c>
      <c r="G27" s="25"/>
      <c r="H27" s="31"/>
      <c r="I27" s="25"/>
      <c r="J27" s="25"/>
      <c r="K27" s="30"/>
      <c r="L27" s="25"/>
      <c r="M27" s="26"/>
      <c r="N27" s="12"/>
      <c r="O27" s="21"/>
      <c r="P27" s="25">
        <v>0</v>
      </c>
      <c r="Q27" s="12"/>
      <c r="R27" s="12"/>
      <c r="S27" s="12">
        <v>0</v>
      </c>
      <c r="T27" s="29">
        <v>0</v>
      </c>
      <c r="U27" s="12"/>
      <c r="V27" s="12"/>
      <c r="Z27" s="12" t="str">
        <v>m_2_opt</v>
      </c>
      <c r="AA27" s="16">
        <f ca="1">AA9*(1-in_gen!$C$44)</f>
        <v>650971.77599999995</v>
      </c>
      <c r="AB27" s="12"/>
      <c r="AC27" s="12"/>
      <c r="AD27" s="12"/>
      <c r="AE27" s="12"/>
      <c r="AF27" s="12"/>
      <c r="AG27" s="12"/>
      <c r="AH27" s="12"/>
      <c r="AI27" s="12"/>
    </row>
    <row r="28" spans="1:35" ht="15.75" customHeight="1">
      <c r="A28" s="25" t="s">
        <v>241</v>
      </c>
      <c r="B28" s="26" t="s">
        <v>227</v>
      </c>
      <c r="C28" s="25" t="s">
        <v>228</v>
      </c>
      <c r="D28" s="25" t="s">
        <v>238</v>
      </c>
      <c r="E28" s="27">
        <v>929.4</v>
      </c>
      <c r="F28" s="28">
        <f t="shared" si="3"/>
        <v>102234</v>
      </c>
      <c r="G28" s="25"/>
      <c r="H28" s="31"/>
      <c r="I28" s="25"/>
      <c r="J28" s="25"/>
      <c r="K28" s="30"/>
      <c r="L28" s="25"/>
      <c r="M28" s="26"/>
      <c r="N28" s="12"/>
      <c r="O28" s="21"/>
      <c r="P28" s="25">
        <v>0</v>
      </c>
      <c r="Q28" s="12"/>
      <c r="R28" s="12"/>
      <c r="S28" s="12">
        <v>0</v>
      </c>
      <c r="T28" s="29">
        <v>0</v>
      </c>
      <c r="U28" s="12"/>
      <c r="V28" s="12"/>
      <c r="Z28" s="12" t="str">
        <v>m_25_opt</v>
      </c>
      <c r="AA28" s="16">
        <f ca="1">AA10*(1-in_gen!$C$44)</f>
        <v>3254858.88</v>
      </c>
      <c r="AB28" s="12"/>
      <c r="AC28" s="12"/>
      <c r="AD28" s="12"/>
      <c r="AE28" s="12"/>
      <c r="AF28" s="12"/>
      <c r="AG28" s="12"/>
      <c r="AH28" s="12"/>
      <c r="AI28" s="12"/>
    </row>
    <row r="29" spans="1:35" ht="15.75" customHeight="1">
      <c r="A29" s="25" t="s">
        <v>241</v>
      </c>
      <c r="B29" s="26" t="s">
        <v>227</v>
      </c>
      <c r="C29" s="25" t="s">
        <v>228</v>
      </c>
      <c r="D29" s="25" t="s">
        <v>233</v>
      </c>
      <c r="E29" s="27">
        <v>118.3</v>
      </c>
      <c r="F29" s="28">
        <f t="shared" si="3"/>
        <v>130130</v>
      </c>
      <c r="G29" s="25"/>
      <c r="H29" s="31"/>
      <c r="I29" s="25"/>
      <c r="J29" s="25"/>
      <c r="K29" s="30"/>
      <c r="L29" s="25"/>
      <c r="M29" s="26"/>
      <c r="N29" s="12"/>
      <c r="O29" s="21"/>
      <c r="P29" s="25">
        <v>0</v>
      </c>
      <c r="Q29" s="12"/>
      <c r="R29" s="12"/>
      <c r="S29" s="12">
        <v>0</v>
      </c>
      <c r="T29" s="29">
        <v>0</v>
      </c>
      <c r="U29" s="12"/>
      <c r="V29" s="12"/>
      <c r="Z29" s="12" t="str">
        <v>m_10_opt</v>
      </c>
      <c r="AA29" s="16">
        <f ca="1">AA11*(1-in_gen!$C$44)</f>
        <v>2034143.04</v>
      </c>
      <c r="AB29" s="12"/>
      <c r="AC29" s="12"/>
      <c r="AD29" s="12"/>
      <c r="AE29" s="12"/>
      <c r="AF29" s="12"/>
      <c r="AG29" s="12"/>
      <c r="AH29" s="12"/>
      <c r="AI29" s="12"/>
    </row>
    <row r="30" spans="1:35" ht="15.75" customHeight="1">
      <c r="A30" s="25" t="s">
        <v>241</v>
      </c>
      <c r="B30" s="26" t="s">
        <v>227</v>
      </c>
      <c r="C30" s="25" t="s">
        <v>228</v>
      </c>
      <c r="D30" s="25" t="s">
        <v>236</v>
      </c>
      <c r="E30" s="27">
        <v>404.9</v>
      </c>
      <c r="F30" s="28">
        <f t="shared" si="3"/>
        <v>396802</v>
      </c>
      <c r="G30" s="25"/>
      <c r="H30" s="31"/>
      <c r="I30" s="25"/>
      <c r="J30" s="25"/>
      <c r="K30" s="30"/>
      <c r="L30" s="25"/>
      <c r="M30" s="26"/>
      <c r="N30" s="12"/>
      <c r="O30" s="21"/>
      <c r="P30" s="25">
        <v>0</v>
      </c>
      <c r="Q30" s="12"/>
      <c r="R30" s="12"/>
      <c r="S30" s="12">
        <v>0</v>
      </c>
      <c r="T30" s="29">
        <v>0</v>
      </c>
      <c r="U30" s="12"/>
      <c r="V30" s="12"/>
      <c r="Z30" s="12"/>
      <c r="AA30" s="16"/>
      <c r="AB30" s="12"/>
      <c r="AC30" s="12"/>
      <c r="AD30" s="12"/>
      <c r="AE30" s="12"/>
      <c r="AF30" s="12"/>
      <c r="AG30" s="12"/>
      <c r="AH30" s="12"/>
      <c r="AI30" s="12"/>
    </row>
    <row r="31" spans="1:35" ht="15.75" customHeight="1">
      <c r="A31" s="25" t="s">
        <v>241</v>
      </c>
      <c r="B31" s="26" t="s">
        <v>227</v>
      </c>
      <c r="C31" s="25" t="s">
        <v>231</v>
      </c>
      <c r="D31" s="25" t="s">
        <v>230</v>
      </c>
      <c r="E31" s="27">
        <v>1599.6</v>
      </c>
      <c r="F31" s="28">
        <f t="shared" si="3"/>
        <v>239940</v>
      </c>
      <c r="G31" s="25"/>
      <c r="H31" s="31"/>
      <c r="I31" s="25"/>
      <c r="J31" s="25"/>
      <c r="K31" s="30"/>
      <c r="L31" s="25"/>
      <c r="M31" s="26"/>
      <c r="N31" s="12"/>
      <c r="O31" s="21"/>
      <c r="P31" s="25">
        <v>0</v>
      </c>
      <c r="Q31" s="12"/>
      <c r="R31" s="12"/>
      <c r="S31" s="12">
        <v>0</v>
      </c>
      <c r="T31" s="29">
        <v>0</v>
      </c>
      <c r="U31" s="12"/>
      <c r="V31" s="12"/>
      <c r="Z31" s="12"/>
      <c r="AA31" s="16"/>
      <c r="AB31" s="12"/>
      <c r="AC31" s="12"/>
      <c r="AD31" s="12"/>
      <c r="AE31" s="12"/>
      <c r="AF31" s="12"/>
      <c r="AG31" s="12"/>
      <c r="AH31" s="12"/>
      <c r="AI31" s="12"/>
    </row>
    <row r="32" spans="1:35" ht="15.75" customHeight="1">
      <c r="A32" s="25" t="s">
        <v>241</v>
      </c>
      <c r="B32" s="26" t="s">
        <v>227</v>
      </c>
      <c r="C32" s="25" t="s">
        <v>231</v>
      </c>
      <c r="D32" s="25" t="s">
        <v>238</v>
      </c>
      <c r="E32" s="27">
        <v>308.10000000000002</v>
      </c>
      <c r="F32" s="28">
        <f t="shared" si="3"/>
        <v>33891</v>
      </c>
      <c r="G32" s="25"/>
      <c r="H32" s="31"/>
      <c r="I32" s="25"/>
      <c r="J32" s="25"/>
      <c r="K32" s="30"/>
      <c r="L32" s="25"/>
      <c r="M32" s="26"/>
      <c r="N32" s="12"/>
      <c r="O32" s="21"/>
      <c r="P32" s="25">
        <v>0</v>
      </c>
      <c r="Q32" s="12"/>
      <c r="R32" s="12"/>
      <c r="S32" s="12">
        <v>0</v>
      </c>
      <c r="T32" s="29">
        <v>0</v>
      </c>
      <c r="U32" s="12"/>
      <c r="V32" s="12"/>
      <c r="Z32" s="12"/>
      <c r="AA32" s="16"/>
      <c r="AB32" s="12"/>
      <c r="AC32" s="12"/>
      <c r="AD32" s="12"/>
      <c r="AE32" s="12"/>
      <c r="AF32" s="12"/>
      <c r="AG32" s="12"/>
      <c r="AH32" s="12"/>
      <c r="AI32" s="12"/>
    </row>
    <row r="33" spans="1:35" ht="15.75" customHeight="1">
      <c r="A33" s="25" t="s">
        <v>241</v>
      </c>
      <c r="B33" s="26" t="s">
        <v>227</v>
      </c>
      <c r="C33" s="25" t="s">
        <v>231</v>
      </c>
      <c r="D33" s="25" t="s">
        <v>233</v>
      </c>
      <c r="E33" s="27">
        <v>35.9</v>
      </c>
      <c r="F33" s="28">
        <f t="shared" si="3"/>
        <v>39490</v>
      </c>
      <c r="G33" s="25"/>
      <c r="H33" s="31"/>
      <c r="I33" s="25"/>
      <c r="J33" s="25"/>
      <c r="K33" s="30"/>
      <c r="L33" s="25"/>
      <c r="M33" s="26"/>
      <c r="N33" s="12"/>
      <c r="O33" s="21"/>
      <c r="P33" s="25">
        <v>0</v>
      </c>
      <c r="Q33" s="12"/>
      <c r="R33" s="12"/>
      <c r="S33" s="12">
        <v>0</v>
      </c>
      <c r="T33" s="29">
        <v>0</v>
      </c>
      <c r="U33" s="12"/>
      <c r="V33" s="12"/>
      <c r="Z33" s="12"/>
      <c r="AA33" s="16"/>
      <c r="AB33" s="12"/>
      <c r="AC33" s="12"/>
      <c r="AD33" s="12"/>
      <c r="AE33" s="12"/>
      <c r="AF33" s="12"/>
      <c r="AG33" s="12"/>
      <c r="AH33" s="12"/>
      <c r="AI33" s="12"/>
    </row>
    <row r="34" spans="1:35" ht="15.75" customHeight="1">
      <c r="A34" s="25" t="s">
        <v>241</v>
      </c>
      <c r="B34" s="26" t="s">
        <v>227</v>
      </c>
      <c r="C34" s="25" t="s">
        <v>231</v>
      </c>
      <c r="D34" s="25" t="s">
        <v>236</v>
      </c>
      <c r="E34" s="27">
        <v>124.4</v>
      </c>
      <c r="F34" s="28">
        <f t="shared" si="3"/>
        <v>121912</v>
      </c>
      <c r="G34" s="25"/>
      <c r="H34" s="31"/>
      <c r="I34" s="25"/>
      <c r="J34" s="25"/>
      <c r="K34" s="30"/>
      <c r="L34" s="25"/>
      <c r="M34" s="26"/>
      <c r="N34" s="12"/>
      <c r="O34" s="21"/>
      <c r="P34" s="25">
        <v>0</v>
      </c>
      <c r="Q34" s="12"/>
      <c r="R34" s="12"/>
      <c r="S34" s="12">
        <v>0</v>
      </c>
      <c r="T34" s="29">
        <v>0</v>
      </c>
      <c r="U34" s="12"/>
      <c r="V34" s="12"/>
      <c r="Z34" s="12"/>
      <c r="AA34" s="16"/>
      <c r="AB34" s="12"/>
      <c r="AC34" s="12"/>
      <c r="AD34" s="12"/>
      <c r="AE34" s="12"/>
      <c r="AF34" s="12"/>
      <c r="AG34" s="12"/>
      <c r="AH34" s="12"/>
      <c r="AI34" s="12"/>
    </row>
    <row r="35" spans="1:35" ht="15.75" customHeight="1">
      <c r="A35" s="25" t="s">
        <v>241</v>
      </c>
      <c r="B35" s="26" t="s">
        <v>227</v>
      </c>
      <c r="C35" s="25" t="s">
        <v>234</v>
      </c>
      <c r="D35" s="25" t="s">
        <v>230</v>
      </c>
      <c r="E35" s="27">
        <v>1611.1</v>
      </c>
      <c r="F35" s="28">
        <f t="shared" si="3"/>
        <v>241665</v>
      </c>
      <c r="G35" s="25"/>
      <c r="H35" s="31"/>
      <c r="I35" s="25"/>
      <c r="J35" s="25"/>
      <c r="K35" s="30"/>
      <c r="L35" s="25"/>
      <c r="M35" s="26"/>
      <c r="N35" s="12"/>
      <c r="O35" s="21"/>
      <c r="P35" s="25">
        <v>0</v>
      </c>
      <c r="Q35" s="12"/>
      <c r="R35" s="12"/>
      <c r="S35" s="12">
        <v>0</v>
      </c>
      <c r="T35" s="29">
        <v>0</v>
      </c>
      <c r="U35" s="12"/>
      <c r="V35" s="12"/>
      <c r="Z35" s="12"/>
      <c r="AA35" s="16"/>
      <c r="AB35" s="12"/>
      <c r="AC35" s="12"/>
      <c r="AD35" s="12"/>
      <c r="AE35" s="12"/>
      <c r="AF35" s="12"/>
      <c r="AG35" s="12"/>
      <c r="AH35" s="12"/>
      <c r="AI35" s="12"/>
    </row>
    <row r="36" spans="1:35" ht="15.75" customHeight="1">
      <c r="A36" s="25" t="s">
        <v>241</v>
      </c>
      <c r="B36" s="26" t="s">
        <v>227</v>
      </c>
      <c r="C36" s="25" t="s">
        <v>234</v>
      </c>
      <c r="D36" s="25" t="s">
        <v>238</v>
      </c>
      <c r="E36" s="27">
        <v>263.7</v>
      </c>
      <c r="F36" s="28">
        <f t="shared" si="3"/>
        <v>29007</v>
      </c>
      <c r="G36" s="25"/>
      <c r="H36" s="31"/>
      <c r="I36" s="25"/>
      <c r="J36" s="25"/>
      <c r="K36" s="30"/>
      <c r="L36" s="25"/>
      <c r="M36" s="26"/>
      <c r="N36" s="12"/>
      <c r="O36" s="21"/>
      <c r="P36" s="25">
        <v>0</v>
      </c>
      <c r="Q36" s="12"/>
      <c r="R36" s="12"/>
      <c r="S36" s="12">
        <v>0</v>
      </c>
      <c r="T36" s="29">
        <v>0</v>
      </c>
      <c r="U36" s="12"/>
      <c r="V36" s="12"/>
      <c r="Z36" s="12"/>
      <c r="AA36" s="16"/>
      <c r="AB36" s="12"/>
      <c r="AC36" s="12"/>
      <c r="AD36" s="12"/>
      <c r="AE36" s="12"/>
      <c r="AF36" s="12"/>
      <c r="AG36" s="12"/>
      <c r="AH36" s="12"/>
      <c r="AI36" s="12"/>
    </row>
    <row r="37" spans="1:35" ht="15.75" customHeight="1">
      <c r="A37" s="25" t="s">
        <v>241</v>
      </c>
      <c r="B37" s="26" t="s">
        <v>227</v>
      </c>
      <c r="C37" s="25" t="s">
        <v>234</v>
      </c>
      <c r="D37" s="25" t="s">
        <v>233</v>
      </c>
      <c r="E37" s="27">
        <v>37.9</v>
      </c>
      <c r="F37" s="28">
        <f t="shared" si="3"/>
        <v>41690</v>
      </c>
      <c r="G37" s="25"/>
      <c r="H37" s="31"/>
      <c r="I37" s="25"/>
      <c r="J37" s="25"/>
      <c r="K37" s="30"/>
      <c r="L37" s="25"/>
      <c r="M37" s="26"/>
      <c r="N37" s="12"/>
      <c r="O37" s="21"/>
      <c r="P37" s="25">
        <v>0</v>
      </c>
      <c r="Q37" s="12"/>
      <c r="R37" s="12"/>
      <c r="S37" s="12">
        <v>0</v>
      </c>
      <c r="T37" s="29">
        <v>0</v>
      </c>
      <c r="U37" s="12"/>
      <c r="V37" s="12"/>
      <c r="Z37" s="12"/>
      <c r="AA37" s="16"/>
      <c r="AB37" s="12"/>
      <c r="AC37" s="12"/>
      <c r="AD37" s="12"/>
      <c r="AE37" s="12"/>
      <c r="AF37" s="12"/>
      <c r="AG37" s="12"/>
      <c r="AH37" s="12"/>
      <c r="AI37" s="12"/>
    </row>
    <row r="38" spans="1:35" ht="15.75" customHeight="1">
      <c r="A38" s="25" t="s">
        <v>241</v>
      </c>
      <c r="B38" s="26" t="s">
        <v>227</v>
      </c>
      <c r="C38" s="25" t="s">
        <v>234</v>
      </c>
      <c r="D38" s="25" t="s">
        <v>236</v>
      </c>
      <c r="E38" s="27">
        <v>123.8</v>
      </c>
      <c r="F38" s="28">
        <f t="shared" si="3"/>
        <v>121324</v>
      </c>
      <c r="G38" s="25"/>
      <c r="H38" s="31"/>
      <c r="I38" s="25"/>
      <c r="J38" s="25"/>
      <c r="K38" s="30"/>
      <c r="L38" s="25"/>
      <c r="M38" s="26"/>
      <c r="N38" s="12"/>
      <c r="O38" s="21"/>
      <c r="P38" s="25">
        <v>0</v>
      </c>
      <c r="Q38" s="12"/>
      <c r="R38" s="12"/>
      <c r="S38" s="12">
        <v>0</v>
      </c>
      <c r="T38" s="29">
        <v>0</v>
      </c>
      <c r="U38" s="12"/>
      <c r="V38" s="12"/>
      <c r="Z38" s="12"/>
      <c r="AA38" s="16"/>
      <c r="AB38" s="12"/>
      <c r="AC38" s="12"/>
      <c r="AD38" s="12"/>
      <c r="AE38" s="12"/>
      <c r="AF38" s="12"/>
      <c r="AG38" s="12"/>
      <c r="AH38" s="12"/>
      <c r="AI38" s="12"/>
    </row>
    <row r="39" spans="1:35" ht="15.75" customHeight="1">
      <c r="A39" s="25" t="s">
        <v>241</v>
      </c>
      <c r="B39" s="26" t="s">
        <v>235</v>
      </c>
      <c r="C39" s="25" t="s">
        <v>228</v>
      </c>
      <c r="D39" s="25" t="s">
        <v>230</v>
      </c>
      <c r="E39" s="27">
        <v>12872.8</v>
      </c>
      <c r="F39" s="28">
        <f t="shared" si="3"/>
        <v>1930920</v>
      </c>
      <c r="G39" s="25"/>
      <c r="H39" s="31"/>
      <c r="I39" s="25"/>
      <c r="J39" s="25"/>
      <c r="K39" s="30"/>
      <c r="L39" s="25"/>
      <c r="M39" s="26"/>
      <c r="N39" s="12"/>
      <c r="O39" s="21"/>
      <c r="P39" s="25">
        <v>0</v>
      </c>
      <c r="Q39" s="12"/>
      <c r="R39" s="12"/>
      <c r="S39" s="12">
        <v>0</v>
      </c>
      <c r="T39" s="29">
        <v>0</v>
      </c>
      <c r="U39" s="12"/>
      <c r="V39" s="12"/>
      <c r="Z39" s="12"/>
      <c r="AA39" s="16"/>
      <c r="AB39" s="12"/>
      <c r="AC39" s="12"/>
      <c r="AD39" s="12"/>
      <c r="AE39" s="12"/>
      <c r="AF39" s="12"/>
      <c r="AG39" s="12"/>
      <c r="AH39" s="12"/>
      <c r="AI39" s="12"/>
    </row>
    <row r="40" spans="1:35" ht="15.75" customHeight="1">
      <c r="A40" s="25" t="s">
        <v>241</v>
      </c>
      <c r="B40" s="26" t="s">
        <v>235</v>
      </c>
      <c r="C40" s="25" t="s">
        <v>228</v>
      </c>
      <c r="D40" s="25" t="s">
        <v>238</v>
      </c>
      <c r="E40" s="27">
        <v>2025.3</v>
      </c>
      <c r="F40" s="28">
        <f t="shared" si="3"/>
        <v>222783</v>
      </c>
      <c r="G40" s="25"/>
      <c r="H40" s="31"/>
      <c r="I40" s="25"/>
      <c r="J40" s="25"/>
      <c r="K40" s="30"/>
      <c r="L40" s="25"/>
      <c r="M40" s="26"/>
      <c r="N40" s="12"/>
      <c r="O40" s="21"/>
      <c r="P40" s="25">
        <v>0</v>
      </c>
      <c r="Q40" s="12"/>
      <c r="R40" s="12"/>
      <c r="S40" s="12">
        <v>0</v>
      </c>
      <c r="T40" s="29">
        <v>0</v>
      </c>
      <c r="U40" s="12"/>
      <c r="V40" s="12"/>
      <c r="Z40" s="12"/>
      <c r="AA40" s="16"/>
      <c r="AB40" s="12"/>
      <c r="AC40" s="12"/>
      <c r="AD40" s="12"/>
      <c r="AE40" s="12"/>
      <c r="AF40" s="12"/>
      <c r="AG40" s="12"/>
      <c r="AH40" s="12"/>
      <c r="AI40" s="12"/>
    </row>
    <row r="41" spans="1:35" ht="15.75" customHeight="1">
      <c r="A41" s="25" t="s">
        <v>241</v>
      </c>
      <c r="B41" s="26" t="s">
        <v>235</v>
      </c>
      <c r="C41" s="25" t="s">
        <v>228</v>
      </c>
      <c r="D41" s="25" t="s">
        <v>233</v>
      </c>
      <c r="E41" s="27">
        <v>309.2</v>
      </c>
      <c r="F41" s="28">
        <f t="shared" si="3"/>
        <v>340120</v>
      </c>
      <c r="G41" s="25"/>
      <c r="H41" s="31"/>
      <c r="I41" s="25"/>
      <c r="J41" s="25"/>
      <c r="K41" s="30"/>
      <c r="L41" s="25"/>
      <c r="M41" s="26"/>
      <c r="N41" s="12"/>
      <c r="O41" s="21"/>
      <c r="P41" s="25">
        <v>0</v>
      </c>
      <c r="Q41" s="12"/>
      <c r="R41" s="12"/>
      <c r="S41" s="12">
        <v>0</v>
      </c>
      <c r="T41" s="29">
        <v>0</v>
      </c>
      <c r="U41" s="12"/>
      <c r="V41" s="12"/>
      <c r="Z41" s="12"/>
      <c r="AA41" s="16"/>
      <c r="AB41" s="12"/>
      <c r="AC41" s="12"/>
      <c r="AD41" s="12"/>
      <c r="AE41" s="12"/>
      <c r="AF41" s="12"/>
      <c r="AG41" s="12"/>
      <c r="AH41" s="12"/>
      <c r="AI41" s="12"/>
    </row>
    <row r="42" spans="1:35" ht="15.75" customHeight="1">
      <c r="A42" s="25" t="s">
        <v>241</v>
      </c>
      <c r="B42" s="26" t="s">
        <v>235</v>
      </c>
      <c r="C42" s="25" t="s">
        <v>228</v>
      </c>
      <c r="D42" s="25" t="s">
        <v>236</v>
      </c>
      <c r="E42" s="27">
        <v>1008</v>
      </c>
      <c r="F42" s="28">
        <f t="shared" si="3"/>
        <v>987840</v>
      </c>
      <c r="G42" s="25"/>
      <c r="H42" s="31"/>
      <c r="I42" s="25"/>
      <c r="J42" s="25"/>
      <c r="K42" s="30"/>
      <c r="L42" s="25"/>
      <c r="M42" s="26"/>
      <c r="N42" s="12"/>
      <c r="O42" s="21"/>
      <c r="P42" s="25">
        <v>0</v>
      </c>
      <c r="Q42" s="12"/>
      <c r="R42" s="12"/>
      <c r="S42" s="12">
        <v>0</v>
      </c>
      <c r="T42" s="29">
        <v>0</v>
      </c>
      <c r="U42" s="12"/>
      <c r="V42" s="12"/>
      <c r="Z42" s="12"/>
      <c r="AA42" s="16"/>
      <c r="AB42" s="12"/>
      <c r="AC42" s="12"/>
      <c r="AD42" s="12"/>
      <c r="AE42" s="12"/>
      <c r="AF42" s="12"/>
      <c r="AG42" s="12"/>
      <c r="AH42" s="12"/>
      <c r="AI42" s="12"/>
    </row>
    <row r="43" spans="1:35" ht="15.75" customHeight="1">
      <c r="A43" s="25" t="s">
        <v>242</v>
      </c>
      <c r="B43" s="26" t="s">
        <v>227</v>
      </c>
      <c r="C43" s="25" t="s">
        <v>228</v>
      </c>
      <c r="D43" s="25" t="s">
        <v>230</v>
      </c>
      <c r="E43" s="27">
        <v>5056.2</v>
      </c>
      <c r="F43" s="28">
        <f t="shared" si="3"/>
        <v>758430</v>
      </c>
      <c r="G43" s="25"/>
      <c r="H43" s="31"/>
      <c r="I43" s="25"/>
      <c r="J43" s="25"/>
      <c r="K43" s="30"/>
      <c r="L43" s="25"/>
      <c r="M43" s="26"/>
      <c r="N43" s="12"/>
      <c r="O43" s="21"/>
      <c r="P43" s="25">
        <v>0</v>
      </c>
      <c r="Q43" s="12"/>
      <c r="R43" s="12"/>
      <c r="S43" s="12">
        <v>0</v>
      </c>
      <c r="T43" s="29">
        <v>0</v>
      </c>
      <c r="U43" s="12"/>
      <c r="V43" s="12"/>
      <c r="Z43" s="12"/>
      <c r="AA43" s="16"/>
      <c r="AB43" s="12"/>
      <c r="AC43" s="12"/>
      <c r="AD43" s="12"/>
      <c r="AE43" s="12"/>
      <c r="AF43" s="12"/>
      <c r="AG43" s="12"/>
      <c r="AH43" s="12"/>
      <c r="AI43" s="12"/>
    </row>
    <row r="44" spans="1:35" ht="15.75" customHeight="1">
      <c r="A44" s="25" t="s">
        <v>242</v>
      </c>
      <c r="B44" s="26" t="s">
        <v>227</v>
      </c>
      <c r="C44" s="25" t="s">
        <v>228</v>
      </c>
      <c r="D44" s="25" t="s">
        <v>238</v>
      </c>
      <c r="E44" s="27">
        <v>3121.4</v>
      </c>
      <c r="F44" s="28">
        <f t="shared" si="3"/>
        <v>343354</v>
      </c>
      <c r="G44" s="25"/>
      <c r="H44" s="31"/>
      <c r="I44" s="25"/>
      <c r="J44" s="25"/>
      <c r="K44" s="30"/>
      <c r="L44" s="25"/>
      <c r="M44" s="26"/>
      <c r="N44" s="12"/>
      <c r="O44" s="21"/>
      <c r="P44" s="25">
        <v>0</v>
      </c>
      <c r="Q44" s="12"/>
      <c r="R44" s="12"/>
      <c r="S44" s="12">
        <v>0</v>
      </c>
      <c r="T44" s="29">
        <v>0</v>
      </c>
      <c r="U44" s="12"/>
      <c r="V44" s="12"/>
      <c r="Z44" s="12"/>
      <c r="AA44" s="16"/>
      <c r="AB44" s="12"/>
      <c r="AC44" s="12"/>
      <c r="AD44" s="12"/>
      <c r="AE44" s="12"/>
      <c r="AF44" s="12"/>
      <c r="AG44" s="12"/>
      <c r="AH44" s="12"/>
      <c r="AI44" s="12"/>
    </row>
    <row r="45" spans="1:35" ht="15.75" customHeight="1">
      <c r="A45" s="25" t="s">
        <v>242</v>
      </c>
      <c r="B45" s="26" t="s">
        <v>227</v>
      </c>
      <c r="C45" s="25" t="s">
        <v>228</v>
      </c>
      <c r="D45" s="25" t="s">
        <v>236</v>
      </c>
      <c r="E45" s="27">
        <v>420</v>
      </c>
      <c r="F45" s="28">
        <f t="shared" si="3"/>
        <v>411600</v>
      </c>
      <c r="G45" s="25"/>
      <c r="H45" s="31"/>
      <c r="I45" s="25"/>
      <c r="J45" s="25"/>
      <c r="K45" s="30"/>
      <c r="L45" s="25"/>
      <c r="M45" s="26"/>
      <c r="N45" s="12"/>
      <c r="O45" s="21"/>
      <c r="P45" s="25">
        <v>0</v>
      </c>
      <c r="Q45" s="12"/>
      <c r="R45" s="12"/>
      <c r="S45" s="12">
        <v>0</v>
      </c>
      <c r="T45" s="29">
        <v>0</v>
      </c>
      <c r="U45" s="12"/>
      <c r="V45" s="12"/>
      <c r="Z45" s="12"/>
      <c r="AA45" s="16"/>
      <c r="AB45" s="12"/>
      <c r="AC45" s="12"/>
      <c r="AD45" s="12"/>
      <c r="AE45" s="12"/>
      <c r="AF45" s="12"/>
      <c r="AG45" s="12"/>
      <c r="AH45" s="12"/>
      <c r="AI45" s="12"/>
    </row>
    <row r="46" spans="1:35" ht="15.75" customHeight="1">
      <c r="A46" s="25" t="s">
        <v>242</v>
      </c>
      <c r="B46" s="26" t="s">
        <v>227</v>
      </c>
      <c r="C46" s="25" t="s">
        <v>231</v>
      </c>
      <c r="D46" s="25" t="s">
        <v>230</v>
      </c>
      <c r="E46" s="27">
        <v>1568.1</v>
      </c>
      <c r="F46" s="28">
        <f t="shared" si="3"/>
        <v>235215</v>
      </c>
      <c r="G46" s="25"/>
      <c r="H46" s="31"/>
      <c r="I46" s="25"/>
      <c r="J46" s="25"/>
      <c r="K46" s="30"/>
      <c r="L46" s="25"/>
      <c r="M46" s="26"/>
      <c r="N46" s="12"/>
      <c r="O46" s="21"/>
      <c r="P46" s="25">
        <v>0</v>
      </c>
      <c r="Q46" s="12"/>
      <c r="R46" s="12"/>
      <c r="S46" s="12">
        <v>0</v>
      </c>
      <c r="T46" s="29">
        <v>0</v>
      </c>
      <c r="U46" s="12"/>
      <c r="V46" s="12"/>
      <c r="Z46" s="12"/>
      <c r="AA46" s="16"/>
      <c r="AB46" s="12"/>
      <c r="AC46" s="12"/>
      <c r="AD46" s="12"/>
      <c r="AE46" s="12"/>
      <c r="AF46" s="12"/>
      <c r="AG46" s="12"/>
      <c r="AH46" s="12"/>
      <c r="AI46" s="12"/>
    </row>
    <row r="47" spans="1:35" ht="15.75" customHeight="1">
      <c r="A47" s="25" t="s">
        <v>242</v>
      </c>
      <c r="B47" s="26" t="s">
        <v>227</v>
      </c>
      <c r="C47" s="25" t="s">
        <v>231</v>
      </c>
      <c r="D47" s="25" t="s">
        <v>238</v>
      </c>
      <c r="E47" s="27">
        <v>971.7</v>
      </c>
      <c r="F47" s="28">
        <f t="shared" si="3"/>
        <v>106887</v>
      </c>
      <c r="G47" s="25"/>
      <c r="H47" s="31"/>
      <c r="I47" s="25"/>
      <c r="J47" s="25"/>
      <c r="K47" s="30"/>
      <c r="L47" s="25"/>
      <c r="M47" s="26"/>
      <c r="N47" s="12"/>
      <c r="O47" s="21"/>
      <c r="P47" s="25">
        <v>0</v>
      </c>
      <c r="Q47" s="12"/>
      <c r="R47" s="12"/>
      <c r="S47" s="12">
        <v>0</v>
      </c>
      <c r="T47" s="29">
        <v>0</v>
      </c>
      <c r="U47" s="12"/>
      <c r="V47" s="12"/>
      <c r="Z47" s="12"/>
      <c r="AA47" s="16"/>
      <c r="AB47" s="12"/>
      <c r="AC47" s="12"/>
      <c r="AD47" s="12"/>
      <c r="AE47" s="12"/>
      <c r="AF47" s="12"/>
      <c r="AG47" s="12"/>
      <c r="AH47" s="12"/>
      <c r="AI47" s="12"/>
    </row>
    <row r="48" spans="1:35" ht="15.75" customHeight="1">
      <c r="A48" s="25" t="s">
        <v>242</v>
      </c>
      <c r="B48" s="26" t="s">
        <v>227</v>
      </c>
      <c r="C48" s="25" t="s">
        <v>231</v>
      </c>
      <c r="D48" s="25" t="s">
        <v>236</v>
      </c>
      <c r="E48" s="27">
        <v>129.19999999999999</v>
      </c>
      <c r="F48" s="28">
        <f t="shared" si="3"/>
        <v>126615.99999999999</v>
      </c>
      <c r="G48" s="25"/>
      <c r="H48" s="31"/>
      <c r="I48" s="25"/>
      <c r="J48" s="25"/>
      <c r="K48" s="30"/>
      <c r="L48" s="25"/>
      <c r="M48" s="26"/>
      <c r="N48" s="12"/>
      <c r="O48" s="21"/>
      <c r="P48" s="25">
        <v>0</v>
      </c>
      <c r="Q48" s="12"/>
      <c r="R48" s="12"/>
      <c r="S48" s="12">
        <v>0</v>
      </c>
      <c r="T48" s="29">
        <v>0</v>
      </c>
      <c r="U48" s="12"/>
      <c r="V48" s="12"/>
      <c r="Z48" s="12"/>
      <c r="AA48" s="16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25" t="s">
        <v>242</v>
      </c>
      <c r="B49" s="26" t="s">
        <v>227</v>
      </c>
      <c r="C49" s="25" t="s">
        <v>234</v>
      </c>
      <c r="D49" s="25" t="s">
        <v>230</v>
      </c>
      <c r="E49" s="27">
        <v>1588.9</v>
      </c>
      <c r="F49" s="28">
        <f t="shared" si="3"/>
        <v>238335</v>
      </c>
      <c r="G49" s="25"/>
      <c r="H49" s="31"/>
      <c r="I49" s="25"/>
      <c r="J49" s="25"/>
      <c r="K49" s="30"/>
      <c r="L49" s="25"/>
      <c r="M49" s="26"/>
      <c r="N49" s="12"/>
      <c r="O49" s="21"/>
      <c r="P49" s="25">
        <v>0</v>
      </c>
      <c r="Q49" s="12"/>
      <c r="R49" s="12"/>
      <c r="S49" s="12">
        <v>0</v>
      </c>
      <c r="T49" s="29">
        <v>0</v>
      </c>
      <c r="U49" s="12"/>
      <c r="V49" s="12"/>
      <c r="Z49" s="12"/>
      <c r="AA49" s="16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25" t="s">
        <v>242</v>
      </c>
      <c r="B50" s="26" t="s">
        <v>227</v>
      </c>
      <c r="C50" s="25" t="s">
        <v>234</v>
      </c>
      <c r="D50" s="25" t="s">
        <v>238</v>
      </c>
      <c r="E50" s="27">
        <v>963.2</v>
      </c>
      <c r="F50" s="28">
        <f t="shared" si="3"/>
        <v>105952</v>
      </c>
      <c r="G50" s="25"/>
      <c r="H50" s="31"/>
      <c r="I50" s="25"/>
      <c r="J50" s="25"/>
      <c r="K50" s="30"/>
      <c r="L50" s="25"/>
      <c r="M50" s="26"/>
      <c r="N50" s="12"/>
      <c r="O50" s="21"/>
      <c r="P50" s="25">
        <v>0</v>
      </c>
      <c r="Q50" s="12"/>
      <c r="R50" s="12"/>
      <c r="S50" s="12">
        <v>0</v>
      </c>
      <c r="T50" s="29">
        <v>0</v>
      </c>
      <c r="U50" s="12"/>
      <c r="V50" s="12"/>
      <c r="Z50" s="12"/>
      <c r="AA50" s="16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25" t="s">
        <v>242</v>
      </c>
      <c r="B51" s="26" t="s">
        <v>227</v>
      </c>
      <c r="C51" s="25" t="s">
        <v>234</v>
      </c>
      <c r="D51" s="25" t="s">
        <v>236</v>
      </c>
      <c r="E51" s="27">
        <v>129.19999999999999</v>
      </c>
      <c r="F51" s="28">
        <f t="shared" si="3"/>
        <v>126615.99999999999</v>
      </c>
      <c r="G51" s="25"/>
      <c r="H51" s="31"/>
      <c r="I51" s="25"/>
      <c r="J51" s="25"/>
      <c r="K51" s="30"/>
      <c r="L51" s="25"/>
      <c r="M51" s="26"/>
      <c r="N51" s="12"/>
      <c r="O51" s="21"/>
      <c r="P51" s="25">
        <v>0</v>
      </c>
      <c r="Q51" s="12"/>
      <c r="R51" s="12"/>
      <c r="S51" s="12">
        <v>0</v>
      </c>
      <c r="T51" s="29">
        <v>0</v>
      </c>
      <c r="U51" s="12"/>
      <c r="V51" s="12"/>
      <c r="Z51" s="12"/>
      <c r="AA51" s="16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25" t="s">
        <v>242</v>
      </c>
      <c r="B52" s="26" t="s">
        <v>235</v>
      </c>
      <c r="C52" s="25" t="s">
        <v>228</v>
      </c>
      <c r="D52" s="25" t="s">
        <v>230</v>
      </c>
      <c r="E52" s="27">
        <v>12907</v>
      </c>
      <c r="F52" s="28">
        <f t="shared" si="3"/>
        <v>1936050</v>
      </c>
      <c r="G52" s="25"/>
      <c r="H52" s="31"/>
      <c r="I52" s="25"/>
      <c r="J52" s="25"/>
      <c r="K52" s="30"/>
      <c r="L52" s="25"/>
      <c r="M52" s="26"/>
      <c r="N52" s="12"/>
      <c r="O52" s="21"/>
      <c r="P52" s="25">
        <v>0</v>
      </c>
      <c r="Q52" s="12"/>
      <c r="R52" s="12"/>
      <c r="S52" s="12">
        <v>0</v>
      </c>
      <c r="T52" s="29">
        <v>0</v>
      </c>
      <c r="U52" s="12"/>
      <c r="V52" s="12"/>
      <c r="Z52" s="12"/>
      <c r="AA52" s="16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25" t="s">
        <v>242</v>
      </c>
      <c r="B53" s="26" t="s">
        <v>235</v>
      </c>
      <c r="C53" s="25" t="s">
        <v>228</v>
      </c>
      <c r="D53" s="25" t="s">
        <v>238</v>
      </c>
      <c r="E53" s="27">
        <v>7811.6</v>
      </c>
      <c r="F53" s="28">
        <f t="shared" si="3"/>
        <v>859276</v>
      </c>
      <c r="G53" s="25"/>
      <c r="H53" s="31"/>
      <c r="I53" s="25"/>
      <c r="J53" s="25"/>
      <c r="K53" s="30"/>
      <c r="L53" s="25"/>
      <c r="M53" s="26"/>
      <c r="N53" s="12"/>
      <c r="O53" s="21"/>
      <c r="P53" s="25">
        <v>0</v>
      </c>
      <c r="Q53" s="12"/>
      <c r="R53" s="12"/>
      <c r="S53" s="12">
        <v>0</v>
      </c>
      <c r="T53" s="29">
        <v>0</v>
      </c>
      <c r="U53" s="12"/>
      <c r="V53" s="12"/>
      <c r="Z53" s="12"/>
      <c r="AA53" s="16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25" t="s">
        <v>242</v>
      </c>
      <c r="B54" s="26" t="s">
        <v>235</v>
      </c>
      <c r="C54" s="25" t="s">
        <v>228</v>
      </c>
      <c r="D54" s="25" t="s">
        <v>236</v>
      </c>
      <c r="E54" s="27">
        <v>1049.5999999999999</v>
      </c>
      <c r="F54" s="28">
        <f t="shared" si="3"/>
        <v>1028607.9999999999</v>
      </c>
      <c r="G54" s="25"/>
      <c r="H54" s="31"/>
      <c r="I54" s="25"/>
      <c r="J54" s="25"/>
      <c r="K54" s="30"/>
      <c r="L54" s="25"/>
      <c r="M54" s="26"/>
      <c r="N54" s="12"/>
      <c r="O54" s="21"/>
      <c r="P54" s="25">
        <v>0</v>
      </c>
      <c r="Q54" s="12"/>
      <c r="R54" s="12"/>
      <c r="S54" s="12">
        <v>0</v>
      </c>
      <c r="T54" s="29">
        <v>0</v>
      </c>
      <c r="U54" s="12"/>
      <c r="V54" s="12"/>
      <c r="Z54" s="12"/>
      <c r="AA54" s="16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25" t="s">
        <v>243</v>
      </c>
      <c r="B55" s="26" t="s">
        <v>227</v>
      </c>
      <c r="C55" s="25" t="s">
        <v>228</v>
      </c>
      <c r="D55" s="25" t="s">
        <v>239</v>
      </c>
      <c r="E55" s="27">
        <v>4965.5</v>
      </c>
      <c r="F55" s="28">
        <f t="shared" si="3"/>
        <v>1365512.5</v>
      </c>
      <c r="G55" s="25"/>
      <c r="H55" s="29"/>
      <c r="I55" s="25"/>
      <c r="J55" s="25"/>
      <c r="K55" s="32"/>
      <c r="L55" s="25"/>
      <c r="M55" s="26"/>
      <c r="N55" s="12"/>
      <c r="O55" s="21"/>
      <c r="P55" s="25">
        <v>0</v>
      </c>
      <c r="Q55" s="12"/>
      <c r="R55" s="12"/>
      <c r="S55" s="12">
        <v>0</v>
      </c>
      <c r="T55" s="29">
        <v>0</v>
      </c>
      <c r="U55" s="12"/>
      <c r="V55" s="12"/>
      <c r="Z55" s="12"/>
      <c r="AA55" s="16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25" t="s">
        <v>243</v>
      </c>
      <c r="B56" s="26" t="s">
        <v>227</v>
      </c>
      <c r="C56" s="25" t="s">
        <v>228</v>
      </c>
      <c r="D56" s="25" t="s">
        <v>238</v>
      </c>
      <c r="E56" s="27">
        <v>3339.3</v>
      </c>
      <c r="F56" s="28">
        <f t="shared" si="3"/>
        <v>367323</v>
      </c>
      <c r="G56" s="25"/>
      <c r="H56" s="29"/>
      <c r="I56" s="25"/>
      <c r="J56" s="25"/>
      <c r="K56" s="32"/>
      <c r="L56" s="25"/>
      <c r="M56" s="26"/>
      <c r="N56" s="12"/>
      <c r="O56" s="21"/>
      <c r="P56" s="25">
        <v>0</v>
      </c>
      <c r="Q56" s="12"/>
      <c r="R56" s="12"/>
      <c r="S56" s="12">
        <v>0</v>
      </c>
      <c r="T56" s="29">
        <v>0</v>
      </c>
      <c r="U56" s="12"/>
      <c r="V56" s="12"/>
      <c r="Z56" s="12"/>
      <c r="AA56" s="16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25" t="s">
        <v>243</v>
      </c>
      <c r="B57" s="26" t="s">
        <v>227</v>
      </c>
      <c r="C57" s="25" t="s">
        <v>228</v>
      </c>
      <c r="D57" s="25" t="s">
        <v>236</v>
      </c>
      <c r="E57" s="27">
        <v>421.7</v>
      </c>
      <c r="F57" s="28">
        <f t="shared" si="3"/>
        <v>413266</v>
      </c>
      <c r="G57" s="25"/>
      <c r="H57" s="29"/>
      <c r="I57" s="25"/>
      <c r="J57" s="25"/>
      <c r="K57" s="32"/>
      <c r="L57" s="25"/>
      <c r="M57" s="26"/>
      <c r="N57" s="12"/>
      <c r="O57" s="21"/>
      <c r="P57" s="25">
        <v>0</v>
      </c>
      <c r="Q57" s="12"/>
      <c r="R57" s="12"/>
      <c r="S57" s="12">
        <v>0</v>
      </c>
      <c r="T57" s="29">
        <v>0</v>
      </c>
      <c r="U57" s="12"/>
      <c r="V57" s="12"/>
      <c r="Z57" s="12"/>
      <c r="AA57" s="16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25" t="s">
        <v>243</v>
      </c>
      <c r="B58" s="26" t="s">
        <v>227</v>
      </c>
      <c r="C58" s="25" t="s">
        <v>231</v>
      </c>
      <c r="D58" s="25" t="s">
        <v>239</v>
      </c>
      <c r="E58" s="27">
        <v>1555.8</v>
      </c>
      <c r="F58" s="28">
        <f t="shared" si="3"/>
        <v>427845</v>
      </c>
      <c r="G58" s="25"/>
      <c r="H58" s="29"/>
      <c r="I58" s="25"/>
      <c r="J58" s="25"/>
      <c r="K58" s="32"/>
      <c r="L58" s="25"/>
      <c r="M58" s="26"/>
      <c r="N58" s="12"/>
      <c r="O58" s="21"/>
      <c r="P58" s="25">
        <v>0</v>
      </c>
      <c r="Q58" s="12"/>
      <c r="R58" s="12"/>
      <c r="S58" s="12">
        <v>0</v>
      </c>
      <c r="T58" s="29">
        <v>0</v>
      </c>
      <c r="U58" s="12"/>
      <c r="V58" s="12"/>
      <c r="Z58" s="12"/>
      <c r="AA58" s="16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25" t="s">
        <v>243</v>
      </c>
      <c r="B59" s="26" t="s">
        <v>227</v>
      </c>
      <c r="C59" s="25" t="s">
        <v>231</v>
      </c>
      <c r="D59" s="25" t="s">
        <v>238</v>
      </c>
      <c r="E59" s="27">
        <v>1046.9000000000001</v>
      </c>
      <c r="F59" s="28">
        <f t="shared" si="3"/>
        <v>115159.00000000001</v>
      </c>
      <c r="G59" s="25"/>
      <c r="H59" s="29"/>
      <c r="I59" s="25"/>
      <c r="J59" s="25"/>
      <c r="K59" s="32"/>
      <c r="L59" s="25"/>
      <c r="M59" s="26"/>
      <c r="N59" s="12"/>
      <c r="O59" s="21"/>
      <c r="P59" s="25">
        <v>0</v>
      </c>
      <c r="Q59" s="12"/>
      <c r="R59" s="12"/>
      <c r="S59" s="12">
        <v>0</v>
      </c>
      <c r="T59" s="29">
        <v>0</v>
      </c>
      <c r="U59" s="12"/>
      <c r="V59" s="12"/>
      <c r="Z59" s="12"/>
      <c r="AA59" s="16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25" t="s">
        <v>243</v>
      </c>
      <c r="B60" s="26" t="s">
        <v>227</v>
      </c>
      <c r="C60" s="25" t="s">
        <v>231</v>
      </c>
      <c r="D60" s="25" t="s">
        <v>236</v>
      </c>
      <c r="E60" s="27">
        <v>129.69999999999999</v>
      </c>
      <c r="F60" s="28">
        <f t="shared" si="3"/>
        <v>127105.99999999999</v>
      </c>
      <c r="G60" s="25"/>
      <c r="H60" s="29"/>
      <c r="I60" s="25"/>
      <c r="J60" s="25"/>
      <c r="K60" s="32"/>
      <c r="L60" s="25"/>
      <c r="M60" s="26"/>
      <c r="N60" s="12"/>
      <c r="O60" s="21"/>
      <c r="P60" s="25">
        <v>0</v>
      </c>
      <c r="Q60" s="12"/>
      <c r="R60" s="12"/>
      <c r="S60" s="12">
        <v>0</v>
      </c>
      <c r="T60" s="29">
        <v>0</v>
      </c>
      <c r="U60" s="12"/>
      <c r="V60" s="12"/>
      <c r="Z60" s="12"/>
      <c r="AA60" s="16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25" t="s">
        <v>243</v>
      </c>
      <c r="B61" s="26" t="s">
        <v>227</v>
      </c>
      <c r="C61" s="25" t="s">
        <v>234</v>
      </c>
      <c r="D61" s="25" t="s">
        <v>239</v>
      </c>
      <c r="E61" s="27">
        <v>1582.2</v>
      </c>
      <c r="F61" s="28">
        <f t="shared" si="3"/>
        <v>435105</v>
      </c>
      <c r="G61" s="25"/>
      <c r="H61" s="29"/>
      <c r="I61" s="25"/>
      <c r="J61" s="25"/>
      <c r="K61" s="32"/>
      <c r="L61" s="25"/>
      <c r="M61" s="26"/>
      <c r="N61" s="12"/>
      <c r="O61" s="21"/>
      <c r="P61" s="25">
        <v>0</v>
      </c>
      <c r="Q61" s="12"/>
      <c r="R61" s="12"/>
      <c r="S61" s="12">
        <v>0</v>
      </c>
      <c r="T61" s="29">
        <v>0</v>
      </c>
      <c r="U61" s="12"/>
      <c r="V61" s="12"/>
      <c r="Z61" s="12"/>
      <c r="AA61" s="16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25" t="s">
        <v>243</v>
      </c>
      <c r="B62" s="26" t="s">
        <v>227</v>
      </c>
      <c r="C62" s="25" t="s">
        <v>234</v>
      </c>
      <c r="D62" s="25" t="s">
        <v>238</v>
      </c>
      <c r="E62" s="27">
        <v>1051.7</v>
      </c>
      <c r="F62" s="28">
        <f t="shared" si="3"/>
        <v>115687</v>
      </c>
      <c r="G62" s="25"/>
      <c r="H62" s="29"/>
      <c r="I62" s="25"/>
      <c r="J62" s="25"/>
      <c r="K62" s="32"/>
      <c r="L62" s="25"/>
      <c r="M62" s="26"/>
      <c r="N62" s="12"/>
      <c r="O62" s="21"/>
      <c r="P62" s="25">
        <v>0</v>
      </c>
      <c r="Q62" s="12"/>
      <c r="R62" s="12"/>
      <c r="S62" s="12">
        <v>0</v>
      </c>
      <c r="T62" s="29">
        <v>0</v>
      </c>
      <c r="U62" s="12"/>
      <c r="V62" s="12"/>
      <c r="Z62" s="12"/>
      <c r="AA62" s="16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25" t="s">
        <v>243</v>
      </c>
      <c r="B63" s="26" t="s">
        <v>227</v>
      </c>
      <c r="C63" s="25" t="s">
        <v>234</v>
      </c>
      <c r="D63" s="25" t="s">
        <v>236</v>
      </c>
      <c r="E63" s="27">
        <v>130.30000000000001</v>
      </c>
      <c r="F63" s="28">
        <f t="shared" si="3"/>
        <v>127694.00000000001</v>
      </c>
      <c r="G63" s="25"/>
      <c r="H63" s="29"/>
      <c r="I63" s="25"/>
      <c r="J63" s="25"/>
      <c r="K63" s="32"/>
      <c r="L63" s="25"/>
      <c r="M63" s="26"/>
      <c r="N63" s="12"/>
      <c r="O63" s="21"/>
      <c r="P63" s="25">
        <v>0</v>
      </c>
      <c r="Q63" s="12"/>
      <c r="R63" s="12"/>
      <c r="S63" s="12">
        <v>0</v>
      </c>
      <c r="T63" s="29">
        <v>0</v>
      </c>
      <c r="U63" s="12"/>
      <c r="V63" s="12"/>
      <c r="Z63" s="12"/>
      <c r="AA63" s="16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25" t="s">
        <v>243</v>
      </c>
      <c r="B64" s="26" t="s">
        <v>235</v>
      </c>
      <c r="C64" s="25" t="s">
        <v>228</v>
      </c>
      <c r="D64" s="25" t="s">
        <v>239</v>
      </c>
      <c r="E64" s="27">
        <v>12771.8</v>
      </c>
      <c r="F64" s="28">
        <f t="shared" si="3"/>
        <v>3512245</v>
      </c>
      <c r="G64" s="25"/>
      <c r="H64" s="29"/>
      <c r="I64" s="25"/>
      <c r="J64" s="25"/>
      <c r="K64" s="32"/>
      <c r="L64" s="25"/>
      <c r="M64" s="26"/>
      <c r="N64" s="12"/>
      <c r="O64" s="21"/>
      <c r="P64" s="25">
        <v>0</v>
      </c>
      <c r="Q64" s="12"/>
      <c r="R64" s="12"/>
      <c r="S64" s="12">
        <v>0</v>
      </c>
      <c r="T64" s="29">
        <v>0</v>
      </c>
      <c r="U64" s="12"/>
      <c r="V64" s="12"/>
      <c r="Z64" s="12"/>
      <c r="AA64" s="16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25" t="s">
        <v>243</v>
      </c>
      <c r="B65" s="26" t="s">
        <v>235</v>
      </c>
      <c r="C65" s="25" t="s">
        <v>228</v>
      </c>
      <c r="D65" s="25" t="s">
        <v>238</v>
      </c>
      <c r="E65" s="27">
        <v>8458.1</v>
      </c>
      <c r="F65" s="28">
        <f t="shared" si="3"/>
        <v>930391</v>
      </c>
      <c r="G65" s="25"/>
      <c r="H65" s="29"/>
      <c r="I65" s="25"/>
      <c r="J65" s="25"/>
      <c r="K65" s="32"/>
      <c r="L65" s="25"/>
      <c r="M65" s="26"/>
      <c r="N65" s="12"/>
      <c r="O65" s="21"/>
      <c r="P65" s="25">
        <v>0</v>
      </c>
      <c r="Q65" s="12"/>
      <c r="R65" s="12"/>
      <c r="S65" s="12">
        <v>0</v>
      </c>
      <c r="T65" s="29">
        <v>0</v>
      </c>
      <c r="U65" s="12"/>
      <c r="V65" s="12"/>
      <c r="Z65" s="12"/>
      <c r="AA65" s="16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25" t="s">
        <v>243</v>
      </c>
      <c r="B66" s="26" t="s">
        <v>235</v>
      </c>
      <c r="C66" s="25" t="s">
        <v>228</v>
      </c>
      <c r="D66" s="25" t="s">
        <v>236</v>
      </c>
      <c r="E66" s="27">
        <v>1056</v>
      </c>
      <c r="F66" s="28">
        <f t="shared" si="3"/>
        <v>1034880</v>
      </c>
      <c r="G66" s="25"/>
      <c r="H66" s="29"/>
      <c r="I66" s="25"/>
      <c r="J66" s="25"/>
      <c r="K66" s="32"/>
      <c r="L66" s="25"/>
      <c r="M66" s="26"/>
      <c r="N66" s="12"/>
      <c r="O66" s="21"/>
      <c r="P66" s="25">
        <v>0</v>
      </c>
      <c r="Q66" s="12"/>
      <c r="R66" s="12"/>
      <c r="S66" s="12">
        <v>0</v>
      </c>
      <c r="T66" s="29">
        <v>0</v>
      </c>
      <c r="U66" s="12"/>
      <c r="V66" s="12"/>
      <c r="Z66" s="12"/>
      <c r="AA66" s="16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25"/>
      <c r="B67" s="12"/>
      <c r="C67" s="25"/>
      <c r="D67" s="25"/>
      <c r="E67" s="16"/>
      <c r="F67" s="21"/>
      <c r="G67" s="25"/>
      <c r="H67" s="29"/>
      <c r="I67" s="25"/>
      <c r="J67" s="25"/>
      <c r="K67" s="32"/>
      <c r="L67" s="25"/>
      <c r="M67" s="26"/>
      <c r="N67" s="12"/>
      <c r="O67" s="21"/>
      <c r="P67" s="25">
        <v>0</v>
      </c>
      <c r="Q67" s="12"/>
      <c r="R67" s="12"/>
      <c r="S67" s="12">
        <v>0</v>
      </c>
      <c r="T67" s="29">
        <v>0</v>
      </c>
      <c r="U67" s="12"/>
      <c r="V67" s="12"/>
      <c r="Z67" s="12"/>
      <c r="AA67" s="16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25"/>
      <c r="B68" s="12"/>
      <c r="C68" s="25"/>
      <c r="D68" s="25"/>
      <c r="E68" s="16"/>
      <c r="F68" s="21"/>
      <c r="G68" s="25"/>
      <c r="H68" s="29"/>
      <c r="I68" s="25"/>
      <c r="J68" s="25"/>
      <c r="K68" s="32"/>
      <c r="L68" s="25"/>
      <c r="M68" s="26"/>
      <c r="N68" s="12"/>
      <c r="O68" s="21"/>
      <c r="P68" s="25">
        <v>0</v>
      </c>
      <c r="Q68" s="12"/>
      <c r="R68" s="12"/>
      <c r="S68" s="12">
        <v>0</v>
      </c>
      <c r="T68" s="29">
        <v>0</v>
      </c>
      <c r="U68" s="12"/>
      <c r="V68" s="12"/>
      <c r="Z68" s="12"/>
      <c r="AA68" s="16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25"/>
      <c r="B69" s="12"/>
      <c r="C69" s="25"/>
      <c r="D69" s="25"/>
      <c r="E69" s="16"/>
      <c r="F69" s="21"/>
      <c r="G69" s="25"/>
      <c r="H69" s="29"/>
      <c r="I69" s="25"/>
      <c r="J69" s="25"/>
      <c r="K69" s="32"/>
      <c r="L69" s="25"/>
      <c r="M69" s="26" t="str" cm="1">
        <f t="array" ref="M69:M74">_xlfn.UNIQUE(A3:A1036)</f>
        <v>O0 Conv Ref</v>
      </c>
      <c r="N69" s="12"/>
      <c r="O69" s="21"/>
      <c r="P69" s="25">
        <v>0</v>
      </c>
      <c r="Q69" s="12"/>
      <c r="R69" s="12"/>
      <c r="S69" s="12">
        <v>0</v>
      </c>
      <c r="T69" s="29">
        <v>0</v>
      </c>
      <c r="U69" s="12"/>
      <c r="V69" s="12"/>
      <c r="Z69" s="12"/>
      <c r="AA69" s="16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25"/>
      <c r="B70" s="12"/>
      <c r="C70" s="25"/>
      <c r="D70" s="25"/>
      <c r="E70" s="16"/>
      <c r="F70" s="21"/>
      <c r="G70" s="25"/>
      <c r="H70" s="29"/>
      <c r="I70" s="25"/>
      <c r="J70" s="25"/>
      <c r="K70" s="32"/>
      <c r="L70" s="25"/>
      <c r="M70" s="26" t="str">
        <v>O1 Conv LWAC</v>
      </c>
      <c r="N70" s="12"/>
      <c r="O70" s="21"/>
      <c r="P70" s="25">
        <v>0</v>
      </c>
      <c r="Q70" s="12"/>
      <c r="R70" s="12"/>
      <c r="S70" s="12">
        <v>0</v>
      </c>
      <c r="T70" s="29">
        <v>0</v>
      </c>
      <c r="U70" s="12"/>
      <c r="V70" s="12"/>
      <c r="Z70" s="12"/>
      <c r="AA70" s="16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25"/>
      <c r="B71" s="12"/>
      <c r="C71" s="25"/>
      <c r="D71" s="25"/>
      <c r="E71" s="16"/>
      <c r="F71" s="21"/>
      <c r="G71" s="25"/>
      <c r="H71" s="29"/>
      <c r="I71" s="25"/>
      <c r="J71" s="25"/>
      <c r="K71" s="32"/>
      <c r="L71" s="25"/>
      <c r="M71" s="26" t="str">
        <v>O2 Hybrid</v>
      </c>
      <c r="N71" s="12"/>
      <c r="O71" s="21"/>
      <c r="P71" s="25">
        <v>0</v>
      </c>
      <c r="Q71" s="12"/>
      <c r="R71" s="12"/>
      <c r="S71" s="12">
        <v>0</v>
      </c>
      <c r="T71" s="29">
        <v>0</v>
      </c>
      <c r="U71" s="12"/>
      <c r="V71" s="12"/>
      <c r="Z71" s="12"/>
      <c r="AA71" s="16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25"/>
      <c r="B72" s="12"/>
      <c r="C72" s="25"/>
      <c r="D72" s="25"/>
      <c r="E72" s="16"/>
      <c r="F72" s="21"/>
      <c r="G72" s="25"/>
      <c r="H72" s="29"/>
      <c r="I72" s="25"/>
      <c r="J72" s="25"/>
      <c r="K72" s="32"/>
      <c r="L72" s="25"/>
      <c r="M72" s="26" t="str">
        <v>O3 Sure LWAC</v>
      </c>
      <c r="N72" s="12"/>
      <c r="O72" s="21"/>
      <c r="P72" s="25">
        <v>0</v>
      </c>
      <c r="Q72" s="12"/>
      <c r="R72" s="12"/>
      <c r="S72" s="12">
        <v>0</v>
      </c>
      <c r="T72" s="29">
        <v>0</v>
      </c>
      <c r="U72" s="12"/>
      <c r="V72" s="12"/>
      <c r="Z72" s="12"/>
      <c r="AA72" s="16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25"/>
      <c r="B73" s="12"/>
      <c r="C73" s="25"/>
      <c r="D73" s="25"/>
      <c r="E73" s="16"/>
      <c r="F73" s="21"/>
      <c r="G73" s="25"/>
      <c r="H73" s="29"/>
      <c r="I73" s="25"/>
      <c r="J73" s="25"/>
      <c r="K73" s="32"/>
      <c r="L73" s="25"/>
      <c r="M73" s="26" t="str">
        <v>O4 Sure HPC</v>
      </c>
      <c r="N73" s="12"/>
      <c r="O73" s="21"/>
      <c r="P73" s="25">
        <v>0</v>
      </c>
      <c r="Q73" s="12"/>
      <c r="R73" s="12"/>
      <c r="S73" s="12">
        <v>0</v>
      </c>
      <c r="T73" s="29">
        <v>0</v>
      </c>
      <c r="U73" s="12"/>
      <c r="V73" s="12"/>
      <c r="Z73" s="12"/>
      <c r="AA73" s="16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25"/>
      <c r="B74" s="12"/>
      <c r="C74" s="25"/>
      <c r="D74" s="25"/>
      <c r="E74" s="16"/>
      <c r="F74" s="21"/>
      <c r="G74" s="25"/>
      <c r="H74" s="29"/>
      <c r="I74" s="25"/>
      <c r="J74" s="25"/>
      <c r="K74" s="32"/>
      <c r="L74" s="25"/>
      <c r="M74" s="26">
        <v>0</v>
      </c>
      <c r="N74" s="12"/>
      <c r="O74" s="21"/>
      <c r="P74" s="25">
        <v>0</v>
      </c>
      <c r="Q74" s="12"/>
      <c r="R74" s="12"/>
      <c r="S74" s="12">
        <v>0</v>
      </c>
      <c r="T74" s="29">
        <v>0</v>
      </c>
      <c r="U74" s="12"/>
      <c r="V74" s="12"/>
      <c r="Z74" s="12"/>
      <c r="AA74" s="16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25"/>
      <c r="B75" s="12"/>
      <c r="C75" s="25"/>
      <c r="D75" s="25"/>
      <c r="E75" s="16"/>
      <c r="F75" s="21"/>
      <c r="G75" s="25"/>
      <c r="H75" s="29"/>
      <c r="I75" s="25"/>
      <c r="J75" s="25"/>
      <c r="K75" s="32"/>
      <c r="L75" s="25"/>
      <c r="M75" s="26"/>
      <c r="N75" s="12"/>
      <c r="O75" s="21"/>
      <c r="P75" s="25">
        <v>0</v>
      </c>
      <c r="Q75" s="12"/>
      <c r="R75" s="12"/>
      <c r="S75" s="12">
        <v>0</v>
      </c>
      <c r="T75" s="29">
        <v>0</v>
      </c>
      <c r="U75" s="12"/>
      <c r="V75" s="12"/>
      <c r="Z75" s="12"/>
      <c r="AA75" s="16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25"/>
      <c r="B76" s="12"/>
      <c r="C76" s="25"/>
      <c r="D76" s="25"/>
      <c r="E76" s="16"/>
      <c r="F76" s="21"/>
      <c r="G76" s="25"/>
      <c r="H76" s="29"/>
      <c r="I76" s="25"/>
      <c r="J76" s="25"/>
      <c r="K76" s="32"/>
      <c r="L76" s="25"/>
      <c r="M76" s="26"/>
      <c r="N76" s="12"/>
      <c r="O76" s="21"/>
      <c r="P76" s="25">
        <v>0</v>
      </c>
      <c r="Q76" s="12"/>
      <c r="R76" s="12"/>
      <c r="S76" s="12">
        <v>0</v>
      </c>
      <c r="T76" s="29">
        <v>0</v>
      </c>
      <c r="U76" s="12"/>
      <c r="V76" s="12"/>
      <c r="Z76" s="12"/>
      <c r="AA76" s="16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25"/>
      <c r="B77" s="12"/>
      <c r="C77" s="25"/>
      <c r="D77" s="25"/>
      <c r="E77" s="16"/>
      <c r="F77" s="21"/>
      <c r="G77" s="25"/>
      <c r="H77" s="29"/>
      <c r="I77" s="25"/>
      <c r="J77" s="25"/>
      <c r="K77" s="32"/>
      <c r="L77" s="25"/>
      <c r="M77" s="26"/>
      <c r="N77" s="12"/>
      <c r="O77" s="21"/>
      <c r="P77" s="25">
        <v>0</v>
      </c>
      <c r="Q77" s="12"/>
      <c r="R77" s="12"/>
      <c r="S77" s="12">
        <v>0</v>
      </c>
      <c r="T77" s="29">
        <v>0</v>
      </c>
      <c r="U77" s="12"/>
      <c r="V77" s="12"/>
      <c r="Z77" s="12"/>
      <c r="AA77" s="16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25"/>
      <c r="B78" s="12"/>
      <c r="C78" s="25"/>
      <c r="D78" s="25"/>
      <c r="E78" s="16"/>
      <c r="F78" s="21"/>
      <c r="G78" s="25"/>
      <c r="H78" s="29"/>
      <c r="I78" s="25"/>
      <c r="J78" s="25"/>
      <c r="K78" s="32"/>
      <c r="L78" s="25"/>
      <c r="M78" s="26"/>
      <c r="N78" s="12"/>
      <c r="O78" s="21"/>
      <c r="P78" s="25">
        <v>0</v>
      </c>
      <c r="Q78" s="12"/>
      <c r="R78" s="12"/>
      <c r="S78" s="12">
        <v>0</v>
      </c>
      <c r="T78" s="29">
        <v>0</v>
      </c>
      <c r="U78" s="12"/>
      <c r="V78" s="12"/>
      <c r="Z78" s="12"/>
      <c r="AA78" s="16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25"/>
      <c r="B79" s="12"/>
      <c r="C79" s="25"/>
      <c r="D79" s="25"/>
      <c r="E79" s="16"/>
      <c r="F79" s="21"/>
      <c r="G79" s="25"/>
      <c r="H79" s="29"/>
      <c r="I79" s="25"/>
      <c r="J79" s="25"/>
      <c r="K79" s="32"/>
      <c r="L79" s="25"/>
      <c r="M79" s="26"/>
      <c r="N79" s="12"/>
      <c r="O79" s="21"/>
      <c r="P79" s="25">
        <v>0</v>
      </c>
      <c r="Q79" s="12"/>
      <c r="R79" s="12"/>
      <c r="S79" s="12">
        <v>0</v>
      </c>
      <c r="T79" s="29">
        <v>0</v>
      </c>
      <c r="U79" s="12"/>
      <c r="V79" s="12"/>
      <c r="Z79" s="12"/>
      <c r="AA79" s="16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25"/>
      <c r="B80" s="12"/>
      <c r="C80" s="25"/>
      <c r="D80" s="25"/>
      <c r="E80" s="16"/>
      <c r="F80" s="21"/>
      <c r="G80" s="25"/>
      <c r="H80" s="29"/>
      <c r="I80" s="25"/>
      <c r="J80" s="25"/>
      <c r="K80" s="32"/>
      <c r="L80" s="25"/>
      <c r="M80" s="26"/>
      <c r="N80" s="12"/>
      <c r="O80" s="21"/>
      <c r="P80" s="25">
        <v>0</v>
      </c>
      <c r="Q80" s="12"/>
      <c r="R80" s="12"/>
      <c r="S80" s="12">
        <v>0</v>
      </c>
      <c r="T80" s="29">
        <v>0</v>
      </c>
      <c r="U80" s="12"/>
      <c r="V80" s="12"/>
      <c r="Z80" s="12"/>
      <c r="AA80" s="16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25"/>
      <c r="B81" s="12"/>
      <c r="C81" s="25"/>
      <c r="D81" s="25"/>
      <c r="E81" s="16"/>
      <c r="F81" s="21"/>
      <c r="G81" s="25"/>
      <c r="H81" s="29"/>
      <c r="I81" s="25"/>
      <c r="J81" s="25"/>
      <c r="K81" s="32"/>
      <c r="L81" s="25"/>
      <c r="M81" s="26"/>
      <c r="N81" s="12"/>
      <c r="O81" s="21"/>
      <c r="P81" s="25">
        <v>0</v>
      </c>
      <c r="Q81" s="12"/>
      <c r="R81" s="12"/>
      <c r="S81" s="12">
        <v>0</v>
      </c>
      <c r="T81" s="29">
        <v>0</v>
      </c>
      <c r="U81" s="12"/>
      <c r="V81" s="12"/>
      <c r="Z81" s="12"/>
      <c r="AA81" s="16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25"/>
      <c r="B82" s="12"/>
      <c r="C82" s="25"/>
      <c r="D82" s="25"/>
      <c r="E82" s="16"/>
      <c r="F82" s="21"/>
      <c r="G82" s="25"/>
      <c r="H82" s="29"/>
      <c r="I82" s="25"/>
      <c r="J82" s="25"/>
      <c r="K82" s="32"/>
      <c r="L82" s="25"/>
      <c r="M82" s="26"/>
      <c r="N82" s="12"/>
      <c r="O82" s="21"/>
      <c r="P82" s="25">
        <v>0</v>
      </c>
      <c r="Q82" s="12"/>
      <c r="R82" s="12"/>
      <c r="S82" s="12">
        <v>0</v>
      </c>
      <c r="T82" s="29">
        <v>0</v>
      </c>
      <c r="U82" s="12"/>
      <c r="V82" s="12"/>
      <c r="Z82" s="12"/>
      <c r="AA82" s="16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25"/>
      <c r="B83" s="12"/>
      <c r="C83" s="25"/>
      <c r="D83" s="25"/>
      <c r="E83" s="16"/>
      <c r="F83" s="21"/>
      <c r="G83" s="25"/>
      <c r="H83" s="29"/>
      <c r="I83" s="25"/>
      <c r="J83" s="25"/>
      <c r="K83" s="32"/>
      <c r="L83" s="25"/>
      <c r="M83" s="26"/>
      <c r="N83" s="12"/>
      <c r="O83" s="21"/>
      <c r="P83" s="25">
        <v>0</v>
      </c>
      <c r="Q83" s="12"/>
      <c r="R83" s="12"/>
      <c r="S83" s="12">
        <v>0</v>
      </c>
      <c r="T83" s="29">
        <v>0</v>
      </c>
      <c r="U83" s="12"/>
      <c r="V83" s="12"/>
      <c r="Z83" s="12"/>
      <c r="AA83" s="16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25"/>
      <c r="B84" s="12"/>
      <c r="C84" s="25"/>
      <c r="D84" s="25"/>
      <c r="E84" s="16"/>
      <c r="F84" s="21"/>
      <c r="G84" s="25"/>
      <c r="H84" s="29"/>
      <c r="I84" s="25"/>
      <c r="J84" s="25"/>
      <c r="K84" s="32"/>
      <c r="L84" s="25"/>
      <c r="M84" s="26"/>
      <c r="N84" s="12"/>
      <c r="O84" s="21"/>
      <c r="P84" s="25">
        <v>0</v>
      </c>
      <c r="Q84" s="12"/>
      <c r="R84" s="12"/>
      <c r="S84" s="12">
        <v>0</v>
      </c>
      <c r="T84" s="29">
        <v>0</v>
      </c>
      <c r="U84" s="12"/>
      <c r="V84" s="12"/>
      <c r="Z84" s="12"/>
      <c r="AA84" s="16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25"/>
      <c r="B85" s="12"/>
      <c r="C85" s="25"/>
      <c r="D85" s="25"/>
      <c r="E85" s="16"/>
      <c r="F85" s="21"/>
      <c r="G85" s="25"/>
      <c r="H85" s="29"/>
      <c r="I85" s="25"/>
      <c r="J85" s="25"/>
      <c r="K85" s="32"/>
      <c r="L85" s="25"/>
      <c r="M85" s="26"/>
      <c r="N85" s="12"/>
      <c r="O85" s="21"/>
      <c r="P85" s="25">
        <v>0</v>
      </c>
      <c r="Q85" s="12"/>
      <c r="R85" s="12"/>
      <c r="S85" s="12">
        <v>0</v>
      </c>
      <c r="T85" s="29">
        <v>0</v>
      </c>
      <c r="U85" s="12"/>
      <c r="V85" s="12"/>
      <c r="Z85" s="12"/>
      <c r="AA85" s="16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25"/>
      <c r="B86" s="12"/>
      <c r="C86" s="25"/>
      <c r="D86" s="25"/>
      <c r="E86" s="16"/>
      <c r="F86" s="21"/>
      <c r="G86" s="25"/>
      <c r="H86" s="29"/>
      <c r="I86" s="25"/>
      <c r="J86" s="25"/>
      <c r="K86" s="32"/>
      <c r="L86" s="25"/>
      <c r="M86" s="26"/>
      <c r="N86" s="12"/>
      <c r="O86" s="21"/>
      <c r="P86" s="25">
        <v>0</v>
      </c>
      <c r="Q86" s="12"/>
      <c r="R86" s="12"/>
      <c r="S86" s="12">
        <v>0</v>
      </c>
      <c r="T86" s="29">
        <v>0</v>
      </c>
      <c r="U86" s="12"/>
      <c r="V86" s="12"/>
      <c r="Z86" s="12"/>
      <c r="AA86" s="16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25"/>
      <c r="B87" s="12"/>
      <c r="C87" s="25"/>
      <c r="D87" s="25"/>
      <c r="E87" s="16"/>
      <c r="F87" s="21"/>
      <c r="G87" s="25"/>
      <c r="H87" s="29"/>
      <c r="I87" s="25"/>
      <c r="J87" s="25"/>
      <c r="K87" s="32"/>
      <c r="L87" s="25"/>
      <c r="M87" s="26"/>
      <c r="N87" s="12"/>
      <c r="O87" s="21"/>
      <c r="P87" s="25">
        <v>0</v>
      </c>
      <c r="Q87" s="12"/>
      <c r="R87" s="12"/>
      <c r="S87" s="12">
        <v>0</v>
      </c>
      <c r="T87" s="29">
        <v>0</v>
      </c>
      <c r="U87" s="12"/>
      <c r="V87" s="12"/>
      <c r="Z87" s="12"/>
      <c r="AA87" s="16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25"/>
      <c r="B88" s="12"/>
      <c r="C88" s="25"/>
      <c r="D88" s="25"/>
      <c r="E88" s="16"/>
      <c r="F88" s="21"/>
      <c r="G88" s="25"/>
      <c r="H88" s="29"/>
      <c r="I88" s="25"/>
      <c r="J88" s="25"/>
      <c r="K88" s="32"/>
      <c r="L88" s="25"/>
      <c r="M88" s="26"/>
      <c r="N88" s="12"/>
      <c r="O88" s="21"/>
      <c r="P88" s="25">
        <v>0</v>
      </c>
      <c r="Q88" s="12"/>
      <c r="R88" s="12"/>
      <c r="S88" s="12">
        <v>0</v>
      </c>
      <c r="T88" s="29">
        <v>0</v>
      </c>
      <c r="U88" s="12"/>
      <c r="V88" s="12"/>
      <c r="Z88" s="12"/>
      <c r="AA88" s="16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25"/>
      <c r="B89" s="12"/>
      <c r="C89" s="25"/>
      <c r="D89" s="25"/>
      <c r="E89" s="16"/>
      <c r="F89" s="21"/>
      <c r="G89" s="25"/>
      <c r="H89" s="29"/>
      <c r="I89" s="25"/>
      <c r="J89" s="25"/>
      <c r="K89" s="32"/>
      <c r="L89" s="25"/>
      <c r="M89" s="26"/>
      <c r="N89" s="12"/>
      <c r="O89" s="21"/>
      <c r="P89" s="25">
        <v>0</v>
      </c>
      <c r="Q89" s="12"/>
      <c r="R89" s="12"/>
      <c r="S89" s="12">
        <v>0</v>
      </c>
      <c r="T89" s="29">
        <v>0</v>
      </c>
      <c r="U89" s="12"/>
      <c r="V89" s="12"/>
      <c r="Z89" s="12"/>
      <c r="AA89" s="16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25"/>
      <c r="B90" s="12"/>
      <c r="C90" s="25"/>
      <c r="D90" s="25"/>
      <c r="E90" s="16"/>
      <c r="F90" s="21"/>
      <c r="G90" s="25"/>
      <c r="H90" s="29"/>
      <c r="I90" s="25"/>
      <c r="J90" s="25"/>
      <c r="K90" s="32"/>
      <c r="L90" s="25"/>
      <c r="M90" s="26"/>
      <c r="N90" s="12"/>
      <c r="O90" s="21"/>
      <c r="P90" s="25">
        <v>0</v>
      </c>
      <c r="Q90" s="12"/>
      <c r="R90" s="12"/>
      <c r="S90" s="12">
        <v>0</v>
      </c>
      <c r="T90" s="29">
        <v>0</v>
      </c>
      <c r="U90" s="12"/>
      <c r="V90" s="12"/>
      <c r="Z90" s="12"/>
      <c r="AA90" s="16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25"/>
      <c r="B91" s="12"/>
      <c r="C91" s="25"/>
      <c r="D91" s="25"/>
      <c r="E91" s="16"/>
      <c r="F91" s="21"/>
      <c r="G91" s="25"/>
      <c r="H91" s="29"/>
      <c r="I91" s="25"/>
      <c r="J91" s="25"/>
      <c r="K91" s="32"/>
      <c r="L91" s="25"/>
      <c r="M91" s="26"/>
      <c r="N91" s="12"/>
      <c r="O91" s="21"/>
      <c r="P91" s="25">
        <v>0</v>
      </c>
      <c r="Q91" s="12"/>
      <c r="R91" s="12"/>
      <c r="S91" s="12">
        <v>0</v>
      </c>
      <c r="T91" s="29">
        <v>0</v>
      </c>
      <c r="U91" s="12"/>
      <c r="V91" s="12"/>
      <c r="Z91" s="12"/>
      <c r="AA91" s="16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25"/>
      <c r="B92" s="12"/>
      <c r="C92" s="25"/>
      <c r="D92" s="25"/>
      <c r="E92" s="16"/>
      <c r="F92" s="21"/>
      <c r="G92" s="25"/>
      <c r="H92" s="29"/>
      <c r="I92" s="25"/>
      <c r="J92" s="25"/>
      <c r="K92" s="32"/>
      <c r="L92" s="25"/>
      <c r="M92" s="26"/>
      <c r="N92" s="12"/>
      <c r="O92" s="21"/>
      <c r="P92" s="25">
        <v>0</v>
      </c>
      <c r="Q92" s="12"/>
      <c r="R92" s="12"/>
      <c r="S92" s="12">
        <v>0</v>
      </c>
      <c r="T92" s="29">
        <v>0</v>
      </c>
      <c r="U92" s="12"/>
      <c r="V92" s="12"/>
      <c r="Z92" s="12"/>
      <c r="AA92" s="16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25"/>
      <c r="B93" s="12"/>
      <c r="C93" s="25"/>
      <c r="D93" s="25"/>
      <c r="E93" s="16"/>
      <c r="F93" s="21"/>
      <c r="G93" s="25"/>
      <c r="H93" s="29"/>
      <c r="I93" s="25"/>
      <c r="J93" s="25"/>
      <c r="K93" s="32"/>
      <c r="L93" s="25"/>
      <c r="M93" s="26"/>
      <c r="N93" s="12"/>
      <c r="O93" s="21"/>
      <c r="P93" s="25">
        <v>0</v>
      </c>
      <c r="Q93" s="12"/>
      <c r="R93" s="12"/>
      <c r="S93" s="12">
        <v>0</v>
      </c>
      <c r="T93" s="29">
        <v>0</v>
      </c>
      <c r="U93" s="12"/>
      <c r="V93" s="12"/>
      <c r="Z93" s="12"/>
      <c r="AA93" s="16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25"/>
      <c r="B94" s="12"/>
      <c r="C94" s="25"/>
      <c r="D94" s="25"/>
      <c r="E94" s="16"/>
      <c r="F94" s="21"/>
      <c r="G94" s="25"/>
      <c r="H94" s="29"/>
      <c r="I94" s="25"/>
      <c r="J94" s="25"/>
      <c r="K94" s="32"/>
      <c r="L94" s="25"/>
      <c r="M94" s="26"/>
      <c r="N94" s="12"/>
      <c r="O94" s="21"/>
      <c r="P94" s="25">
        <v>0</v>
      </c>
      <c r="Q94" s="12"/>
      <c r="R94" s="12"/>
      <c r="S94" s="12">
        <v>0</v>
      </c>
      <c r="T94" s="29">
        <v>0</v>
      </c>
      <c r="U94" s="12"/>
      <c r="V94" s="12"/>
      <c r="Z94" s="12"/>
      <c r="AA94" s="16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25"/>
      <c r="B95" s="12"/>
      <c r="C95" s="25"/>
      <c r="D95" s="25"/>
      <c r="E95" s="16"/>
      <c r="F95" s="21"/>
      <c r="G95" s="25"/>
      <c r="H95" s="29"/>
      <c r="I95" s="25"/>
      <c r="J95" s="25"/>
      <c r="K95" s="32"/>
      <c r="L95" s="25"/>
      <c r="M95" s="26"/>
      <c r="N95" s="12"/>
      <c r="O95" s="21"/>
      <c r="P95" s="25">
        <v>0</v>
      </c>
      <c r="Q95" s="12"/>
      <c r="R95" s="12"/>
      <c r="S95" s="12">
        <v>0</v>
      </c>
      <c r="T95" s="29">
        <v>0</v>
      </c>
      <c r="U95" s="12"/>
      <c r="V95" s="12"/>
      <c r="Z95" s="12"/>
      <c r="AA95" s="16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25"/>
      <c r="B96" s="12"/>
      <c r="C96" s="25"/>
      <c r="D96" s="25"/>
      <c r="E96" s="16"/>
      <c r="F96" s="21"/>
      <c r="G96" s="25"/>
      <c r="H96" s="29"/>
      <c r="I96" s="25"/>
      <c r="J96" s="25"/>
      <c r="K96" s="32"/>
      <c r="L96" s="25"/>
      <c r="M96" s="26"/>
      <c r="N96" s="12"/>
      <c r="O96" s="21"/>
      <c r="P96" s="25">
        <v>0</v>
      </c>
      <c r="Q96" s="12"/>
      <c r="R96" s="12"/>
      <c r="S96" s="12">
        <v>0</v>
      </c>
      <c r="T96" s="29">
        <v>0</v>
      </c>
      <c r="U96" s="12"/>
      <c r="V96" s="12"/>
      <c r="Z96" s="12"/>
      <c r="AA96" s="16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25"/>
      <c r="B97" s="12"/>
      <c r="C97" s="25"/>
      <c r="D97" s="25"/>
      <c r="E97" s="16"/>
      <c r="F97" s="21"/>
      <c r="G97" s="25"/>
      <c r="H97" s="29"/>
      <c r="I97" s="25"/>
      <c r="J97" s="25"/>
      <c r="K97" s="32"/>
      <c r="L97" s="25"/>
      <c r="M97" s="26"/>
      <c r="N97" s="12"/>
      <c r="O97" s="21"/>
      <c r="P97" s="25">
        <v>0</v>
      </c>
      <c r="Q97" s="12"/>
      <c r="R97" s="12"/>
      <c r="S97" s="12">
        <v>0</v>
      </c>
      <c r="T97" s="29">
        <v>0</v>
      </c>
      <c r="U97" s="12"/>
      <c r="V97" s="12"/>
      <c r="Z97" s="12"/>
      <c r="AA97" s="16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25"/>
      <c r="B98" s="12"/>
      <c r="C98" s="25"/>
      <c r="D98" s="25"/>
      <c r="E98" s="16"/>
      <c r="F98" s="21"/>
      <c r="G98" s="25"/>
      <c r="H98" s="29"/>
      <c r="I98" s="25"/>
      <c r="J98" s="25"/>
      <c r="K98" s="32"/>
      <c r="L98" s="25"/>
      <c r="M98" s="26"/>
      <c r="N98" s="12"/>
      <c r="O98" s="21"/>
      <c r="P98" s="25">
        <v>0</v>
      </c>
      <c r="Q98" s="12"/>
      <c r="R98" s="12"/>
      <c r="S98" s="12">
        <v>0</v>
      </c>
      <c r="T98" s="29">
        <v>0</v>
      </c>
      <c r="U98" s="12"/>
      <c r="V98" s="12"/>
      <c r="Z98" s="12"/>
      <c r="AA98" s="16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25"/>
      <c r="B99" s="12"/>
      <c r="C99" s="25"/>
      <c r="D99" s="25"/>
      <c r="E99" s="16"/>
      <c r="F99" s="21"/>
      <c r="G99" s="25"/>
      <c r="H99" s="29"/>
      <c r="I99" s="25"/>
      <c r="J99" s="25"/>
      <c r="K99" s="32"/>
      <c r="L99" s="25"/>
      <c r="M99" s="26"/>
      <c r="N99" s="12"/>
      <c r="O99" s="21"/>
      <c r="P99" s="25">
        <v>0</v>
      </c>
      <c r="Q99" s="12"/>
      <c r="R99" s="12"/>
      <c r="S99" s="12">
        <v>0</v>
      </c>
      <c r="T99" s="29">
        <v>0</v>
      </c>
      <c r="U99" s="12"/>
      <c r="V99" s="12"/>
      <c r="Z99" s="12"/>
      <c r="AA99" s="16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25"/>
      <c r="B100" s="12"/>
      <c r="C100" s="25"/>
      <c r="D100" s="25"/>
      <c r="E100" s="16"/>
      <c r="F100" s="21"/>
      <c r="G100" s="25"/>
      <c r="H100" s="29"/>
      <c r="I100" s="25"/>
      <c r="J100" s="25"/>
      <c r="K100" s="32"/>
      <c r="L100" s="25"/>
      <c r="M100" s="26"/>
      <c r="N100" s="12"/>
      <c r="O100" s="21"/>
      <c r="P100" s="25">
        <v>0</v>
      </c>
      <c r="Q100" s="12"/>
      <c r="R100" s="12"/>
      <c r="S100" s="12">
        <v>0</v>
      </c>
      <c r="T100" s="29">
        <v>0</v>
      </c>
      <c r="U100" s="12"/>
      <c r="V100" s="12"/>
      <c r="Z100" s="12"/>
      <c r="AA100" s="16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25"/>
      <c r="B101" s="12"/>
      <c r="C101" s="25"/>
      <c r="D101" s="25"/>
      <c r="E101" s="16"/>
      <c r="F101" s="21"/>
      <c r="G101" s="25"/>
      <c r="H101" s="29"/>
      <c r="I101" s="25"/>
      <c r="J101" s="25"/>
      <c r="K101" s="32"/>
      <c r="L101" s="25"/>
      <c r="M101" s="26"/>
      <c r="N101" s="12"/>
      <c r="O101" s="21"/>
      <c r="P101" s="25">
        <v>0</v>
      </c>
      <c r="Q101" s="12"/>
      <c r="R101" s="12"/>
      <c r="S101" s="12">
        <v>0</v>
      </c>
      <c r="T101" s="29">
        <v>0</v>
      </c>
      <c r="U101" s="12"/>
      <c r="V101" s="12"/>
      <c r="Z101" s="12"/>
      <c r="AA101" s="16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25"/>
      <c r="B102" s="12"/>
      <c r="C102" s="25"/>
      <c r="D102" s="25"/>
      <c r="E102" s="16"/>
      <c r="F102" s="21"/>
      <c r="G102" s="25"/>
      <c r="H102" s="29"/>
      <c r="I102" s="25"/>
      <c r="J102" s="25"/>
      <c r="K102" s="32"/>
      <c r="L102" s="25"/>
      <c r="M102" s="26"/>
      <c r="N102" s="12"/>
      <c r="O102" s="21"/>
      <c r="P102" s="25">
        <v>0</v>
      </c>
      <c r="Q102" s="12"/>
      <c r="R102" s="12"/>
      <c r="S102" s="12">
        <v>0</v>
      </c>
      <c r="T102" s="29">
        <v>0</v>
      </c>
      <c r="U102" s="12"/>
      <c r="V102" s="12"/>
      <c r="Z102" s="12"/>
      <c r="AA102" s="16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25"/>
      <c r="B103" s="12"/>
      <c r="C103" s="25"/>
      <c r="D103" s="25"/>
      <c r="E103" s="16"/>
      <c r="F103" s="21"/>
      <c r="G103" s="25"/>
      <c r="H103" s="29"/>
      <c r="I103" s="25"/>
      <c r="J103" s="25"/>
      <c r="K103" s="32"/>
      <c r="L103" s="25"/>
      <c r="M103" s="26"/>
      <c r="N103" s="12"/>
      <c r="O103" s="21"/>
      <c r="P103" s="25">
        <v>0</v>
      </c>
      <c r="Q103" s="12"/>
      <c r="R103" s="12"/>
      <c r="S103" s="12">
        <v>0</v>
      </c>
      <c r="T103" s="29">
        <v>0</v>
      </c>
      <c r="U103" s="12"/>
      <c r="V103" s="12"/>
      <c r="Z103" s="12"/>
      <c r="AA103" s="16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25"/>
      <c r="B104" s="12"/>
      <c r="C104" s="25"/>
      <c r="D104" s="25"/>
      <c r="E104" s="16"/>
      <c r="F104" s="21"/>
      <c r="G104" s="25"/>
      <c r="H104" s="29"/>
      <c r="I104" s="25"/>
      <c r="J104" s="25"/>
      <c r="K104" s="32"/>
      <c r="L104" s="25"/>
      <c r="M104" s="26"/>
      <c r="N104" s="12"/>
      <c r="O104" s="21"/>
      <c r="P104" s="25">
        <v>0</v>
      </c>
      <c r="Q104" s="12"/>
      <c r="R104" s="12"/>
      <c r="S104" s="12">
        <v>0</v>
      </c>
      <c r="T104" s="29">
        <v>0</v>
      </c>
      <c r="U104" s="12"/>
      <c r="V104" s="12"/>
      <c r="Z104" s="12"/>
      <c r="AA104" s="16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25"/>
      <c r="B105" s="12"/>
      <c r="C105" s="25"/>
      <c r="D105" s="25"/>
      <c r="E105" s="16"/>
      <c r="F105" s="21"/>
      <c r="G105" s="25"/>
      <c r="H105" s="29"/>
      <c r="I105" s="25"/>
      <c r="J105" s="25"/>
      <c r="K105" s="32"/>
      <c r="L105" s="25"/>
      <c r="M105" s="26"/>
      <c r="N105" s="12"/>
      <c r="O105" s="21"/>
      <c r="P105" s="25">
        <v>0</v>
      </c>
      <c r="Q105" s="12"/>
      <c r="R105" s="12"/>
      <c r="S105" s="12">
        <v>0</v>
      </c>
      <c r="T105" s="29">
        <v>0</v>
      </c>
      <c r="U105" s="12"/>
      <c r="V105" s="12"/>
      <c r="Z105" s="12"/>
      <c r="AA105" s="16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25"/>
      <c r="B106" s="12"/>
      <c r="C106" s="25"/>
      <c r="D106" s="25"/>
      <c r="E106" s="16"/>
      <c r="F106" s="21"/>
      <c r="G106" s="25"/>
      <c r="H106" s="29"/>
      <c r="I106" s="25"/>
      <c r="J106" s="25"/>
      <c r="K106" s="32"/>
      <c r="L106" s="25"/>
      <c r="M106" s="26"/>
      <c r="N106" s="12"/>
      <c r="O106" s="21"/>
      <c r="P106" s="25">
        <v>0</v>
      </c>
      <c r="Q106" s="12"/>
      <c r="R106" s="12"/>
      <c r="S106" s="12">
        <v>0</v>
      </c>
      <c r="T106" s="29">
        <v>0</v>
      </c>
      <c r="U106" s="12"/>
      <c r="V106" s="12"/>
      <c r="Z106" s="12"/>
      <c r="AA106" s="16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25"/>
      <c r="B107" s="12"/>
      <c r="C107" s="25"/>
      <c r="D107" s="25"/>
      <c r="E107" s="16"/>
      <c r="F107" s="21"/>
      <c r="G107" s="25"/>
      <c r="H107" s="29"/>
      <c r="I107" s="25"/>
      <c r="J107" s="25"/>
      <c r="K107" s="32"/>
      <c r="L107" s="25"/>
      <c r="M107" s="26"/>
      <c r="N107" s="12"/>
      <c r="O107" s="21"/>
      <c r="P107" s="25">
        <v>0</v>
      </c>
      <c r="Q107" s="12"/>
      <c r="R107" s="12"/>
      <c r="S107" s="12">
        <v>0</v>
      </c>
      <c r="T107" s="29">
        <v>0</v>
      </c>
      <c r="U107" s="12"/>
      <c r="V107" s="12"/>
      <c r="Z107" s="12"/>
      <c r="AA107" s="16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25"/>
      <c r="B108" s="12"/>
      <c r="C108" s="25"/>
      <c r="D108" s="25"/>
      <c r="E108" s="16"/>
      <c r="F108" s="21"/>
      <c r="G108" s="25"/>
      <c r="H108" s="29"/>
      <c r="I108" s="25"/>
      <c r="J108" s="25"/>
      <c r="K108" s="32"/>
      <c r="L108" s="25"/>
      <c r="M108" s="26"/>
      <c r="N108" s="12"/>
      <c r="O108" s="21"/>
      <c r="P108" s="25">
        <v>0</v>
      </c>
      <c r="Q108" s="12"/>
      <c r="R108" s="12"/>
      <c r="S108" s="12">
        <v>0</v>
      </c>
      <c r="T108" s="29">
        <v>0</v>
      </c>
      <c r="U108" s="12"/>
      <c r="V108" s="12"/>
      <c r="Z108" s="12"/>
      <c r="AA108" s="16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25"/>
      <c r="B109" s="12"/>
      <c r="C109" s="25"/>
      <c r="D109" s="25"/>
      <c r="E109" s="16"/>
      <c r="F109" s="21"/>
      <c r="G109" s="25"/>
      <c r="H109" s="29"/>
      <c r="I109" s="25"/>
      <c r="J109" s="25"/>
      <c r="K109" s="32"/>
      <c r="L109" s="25"/>
      <c r="M109" s="26"/>
      <c r="N109" s="12"/>
      <c r="O109" s="21"/>
      <c r="P109" s="25">
        <v>0</v>
      </c>
      <c r="Q109" s="12"/>
      <c r="R109" s="12"/>
      <c r="S109" s="12">
        <v>0</v>
      </c>
      <c r="T109" s="29">
        <v>0</v>
      </c>
      <c r="U109" s="12"/>
      <c r="V109" s="12"/>
      <c r="Z109" s="12"/>
      <c r="AA109" s="16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25"/>
      <c r="B110" s="12"/>
      <c r="C110" s="25"/>
      <c r="D110" s="25"/>
      <c r="E110" s="16"/>
      <c r="F110" s="21"/>
      <c r="G110" s="25"/>
      <c r="H110" s="29"/>
      <c r="I110" s="25"/>
      <c r="J110" s="25"/>
      <c r="K110" s="32"/>
      <c r="L110" s="25"/>
      <c r="M110" s="26"/>
      <c r="N110" s="12"/>
      <c r="O110" s="21"/>
      <c r="P110" s="25">
        <v>0</v>
      </c>
      <c r="Q110" s="12"/>
      <c r="R110" s="12"/>
      <c r="S110" s="12">
        <v>0</v>
      </c>
      <c r="T110" s="29">
        <v>0</v>
      </c>
      <c r="U110" s="12"/>
      <c r="V110" s="12"/>
      <c r="Z110" s="12"/>
      <c r="AA110" s="16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25"/>
      <c r="B111" s="12"/>
      <c r="C111" s="25"/>
      <c r="D111" s="25"/>
      <c r="E111" s="16"/>
      <c r="F111" s="21"/>
      <c r="G111" s="25"/>
      <c r="H111" s="29"/>
      <c r="I111" s="25"/>
      <c r="J111" s="25"/>
      <c r="K111" s="32"/>
      <c r="L111" s="25"/>
      <c r="M111" s="26"/>
      <c r="N111" s="12"/>
      <c r="O111" s="21"/>
      <c r="P111" s="25">
        <v>0</v>
      </c>
      <c r="Q111" s="12"/>
      <c r="R111" s="12"/>
      <c r="S111" s="12">
        <v>0</v>
      </c>
      <c r="T111" s="29">
        <v>0</v>
      </c>
      <c r="U111" s="12"/>
      <c r="V111" s="12"/>
      <c r="Z111" s="12"/>
      <c r="AA111" s="16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25"/>
      <c r="B112" s="12"/>
      <c r="C112" s="25"/>
      <c r="D112" s="25"/>
      <c r="E112" s="16"/>
      <c r="F112" s="21"/>
      <c r="G112" s="25"/>
      <c r="H112" s="29"/>
      <c r="I112" s="25"/>
      <c r="J112" s="25"/>
      <c r="K112" s="32"/>
      <c r="L112" s="25"/>
      <c r="M112" s="26"/>
      <c r="N112" s="12"/>
      <c r="O112" s="21"/>
      <c r="P112" s="25">
        <v>0</v>
      </c>
      <c r="Q112" s="12"/>
      <c r="R112" s="12"/>
      <c r="S112" s="12">
        <v>0</v>
      </c>
      <c r="T112" s="29">
        <v>0</v>
      </c>
      <c r="U112" s="12"/>
      <c r="V112" s="12"/>
      <c r="Z112" s="12"/>
      <c r="AA112" s="16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25"/>
      <c r="B113" s="12"/>
      <c r="C113" s="25"/>
      <c r="D113" s="25"/>
      <c r="E113" s="16"/>
      <c r="F113" s="21"/>
      <c r="G113" s="25"/>
      <c r="H113" s="29"/>
      <c r="I113" s="25"/>
      <c r="J113" s="25"/>
      <c r="K113" s="32"/>
      <c r="L113" s="25"/>
      <c r="M113" s="26"/>
      <c r="N113" s="12"/>
      <c r="O113" s="21"/>
      <c r="P113" s="25">
        <v>0</v>
      </c>
      <c r="Q113" s="12"/>
      <c r="R113" s="12"/>
      <c r="S113" s="12">
        <v>0</v>
      </c>
      <c r="T113" s="29">
        <v>0</v>
      </c>
      <c r="U113" s="12"/>
      <c r="V113" s="12"/>
      <c r="Z113" s="12"/>
      <c r="AA113" s="16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25"/>
      <c r="B114" s="12"/>
      <c r="C114" s="25"/>
      <c r="D114" s="25"/>
      <c r="E114" s="16"/>
      <c r="F114" s="21"/>
      <c r="G114" s="25"/>
      <c r="H114" s="29"/>
      <c r="I114" s="25"/>
      <c r="J114" s="25"/>
      <c r="K114" s="32"/>
      <c r="L114" s="25"/>
      <c r="M114" s="26"/>
      <c r="N114" s="12"/>
      <c r="O114" s="21"/>
      <c r="P114" s="25">
        <v>0</v>
      </c>
      <c r="Q114" s="12"/>
      <c r="R114" s="12"/>
      <c r="S114" s="12">
        <v>0</v>
      </c>
      <c r="T114" s="29">
        <v>0</v>
      </c>
      <c r="U114" s="12"/>
      <c r="V114" s="12"/>
      <c r="Z114" s="12"/>
      <c r="AA114" s="16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25"/>
      <c r="B115" s="12"/>
      <c r="C115" s="25"/>
      <c r="D115" s="25"/>
      <c r="E115" s="16"/>
      <c r="F115" s="21"/>
      <c r="G115" s="25"/>
      <c r="H115" s="29"/>
      <c r="I115" s="25"/>
      <c r="J115" s="25"/>
      <c r="K115" s="32"/>
      <c r="L115" s="25"/>
      <c r="M115" s="26"/>
      <c r="N115" s="12"/>
      <c r="O115" s="21"/>
      <c r="P115" s="25">
        <v>0</v>
      </c>
      <c r="Q115" s="12"/>
      <c r="R115" s="12"/>
      <c r="S115" s="12">
        <v>0</v>
      </c>
      <c r="T115" s="29">
        <v>0</v>
      </c>
      <c r="U115" s="12"/>
      <c r="V115" s="12"/>
      <c r="Z115" s="12"/>
      <c r="AA115" s="16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25"/>
      <c r="B116" s="12"/>
      <c r="C116" s="25"/>
      <c r="D116" s="25"/>
      <c r="E116" s="16"/>
      <c r="F116" s="21"/>
      <c r="G116" s="25"/>
      <c r="H116" s="29"/>
      <c r="I116" s="25"/>
      <c r="J116" s="25"/>
      <c r="K116" s="32"/>
      <c r="L116" s="25"/>
      <c r="M116" s="26"/>
      <c r="N116" s="12"/>
      <c r="O116" s="21"/>
      <c r="P116" s="25">
        <v>0</v>
      </c>
      <c r="Q116" s="12"/>
      <c r="R116" s="12"/>
      <c r="S116" s="12">
        <v>0</v>
      </c>
      <c r="T116" s="29">
        <v>0</v>
      </c>
      <c r="U116" s="12"/>
      <c r="V116" s="12"/>
      <c r="Z116" s="12"/>
      <c r="AA116" s="16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25"/>
      <c r="B117" s="12"/>
      <c r="C117" s="25"/>
      <c r="D117" s="25"/>
      <c r="E117" s="16"/>
      <c r="F117" s="21"/>
      <c r="G117" s="25"/>
      <c r="H117" s="29"/>
      <c r="I117" s="25"/>
      <c r="J117" s="25"/>
      <c r="K117" s="32"/>
      <c r="L117" s="25"/>
      <c r="M117" s="26"/>
      <c r="N117" s="12"/>
      <c r="O117" s="21"/>
      <c r="P117" s="25">
        <v>0</v>
      </c>
      <c r="Q117" s="12"/>
      <c r="R117" s="12"/>
      <c r="S117" s="12">
        <v>0</v>
      </c>
      <c r="T117" s="29">
        <v>0</v>
      </c>
      <c r="U117" s="12"/>
      <c r="V117" s="12"/>
      <c r="Z117" s="12"/>
      <c r="AA117" s="16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25"/>
      <c r="B118" s="12"/>
      <c r="C118" s="25"/>
      <c r="D118" s="25"/>
      <c r="E118" s="16"/>
      <c r="F118" s="21"/>
      <c r="G118" s="25"/>
      <c r="H118" s="29"/>
      <c r="I118" s="25"/>
      <c r="J118" s="25"/>
      <c r="K118" s="32"/>
      <c r="L118" s="25"/>
      <c r="M118" s="26"/>
      <c r="N118" s="12"/>
      <c r="O118" s="21"/>
      <c r="P118" s="25">
        <v>0</v>
      </c>
      <c r="Q118" s="12"/>
      <c r="R118" s="12"/>
      <c r="S118" s="12">
        <v>0</v>
      </c>
      <c r="T118" s="29">
        <v>0</v>
      </c>
      <c r="U118" s="12"/>
      <c r="V118" s="12"/>
      <c r="Z118" s="12"/>
      <c r="AA118" s="16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25"/>
      <c r="B119" s="12"/>
      <c r="C119" s="25"/>
      <c r="D119" s="25"/>
      <c r="E119" s="16"/>
      <c r="F119" s="21"/>
      <c r="G119" s="25"/>
      <c r="H119" s="29"/>
      <c r="I119" s="25"/>
      <c r="J119" s="25"/>
      <c r="K119" s="32"/>
      <c r="L119" s="25"/>
      <c r="M119" s="26"/>
      <c r="N119" s="12"/>
      <c r="O119" s="21"/>
      <c r="P119" s="25">
        <v>0</v>
      </c>
      <c r="Q119" s="12"/>
      <c r="R119" s="12"/>
      <c r="S119" s="12">
        <v>0</v>
      </c>
      <c r="T119" s="29">
        <v>0</v>
      </c>
      <c r="U119" s="12"/>
      <c r="V119" s="12"/>
      <c r="Z119" s="12"/>
      <c r="AA119" s="16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25"/>
      <c r="B120" s="12"/>
      <c r="C120" s="25"/>
      <c r="D120" s="25"/>
      <c r="E120" s="16"/>
      <c r="F120" s="21"/>
      <c r="G120" s="25"/>
      <c r="H120" s="29"/>
      <c r="I120" s="25"/>
      <c r="J120" s="25"/>
      <c r="K120" s="32"/>
      <c r="L120" s="25"/>
      <c r="M120" s="26"/>
      <c r="N120" s="12"/>
      <c r="O120" s="21"/>
      <c r="P120" s="25">
        <v>0</v>
      </c>
      <c r="Q120" s="12"/>
      <c r="R120" s="12"/>
      <c r="S120" s="12">
        <v>0</v>
      </c>
      <c r="T120" s="29">
        <v>0</v>
      </c>
      <c r="U120" s="12"/>
      <c r="V120" s="12"/>
      <c r="Z120" s="12"/>
      <c r="AA120" s="16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25"/>
      <c r="B121" s="12"/>
      <c r="C121" s="25"/>
      <c r="D121" s="25"/>
      <c r="E121" s="16"/>
      <c r="F121" s="21"/>
      <c r="G121" s="25"/>
      <c r="H121" s="29"/>
      <c r="I121" s="25"/>
      <c r="J121" s="25"/>
      <c r="K121" s="32"/>
      <c r="L121" s="25"/>
      <c r="M121" s="26"/>
      <c r="N121" s="12"/>
      <c r="O121" s="21"/>
      <c r="P121" s="25">
        <v>0</v>
      </c>
      <c r="Q121" s="12"/>
      <c r="R121" s="12"/>
      <c r="S121" s="12">
        <v>0</v>
      </c>
      <c r="T121" s="29">
        <v>0</v>
      </c>
      <c r="U121" s="12"/>
      <c r="V121" s="12"/>
      <c r="Z121" s="12"/>
      <c r="AA121" s="16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25"/>
      <c r="B122" s="12"/>
      <c r="C122" s="25"/>
      <c r="D122" s="25"/>
      <c r="E122" s="16"/>
      <c r="F122" s="21"/>
      <c r="G122" s="25"/>
      <c r="H122" s="29"/>
      <c r="I122" s="25"/>
      <c r="J122" s="25"/>
      <c r="K122" s="32"/>
      <c r="L122" s="25"/>
      <c r="M122" s="26"/>
      <c r="N122" s="12"/>
      <c r="O122" s="21"/>
      <c r="P122" s="25">
        <v>0</v>
      </c>
      <c r="Q122" s="12"/>
      <c r="R122" s="12"/>
      <c r="S122" s="12">
        <v>0</v>
      </c>
      <c r="T122" s="29">
        <v>0</v>
      </c>
      <c r="U122" s="12"/>
      <c r="V122" s="12"/>
      <c r="Z122" s="12"/>
      <c r="AA122" s="16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25"/>
      <c r="B123" s="12"/>
      <c r="C123" s="25"/>
      <c r="D123" s="25"/>
      <c r="E123" s="16"/>
      <c r="F123" s="21"/>
      <c r="G123" s="25"/>
      <c r="H123" s="29"/>
      <c r="I123" s="25"/>
      <c r="J123" s="25"/>
      <c r="K123" s="32"/>
      <c r="L123" s="25"/>
      <c r="M123" s="26"/>
      <c r="N123" s="12"/>
      <c r="O123" s="21"/>
      <c r="P123" s="25">
        <v>0</v>
      </c>
      <c r="Q123" s="12"/>
      <c r="R123" s="12"/>
      <c r="S123" s="12">
        <v>0</v>
      </c>
      <c r="T123" s="29">
        <v>0</v>
      </c>
      <c r="U123" s="12"/>
      <c r="V123" s="12"/>
      <c r="Z123" s="12"/>
      <c r="AA123" s="16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25"/>
      <c r="B124" s="12"/>
      <c r="C124" s="25"/>
      <c r="D124" s="25"/>
      <c r="E124" s="16"/>
      <c r="F124" s="21"/>
      <c r="G124" s="25"/>
      <c r="H124" s="29"/>
      <c r="I124" s="25"/>
      <c r="J124" s="25"/>
      <c r="K124" s="32"/>
      <c r="L124" s="25"/>
      <c r="M124" s="26"/>
      <c r="N124" s="12"/>
      <c r="O124" s="21"/>
      <c r="P124" s="25">
        <v>0</v>
      </c>
      <c r="Q124" s="12"/>
      <c r="R124" s="12"/>
      <c r="S124" s="12">
        <v>0</v>
      </c>
      <c r="T124" s="29">
        <v>0</v>
      </c>
      <c r="U124" s="12"/>
      <c r="V124" s="12"/>
      <c r="Z124" s="12"/>
      <c r="AA124" s="16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25"/>
      <c r="B125" s="12"/>
      <c r="C125" s="25"/>
      <c r="D125" s="25"/>
      <c r="E125" s="16"/>
      <c r="F125" s="21"/>
      <c r="G125" s="25"/>
      <c r="H125" s="29"/>
      <c r="I125" s="25"/>
      <c r="J125" s="25"/>
      <c r="K125" s="32"/>
      <c r="L125" s="25"/>
      <c r="M125" s="26"/>
      <c r="N125" s="12"/>
      <c r="O125" s="21"/>
      <c r="P125" s="25">
        <v>0</v>
      </c>
      <c r="Q125" s="12"/>
      <c r="R125" s="12"/>
      <c r="S125" s="12">
        <v>0</v>
      </c>
      <c r="T125" s="29">
        <v>0</v>
      </c>
      <c r="U125" s="12"/>
      <c r="V125" s="12"/>
      <c r="Z125" s="12"/>
      <c r="AA125" s="16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25"/>
      <c r="B126" s="12"/>
      <c r="C126" s="25"/>
      <c r="D126" s="25"/>
      <c r="E126" s="16"/>
      <c r="F126" s="21"/>
      <c r="G126" s="25"/>
      <c r="H126" s="29"/>
      <c r="I126" s="25"/>
      <c r="J126" s="25"/>
      <c r="K126" s="32"/>
      <c r="L126" s="25"/>
      <c r="M126" s="26"/>
      <c r="N126" s="12"/>
      <c r="O126" s="21"/>
      <c r="P126" s="25">
        <v>0</v>
      </c>
      <c r="Q126" s="12"/>
      <c r="R126" s="12"/>
      <c r="S126" s="12">
        <v>0</v>
      </c>
      <c r="T126" s="29">
        <v>0</v>
      </c>
      <c r="U126" s="12"/>
      <c r="V126" s="12"/>
      <c r="Z126" s="12"/>
      <c r="AA126" s="16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25"/>
      <c r="B127" s="12"/>
      <c r="C127" s="25"/>
      <c r="D127" s="25"/>
      <c r="E127" s="16"/>
      <c r="F127" s="21"/>
      <c r="G127" s="25"/>
      <c r="H127" s="29"/>
      <c r="I127" s="25"/>
      <c r="J127" s="25"/>
      <c r="K127" s="32"/>
      <c r="L127" s="25"/>
      <c r="M127" s="26"/>
      <c r="N127" s="12"/>
      <c r="O127" s="21"/>
      <c r="P127" s="25">
        <v>0</v>
      </c>
      <c r="Q127" s="12"/>
      <c r="R127" s="12"/>
      <c r="S127" s="12">
        <v>0</v>
      </c>
      <c r="T127" s="29">
        <v>0</v>
      </c>
      <c r="U127" s="12"/>
      <c r="V127" s="12"/>
      <c r="Z127" s="12"/>
      <c r="AA127" s="16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25"/>
      <c r="B128" s="12"/>
      <c r="C128" s="25"/>
      <c r="D128" s="25"/>
      <c r="E128" s="16"/>
      <c r="F128" s="21"/>
      <c r="G128" s="25"/>
      <c r="H128" s="29"/>
      <c r="I128" s="25"/>
      <c r="J128" s="25"/>
      <c r="K128" s="32"/>
      <c r="L128" s="25"/>
      <c r="M128" s="26"/>
      <c r="N128" s="12"/>
      <c r="O128" s="21"/>
      <c r="P128" s="25">
        <v>0</v>
      </c>
      <c r="Q128" s="12"/>
      <c r="R128" s="12"/>
      <c r="S128" s="12">
        <v>0</v>
      </c>
      <c r="T128" s="29">
        <v>0</v>
      </c>
      <c r="U128" s="12"/>
      <c r="V128" s="12"/>
      <c r="Z128" s="12"/>
      <c r="AA128" s="16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25"/>
      <c r="B129" s="12"/>
      <c r="C129" s="25"/>
      <c r="D129" s="25"/>
      <c r="E129" s="16"/>
      <c r="F129" s="21"/>
      <c r="G129" s="25"/>
      <c r="H129" s="29"/>
      <c r="I129" s="25"/>
      <c r="J129" s="25"/>
      <c r="K129" s="32"/>
      <c r="L129" s="25"/>
      <c r="M129" s="26"/>
      <c r="N129" s="12"/>
      <c r="O129" s="21"/>
      <c r="P129" s="25">
        <v>0</v>
      </c>
      <c r="Q129" s="12"/>
      <c r="R129" s="12"/>
      <c r="S129" s="12">
        <v>0</v>
      </c>
      <c r="T129" s="29">
        <v>0</v>
      </c>
      <c r="U129" s="12"/>
      <c r="V129" s="12"/>
      <c r="Z129" s="12"/>
      <c r="AA129" s="16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25"/>
      <c r="B130" s="12"/>
      <c r="C130" s="25"/>
      <c r="D130" s="25"/>
      <c r="E130" s="16"/>
      <c r="F130" s="21"/>
      <c r="G130" s="25"/>
      <c r="H130" s="29"/>
      <c r="I130" s="25"/>
      <c r="J130" s="25"/>
      <c r="K130" s="32"/>
      <c r="L130" s="25"/>
      <c r="M130" s="26"/>
      <c r="N130" s="12"/>
      <c r="O130" s="21"/>
      <c r="P130" s="25">
        <v>0</v>
      </c>
      <c r="Q130" s="12"/>
      <c r="R130" s="12"/>
      <c r="S130" s="12">
        <v>0</v>
      </c>
      <c r="T130" s="29">
        <v>0</v>
      </c>
      <c r="U130" s="12"/>
      <c r="V130" s="12"/>
      <c r="Z130" s="12"/>
      <c r="AA130" s="16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25"/>
      <c r="B131" s="12"/>
      <c r="C131" s="25"/>
      <c r="D131" s="25"/>
      <c r="E131" s="16"/>
      <c r="F131" s="21"/>
      <c r="G131" s="25"/>
      <c r="H131" s="29"/>
      <c r="I131" s="25"/>
      <c r="J131" s="25"/>
      <c r="K131" s="32"/>
      <c r="L131" s="25"/>
      <c r="M131" s="26"/>
      <c r="N131" s="12"/>
      <c r="O131" s="21"/>
      <c r="P131" s="25">
        <v>0</v>
      </c>
      <c r="Q131" s="12"/>
      <c r="R131" s="12"/>
      <c r="S131" s="12">
        <v>0</v>
      </c>
      <c r="T131" s="29">
        <v>0</v>
      </c>
      <c r="U131" s="12"/>
      <c r="V131" s="12"/>
      <c r="Z131" s="12"/>
      <c r="AA131" s="16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25"/>
      <c r="B132" s="12"/>
      <c r="C132" s="25"/>
      <c r="D132" s="25"/>
      <c r="E132" s="16"/>
      <c r="F132" s="21"/>
      <c r="G132" s="25"/>
      <c r="H132" s="29"/>
      <c r="I132" s="25"/>
      <c r="J132" s="25"/>
      <c r="K132" s="32"/>
      <c r="L132" s="25"/>
      <c r="M132" s="26"/>
      <c r="N132" s="12"/>
      <c r="O132" s="21"/>
      <c r="P132" s="25">
        <v>0</v>
      </c>
      <c r="Q132" s="12"/>
      <c r="R132" s="12"/>
      <c r="S132" s="12">
        <v>0</v>
      </c>
      <c r="T132" s="29">
        <v>0</v>
      </c>
      <c r="U132" s="12"/>
      <c r="V132" s="12"/>
      <c r="Z132" s="12"/>
      <c r="AA132" s="16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25"/>
      <c r="B133" s="12"/>
      <c r="C133" s="25"/>
      <c r="D133" s="25"/>
      <c r="E133" s="16"/>
      <c r="F133" s="21"/>
      <c r="G133" s="25"/>
      <c r="H133" s="29"/>
      <c r="I133" s="25"/>
      <c r="J133" s="25"/>
      <c r="K133" s="32"/>
      <c r="L133" s="25"/>
      <c r="M133" s="26"/>
      <c r="N133" s="12"/>
      <c r="O133" s="21"/>
      <c r="P133" s="25">
        <v>0</v>
      </c>
      <c r="Q133" s="12"/>
      <c r="R133" s="12"/>
      <c r="S133" s="12">
        <v>0</v>
      </c>
      <c r="T133" s="29">
        <v>0</v>
      </c>
      <c r="U133" s="12"/>
      <c r="V133" s="12"/>
      <c r="Z133" s="12"/>
      <c r="AA133" s="16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25"/>
      <c r="B134" s="12"/>
      <c r="C134" s="25"/>
      <c r="D134" s="25"/>
      <c r="E134" s="16"/>
      <c r="F134" s="21"/>
      <c r="G134" s="25"/>
      <c r="H134" s="29"/>
      <c r="I134" s="25"/>
      <c r="J134" s="25"/>
      <c r="K134" s="32"/>
      <c r="L134" s="25"/>
      <c r="M134" s="26"/>
      <c r="N134" s="12"/>
      <c r="O134" s="21"/>
      <c r="P134" s="25">
        <v>0</v>
      </c>
      <c r="Q134" s="12"/>
      <c r="R134" s="12"/>
      <c r="S134" s="12">
        <v>0</v>
      </c>
      <c r="T134" s="29">
        <v>0</v>
      </c>
      <c r="U134" s="12"/>
      <c r="V134" s="12"/>
      <c r="Z134" s="12"/>
      <c r="AA134" s="16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25"/>
      <c r="B135" s="12"/>
      <c r="C135" s="25"/>
      <c r="D135" s="25"/>
      <c r="E135" s="16"/>
      <c r="F135" s="21"/>
      <c r="G135" s="25"/>
      <c r="H135" s="29"/>
      <c r="I135" s="25"/>
      <c r="J135" s="25"/>
      <c r="K135" s="32"/>
      <c r="L135" s="25"/>
      <c r="M135" s="26"/>
      <c r="N135" s="12"/>
      <c r="O135" s="21"/>
      <c r="P135" s="25">
        <v>0</v>
      </c>
      <c r="Q135" s="12"/>
      <c r="R135" s="12"/>
      <c r="S135" s="12">
        <v>0</v>
      </c>
      <c r="T135" s="29">
        <v>0</v>
      </c>
      <c r="U135" s="12"/>
      <c r="V135" s="12"/>
      <c r="Z135" s="12"/>
      <c r="AA135" s="16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25"/>
      <c r="B136" s="12"/>
      <c r="C136" s="25"/>
      <c r="D136" s="25"/>
      <c r="E136" s="16"/>
      <c r="F136" s="21"/>
      <c r="G136" s="25"/>
      <c r="H136" s="29"/>
      <c r="I136" s="25"/>
      <c r="J136" s="25"/>
      <c r="K136" s="32"/>
      <c r="L136" s="25"/>
      <c r="M136" s="26"/>
      <c r="N136" s="12"/>
      <c r="O136" s="21"/>
      <c r="P136" s="25">
        <v>0</v>
      </c>
      <c r="Q136" s="12"/>
      <c r="R136" s="12"/>
      <c r="S136" s="12">
        <v>0</v>
      </c>
      <c r="T136" s="29">
        <v>0</v>
      </c>
      <c r="U136" s="12"/>
      <c r="V136" s="12"/>
      <c r="Z136" s="12"/>
      <c r="AA136" s="16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25"/>
      <c r="B137" s="12"/>
      <c r="C137" s="25"/>
      <c r="D137" s="25"/>
      <c r="E137" s="16"/>
      <c r="F137" s="21"/>
      <c r="G137" s="25"/>
      <c r="H137" s="29"/>
      <c r="I137" s="25"/>
      <c r="J137" s="25"/>
      <c r="K137" s="32"/>
      <c r="L137" s="25"/>
      <c r="M137" s="26"/>
      <c r="N137" s="12"/>
      <c r="O137" s="21"/>
      <c r="P137" s="25">
        <v>0</v>
      </c>
      <c r="Q137" s="12"/>
      <c r="R137" s="12"/>
      <c r="S137" s="12">
        <v>0</v>
      </c>
      <c r="T137" s="29">
        <v>0</v>
      </c>
      <c r="U137" s="12"/>
      <c r="V137" s="12"/>
      <c r="Z137" s="12"/>
      <c r="AA137" s="16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25"/>
      <c r="B138" s="12"/>
      <c r="C138" s="25"/>
      <c r="D138" s="25"/>
      <c r="E138" s="16"/>
      <c r="F138" s="21"/>
      <c r="G138" s="25"/>
      <c r="H138" s="29"/>
      <c r="I138" s="25"/>
      <c r="J138" s="25"/>
      <c r="K138" s="32"/>
      <c r="L138" s="25"/>
      <c r="M138" s="26"/>
      <c r="N138" s="12"/>
      <c r="O138" s="21"/>
      <c r="P138" s="25">
        <v>0</v>
      </c>
      <c r="Q138" s="12"/>
      <c r="R138" s="12"/>
      <c r="S138" s="12">
        <v>0</v>
      </c>
      <c r="T138" s="29">
        <v>0</v>
      </c>
      <c r="U138" s="12"/>
      <c r="V138" s="12"/>
      <c r="Z138" s="12"/>
      <c r="AA138" s="16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25"/>
      <c r="B139" s="12"/>
      <c r="C139" s="25"/>
      <c r="D139" s="25"/>
      <c r="E139" s="16"/>
      <c r="F139" s="21"/>
      <c r="G139" s="25"/>
      <c r="H139" s="29"/>
      <c r="I139" s="25"/>
      <c r="J139" s="25"/>
      <c r="K139" s="32"/>
      <c r="L139" s="25"/>
      <c r="M139" s="26"/>
      <c r="N139" s="12"/>
      <c r="O139" s="21"/>
      <c r="P139" s="25">
        <v>0</v>
      </c>
      <c r="Q139" s="12"/>
      <c r="R139" s="12"/>
      <c r="S139" s="12">
        <v>0</v>
      </c>
      <c r="T139" s="29">
        <v>0</v>
      </c>
      <c r="U139" s="12"/>
      <c r="V139" s="12"/>
      <c r="Z139" s="12"/>
      <c r="AA139" s="16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25"/>
      <c r="B140" s="12"/>
      <c r="C140" s="25"/>
      <c r="D140" s="25"/>
      <c r="E140" s="16"/>
      <c r="F140" s="21"/>
      <c r="G140" s="25"/>
      <c r="H140" s="29"/>
      <c r="I140" s="25"/>
      <c r="J140" s="25"/>
      <c r="K140" s="32"/>
      <c r="L140" s="25"/>
      <c r="M140" s="26"/>
      <c r="N140" s="12"/>
      <c r="O140" s="21"/>
      <c r="P140" s="25">
        <v>0</v>
      </c>
      <c r="Q140" s="12"/>
      <c r="R140" s="12"/>
      <c r="S140" s="12">
        <v>0</v>
      </c>
      <c r="T140" s="29">
        <v>0</v>
      </c>
      <c r="U140" s="12"/>
      <c r="V140" s="12"/>
      <c r="Z140" s="12"/>
      <c r="AA140" s="16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25"/>
      <c r="B141" s="12"/>
      <c r="C141" s="25"/>
      <c r="D141" s="25"/>
      <c r="E141" s="16"/>
      <c r="F141" s="21"/>
      <c r="G141" s="25"/>
      <c r="H141" s="29"/>
      <c r="I141" s="25"/>
      <c r="J141" s="25"/>
      <c r="K141" s="32"/>
      <c r="L141" s="25"/>
      <c r="M141" s="26"/>
      <c r="N141" s="12"/>
      <c r="O141" s="21"/>
      <c r="P141" s="25">
        <v>0</v>
      </c>
      <c r="Q141" s="12"/>
      <c r="R141" s="12"/>
      <c r="S141" s="12">
        <v>0</v>
      </c>
      <c r="T141" s="29">
        <v>0</v>
      </c>
      <c r="U141" s="12"/>
      <c r="V141" s="12"/>
      <c r="Z141" s="12"/>
      <c r="AA141" s="16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25"/>
      <c r="B142" s="12"/>
      <c r="C142" s="25"/>
      <c r="D142" s="25"/>
      <c r="E142" s="16"/>
      <c r="F142" s="21"/>
      <c r="G142" s="25"/>
      <c r="H142" s="29"/>
      <c r="I142" s="25"/>
      <c r="J142" s="25"/>
      <c r="K142" s="32"/>
      <c r="L142" s="25"/>
      <c r="M142" s="26"/>
      <c r="N142" s="12"/>
      <c r="O142" s="21"/>
      <c r="P142" s="25">
        <v>0</v>
      </c>
      <c r="Q142" s="12"/>
      <c r="R142" s="12"/>
      <c r="S142" s="12">
        <v>0</v>
      </c>
      <c r="T142" s="29">
        <v>0</v>
      </c>
      <c r="U142" s="12"/>
      <c r="V142" s="12"/>
      <c r="Z142" s="12"/>
      <c r="AA142" s="16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25"/>
      <c r="B143" s="12"/>
      <c r="C143" s="25"/>
      <c r="D143" s="25"/>
      <c r="E143" s="16"/>
      <c r="F143" s="21"/>
      <c r="G143" s="25"/>
      <c r="H143" s="29"/>
      <c r="I143" s="25"/>
      <c r="J143" s="25"/>
      <c r="K143" s="32"/>
      <c r="L143" s="25"/>
      <c r="M143" s="26"/>
      <c r="N143" s="12"/>
      <c r="O143" s="21"/>
      <c r="P143" s="25">
        <v>0</v>
      </c>
      <c r="Q143" s="12"/>
      <c r="R143" s="12"/>
      <c r="S143" s="12">
        <v>0</v>
      </c>
      <c r="T143" s="29">
        <v>0</v>
      </c>
      <c r="U143" s="12"/>
      <c r="V143" s="12"/>
      <c r="Z143" s="12"/>
      <c r="AA143" s="16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25"/>
      <c r="B144" s="12"/>
      <c r="C144" s="25"/>
      <c r="D144" s="25"/>
      <c r="E144" s="16"/>
      <c r="F144" s="21"/>
      <c r="G144" s="25"/>
      <c r="H144" s="29"/>
      <c r="I144" s="25"/>
      <c r="J144" s="25"/>
      <c r="K144" s="32"/>
      <c r="L144" s="25"/>
      <c r="M144" s="26"/>
      <c r="N144" s="12"/>
      <c r="O144" s="21"/>
      <c r="P144" s="25">
        <v>0</v>
      </c>
      <c r="Q144" s="12"/>
      <c r="R144" s="12"/>
      <c r="S144" s="12">
        <v>0</v>
      </c>
      <c r="T144" s="29">
        <v>0</v>
      </c>
      <c r="U144" s="12"/>
      <c r="V144" s="12"/>
      <c r="Z144" s="12"/>
      <c r="AA144" s="16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25"/>
      <c r="B145" s="12"/>
      <c r="C145" s="25"/>
      <c r="D145" s="25"/>
      <c r="E145" s="16"/>
      <c r="F145" s="21"/>
      <c r="G145" s="25"/>
      <c r="H145" s="29"/>
      <c r="I145" s="25"/>
      <c r="J145" s="25"/>
      <c r="K145" s="32"/>
      <c r="L145" s="25"/>
      <c r="M145" s="26"/>
      <c r="N145" s="12"/>
      <c r="O145" s="21"/>
      <c r="P145" s="25">
        <v>0</v>
      </c>
      <c r="Q145" s="12"/>
      <c r="R145" s="12"/>
      <c r="S145" s="12">
        <v>0</v>
      </c>
      <c r="T145" s="29">
        <v>0</v>
      </c>
      <c r="U145" s="12"/>
      <c r="V145" s="12"/>
      <c r="Z145" s="12"/>
      <c r="AA145" s="16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25"/>
      <c r="B146" s="12"/>
      <c r="C146" s="25"/>
      <c r="D146" s="25"/>
      <c r="E146" s="16"/>
      <c r="F146" s="21"/>
      <c r="G146" s="25"/>
      <c r="H146" s="29"/>
      <c r="I146" s="25"/>
      <c r="J146" s="25"/>
      <c r="K146" s="32"/>
      <c r="L146" s="25"/>
      <c r="M146" s="26"/>
      <c r="N146" s="12"/>
      <c r="O146" s="21"/>
      <c r="P146" s="25">
        <v>0</v>
      </c>
      <c r="Q146" s="12"/>
      <c r="R146" s="12"/>
      <c r="S146" s="12">
        <v>0</v>
      </c>
      <c r="T146" s="29">
        <v>0</v>
      </c>
      <c r="U146" s="12"/>
      <c r="V146" s="12"/>
      <c r="Z146" s="12"/>
      <c r="AA146" s="16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25"/>
      <c r="B147" s="12"/>
      <c r="C147" s="25"/>
      <c r="D147" s="25"/>
      <c r="E147" s="16"/>
      <c r="F147" s="21"/>
      <c r="G147" s="25"/>
      <c r="H147" s="29"/>
      <c r="I147" s="25"/>
      <c r="J147" s="25"/>
      <c r="K147" s="32"/>
      <c r="L147" s="25"/>
      <c r="M147" s="26"/>
      <c r="N147" s="12"/>
      <c r="O147" s="21"/>
      <c r="P147" s="25">
        <v>0</v>
      </c>
      <c r="Q147" s="12"/>
      <c r="R147" s="12"/>
      <c r="S147" s="12">
        <v>0</v>
      </c>
      <c r="T147" s="29">
        <v>0</v>
      </c>
      <c r="U147" s="12"/>
      <c r="V147" s="12"/>
      <c r="Z147" s="12"/>
      <c r="AA147" s="16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25"/>
      <c r="B148" s="12"/>
      <c r="C148" s="25"/>
      <c r="D148" s="25"/>
      <c r="E148" s="16"/>
      <c r="F148" s="21"/>
      <c r="G148" s="25"/>
      <c r="H148" s="29"/>
      <c r="I148" s="25"/>
      <c r="J148" s="25"/>
      <c r="K148" s="32"/>
      <c r="L148" s="25"/>
      <c r="M148" s="26"/>
      <c r="N148" s="12"/>
      <c r="O148" s="21"/>
      <c r="P148" s="25">
        <v>0</v>
      </c>
      <c r="Q148" s="12"/>
      <c r="R148" s="12"/>
      <c r="S148" s="12">
        <v>0</v>
      </c>
      <c r="T148" s="29">
        <v>0</v>
      </c>
      <c r="U148" s="12"/>
      <c r="V148" s="12"/>
      <c r="Z148" s="12"/>
      <c r="AA148" s="16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25"/>
      <c r="B149" s="12"/>
      <c r="C149" s="25"/>
      <c r="D149" s="25"/>
      <c r="E149" s="16"/>
      <c r="F149" s="21"/>
      <c r="G149" s="25"/>
      <c r="H149" s="29"/>
      <c r="I149" s="25"/>
      <c r="J149" s="25"/>
      <c r="K149" s="32"/>
      <c r="L149" s="25"/>
      <c r="M149" s="26"/>
      <c r="N149" s="12"/>
      <c r="O149" s="21"/>
      <c r="P149" s="25">
        <v>0</v>
      </c>
      <c r="Q149" s="12"/>
      <c r="R149" s="12"/>
      <c r="S149" s="12">
        <v>0</v>
      </c>
      <c r="T149" s="29">
        <v>0</v>
      </c>
      <c r="U149" s="12"/>
      <c r="V149" s="12"/>
      <c r="Z149" s="12"/>
      <c r="AA149" s="16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25"/>
      <c r="B150" s="12"/>
      <c r="C150" s="25"/>
      <c r="D150" s="25"/>
      <c r="E150" s="16"/>
      <c r="F150" s="21"/>
      <c r="G150" s="25"/>
      <c r="H150" s="29"/>
      <c r="I150" s="25"/>
      <c r="J150" s="25"/>
      <c r="K150" s="32"/>
      <c r="L150" s="25"/>
      <c r="M150" s="26"/>
      <c r="N150" s="12"/>
      <c r="O150" s="21"/>
      <c r="P150" s="25">
        <v>0</v>
      </c>
      <c r="Q150" s="12"/>
      <c r="R150" s="12"/>
      <c r="S150" s="12">
        <v>0</v>
      </c>
      <c r="T150" s="29">
        <v>0</v>
      </c>
      <c r="U150" s="12"/>
      <c r="V150" s="12"/>
      <c r="Z150" s="12"/>
      <c r="AA150" s="16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25"/>
      <c r="B151" s="12"/>
      <c r="C151" s="25"/>
      <c r="D151" s="25"/>
      <c r="E151" s="16"/>
      <c r="F151" s="21"/>
      <c r="G151" s="25"/>
      <c r="H151" s="29"/>
      <c r="I151" s="25"/>
      <c r="J151" s="25"/>
      <c r="K151" s="32"/>
      <c r="L151" s="25"/>
      <c r="M151" s="26"/>
      <c r="N151" s="12"/>
      <c r="O151" s="21"/>
      <c r="P151" s="25">
        <v>0</v>
      </c>
      <c r="Q151" s="12"/>
      <c r="R151" s="12"/>
      <c r="S151" s="12">
        <v>0</v>
      </c>
      <c r="T151" s="29">
        <v>0</v>
      </c>
      <c r="U151" s="12"/>
      <c r="V151" s="12"/>
      <c r="Z151" s="12"/>
      <c r="AA151" s="16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25"/>
      <c r="B152" s="12"/>
      <c r="C152" s="25"/>
      <c r="D152" s="25"/>
      <c r="E152" s="16"/>
      <c r="F152" s="21"/>
      <c r="G152" s="25"/>
      <c r="H152" s="29"/>
      <c r="I152" s="25"/>
      <c r="J152" s="25"/>
      <c r="K152" s="32"/>
      <c r="L152" s="25"/>
      <c r="M152" s="26"/>
      <c r="N152" s="12"/>
      <c r="O152" s="21"/>
      <c r="P152" s="25">
        <v>0</v>
      </c>
      <c r="Q152" s="12"/>
      <c r="R152" s="12"/>
      <c r="S152" s="12">
        <v>0</v>
      </c>
      <c r="T152" s="29">
        <v>0</v>
      </c>
      <c r="U152" s="12"/>
      <c r="V152" s="12"/>
      <c r="Z152" s="12"/>
      <c r="AA152" s="16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25"/>
      <c r="B153" s="12"/>
      <c r="C153" s="25"/>
      <c r="D153" s="25"/>
      <c r="E153" s="16"/>
      <c r="F153" s="21"/>
      <c r="G153" s="25"/>
      <c r="H153" s="29"/>
      <c r="I153" s="25"/>
      <c r="J153" s="25"/>
      <c r="K153" s="32"/>
      <c r="L153" s="25"/>
      <c r="M153" s="26"/>
      <c r="N153" s="12"/>
      <c r="O153" s="21"/>
      <c r="P153" s="25">
        <v>0</v>
      </c>
      <c r="Q153" s="12"/>
      <c r="R153" s="12"/>
      <c r="S153" s="12">
        <v>0</v>
      </c>
      <c r="T153" s="29">
        <v>0</v>
      </c>
      <c r="U153" s="12"/>
      <c r="V153" s="12"/>
      <c r="Z153" s="12"/>
      <c r="AA153" s="16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25"/>
      <c r="B154" s="12"/>
      <c r="C154" s="25"/>
      <c r="D154" s="25"/>
      <c r="E154" s="16"/>
      <c r="F154" s="21"/>
      <c r="G154" s="25"/>
      <c r="H154" s="29"/>
      <c r="I154" s="25"/>
      <c r="J154" s="25"/>
      <c r="K154" s="32"/>
      <c r="L154" s="25"/>
      <c r="M154" s="26"/>
      <c r="N154" s="12"/>
      <c r="O154" s="21"/>
      <c r="P154" s="25">
        <v>0</v>
      </c>
      <c r="Q154" s="12"/>
      <c r="R154" s="12"/>
      <c r="S154" s="12">
        <v>0</v>
      </c>
      <c r="T154" s="29">
        <v>0</v>
      </c>
      <c r="U154" s="12"/>
      <c r="V154" s="12"/>
      <c r="Z154" s="12"/>
      <c r="AA154" s="16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25"/>
      <c r="B155" s="12"/>
      <c r="C155" s="25"/>
      <c r="D155" s="25"/>
      <c r="E155" s="16"/>
      <c r="F155" s="21"/>
      <c r="G155" s="25"/>
      <c r="H155" s="29"/>
      <c r="I155" s="25"/>
      <c r="J155" s="25"/>
      <c r="K155" s="32"/>
      <c r="L155" s="25"/>
      <c r="M155" s="26"/>
      <c r="N155" s="12"/>
      <c r="O155" s="21"/>
      <c r="P155" s="25">
        <v>0</v>
      </c>
      <c r="Q155" s="12"/>
      <c r="R155" s="12"/>
      <c r="S155" s="12">
        <v>0</v>
      </c>
      <c r="T155" s="29">
        <v>0</v>
      </c>
      <c r="U155" s="12"/>
      <c r="V155" s="12"/>
      <c r="Z155" s="12"/>
      <c r="AA155" s="16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25"/>
      <c r="B156" s="12"/>
      <c r="C156" s="25"/>
      <c r="D156" s="25"/>
      <c r="E156" s="16"/>
      <c r="F156" s="21"/>
      <c r="G156" s="25"/>
      <c r="H156" s="29"/>
      <c r="I156" s="25"/>
      <c r="J156" s="25"/>
      <c r="K156" s="32"/>
      <c r="L156" s="25"/>
      <c r="M156" s="26"/>
      <c r="N156" s="12"/>
      <c r="O156" s="21"/>
      <c r="P156" s="25">
        <v>0</v>
      </c>
      <c r="Q156" s="12"/>
      <c r="R156" s="12"/>
      <c r="S156" s="12">
        <v>0</v>
      </c>
      <c r="T156" s="29">
        <v>0</v>
      </c>
      <c r="U156" s="12"/>
      <c r="V156" s="12"/>
      <c r="Z156" s="12"/>
      <c r="AA156" s="16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25"/>
      <c r="B157" s="12"/>
      <c r="C157" s="25"/>
      <c r="D157" s="25"/>
      <c r="E157" s="16"/>
      <c r="F157" s="21"/>
      <c r="G157" s="25"/>
      <c r="H157" s="29"/>
      <c r="I157" s="25"/>
      <c r="J157" s="25"/>
      <c r="K157" s="32"/>
      <c r="L157" s="25"/>
      <c r="M157" s="26"/>
      <c r="N157" s="12"/>
      <c r="O157" s="21"/>
      <c r="P157" s="25">
        <v>0</v>
      </c>
      <c r="Q157" s="12"/>
      <c r="R157" s="12"/>
      <c r="S157" s="12">
        <v>0</v>
      </c>
      <c r="T157" s="29">
        <v>0</v>
      </c>
      <c r="U157" s="12"/>
      <c r="V157" s="12"/>
      <c r="Z157" s="12"/>
      <c r="AA157" s="16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25"/>
      <c r="B158" s="12"/>
      <c r="C158" s="25"/>
      <c r="D158" s="25"/>
      <c r="E158" s="16"/>
      <c r="F158" s="21"/>
      <c r="G158" s="25"/>
      <c r="H158" s="29"/>
      <c r="I158" s="25"/>
      <c r="J158" s="25"/>
      <c r="K158" s="32"/>
      <c r="L158" s="25"/>
      <c r="M158" s="26"/>
      <c r="N158" s="12"/>
      <c r="O158" s="21"/>
      <c r="P158" s="25">
        <v>0</v>
      </c>
      <c r="Q158" s="12"/>
      <c r="R158" s="12"/>
      <c r="S158" s="12">
        <v>0</v>
      </c>
      <c r="T158" s="29">
        <v>0</v>
      </c>
      <c r="U158" s="12"/>
      <c r="V158" s="12"/>
      <c r="Z158" s="12"/>
      <c r="AA158" s="16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25"/>
      <c r="B159" s="12"/>
      <c r="C159" s="25"/>
      <c r="D159" s="25"/>
      <c r="E159" s="16"/>
      <c r="F159" s="21"/>
      <c r="G159" s="25"/>
      <c r="H159" s="29"/>
      <c r="I159" s="25"/>
      <c r="J159" s="25"/>
      <c r="K159" s="32"/>
      <c r="L159" s="25"/>
      <c r="M159" s="26"/>
      <c r="N159" s="12"/>
      <c r="O159" s="21"/>
      <c r="P159" s="25">
        <v>0</v>
      </c>
      <c r="Q159" s="12"/>
      <c r="R159" s="12"/>
      <c r="S159" s="12">
        <v>0</v>
      </c>
      <c r="T159" s="29">
        <v>0</v>
      </c>
      <c r="U159" s="12"/>
      <c r="V159" s="12"/>
      <c r="Z159" s="12"/>
      <c r="AA159" s="16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25"/>
      <c r="B160" s="12"/>
      <c r="C160" s="25"/>
      <c r="D160" s="25"/>
      <c r="E160" s="16"/>
      <c r="F160" s="21"/>
      <c r="G160" s="25"/>
      <c r="H160" s="29"/>
      <c r="I160" s="25"/>
      <c r="J160" s="25"/>
      <c r="K160" s="32"/>
      <c r="L160" s="25"/>
      <c r="M160" s="26"/>
      <c r="N160" s="12"/>
      <c r="O160" s="21"/>
      <c r="P160" s="25">
        <v>0</v>
      </c>
      <c r="Q160" s="12"/>
      <c r="R160" s="12"/>
      <c r="S160" s="12">
        <v>0</v>
      </c>
      <c r="T160" s="29">
        <v>0</v>
      </c>
      <c r="U160" s="12"/>
      <c r="V160" s="12"/>
      <c r="Z160" s="12"/>
      <c r="AA160" s="16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25"/>
      <c r="B161" s="12"/>
      <c r="C161" s="25"/>
      <c r="D161" s="25"/>
      <c r="E161" s="16"/>
      <c r="F161" s="21"/>
      <c r="G161" s="25"/>
      <c r="H161" s="29"/>
      <c r="I161" s="25"/>
      <c r="J161" s="25"/>
      <c r="K161" s="32"/>
      <c r="L161" s="25"/>
      <c r="M161" s="26"/>
      <c r="N161" s="12"/>
      <c r="O161" s="21"/>
      <c r="P161" s="25">
        <v>0</v>
      </c>
      <c r="Q161" s="12"/>
      <c r="R161" s="12"/>
      <c r="S161" s="12">
        <v>0</v>
      </c>
      <c r="T161" s="29">
        <v>0</v>
      </c>
      <c r="U161" s="12"/>
      <c r="V161" s="12"/>
      <c r="Z161" s="12"/>
      <c r="AA161" s="16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25"/>
      <c r="B162" s="12"/>
      <c r="C162" s="25"/>
      <c r="D162" s="25"/>
      <c r="E162" s="16"/>
      <c r="F162" s="21"/>
      <c r="G162" s="25"/>
      <c r="H162" s="29"/>
      <c r="I162" s="25"/>
      <c r="J162" s="25"/>
      <c r="K162" s="32"/>
      <c r="L162" s="25"/>
      <c r="M162" s="26"/>
      <c r="N162" s="12"/>
      <c r="O162" s="21"/>
      <c r="P162" s="25">
        <v>0</v>
      </c>
      <c r="Q162" s="12"/>
      <c r="R162" s="12"/>
      <c r="S162" s="12">
        <v>0</v>
      </c>
      <c r="T162" s="29">
        <v>0</v>
      </c>
      <c r="U162" s="12"/>
      <c r="V162" s="12"/>
      <c r="Z162" s="12"/>
      <c r="AA162" s="16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25"/>
      <c r="B163" s="12"/>
      <c r="C163" s="25"/>
      <c r="D163" s="25"/>
      <c r="E163" s="16"/>
      <c r="F163" s="21"/>
      <c r="G163" s="25"/>
      <c r="H163" s="29"/>
      <c r="I163" s="25"/>
      <c r="J163" s="25"/>
      <c r="K163" s="32"/>
      <c r="L163" s="25"/>
      <c r="M163" s="26"/>
      <c r="N163" s="12"/>
      <c r="O163" s="21"/>
      <c r="P163" s="25">
        <v>0</v>
      </c>
      <c r="Q163" s="12"/>
      <c r="R163" s="12"/>
      <c r="S163" s="12">
        <v>0</v>
      </c>
      <c r="T163" s="29">
        <v>0</v>
      </c>
      <c r="U163" s="12"/>
      <c r="V163" s="12"/>
      <c r="Z163" s="12"/>
      <c r="AA163" s="16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25"/>
      <c r="B164" s="12"/>
      <c r="C164" s="25"/>
      <c r="D164" s="25"/>
      <c r="E164" s="16"/>
      <c r="F164" s="21"/>
      <c r="G164" s="25"/>
      <c r="H164" s="29"/>
      <c r="I164" s="25"/>
      <c r="J164" s="25"/>
      <c r="K164" s="32"/>
      <c r="L164" s="25"/>
      <c r="M164" s="26"/>
      <c r="N164" s="12"/>
      <c r="O164" s="21"/>
      <c r="P164" s="25">
        <v>0</v>
      </c>
      <c r="Q164" s="12"/>
      <c r="R164" s="12"/>
      <c r="S164" s="12">
        <v>0</v>
      </c>
      <c r="T164" s="29">
        <v>0</v>
      </c>
      <c r="U164" s="12"/>
      <c r="V164" s="12"/>
      <c r="Z164" s="12"/>
      <c r="AA164" s="16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25"/>
      <c r="B165" s="12"/>
      <c r="C165" s="25"/>
      <c r="D165" s="25"/>
      <c r="E165" s="16"/>
      <c r="F165" s="21"/>
      <c r="G165" s="25"/>
      <c r="H165" s="29"/>
      <c r="I165" s="25"/>
      <c r="J165" s="25"/>
      <c r="K165" s="32"/>
      <c r="L165" s="25"/>
      <c r="M165" s="26"/>
      <c r="N165" s="12"/>
      <c r="O165" s="21"/>
      <c r="P165" s="25">
        <v>0</v>
      </c>
      <c r="Q165" s="12"/>
      <c r="R165" s="12"/>
      <c r="S165" s="12">
        <v>0</v>
      </c>
      <c r="T165" s="29">
        <v>0</v>
      </c>
      <c r="U165" s="12"/>
      <c r="V165" s="12"/>
      <c r="Z165" s="12"/>
      <c r="AA165" s="16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25"/>
      <c r="B166" s="12"/>
      <c r="C166" s="25"/>
      <c r="D166" s="25"/>
      <c r="E166" s="16"/>
      <c r="F166" s="21"/>
      <c r="G166" s="25"/>
      <c r="H166" s="29"/>
      <c r="I166" s="25"/>
      <c r="J166" s="25"/>
      <c r="K166" s="32"/>
      <c r="L166" s="25"/>
      <c r="M166" s="26"/>
      <c r="N166" s="12"/>
      <c r="O166" s="21"/>
      <c r="P166" s="25">
        <v>0</v>
      </c>
      <c r="Q166" s="12"/>
      <c r="R166" s="12"/>
      <c r="S166" s="12">
        <v>0</v>
      </c>
      <c r="T166" s="29">
        <v>0</v>
      </c>
      <c r="U166" s="12"/>
      <c r="V166" s="12"/>
      <c r="Z166" s="12"/>
      <c r="AA166" s="16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25"/>
      <c r="B167" s="12"/>
      <c r="C167" s="25"/>
      <c r="D167" s="25"/>
      <c r="E167" s="16"/>
      <c r="F167" s="21"/>
      <c r="G167" s="25"/>
      <c r="H167" s="29"/>
      <c r="I167" s="25"/>
      <c r="J167" s="25"/>
      <c r="K167" s="32"/>
      <c r="L167" s="25"/>
      <c r="M167" s="26"/>
      <c r="N167" s="12"/>
      <c r="O167" s="21"/>
      <c r="P167" s="25">
        <v>0</v>
      </c>
      <c r="Q167" s="12"/>
      <c r="R167" s="12"/>
      <c r="S167" s="12">
        <v>0</v>
      </c>
      <c r="T167" s="29">
        <v>0</v>
      </c>
      <c r="U167" s="12"/>
      <c r="V167" s="12"/>
      <c r="Z167" s="12"/>
      <c r="AA167" s="16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25"/>
      <c r="B168" s="12"/>
      <c r="C168" s="25"/>
      <c r="D168" s="25"/>
      <c r="E168" s="16"/>
      <c r="F168" s="21"/>
      <c r="G168" s="25"/>
      <c r="H168" s="29"/>
      <c r="I168" s="25"/>
      <c r="J168" s="25"/>
      <c r="K168" s="32"/>
      <c r="L168" s="25"/>
      <c r="M168" s="26"/>
      <c r="N168" s="12"/>
      <c r="O168" s="21"/>
      <c r="P168" s="25">
        <v>0</v>
      </c>
      <c r="Q168" s="12"/>
      <c r="R168" s="12"/>
      <c r="S168" s="12">
        <v>0</v>
      </c>
      <c r="T168" s="29">
        <v>0</v>
      </c>
      <c r="U168" s="12"/>
      <c r="V168" s="12"/>
      <c r="Z168" s="12"/>
      <c r="AA168" s="16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25"/>
      <c r="B169" s="12"/>
      <c r="C169" s="25"/>
      <c r="D169" s="25"/>
      <c r="E169" s="16"/>
      <c r="F169" s="21"/>
      <c r="G169" s="25"/>
      <c r="H169" s="29"/>
      <c r="I169" s="25"/>
      <c r="J169" s="25"/>
      <c r="K169" s="32"/>
      <c r="L169" s="25"/>
      <c r="M169" s="26"/>
      <c r="N169" s="12"/>
      <c r="O169" s="21"/>
      <c r="P169" s="25">
        <v>0</v>
      </c>
      <c r="Q169" s="12"/>
      <c r="R169" s="12"/>
      <c r="S169" s="12">
        <v>0</v>
      </c>
      <c r="T169" s="29">
        <v>0</v>
      </c>
      <c r="U169" s="12"/>
      <c r="V169" s="12"/>
      <c r="Z169" s="12"/>
      <c r="AA169" s="16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25"/>
      <c r="B170" s="12"/>
      <c r="C170" s="25"/>
      <c r="D170" s="25"/>
      <c r="E170" s="16"/>
      <c r="F170" s="21"/>
      <c r="G170" s="25"/>
      <c r="H170" s="29"/>
      <c r="I170" s="25"/>
      <c r="J170" s="25"/>
      <c r="K170" s="32"/>
      <c r="L170" s="25"/>
      <c r="M170" s="26"/>
      <c r="N170" s="12"/>
      <c r="O170" s="21"/>
      <c r="P170" s="25">
        <v>0</v>
      </c>
      <c r="Q170" s="12"/>
      <c r="R170" s="12"/>
      <c r="S170" s="12">
        <v>0</v>
      </c>
      <c r="T170" s="29">
        <v>0</v>
      </c>
      <c r="U170" s="12"/>
      <c r="V170" s="12"/>
      <c r="Z170" s="12"/>
      <c r="AA170" s="16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25"/>
      <c r="B171" s="12"/>
      <c r="C171" s="25"/>
      <c r="D171" s="25"/>
      <c r="E171" s="16"/>
      <c r="F171" s="21"/>
      <c r="G171" s="25"/>
      <c r="H171" s="29"/>
      <c r="I171" s="25"/>
      <c r="J171" s="25"/>
      <c r="K171" s="32"/>
      <c r="L171" s="25"/>
      <c r="M171" s="26"/>
      <c r="N171" s="12"/>
      <c r="O171" s="21"/>
      <c r="P171" s="25">
        <v>0</v>
      </c>
      <c r="Q171" s="12"/>
      <c r="R171" s="12"/>
      <c r="S171" s="12">
        <v>0</v>
      </c>
      <c r="T171" s="29">
        <v>0</v>
      </c>
      <c r="U171" s="12"/>
      <c r="V171" s="12"/>
      <c r="Z171" s="12"/>
      <c r="AA171" s="16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25"/>
      <c r="B172" s="12"/>
      <c r="C172" s="25"/>
      <c r="D172" s="25"/>
      <c r="E172" s="16"/>
      <c r="F172" s="21"/>
      <c r="G172" s="25"/>
      <c r="H172" s="29"/>
      <c r="I172" s="25"/>
      <c r="J172" s="25"/>
      <c r="K172" s="32"/>
      <c r="L172" s="25"/>
      <c r="M172" s="26"/>
      <c r="N172" s="12"/>
      <c r="O172" s="21"/>
      <c r="P172" s="25">
        <v>0</v>
      </c>
      <c r="Q172" s="12"/>
      <c r="R172" s="12"/>
      <c r="S172" s="12">
        <v>0</v>
      </c>
      <c r="T172" s="29">
        <v>0</v>
      </c>
      <c r="U172" s="12"/>
      <c r="V172" s="12"/>
      <c r="Z172" s="12"/>
      <c r="AA172" s="16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25"/>
      <c r="B173" s="12"/>
      <c r="C173" s="25"/>
      <c r="D173" s="25"/>
      <c r="E173" s="16"/>
      <c r="F173" s="21"/>
      <c r="G173" s="25"/>
      <c r="H173" s="29"/>
      <c r="I173" s="25"/>
      <c r="J173" s="25"/>
      <c r="K173" s="32"/>
      <c r="L173" s="25"/>
      <c r="M173" s="26"/>
      <c r="N173" s="12"/>
      <c r="O173" s="21"/>
      <c r="P173" s="25">
        <v>0</v>
      </c>
      <c r="Q173" s="12"/>
      <c r="R173" s="12"/>
      <c r="S173" s="12">
        <v>0</v>
      </c>
      <c r="T173" s="29">
        <v>0</v>
      </c>
      <c r="U173" s="12"/>
      <c r="V173" s="12"/>
      <c r="Z173" s="12"/>
      <c r="AA173" s="16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25"/>
      <c r="B174" s="12"/>
      <c r="C174" s="25"/>
      <c r="D174" s="25"/>
      <c r="E174" s="16"/>
      <c r="F174" s="21"/>
      <c r="G174" s="25"/>
      <c r="H174" s="29"/>
      <c r="I174" s="25"/>
      <c r="J174" s="25"/>
      <c r="K174" s="32"/>
      <c r="L174" s="25"/>
      <c r="M174" s="26"/>
      <c r="N174" s="12"/>
      <c r="O174" s="21"/>
      <c r="P174" s="25">
        <v>0</v>
      </c>
      <c r="Q174" s="12"/>
      <c r="R174" s="12"/>
      <c r="S174" s="12">
        <v>0</v>
      </c>
      <c r="T174" s="29">
        <v>0</v>
      </c>
      <c r="U174" s="12"/>
      <c r="V174" s="12"/>
      <c r="Z174" s="12"/>
      <c r="AA174" s="16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25"/>
      <c r="B175" s="12"/>
      <c r="C175" s="25"/>
      <c r="D175" s="25"/>
      <c r="E175" s="16"/>
      <c r="F175" s="21"/>
      <c r="G175" s="25"/>
      <c r="H175" s="29"/>
      <c r="I175" s="25"/>
      <c r="J175" s="25"/>
      <c r="K175" s="32"/>
      <c r="L175" s="25"/>
      <c r="M175" s="26"/>
      <c r="N175" s="12"/>
      <c r="O175" s="21"/>
      <c r="P175" s="25">
        <v>0</v>
      </c>
      <c r="Q175" s="12"/>
      <c r="R175" s="12"/>
      <c r="S175" s="12">
        <v>0</v>
      </c>
      <c r="T175" s="29">
        <v>0</v>
      </c>
      <c r="U175" s="12"/>
      <c r="V175" s="12"/>
      <c r="Z175" s="12"/>
      <c r="AA175" s="16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25"/>
      <c r="B176" s="12"/>
      <c r="C176" s="25"/>
      <c r="D176" s="25"/>
      <c r="E176" s="16"/>
      <c r="F176" s="21"/>
      <c r="G176" s="25"/>
      <c r="H176" s="29"/>
      <c r="I176" s="25"/>
      <c r="J176" s="25"/>
      <c r="K176" s="32"/>
      <c r="L176" s="25"/>
      <c r="M176" s="26"/>
      <c r="N176" s="12"/>
      <c r="O176" s="21"/>
      <c r="P176" s="25">
        <v>0</v>
      </c>
      <c r="Q176" s="12"/>
      <c r="R176" s="12"/>
      <c r="S176" s="12">
        <v>0</v>
      </c>
      <c r="T176" s="29">
        <v>0</v>
      </c>
      <c r="U176" s="12"/>
      <c r="V176" s="12"/>
      <c r="Z176" s="12"/>
      <c r="AA176" s="16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25"/>
      <c r="B177" s="12"/>
      <c r="C177" s="25"/>
      <c r="D177" s="25"/>
      <c r="E177" s="16"/>
      <c r="F177" s="21"/>
      <c r="G177" s="25"/>
      <c r="H177" s="29"/>
      <c r="I177" s="25"/>
      <c r="J177" s="25"/>
      <c r="K177" s="32"/>
      <c r="L177" s="25"/>
      <c r="M177" s="26"/>
      <c r="N177" s="12"/>
      <c r="O177" s="21"/>
      <c r="P177" s="25">
        <v>0</v>
      </c>
      <c r="Q177" s="12"/>
      <c r="R177" s="12"/>
      <c r="S177" s="12">
        <v>0</v>
      </c>
      <c r="T177" s="29">
        <v>0</v>
      </c>
      <c r="U177" s="12"/>
      <c r="V177" s="12"/>
      <c r="Z177" s="12"/>
      <c r="AA177" s="16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25"/>
      <c r="B178" s="12"/>
      <c r="C178" s="25"/>
      <c r="D178" s="25"/>
      <c r="E178" s="16"/>
      <c r="F178" s="21"/>
      <c r="G178" s="25"/>
      <c r="H178" s="29"/>
      <c r="I178" s="25"/>
      <c r="J178" s="25"/>
      <c r="K178" s="32"/>
      <c r="L178" s="25"/>
      <c r="M178" s="26"/>
      <c r="N178" s="12"/>
      <c r="O178" s="21"/>
      <c r="P178" s="25">
        <v>0</v>
      </c>
      <c r="Q178" s="12"/>
      <c r="R178" s="12"/>
      <c r="S178" s="12">
        <v>0</v>
      </c>
      <c r="T178" s="29">
        <v>0</v>
      </c>
      <c r="U178" s="12"/>
      <c r="V178" s="12"/>
      <c r="Z178" s="12"/>
      <c r="AA178" s="16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25"/>
      <c r="B179" s="12"/>
      <c r="C179" s="25"/>
      <c r="D179" s="25"/>
      <c r="E179" s="16"/>
      <c r="F179" s="21"/>
      <c r="G179" s="25"/>
      <c r="H179" s="29"/>
      <c r="I179" s="25"/>
      <c r="J179" s="25"/>
      <c r="K179" s="32"/>
      <c r="L179" s="25"/>
      <c r="M179" s="26"/>
      <c r="N179" s="12"/>
      <c r="O179" s="21"/>
      <c r="P179" s="25">
        <v>0</v>
      </c>
      <c r="Q179" s="12"/>
      <c r="R179" s="12"/>
      <c r="S179" s="12">
        <v>0</v>
      </c>
      <c r="T179" s="29">
        <v>0</v>
      </c>
      <c r="U179" s="12"/>
      <c r="V179" s="12"/>
      <c r="Z179" s="12"/>
      <c r="AA179" s="16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25"/>
      <c r="B180" s="12"/>
      <c r="C180" s="25"/>
      <c r="D180" s="25"/>
      <c r="E180" s="16"/>
      <c r="F180" s="21"/>
      <c r="G180" s="25"/>
      <c r="H180" s="29"/>
      <c r="I180" s="25"/>
      <c r="J180" s="25"/>
      <c r="K180" s="32"/>
      <c r="L180" s="25"/>
      <c r="M180" s="26"/>
      <c r="N180" s="12"/>
      <c r="O180" s="21"/>
      <c r="P180" s="25">
        <v>0</v>
      </c>
      <c r="Q180" s="12"/>
      <c r="R180" s="12"/>
      <c r="S180" s="12">
        <v>0</v>
      </c>
      <c r="T180" s="29">
        <v>0</v>
      </c>
      <c r="U180" s="12"/>
      <c r="V180" s="12"/>
      <c r="Z180" s="12"/>
      <c r="AA180" s="16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25"/>
      <c r="B181" s="12"/>
      <c r="C181" s="25"/>
      <c r="D181" s="25"/>
      <c r="E181" s="16"/>
      <c r="F181" s="21"/>
      <c r="G181" s="25"/>
      <c r="H181" s="29"/>
      <c r="I181" s="25"/>
      <c r="J181" s="25"/>
      <c r="K181" s="32"/>
      <c r="L181" s="25"/>
      <c r="M181" s="26"/>
      <c r="N181" s="12"/>
      <c r="O181" s="21"/>
      <c r="P181" s="25">
        <v>0</v>
      </c>
      <c r="Q181" s="12"/>
      <c r="R181" s="12"/>
      <c r="S181" s="12">
        <v>0</v>
      </c>
      <c r="T181" s="29">
        <v>0</v>
      </c>
      <c r="U181" s="12"/>
      <c r="V181" s="12"/>
      <c r="Z181" s="12"/>
      <c r="AA181" s="16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25"/>
      <c r="B182" s="12"/>
      <c r="C182" s="25"/>
      <c r="D182" s="25"/>
      <c r="E182" s="16"/>
      <c r="F182" s="21"/>
      <c r="G182" s="25"/>
      <c r="H182" s="29"/>
      <c r="I182" s="25"/>
      <c r="J182" s="25"/>
      <c r="K182" s="32"/>
      <c r="L182" s="25"/>
      <c r="M182" s="26"/>
      <c r="N182" s="12"/>
      <c r="O182" s="21"/>
      <c r="P182" s="25">
        <v>0</v>
      </c>
      <c r="Q182" s="12"/>
      <c r="R182" s="12"/>
      <c r="S182" s="12">
        <v>0</v>
      </c>
      <c r="T182" s="29">
        <v>0</v>
      </c>
      <c r="U182" s="12"/>
      <c r="V182" s="12"/>
      <c r="Z182" s="12"/>
      <c r="AA182" s="16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25"/>
      <c r="B183" s="12"/>
      <c r="C183" s="25"/>
      <c r="D183" s="25"/>
      <c r="E183" s="16"/>
      <c r="F183" s="21"/>
      <c r="G183" s="25"/>
      <c r="H183" s="29"/>
      <c r="I183" s="25"/>
      <c r="J183" s="25"/>
      <c r="K183" s="32"/>
      <c r="L183" s="25"/>
      <c r="M183" s="26"/>
      <c r="N183" s="12"/>
      <c r="O183" s="21"/>
      <c r="P183" s="25">
        <v>0</v>
      </c>
      <c r="Q183" s="12"/>
      <c r="R183" s="12"/>
      <c r="S183" s="12">
        <v>0</v>
      </c>
      <c r="T183" s="29">
        <v>0</v>
      </c>
      <c r="U183" s="12"/>
      <c r="V183" s="12"/>
      <c r="Z183" s="12"/>
      <c r="AA183" s="16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25"/>
      <c r="B184" s="12"/>
      <c r="C184" s="25"/>
      <c r="D184" s="25"/>
      <c r="E184" s="16"/>
      <c r="F184" s="21"/>
      <c r="G184" s="25"/>
      <c r="H184" s="29"/>
      <c r="I184" s="25"/>
      <c r="J184" s="25"/>
      <c r="K184" s="32"/>
      <c r="L184" s="25"/>
      <c r="M184" s="26"/>
      <c r="N184" s="12"/>
      <c r="O184" s="21"/>
      <c r="P184" s="25">
        <v>0</v>
      </c>
      <c r="Q184" s="12"/>
      <c r="R184" s="12"/>
      <c r="S184" s="12">
        <v>0</v>
      </c>
      <c r="T184" s="29">
        <v>0</v>
      </c>
      <c r="U184" s="12"/>
      <c r="V184" s="12"/>
      <c r="Z184" s="12"/>
      <c r="AA184" s="16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25"/>
      <c r="B185" s="12"/>
      <c r="C185" s="25"/>
      <c r="D185" s="25"/>
      <c r="E185" s="16"/>
      <c r="F185" s="21"/>
      <c r="G185" s="25"/>
      <c r="H185" s="29"/>
      <c r="I185" s="25"/>
      <c r="J185" s="25"/>
      <c r="K185" s="32"/>
      <c r="L185" s="25"/>
      <c r="M185" s="26"/>
      <c r="N185" s="12"/>
      <c r="O185" s="21"/>
      <c r="P185" s="25">
        <v>0</v>
      </c>
      <c r="Q185" s="12"/>
      <c r="R185" s="12"/>
      <c r="S185" s="12">
        <v>0</v>
      </c>
      <c r="T185" s="29">
        <v>0</v>
      </c>
      <c r="U185" s="12"/>
      <c r="V185" s="12"/>
      <c r="Z185" s="12"/>
      <c r="AA185" s="16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25"/>
      <c r="B186" s="12"/>
      <c r="C186" s="25"/>
      <c r="D186" s="25"/>
      <c r="E186" s="16"/>
      <c r="F186" s="21"/>
      <c r="G186" s="25"/>
      <c r="H186" s="29"/>
      <c r="I186" s="25"/>
      <c r="J186" s="25"/>
      <c r="K186" s="32"/>
      <c r="L186" s="25"/>
      <c r="M186" s="26"/>
      <c r="N186" s="12"/>
      <c r="O186" s="21"/>
      <c r="P186" s="25">
        <v>0</v>
      </c>
      <c r="Q186" s="12"/>
      <c r="R186" s="12"/>
      <c r="S186" s="12">
        <v>0</v>
      </c>
      <c r="T186" s="29">
        <v>0</v>
      </c>
      <c r="U186" s="12"/>
      <c r="V186" s="12"/>
      <c r="Z186" s="12"/>
      <c r="AA186" s="16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25"/>
      <c r="B187" s="12"/>
      <c r="C187" s="25"/>
      <c r="D187" s="25"/>
      <c r="E187" s="16"/>
      <c r="F187" s="21"/>
      <c r="G187" s="25"/>
      <c r="H187" s="29"/>
      <c r="I187" s="25"/>
      <c r="J187" s="25"/>
      <c r="K187" s="32"/>
      <c r="L187" s="25"/>
      <c r="M187" s="26"/>
      <c r="N187" s="12"/>
      <c r="O187" s="21"/>
      <c r="P187" s="25">
        <v>0</v>
      </c>
      <c r="Q187" s="12"/>
      <c r="R187" s="12"/>
      <c r="S187" s="12">
        <v>0</v>
      </c>
      <c r="T187" s="29">
        <v>0</v>
      </c>
      <c r="U187" s="12"/>
      <c r="V187" s="12"/>
      <c r="Z187" s="12"/>
      <c r="AA187" s="16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25"/>
      <c r="B188" s="12"/>
      <c r="C188" s="25"/>
      <c r="D188" s="25"/>
      <c r="E188" s="16"/>
      <c r="F188" s="21"/>
      <c r="G188" s="25"/>
      <c r="H188" s="29"/>
      <c r="I188" s="25"/>
      <c r="J188" s="25"/>
      <c r="K188" s="32"/>
      <c r="L188" s="25"/>
      <c r="M188" s="26"/>
      <c r="N188" s="12"/>
      <c r="O188" s="21"/>
      <c r="P188" s="25">
        <v>0</v>
      </c>
      <c r="Q188" s="12"/>
      <c r="R188" s="12"/>
      <c r="S188" s="12">
        <v>0</v>
      </c>
      <c r="T188" s="29">
        <v>0</v>
      </c>
      <c r="U188" s="12"/>
      <c r="V188" s="12"/>
      <c r="Z188" s="12"/>
      <c r="AA188" s="16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25"/>
      <c r="B189" s="12"/>
      <c r="C189" s="25"/>
      <c r="D189" s="25"/>
      <c r="E189" s="16"/>
      <c r="F189" s="21"/>
      <c r="G189" s="25"/>
      <c r="H189" s="29"/>
      <c r="I189" s="25"/>
      <c r="J189" s="25"/>
      <c r="K189" s="32"/>
      <c r="L189" s="25"/>
      <c r="M189" s="26"/>
      <c r="N189" s="12"/>
      <c r="O189" s="21"/>
      <c r="P189" s="25">
        <v>0</v>
      </c>
      <c r="Q189" s="12"/>
      <c r="R189" s="12"/>
      <c r="S189" s="12">
        <v>0</v>
      </c>
      <c r="T189" s="29">
        <v>0</v>
      </c>
      <c r="U189" s="12"/>
      <c r="V189" s="12"/>
      <c r="Z189" s="12"/>
      <c r="AA189" s="16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25"/>
      <c r="B190" s="12"/>
      <c r="C190" s="25"/>
      <c r="D190" s="25"/>
      <c r="E190" s="16"/>
      <c r="F190" s="21"/>
      <c r="G190" s="25"/>
      <c r="H190" s="29"/>
      <c r="I190" s="25"/>
      <c r="J190" s="25"/>
      <c r="K190" s="32"/>
      <c r="L190" s="25"/>
      <c r="M190" s="26"/>
      <c r="N190" s="12"/>
      <c r="O190" s="21"/>
      <c r="P190" s="25">
        <v>0</v>
      </c>
      <c r="Q190" s="12"/>
      <c r="R190" s="12"/>
      <c r="S190" s="12">
        <v>0</v>
      </c>
      <c r="T190" s="29">
        <v>0</v>
      </c>
      <c r="U190" s="12"/>
      <c r="V190" s="12"/>
      <c r="Z190" s="12"/>
      <c r="AA190" s="16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25"/>
      <c r="B191" s="12"/>
      <c r="C191" s="25"/>
      <c r="D191" s="25"/>
      <c r="E191" s="16"/>
      <c r="F191" s="21"/>
      <c r="G191" s="25"/>
      <c r="H191" s="29"/>
      <c r="I191" s="25"/>
      <c r="J191" s="25"/>
      <c r="K191" s="32"/>
      <c r="L191" s="25"/>
      <c r="M191" s="26"/>
      <c r="N191" s="12"/>
      <c r="O191" s="21"/>
      <c r="P191" s="25">
        <v>0</v>
      </c>
      <c r="Q191" s="12"/>
      <c r="R191" s="12"/>
      <c r="S191" s="12">
        <v>0</v>
      </c>
      <c r="T191" s="29">
        <v>0</v>
      </c>
      <c r="U191" s="12"/>
      <c r="V191" s="12"/>
      <c r="Z191" s="12"/>
      <c r="AA191" s="16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25"/>
      <c r="B192" s="12"/>
      <c r="C192" s="25"/>
      <c r="D192" s="25"/>
      <c r="E192" s="16"/>
      <c r="F192" s="21"/>
      <c r="G192" s="25"/>
      <c r="H192" s="29"/>
      <c r="I192" s="25"/>
      <c r="J192" s="25"/>
      <c r="K192" s="32"/>
      <c r="L192" s="25"/>
      <c r="M192" s="26"/>
      <c r="N192" s="12"/>
      <c r="O192" s="21"/>
      <c r="P192" s="25">
        <v>0</v>
      </c>
      <c r="Q192" s="12"/>
      <c r="R192" s="12"/>
      <c r="S192" s="12">
        <v>0</v>
      </c>
      <c r="T192" s="29">
        <v>0</v>
      </c>
      <c r="U192" s="12"/>
      <c r="V192" s="12"/>
      <c r="Z192" s="12"/>
      <c r="AA192" s="16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25"/>
      <c r="B193" s="12"/>
      <c r="C193" s="25"/>
      <c r="D193" s="25"/>
      <c r="E193" s="16"/>
      <c r="F193" s="21"/>
      <c r="G193" s="25"/>
      <c r="H193" s="29"/>
      <c r="I193" s="25"/>
      <c r="J193" s="25"/>
      <c r="K193" s="32"/>
      <c r="L193" s="25"/>
      <c r="M193" s="26"/>
      <c r="N193" s="12"/>
      <c r="O193" s="21"/>
      <c r="P193" s="25">
        <v>0</v>
      </c>
      <c r="Q193" s="12"/>
      <c r="R193" s="12"/>
      <c r="S193" s="12">
        <v>0</v>
      </c>
      <c r="T193" s="29">
        <v>0</v>
      </c>
      <c r="U193" s="12"/>
      <c r="V193" s="12"/>
      <c r="Z193" s="12"/>
      <c r="AA193" s="16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25"/>
      <c r="B194" s="12"/>
      <c r="C194" s="25"/>
      <c r="D194" s="25"/>
      <c r="E194" s="16"/>
      <c r="F194" s="21"/>
      <c r="G194" s="25"/>
      <c r="H194" s="29"/>
      <c r="I194" s="25"/>
      <c r="J194" s="25"/>
      <c r="K194" s="32"/>
      <c r="L194" s="25"/>
      <c r="M194" s="26"/>
      <c r="N194" s="12"/>
      <c r="O194" s="21"/>
      <c r="P194" s="25">
        <v>0</v>
      </c>
      <c r="Q194" s="12"/>
      <c r="R194" s="12"/>
      <c r="S194" s="12">
        <v>0</v>
      </c>
      <c r="T194" s="29">
        <v>0</v>
      </c>
      <c r="U194" s="12"/>
      <c r="V194" s="12"/>
      <c r="Z194" s="12"/>
      <c r="AA194" s="16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25"/>
      <c r="B195" s="12"/>
      <c r="C195" s="25"/>
      <c r="D195" s="25"/>
      <c r="E195" s="16"/>
      <c r="F195" s="21"/>
      <c r="G195" s="25"/>
      <c r="H195" s="29"/>
      <c r="I195" s="25"/>
      <c r="J195" s="25"/>
      <c r="K195" s="32"/>
      <c r="L195" s="25"/>
      <c r="M195" s="26"/>
      <c r="N195" s="12"/>
      <c r="O195" s="21"/>
      <c r="P195" s="25">
        <v>0</v>
      </c>
      <c r="Q195" s="12"/>
      <c r="R195" s="12"/>
      <c r="S195" s="12">
        <v>0</v>
      </c>
      <c r="T195" s="29">
        <v>0</v>
      </c>
      <c r="U195" s="12"/>
      <c r="V195" s="12"/>
      <c r="Z195" s="12"/>
      <c r="AA195" s="16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25"/>
      <c r="B196" s="12"/>
      <c r="C196" s="25"/>
      <c r="D196" s="25"/>
      <c r="E196" s="16"/>
      <c r="F196" s="21"/>
      <c r="G196" s="25"/>
      <c r="H196" s="29"/>
      <c r="I196" s="25"/>
      <c r="J196" s="25"/>
      <c r="K196" s="32"/>
      <c r="L196" s="25"/>
      <c r="M196" s="26"/>
      <c r="N196" s="12"/>
      <c r="O196" s="21"/>
      <c r="P196" s="25">
        <v>0</v>
      </c>
      <c r="Q196" s="12"/>
      <c r="R196" s="12"/>
      <c r="S196" s="12">
        <v>0</v>
      </c>
      <c r="T196" s="29">
        <v>0</v>
      </c>
      <c r="U196" s="12"/>
      <c r="V196" s="12"/>
      <c r="Z196" s="12"/>
      <c r="AA196" s="16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25"/>
      <c r="B197" s="12"/>
      <c r="C197" s="25"/>
      <c r="D197" s="25"/>
      <c r="E197" s="16"/>
      <c r="F197" s="21"/>
      <c r="G197" s="25"/>
      <c r="H197" s="29"/>
      <c r="I197" s="25"/>
      <c r="J197" s="25"/>
      <c r="K197" s="32"/>
      <c r="L197" s="25"/>
      <c r="M197" s="26"/>
      <c r="N197" s="12"/>
      <c r="O197" s="21"/>
      <c r="P197" s="25">
        <v>0</v>
      </c>
      <c r="Q197" s="12"/>
      <c r="R197" s="12"/>
      <c r="S197" s="12">
        <v>0</v>
      </c>
      <c r="T197" s="29">
        <v>0</v>
      </c>
      <c r="U197" s="12"/>
      <c r="V197" s="12"/>
      <c r="Z197" s="12"/>
      <c r="AA197" s="16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25"/>
      <c r="B198" s="12"/>
      <c r="C198" s="25"/>
      <c r="D198" s="25"/>
      <c r="E198" s="16"/>
      <c r="F198" s="21"/>
      <c r="G198" s="25"/>
      <c r="H198" s="29"/>
      <c r="I198" s="25"/>
      <c r="J198" s="25"/>
      <c r="K198" s="32"/>
      <c r="L198" s="25"/>
      <c r="M198" s="26"/>
      <c r="N198" s="12"/>
      <c r="O198" s="21"/>
      <c r="P198" s="25">
        <v>0</v>
      </c>
      <c r="Q198" s="12"/>
      <c r="R198" s="12"/>
      <c r="S198" s="12">
        <v>0</v>
      </c>
      <c r="T198" s="29">
        <v>0</v>
      </c>
      <c r="U198" s="12"/>
      <c r="V198" s="12"/>
      <c r="Z198" s="12"/>
      <c r="AA198" s="16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25"/>
      <c r="B199" s="12"/>
      <c r="C199" s="25"/>
      <c r="D199" s="25"/>
      <c r="E199" s="16"/>
      <c r="F199" s="21"/>
      <c r="G199" s="25"/>
      <c r="H199" s="29"/>
      <c r="I199" s="25"/>
      <c r="J199" s="25"/>
      <c r="K199" s="32"/>
      <c r="L199" s="25"/>
      <c r="M199" s="26"/>
      <c r="N199" s="12"/>
      <c r="O199" s="21"/>
      <c r="P199" s="25">
        <v>0</v>
      </c>
      <c r="Q199" s="12"/>
      <c r="R199" s="12"/>
      <c r="S199" s="12">
        <v>0</v>
      </c>
      <c r="T199" s="29">
        <v>0</v>
      </c>
      <c r="U199" s="12"/>
      <c r="V199" s="12"/>
      <c r="Z199" s="12"/>
      <c r="AA199" s="16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25"/>
      <c r="B200" s="12"/>
      <c r="C200" s="25"/>
      <c r="D200" s="25"/>
      <c r="E200" s="16"/>
      <c r="F200" s="21"/>
      <c r="G200" s="25"/>
      <c r="H200" s="29"/>
      <c r="I200" s="25"/>
      <c r="J200" s="25"/>
      <c r="K200" s="32"/>
      <c r="L200" s="25"/>
      <c r="M200" s="26"/>
      <c r="N200" s="12"/>
      <c r="O200" s="21"/>
      <c r="P200" s="25">
        <v>0</v>
      </c>
      <c r="Q200" s="12"/>
      <c r="R200" s="12"/>
      <c r="S200" s="12">
        <v>0</v>
      </c>
      <c r="T200" s="29">
        <v>0</v>
      </c>
      <c r="U200" s="12"/>
      <c r="V200" s="12"/>
      <c r="Z200" s="12"/>
      <c r="AA200" s="16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25"/>
      <c r="B201" s="12"/>
      <c r="C201" s="25"/>
      <c r="D201" s="25"/>
      <c r="E201" s="16"/>
      <c r="F201" s="21"/>
      <c r="G201" s="25"/>
      <c r="H201" s="29"/>
      <c r="I201" s="25"/>
      <c r="J201" s="25"/>
      <c r="K201" s="32"/>
      <c r="L201" s="25"/>
      <c r="M201" s="26"/>
      <c r="N201" s="12"/>
      <c r="O201" s="21"/>
      <c r="P201" s="25">
        <v>0</v>
      </c>
      <c r="Q201" s="12"/>
      <c r="R201" s="12"/>
      <c r="S201" s="12">
        <v>0</v>
      </c>
      <c r="T201" s="29">
        <v>0</v>
      </c>
      <c r="U201" s="12"/>
      <c r="V201" s="12"/>
      <c r="Z201" s="12"/>
      <c r="AA201" s="16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25"/>
      <c r="B202" s="12"/>
      <c r="C202" s="25"/>
      <c r="D202" s="25"/>
      <c r="E202" s="16"/>
      <c r="F202" s="21"/>
      <c r="G202" s="25"/>
      <c r="H202" s="29"/>
      <c r="I202" s="25"/>
      <c r="J202" s="25"/>
      <c r="K202" s="32"/>
      <c r="L202" s="25"/>
      <c r="M202" s="26"/>
      <c r="N202" s="12"/>
      <c r="O202" s="21"/>
      <c r="P202" s="25">
        <v>0</v>
      </c>
      <c r="Q202" s="12"/>
      <c r="R202" s="12"/>
      <c r="S202" s="12">
        <v>0</v>
      </c>
      <c r="T202" s="29">
        <v>0</v>
      </c>
      <c r="U202" s="12"/>
      <c r="V202" s="12"/>
      <c r="Z202" s="12"/>
      <c r="AA202" s="16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25"/>
      <c r="B203" s="12"/>
      <c r="C203" s="25"/>
      <c r="D203" s="25"/>
      <c r="E203" s="16"/>
      <c r="F203" s="21"/>
      <c r="G203" s="25"/>
      <c r="H203" s="29"/>
      <c r="I203" s="25"/>
      <c r="J203" s="25"/>
      <c r="K203" s="32"/>
      <c r="L203" s="25"/>
      <c r="M203" s="26"/>
      <c r="N203" s="12"/>
      <c r="O203" s="21"/>
      <c r="P203" s="25">
        <v>0</v>
      </c>
      <c r="Q203" s="12"/>
      <c r="R203" s="12"/>
      <c r="S203" s="12">
        <v>0</v>
      </c>
      <c r="T203" s="29">
        <v>0</v>
      </c>
      <c r="U203" s="12"/>
      <c r="V203" s="12"/>
      <c r="Z203" s="12"/>
      <c r="AA203" s="16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25"/>
      <c r="B204" s="12"/>
      <c r="C204" s="25"/>
      <c r="D204" s="25"/>
      <c r="E204" s="16"/>
      <c r="F204" s="21"/>
      <c r="G204" s="25"/>
      <c r="H204" s="29"/>
      <c r="I204" s="25"/>
      <c r="J204" s="25"/>
      <c r="K204" s="32"/>
      <c r="L204" s="25"/>
      <c r="M204" s="26"/>
      <c r="N204" s="12"/>
      <c r="O204" s="21"/>
      <c r="P204" s="25">
        <v>0</v>
      </c>
      <c r="Q204" s="12"/>
      <c r="R204" s="12"/>
      <c r="S204" s="12">
        <v>0</v>
      </c>
      <c r="T204" s="29">
        <v>0</v>
      </c>
      <c r="U204" s="12"/>
      <c r="V204" s="12"/>
      <c r="Z204" s="12"/>
      <c r="AA204" s="16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25"/>
      <c r="B205" s="12"/>
      <c r="C205" s="25"/>
      <c r="D205" s="25"/>
      <c r="E205" s="16"/>
      <c r="F205" s="21"/>
      <c r="G205" s="25"/>
      <c r="H205" s="29"/>
      <c r="I205" s="25"/>
      <c r="J205" s="25"/>
      <c r="K205" s="32"/>
      <c r="L205" s="25"/>
      <c r="M205" s="26"/>
      <c r="N205" s="12"/>
      <c r="O205" s="21"/>
      <c r="P205" s="25">
        <v>0</v>
      </c>
      <c r="Q205" s="12"/>
      <c r="R205" s="12"/>
      <c r="S205" s="12">
        <v>0</v>
      </c>
      <c r="T205" s="29">
        <v>0</v>
      </c>
      <c r="U205" s="12"/>
      <c r="V205" s="12"/>
      <c r="Z205" s="12"/>
      <c r="AA205" s="16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25"/>
      <c r="B206" s="12"/>
      <c r="C206" s="25"/>
      <c r="D206" s="25"/>
      <c r="E206" s="16"/>
      <c r="F206" s="21"/>
      <c r="G206" s="25"/>
      <c r="H206" s="29"/>
      <c r="I206" s="25"/>
      <c r="J206" s="25"/>
      <c r="K206" s="32"/>
      <c r="L206" s="25"/>
      <c r="M206" s="26"/>
      <c r="N206" s="12"/>
      <c r="O206" s="21"/>
      <c r="P206" s="25">
        <v>0</v>
      </c>
      <c r="Q206" s="12"/>
      <c r="R206" s="12"/>
      <c r="S206" s="12">
        <v>0</v>
      </c>
      <c r="T206" s="29">
        <v>0</v>
      </c>
      <c r="U206" s="12"/>
      <c r="V206" s="12"/>
      <c r="Z206" s="12"/>
      <c r="AA206" s="16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25"/>
      <c r="B207" s="12"/>
      <c r="C207" s="25"/>
      <c r="D207" s="25"/>
      <c r="E207" s="16"/>
      <c r="F207" s="21"/>
      <c r="G207" s="25"/>
      <c r="H207" s="29"/>
      <c r="I207" s="25"/>
      <c r="J207" s="25"/>
      <c r="K207" s="32"/>
      <c r="L207" s="25"/>
      <c r="M207" s="26"/>
      <c r="N207" s="12"/>
      <c r="O207" s="21"/>
      <c r="P207" s="25">
        <v>0</v>
      </c>
      <c r="Q207" s="12"/>
      <c r="R207" s="12"/>
      <c r="S207" s="12">
        <v>0</v>
      </c>
      <c r="T207" s="29">
        <v>0</v>
      </c>
      <c r="U207" s="12"/>
      <c r="V207" s="12"/>
      <c r="Z207" s="12"/>
      <c r="AA207" s="16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25"/>
      <c r="B208" s="12"/>
      <c r="C208" s="25"/>
      <c r="D208" s="25"/>
      <c r="E208" s="16"/>
      <c r="F208" s="21"/>
      <c r="G208" s="25"/>
      <c r="H208" s="29"/>
      <c r="I208" s="25"/>
      <c r="J208" s="25"/>
      <c r="K208" s="32"/>
      <c r="L208" s="25"/>
      <c r="M208" s="26"/>
      <c r="N208" s="12"/>
      <c r="O208" s="21"/>
      <c r="P208" s="25">
        <v>0</v>
      </c>
      <c r="Q208" s="12"/>
      <c r="R208" s="12"/>
      <c r="S208" s="12">
        <v>0</v>
      </c>
      <c r="T208" s="29">
        <v>0</v>
      </c>
      <c r="U208" s="12"/>
      <c r="V208" s="12"/>
      <c r="Z208" s="12"/>
      <c r="AA208" s="16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25"/>
      <c r="B209" s="12"/>
      <c r="C209" s="25"/>
      <c r="D209" s="25"/>
      <c r="E209" s="16"/>
      <c r="F209" s="21"/>
      <c r="G209" s="25"/>
      <c r="H209" s="29"/>
      <c r="I209" s="25"/>
      <c r="J209" s="25"/>
      <c r="K209" s="32"/>
      <c r="L209" s="25"/>
      <c r="M209" s="26"/>
      <c r="N209" s="12"/>
      <c r="O209" s="21"/>
      <c r="P209" s="25">
        <v>0</v>
      </c>
      <c r="Q209" s="12"/>
      <c r="R209" s="12"/>
      <c r="S209" s="12">
        <v>0</v>
      </c>
      <c r="T209" s="29">
        <v>0</v>
      </c>
      <c r="U209" s="12"/>
      <c r="V209" s="12"/>
      <c r="Z209" s="12"/>
      <c r="AA209" s="16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25"/>
      <c r="B210" s="12"/>
      <c r="C210" s="25"/>
      <c r="D210" s="25"/>
      <c r="E210" s="16"/>
      <c r="F210" s="21"/>
      <c r="G210" s="25"/>
      <c r="H210" s="29"/>
      <c r="I210" s="25"/>
      <c r="J210" s="25"/>
      <c r="K210" s="32"/>
      <c r="L210" s="25"/>
      <c r="M210" s="26"/>
      <c r="N210" s="12"/>
      <c r="O210" s="21"/>
      <c r="P210" s="25">
        <v>0</v>
      </c>
      <c r="Q210" s="12"/>
      <c r="R210" s="12"/>
      <c r="S210" s="12">
        <v>0</v>
      </c>
      <c r="T210" s="29">
        <v>0</v>
      </c>
      <c r="U210" s="12"/>
      <c r="V210" s="12"/>
      <c r="Z210" s="12"/>
      <c r="AA210" s="16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25"/>
      <c r="B211" s="12"/>
      <c r="C211" s="25"/>
      <c r="D211" s="25"/>
      <c r="E211" s="16"/>
      <c r="F211" s="21"/>
      <c r="G211" s="25"/>
      <c r="H211" s="29"/>
      <c r="I211" s="25"/>
      <c r="J211" s="25"/>
      <c r="K211" s="32"/>
      <c r="L211" s="25"/>
      <c r="M211" s="26"/>
      <c r="N211" s="12"/>
      <c r="O211" s="21"/>
      <c r="P211" s="25">
        <v>0</v>
      </c>
      <c r="Q211" s="12"/>
      <c r="R211" s="12"/>
      <c r="S211" s="12">
        <v>0</v>
      </c>
      <c r="T211" s="29">
        <v>0</v>
      </c>
      <c r="U211" s="12"/>
      <c r="V211" s="12"/>
      <c r="Z211" s="12"/>
      <c r="AA211" s="16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25"/>
      <c r="B212" s="12"/>
      <c r="C212" s="25"/>
      <c r="D212" s="25"/>
      <c r="E212" s="16"/>
      <c r="F212" s="21"/>
      <c r="G212" s="25"/>
      <c r="H212" s="29"/>
      <c r="I212" s="25"/>
      <c r="J212" s="25"/>
      <c r="K212" s="32"/>
      <c r="L212" s="25"/>
      <c r="M212" s="26"/>
      <c r="N212" s="12"/>
      <c r="O212" s="21"/>
      <c r="P212" s="25">
        <v>0</v>
      </c>
      <c r="Q212" s="12"/>
      <c r="R212" s="12"/>
      <c r="S212" s="12">
        <v>0</v>
      </c>
      <c r="T212" s="29">
        <v>0</v>
      </c>
      <c r="U212" s="12"/>
      <c r="V212" s="12"/>
      <c r="Z212" s="12"/>
      <c r="AA212" s="16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25"/>
      <c r="B213" s="12"/>
      <c r="C213" s="25"/>
      <c r="D213" s="25"/>
      <c r="E213" s="16"/>
      <c r="F213" s="21"/>
      <c r="G213" s="25"/>
      <c r="H213" s="29"/>
      <c r="I213" s="25"/>
      <c r="J213" s="25"/>
      <c r="K213" s="32"/>
      <c r="L213" s="25"/>
      <c r="M213" s="26"/>
      <c r="N213" s="12"/>
      <c r="O213" s="21"/>
      <c r="P213" s="25">
        <v>0</v>
      </c>
      <c r="Q213" s="12"/>
      <c r="R213" s="12"/>
      <c r="S213" s="12">
        <v>0</v>
      </c>
      <c r="T213" s="29">
        <v>0</v>
      </c>
      <c r="U213" s="12"/>
      <c r="V213" s="12"/>
      <c r="Z213" s="12"/>
      <c r="AA213" s="16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25"/>
      <c r="B214" s="12"/>
      <c r="C214" s="25"/>
      <c r="D214" s="25"/>
      <c r="E214" s="16"/>
      <c r="F214" s="21"/>
      <c r="G214" s="25"/>
      <c r="H214" s="29"/>
      <c r="I214" s="25"/>
      <c r="J214" s="25"/>
      <c r="K214" s="32"/>
      <c r="L214" s="25"/>
      <c r="M214" s="26"/>
      <c r="N214" s="12"/>
      <c r="O214" s="21"/>
      <c r="P214" s="25">
        <v>0</v>
      </c>
      <c r="Q214" s="12"/>
      <c r="R214" s="12"/>
      <c r="S214" s="12">
        <v>0</v>
      </c>
      <c r="T214" s="29">
        <v>0</v>
      </c>
      <c r="U214" s="12"/>
      <c r="V214" s="12"/>
      <c r="Z214" s="12"/>
      <c r="AA214" s="16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25"/>
      <c r="B215" s="12"/>
      <c r="C215" s="25"/>
      <c r="D215" s="25"/>
      <c r="E215" s="16"/>
      <c r="F215" s="21"/>
      <c r="G215" s="25"/>
      <c r="H215" s="29"/>
      <c r="I215" s="25"/>
      <c r="J215" s="25"/>
      <c r="K215" s="32"/>
      <c r="L215" s="25"/>
      <c r="M215" s="26"/>
      <c r="N215" s="12"/>
      <c r="O215" s="21"/>
      <c r="P215" s="25">
        <v>0</v>
      </c>
      <c r="Q215" s="12"/>
      <c r="R215" s="12"/>
      <c r="S215" s="12">
        <v>0</v>
      </c>
      <c r="T215" s="29">
        <v>0</v>
      </c>
      <c r="U215" s="12"/>
      <c r="V215" s="12"/>
      <c r="Z215" s="12"/>
      <c r="AA215" s="16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25"/>
      <c r="B216" s="12"/>
      <c r="C216" s="25"/>
      <c r="D216" s="25"/>
      <c r="E216" s="16"/>
      <c r="F216" s="21"/>
      <c r="G216" s="25"/>
      <c r="H216" s="29"/>
      <c r="I216" s="25"/>
      <c r="J216" s="25"/>
      <c r="K216" s="32"/>
      <c r="L216" s="25"/>
      <c r="M216" s="26"/>
      <c r="N216" s="12"/>
      <c r="O216" s="21"/>
      <c r="P216" s="25">
        <v>0</v>
      </c>
      <c r="Q216" s="12"/>
      <c r="R216" s="12"/>
      <c r="S216" s="12">
        <v>0</v>
      </c>
      <c r="T216" s="29">
        <v>0</v>
      </c>
      <c r="U216" s="12"/>
      <c r="V216" s="12"/>
      <c r="Z216" s="12"/>
      <c r="AA216" s="16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25"/>
      <c r="B217" s="12"/>
      <c r="C217" s="25"/>
      <c r="D217" s="25"/>
      <c r="E217" s="16"/>
      <c r="F217" s="21"/>
      <c r="G217" s="25"/>
      <c r="H217" s="29"/>
      <c r="I217" s="25"/>
      <c r="J217" s="25"/>
      <c r="K217" s="32"/>
      <c r="L217" s="25"/>
      <c r="M217" s="26"/>
      <c r="N217" s="12"/>
      <c r="O217" s="21"/>
      <c r="P217" s="25">
        <v>0</v>
      </c>
      <c r="Q217" s="12"/>
      <c r="R217" s="12"/>
      <c r="S217" s="12">
        <v>0</v>
      </c>
      <c r="T217" s="29">
        <v>0</v>
      </c>
      <c r="U217" s="12"/>
      <c r="V217" s="12"/>
      <c r="Z217" s="12"/>
      <c r="AA217" s="16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25"/>
      <c r="B218" s="12"/>
      <c r="C218" s="25"/>
      <c r="D218" s="25"/>
      <c r="E218" s="16"/>
      <c r="F218" s="21"/>
      <c r="G218" s="25"/>
      <c r="H218" s="29"/>
      <c r="I218" s="25"/>
      <c r="J218" s="25"/>
      <c r="K218" s="32"/>
      <c r="L218" s="25"/>
      <c r="M218" s="26"/>
      <c r="N218" s="12"/>
      <c r="O218" s="21"/>
      <c r="P218" s="25">
        <v>0</v>
      </c>
      <c r="Q218" s="12"/>
      <c r="R218" s="12"/>
      <c r="S218" s="12">
        <v>0</v>
      </c>
      <c r="T218" s="29">
        <v>0</v>
      </c>
      <c r="U218" s="12"/>
      <c r="V218" s="12"/>
      <c r="Z218" s="12"/>
      <c r="AA218" s="16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25"/>
      <c r="B219" s="12"/>
      <c r="C219" s="25"/>
      <c r="D219" s="25"/>
      <c r="E219" s="16"/>
      <c r="F219" s="21"/>
      <c r="G219" s="25"/>
      <c r="H219" s="29"/>
      <c r="I219" s="25"/>
      <c r="J219" s="25"/>
      <c r="K219" s="32"/>
      <c r="L219" s="25"/>
      <c r="M219" s="26"/>
      <c r="N219" s="12"/>
      <c r="O219" s="21"/>
      <c r="P219" s="25">
        <v>0</v>
      </c>
      <c r="Q219" s="12"/>
      <c r="R219" s="12"/>
      <c r="S219" s="12">
        <v>0</v>
      </c>
      <c r="T219" s="29">
        <v>0</v>
      </c>
      <c r="U219" s="12"/>
      <c r="V219" s="12"/>
      <c r="Z219" s="12"/>
      <c r="AA219" s="16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25"/>
      <c r="B220" s="12"/>
      <c r="C220" s="25"/>
      <c r="D220" s="25"/>
      <c r="E220" s="16"/>
      <c r="F220" s="21"/>
      <c r="G220" s="25"/>
      <c r="H220" s="29"/>
      <c r="I220" s="25"/>
      <c r="J220" s="25"/>
      <c r="K220" s="32"/>
      <c r="L220" s="25"/>
      <c r="M220" s="26"/>
      <c r="N220" s="12"/>
      <c r="O220" s="21"/>
      <c r="P220" s="25">
        <v>0</v>
      </c>
      <c r="Q220" s="12"/>
      <c r="R220" s="12"/>
      <c r="S220" s="12">
        <v>0</v>
      </c>
      <c r="T220" s="29">
        <v>0</v>
      </c>
      <c r="U220" s="12"/>
      <c r="V220" s="12"/>
      <c r="Z220" s="12"/>
      <c r="AA220" s="16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25"/>
      <c r="B221" s="12"/>
      <c r="C221" s="25"/>
      <c r="D221" s="25"/>
      <c r="E221" s="16"/>
      <c r="F221" s="21"/>
      <c r="G221" s="25"/>
      <c r="H221" s="29"/>
      <c r="I221" s="25"/>
      <c r="J221" s="25"/>
      <c r="K221" s="32"/>
      <c r="L221" s="25"/>
      <c r="M221" s="26"/>
      <c r="N221" s="12"/>
      <c r="O221" s="21"/>
      <c r="P221" s="25">
        <v>0</v>
      </c>
      <c r="Q221" s="12"/>
      <c r="R221" s="12"/>
      <c r="S221" s="12">
        <v>0</v>
      </c>
      <c r="T221" s="29">
        <v>0</v>
      </c>
      <c r="U221" s="12"/>
      <c r="V221" s="12"/>
      <c r="Z221" s="12"/>
      <c r="AA221" s="16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25"/>
      <c r="B222" s="12"/>
      <c r="C222" s="25"/>
      <c r="D222" s="25"/>
      <c r="E222" s="16"/>
      <c r="F222" s="21"/>
      <c r="G222" s="25"/>
      <c r="H222" s="29"/>
      <c r="I222" s="25"/>
      <c r="J222" s="25"/>
      <c r="K222" s="32"/>
      <c r="L222" s="25"/>
      <c r="M222" s="26"/>
      <c r="N222" s="12"/>
      <c r="O222" s="21"/>
      <c r="P222" s="25">
        <v>0</v>
      </c>
      <c r="Q222" s="12"/>
      <c r="R222" s="12"/>
      <c r="S222" s="12">
        <v>0</v>
      </c>
      <c r="T222" s="29">
        <v>0</v>
      </c>
      <c r="U222" s="12"/>
      <c r="V222" s="12"/>
      <c r="Z222" s="12"/>
      <c r="AA222" s="16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25"/>
      <c r="B223" s="12"/>
      <c r="C223" s="25"/>
      <c r="D223" s="25"/>
      <c r="E223" s="16"/>
      <c r="F223" s="21"/>
      <c r="G223" s="25"/>
      <c r="H223" s="29"/>
      <c r="I223" s="25"/>
      <c r="J223" s="25"/>
      <c r="K223" s="32"/>
      <c r="L223" s="25"/>
      <c r="M223" s="26"/>
      <c r="N223" s="12"/>
      <c r="O223" s="21"/>
      <c r="P223" s="25">
        <v>0</v>
      </c>
      <c r="Q223" s="12"/>
      <c r="R223" s="12"/>
      <c r="S223" s="12">
        <v>0</v>
      </c>
      <c r="T223" s="29">
        <v>0</v>
      </c>
      <c r="U223" s="12"/>
      <c r="V223" s="12"/>
      <c r="Z223" s="12"/>
      <c r="AA223" s="16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25"/>
      <c r="B224" s="12"/>
      <c r="C224" s="25"/>
      <c r="D224" s="25"/>
      <c r="E224" s="16"/>
      <c r="F224" s="21"/>
      <c r="G224" s="25"/>
      <c r="H224" s="29"/>
      <c r="I224" s="25"/>
      <c r="J224" s="25"/>
      <c r="K224" s="32"/>
      <c r="L224" s="25"/>
      <c r="M224" s="26"/>
      <c r="N224" s="12"/>
      <c r="O224" s="21"/>
      <c r="P224" s="25">
        <v>0</v>
      </c>
      <c r="Q224" s="12"/>
      <c r="R224" s="12"/>
      <c r="S224" s="12">
        <v>0</v>
      </c>
      <c r="T224" s="29">
        <v>0</v>
      </c>
      <c r="U224" s="12"/>
      <c r="V224" s="12"/>
      <c r="Z224" s="12"/>
      <c r="AA224" s="16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25"/>
      <c r="B225" s="12"/>
      <c r="C225" s="25"/>
      <c r="D225" s="25"/>
      <c r="E225" s="16"/>
      <c r="F225" s="21"/>
      <c r="G225" s="25"/>
      <c r="H225" s="29"/>
      <c r="I225" s="25"/>
      <c r="J225" s="25"/>
      <c r="K225" s="32"/>
      <c r="L225" s="25"/>
      <c r="M225" s="26"/>
      <c r="N225" s="12"/>
      <c r="O225" s="21"/>
      <c r="P225" s="25">
        <v>0</v>
      </c>
      <c r="Q225" s="12"/>
      <c r="R225" s="12"/>
      <c r="S225" s="12">
        <v>0</v>
      </c>
      <c r="T225" s="29">
        <v>0</v>
      </c>
      <c r="U225" s="12"/>
      <c r="V225" s="12"/>
      <c r="Z225" s="12"/>
      <c r="AA225" s="16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25"/>
      <c r="B226" s="12"/>
      <c r="C226" s="25"/>
      <c r="D226" s="25"/>
      <c r="E226" s="16"/>
      <c r="F226" s="21"/>
      <c r="G226" s="25"/>
      <c r="H226" s="29"/>
      <c r="I226" s="25"/>
      <c r="J226" s="25"/>
      <c r="K226" s="32"/>
      <c r="L226" s="25"/>
      <c r="M226" s="26"/>
      <c r="N226" s="12"/>
      <c r="O226" s="21"/>
      <c r="P226" s="25">
        <v>0</v>
      </c>
      <c r="Q226" s="12"/>
      <c r="R226" s="12"/>
      <c r="S226" s="12">
        <v>0</v>
      </c>
      <c r="T226" s="29">
        <v>0</v>
      </c>
      <c r="U226" s="12"/>
      <c r="V226" s="12"/>
      <c r="Z226" s="12"/>
      <c r="AA226" s="16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25"/>
      <c r="B227" s="12"/>
      <c r="C227" s="25"/>
      <c r="D227" s="25"/>
      <c r="E227" s="16"/>
      <c r="F227" s="21"/>
      <c r="G227" s="25"/>
      <c r="H227" s="29"/>
      <c r="I227" s="25"/>
      <c r="J227" s="25"/>
      <c r="K227" s="32"/>
      <c r="L227" s="25"/>
      <c r="M227" s="26"/>
      <c r="N227" s="12"/>
      <c r="O227" s="21"/>
      <c r="P227" s="25">
        <v>0</v>
      </c>
      <c r="Q227" s="12"/>
      <c r="R227" s="12"/>
      <c r="S227" s="12">
        <v>0</v>
      </c>
      <c r="T227" s="29">
        <v>0</v>
      </c>
      <c r="U227" s="12"/>
      <c r="V227" s="12"/>
      <c r="Z227" s="12"/>
      <c r="AA227" s="16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25"/>
      <c r="B228" s="12"/>
      <c r="C228" s="25"/>
      <c r="D228" s="25"/>
      <c r="E228" s="16"/>
      <c r="F228" s="21"/>
      <c r="G228" s="25"/>
      <c r="H228" s="29"/>
      <c r="I228" s="25"/>
      <c r="J228" s="25"/>
      <c r="K228" s="32"/>
      <c r="L228" s="25"/>
      <c r="M228" s="26"/>
      <c r="N228" s="12"/>
      <c r="O228" s="21"/>
      <c r="P228" s="25">
        <v>0</v>
      </c>
      <c r="Q228" s="12"/>
      <c r="R228" s="12"/>
      <c r="S228" s="12">
        <v>0</v>
      </c>
      <c r="T228" s="29">
        <v>0</v>
      </c>
      <c r="U228" s="12"/>
      <c r="V228" s="12"/>
      <c r="Z228" s="12"/>
      <c r="AA228" s="16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25"/>
      <c r="B229" s="12"/>
      <c r="C229" s="25"/>
      <c r="D229" s="25"/>
      <c r="E229" s="16"/>
      <c r="F229" s="21"/>
      <c r="G229" s="25"/>
      <c r="H229" s="29"/>
      <c r="I229" s="25"/>
      <c r="J229" s="25"/>
      <c r="K229" s="32"/>
      <c r="L229" s="25"/>
      <c r="M229" s="26"/>
      <c r="N229" s="12"/>
      <c r="O229" s="21"/>
      <c r="P229" s="25">
        <v>0</v>
      </c>
      <c r="Q229" s="12"/>
      <c r="R229" s="12"/>
      <c r="S229" s="12">
        <v>0</v>
      </c>
      <c r="T229" s="29">
        <v>0</v>
      </c>
      <c r="U229" s="12"/>
      <c r="V229" s="12"/>
      <c r="Z229" s="12"/>
      <c r="AA229" s="16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25"/>
      <c r="B230" s="12"/>
      <c r="C230" s="25"/>
      <c r="D230" s="25"/>
      <c r="E230" s="16"/>
      <c r="F230" s="21"/>
      <c r="G230" s="25"/>
      <c r="H230" s="29"/>
      <c r="I230" s="25"/>
      <c r="J230" s="25"/>
      <c r="K230" s="32"/>
      <c r="L230" s="25"/>
      <c r="M230" s="26"/>
      <c r="N230" s="12"/>
      <c r="O230" s="21"/>
      <c r="P230" s="25">
        <v>0</v>
      </c>
      <c r="Q230" s="12"/>
      <c r="R230" s="12"/>
      <c r="S230" s="12">
        <v>0</v>
      </c>
      <c r="T230" s="29">
        <v>0</v>
      </c>
      <c r="U230" s="12"/>
      <c r="V230" s="12"/>
      <c r="Z230" s="12"/>
      <c r="AA230" s="16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25"/>
      <c r="B231" s="12"/>
      <c r="C231" s="25"/>
      <c r="D231" s="25"/>
      <c r="E231" s="16"/>
      <c r="F231" s="21"/>
      <c r="G231" s="25"/>
      <c r="H231" s="29"/>
      <c r="I231" s="25"/>
      <c r="J231" s="25"/>
      <c r="K231" s="32"/>
      <c r="L231" s="25"/>
      <c r="M231" s="26"/>
      <c r="N231" s="12"/>
      <c r="O231" s="21"/>
      <c r="P231" s="25">
        <v>0</v>
      </c>
      <c r="Q231" s="12"/>
      <c r="R231" s="12"/>
      <c r="S231" s="12">
        <v>0</v>
      </c>
      <c r="T231" s="29">
        <v>0</v>
      </c>
      <c r="U231" s="12"/>
      <c r="V231" s="12"/>
      <c r="Z231" s="12"/>
      <c r="AA231" s="16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25"/>
      <c r="B232" s="12"/>
      <c r="C232" s="25"/>
      <c r="D232" s="25"/>
      <c r="E232" s="16"/>
      <c r="F232" s="21"/>
      <c r="G232" s="25"/>
      <c r="H232" s="29"/>
      <c r="I232" s="25"/>
      <c r="J232" s="25"/>
      <c r="K232" s="32"/>
      <c r="L232" s="25"/>
      <c r="M232" s="26"/>
      <c r="N232" s="12"/>
      <c r="O232" s="21"/>
      <c r="P232" s="25">
        <v>0</v>
      </c>
      <c r="Q232" s="12"/>
      <c r="R232" s="12"/>
      <c r="S232" s="12">
        <v>0</v>
      </c>
      <c r="T232" s="29">
        <v>0</v>
      </c>
      <c r="U232" s="12"/>
      <c r="V232" s="12"/>
      <c r="Z232" s="12"/>
      <c r="AA232" s="16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25"/>
      <c r="B233" s="12"/>
      <c r="C233" s="25"/>
      <c r="D233" s="25"/>
      <c r="E233" s="16"/>
      <c r="F233" s="21"/>
      <c r="G233" s="25"/>
      <c r="H233" s="29"/>
      <c r="I233" s="25"/>
      <c r="J233" s="25"/>
      <c r="K233" s="32"/>
      <c r="L233" s="25"/>
      <c r="M233" s="26"/>
      <c r="N233" s="12"/>
      <c r="O233" s="21"/>
      <c r="P233" s="25">
        <v>0</v>
      </c>
      <c r="Q233" s="12"/>
      <c r="R233" s="12"/>
      <c r="S233" s="12">
        <v>0</v>
      </c>
      <c r="T233" s="29">
        <v>0</v>
      </c>
      <c r="U233" s="12"/>
      <c r="V233" s="12"/>
      <c r="Z233" s="12"/>
      <c r="AA233" s="16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25"/>
      <c r="B234" s="12"/>
      <c r="C234" s="25"/>
      <c r="D234" s="25"/>
      <c r="E234" s="16"/>
      <c r="F234" s="21"/>
      <c r="G234" s="25"/>
      <c r="H234" s="29"/>
      <c r="I234" s="25"/>
      <c r="J234" s="25"/>
      <c r="K234" s="32"/>
      <c r="L234" s="25"/>
      <c r="M234" s="26"/>
      <c r="N234" s="12"/>
      <c r="O234" s="21"/>
      <c r="P234" s="25">
        <v>0</v>
      </c>
      <c r="Q234" s="12"/>
      <c r="R234" s="12"/>
      <c r="S234" s="12">
        <v>0</v>
      </c>
      <c r="T234" s="29">
        <v>0</v>
      </c>
      <c r="U234" s="12"/>
      <c r="V234" s="12"/>
      <c r="Z234" s="12"/>
      <c r="AA234" s="16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25"/>
      <c r="B235" s="12"/>
      <c r="C235" s="25"/>
      <c r="D235" s="25"/>
      <c r="E235" s="16"/>
      <c r="F235" s="21"/>
      <c r="G235" s="25"/>
      <c r="H235" s="29"/>
      <c r="I235" s="25"/>
      <c r="J235" s="25"/>
      <c r="K235" s="32"/>
      <c r="L235" s="25"/>
      <c r="M235" s="26"/>
      <c r="N235" s="12"/>
      <c r="O235" s="21"/>
      <c r="P235" s="25">
        <v>0</v>
      </c>
      <c r="Q235" s="12"/>
      <c r="R235" s="12"/>
      <c r="S235" s="12">
        <v>0</v>
      </c>
      <c r="T235" s="29">
        <v>0</v>
      </c>
      <c r="U235" s="12"/>
      <c r="V235" s="12"/>
      <c r="Z235" s="12"/>
      <c r="AA235" s="16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25"/>
      <c r="B236" s="12"/>
      <c r="C236" s="25"/>
      <c r="D236" s="25"/>
      <c r="E236" s="16"/>
      <c r="F236" s="21"/>
      <c r="G236" s="25"/>
      <c r="H236" s="29"/>
      <c r="I236" s="25"/>
      <c r="J236" s="25"/>
      <c r="K236" s="32"/>
      <c r="L236" s="25"/>
      <c r="M236" s="26"/>
      <c r="N236" s="12"/>
      <c r="O236" s="21"/>
      <c r="P236" s="25">
        <v>0</v>
      </c>
      <c r="Q236" s="12"/>
      <c r="R236" s="12"/>
      <c r="S236" s="12">
        <v>0</v>
      </c>
      <c r="T236" s="29">
        <v>0</v>
      </c>
      <c r="U236" s="12"/>
      <c r="V236" s="12"/>
      <c r="Z236" s="12"/>
      <c r="AA236" s="16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25"/>
      <c r="B237" s="12"/>
      <c r="C237" s="25"/>
      <c r="D237" s="25"/>
      <c r="E237" s="16"/>
      <c r="F237" s="21"/>
      <c r="G237" s="25"/>
      <c r="H237" s="29"/>
      <c r="I237" s="25"/>
      <c r="J237" s="25"/>
      <c r="K237" s="32"/>
      <c r="L237" s="25"/>
      <c r="M237" s="26"/>
      <c r="N237" s="12"/>
      <c r="O237" s="21"/>
      <c r="P237" s="25">
        <v>0</v>
      </c>
      <c r="Q237" s="12"/>
      <c r="R237" s="12"/>
      <c r="S237" s="12">
        <v>0</v>
      </c>
      <c r="T237" s="29">
        <v>0</v>
      </c>
      <c r="U237" s="12"/>
      <c r="V237" s="12"/>
      <c r="Z237" s="12"/>
      <c r="AA237" s="16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25"/>
      <c r="B238" s="12"/>
      <c r="C238" s="25"/>
      <c r="D238" s="25"/>
      <c r="E238" s="16"/>
      <c r="F238" s="21"/>
      <c r="G238" s="25"/>
      <c r="H238" s="29"/>
      <c r="I238" s="25"/>
      <c r="J238" s="25"/>
      <c r="K238" s="32"/>
      <c r="L238" s="25"/>
      <c r="M238" s="26"/>
      <c r="N238" s="12"/>
      <c r="O238" s="21"/>
      <c r="P238" s="25">
        <v>0</v>
      </c>
      <c r="Q238" s="12"/>
      <c r="R238" s="12"/>
      <c r="S238" s="12">
        <v>0</v>
      </c>
      <c r="T238" s="29">
        <v>0</v>
      </c>
      <c r="U238" s="12"/>
      <c r="V238" s="12"/>
      <c r="Z238" s="12"/>
      <c r="AA238" s="16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25"/>
      <c r="B239" s="12"/>
      <c r="C239" s="25"/>
      <c r="D239" s="25"/>
      <c r="E239" s="16"/>
      <c r="F239" s="21"/>
      <c r="G239" s="25"/>
      <c r="H239" s="29"/>
      <c r="I239" s="25"/>
      <c r="J239" s="25"/>
      <c r="K239" s="32"/>
      <c r="L239" s="25"/>
      <c r="M239" s="26"/>
      <c r="N239" s="12"/>
      <c r="O239" s="21"/>
      <c r="P239" s="25">
        <v>0</v>
      </c>
      <c r="Q239" s="12"/>
      <c r="R239" s="12"/>
      <c r="S239" s="12">
        <v>0</v>
      </c>
      <c r="T239" s="29">
        <v>0</v>
      </c>
      <c r="U239" s="12"/>
      <c r="V239" s="12"/>
      <c r="Z239" s="12"/>
      <c r="AA239" s="16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25"/>
      <c r="B240" s="12"/>
      <c r="C240" s="25"/>
      <c r="D240" s="25"/>
      <c r="E240" s="16"/>
      <c r="F240" s="21"/>
      <c r="G240" s="25"/>
      <c r="H240" s="29"/>
      <c r="I240" s="25"/>
      <c r="J240" s="25"/>
      <c r="K240" s="32"/>
      <c r="L240" s="25"/>
      <c r="M240" s="26"/>
      <c r="N240" s="12"/>
      <c r="O240" s="21"/>
      <c r="P240" s="25">
        <v>0</v>
      </c>
      <c r="Q240" s="12"/>
      <c r="R240" s="12"/>
      <c r="S240" s="12">
        <v>0</v>
      </c>
      <c r="T240" s="29">
        <v>0</v>
      </c>
      <c r="U240" s="12"/>
      <c r="V240" s="12"/>
      <c r="Z240" s="12"/>
      <c r="AA240" s="16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25"/>
      <c r="B241" s="12"/>
      <c r="C241" s="25"/>
      <c r="D241" s="25"/>
      <c r="E241" s="16"/>
      <c r="F241" s="21"/>
      <c r="G241" s="25"/>
      <c r="H241" s="29"/>
      <c r="I241" s="25"/>
      <c r="J241" s="25"/>
      <c r="K241" s="32"/>
      <c r="L241" s="25"/>
      <c r="M241" s="26"/>
      <c r="N241" s="12"/>
      <c r="O241" s="21"/>
      <c r="P241" s="25">
        <v>0</v>
      </c>
      <c r="Q241" s="12"/>
      <c r="R241" s="12"/>
      <c r="S241" s="12">
        <v>0</v>
      </c>
      <c r="T241" s="29">
        <v>0</v>
      </c>
      <c r="U241" s="12"/>
      <c r="V241" s="12"/>
      <c r="Z241" s="12"/>
      <c r="AA241" s="16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25"/>
      <c r="B242" s="12"/>
      <c r="C242" s="25"/>
      <c r="D242" s="25"/>
      <c r="E242" s="16"/>
      <c r="F242" s="21"/>
      <c r="G242" s="25"/>
      <c r="H242" s="29"/>
      <c r="I242" s="25"/>
      <c r="J242" s="25"/>
      <c r="K242" s="32"/>
      <c r="L242" s="25"/>
      <c r="M242" s="26"/>
      <c r="N242" s="12"/>
      <c r="O242" s="21"/>
      <c r="P242" s="25">
        <v>0</v>
      </c>
      <c r="Q242" s="12"/>
      <c r="R242" s="12"/>
      <c r="S242" s="12">
        <v>0</v>
      </c>
      <c r="T242" s="29">
        <v>0</v>
      </c>
      <c r="U242" s="12"/>
      <c r="V242" s="12"/>
      <c r="Z242" s="12"/>
      <c r="AA242" s="16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25"/>
      <c r="B243" s="12"/>
      <c r="C243" s="25"/>
      <c r="D243" s="25"/>
      <c r="E243" s="16"/>
      <c r="F243" s="21"/>
      <c r="G243" s="25"/>
      <c r="H243" s="29"/>
      <c r="I243" s="25"/>
      <c r="J243" s="25"/>
      <c r="K243" s="32"/>
      <c r="L243" s="25"/>
      <c r="M243" s="26"/>
      <c r="N243" s="12"/>
      <c r="O243" s="21"/>
      <c r="P243" s="25">
        <v>0</v>
      </c>
      <c r="Q243" s="12"/>
      <c r="R243" s="12"/>
      <c r="S243" s="12">
        <v>0</v>
      </c>
      <c r="T243" s="29">
        <v>0</v>
      </c>
      <c r="U243" s="12"/>
      <c r="V243" s="12"/>
      <c r="Z243" s="12"/>
      <c r="AA243" s="16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25"/>
      <c r="B244" s="12"/>
      <c r="C244" s="25"/>
      <c r="D244" s="25"/>
      <c r="E244" s="16"/>
      <c r="F244" s="21"/>
      <c r="G244" s="25"/>
      <c r="H244" s="29"/>
      <c r="I244" s="25"/>
      <c r="J244" s="25"/>
      <c r="K244" s="32"/>
      <c r="L244" s="25"/>
      <c r="M244" s="26"/>
      <c r="N244" s="12"/>
      <c r="O244" s="21"/>
      <c r="P244" s="25">
        <v>0</v>
      </c>
      <c r="Q244" s="12"/>
      <c r="R244" s="12"/>
      <c r="S244" s="12">
        <v>0</v>
      </c>
      <c r="T244" s="29">
        <v>0</v>
      </c>
      <c r="U244" s="12"/>
      <c r="V244" s="12"/>
      <c r="Z244" s="12"/>
      <c r="AA244" s="16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>
      <c r="A245" s="25"/>
      <c r="B245" s="12"/>
      <c r="C245" s="25"/>
      <c r="D245" s="25"/>
      <c r="E245" s="16"/>
      <c r="F245" s="21"/>
      <c r="G245" s="25"/>
      <c r="H245" s="29"/>
      <c r="I245" s="25"/>
      <c r="J245" s="25"/>
      <c r="K245" s="32"/>
      <c r="L245" s="25"/>
      <c r="M245" s="26"/>
      <c r="N245" s="12"/>
      <c r="O245" s="21"/>
      <c r="P245" s="25">
        <v>0</v>
      </c>
      <c r="Q245" s="12"/>
      <c r="R245" s="12"/>
      <c r="S245" s="12">
        <v>0</v>
      </c>
      <c r="T245" s="29">
        <v>0</v>
      </c>
      <c r="U245" s="12"/>
      <c r="V245" s="12"/>
      <c r="Z245" s="12"/>
      <c r="AA245" s="16"/>
      <c r="AB245" s="12"/>
      <c r="AC245" s="12"/>
      <c r="AD245" s="12"/>
      <c r="AE245" s="12"/>
      <c r="AF245" s="12"/>
      <c r="AG245" s="12"/>
      <c r="AH245" s="12"/>
      <c r="AI245" s="12"/>
    </row>
    <row r="246" spans="1:35" ht="15.75" customHeight="1">
      <c r="A246" s="25"/>
      <c r="B246" s="12"/>
      <c r="C246" s="25"/>
      <c r="D246" s="25"/>
      <c r="E246" s="16"/>
      <c r="F246" s="21"/>
      <c r="G246" s="25"/>
      <c r="H246" s="29"/>
      <c r="I246" s="25"/>
      <c r="J246" s="25"/>
      <c r="K246" s="32"/>
      <c r="L246" s="25"/>
      <c r="M246" s="26"/>
      <c r="N246" s="12"/>
      <c r="O246" s="21"/>
      <c r="P246" s="25">
        <v>0</v>
      </c>
      <c r="Q246" s="12"/>
      <c r="R246" s="12"/>
      <c r="S246" s="12">
        <v>0</v>
      </c>
      <c r="T246" s="29">
        <v>0</v>
      </c>
      <c r="U246" s="12"/>
      <c r="V246" s="12"/>
      <c r="Z246" s="12"/>
      <c r="AA246" s="16"/>
      <c r="AB246" s="12"/>
      <c r="AC246" s="12"/>
      <c r="AD246" s="12"/>
      <c r="AE246" s="12"/>
      <c r="AF246" s="12"/>
      <c r="AG246" s="12"/>
      <c r="AH246" s="12"/>
      <c r="AI246" s="12"/>
    </row>
    <row r="247" spans="1:35" ht="15.75" customHeight="1">
      <c r="A247" s="25"/>
      <c r="B247" s="12"/>
      <c r="C247" s="25"/>
      <c r="D247" s="25"/>
      <c r="E247" s="16"/>
      <c r="F247" s="21"/>
      <c r="G247" s="25"/>
      <c r="H247" s="29"/>
      <c r="I247" s="25"/>
      <c r="J247" s="25"/>
      <c r="K247" s="32"/>
      <c r="L247" s="25"/>
      <c r="M247" s="26"/>
      <c r="N247" s="12"/>
      <c r="O247" s="21"/>
      <c r="P247" s="25">
        <v>0</v>
      </c>
      <c r="Q247" s="12"/>
      <c r="R247" s="12"/>
      <c r="S247" s="12">
        <v>0</v>
      </c>
      <c r="T247" s="29">
        <v>0</v>
      </c>
      <c r="U247" s="12"/>
      <c r="V247" s="12"/>
      <c r="Z247" s="12"/>
      <c r="AA247" s="16"/>
      <c r="AB247" s="12"/>
      <c r="AC247" s="12"/>
      <c r="AD247" s="12"/>
      <c r="AE247" s="12"/>
      <c r="AF247" s="12"/>
      <c r="AG247" s="12"/>
      <c r="AH247" s="12"/>
      <c r="AI247" s="12"/>
    </row>
    <row r="248" spans="1:35" ht="15.75" customHeight="1">
      <c r="A248" s="25"/>
      <c r="B248" s="12"/>
      <c r="C248" s="25"/>
      <c r="D248" s="25"/>
      <c r="E248" s="16"/>
      <c r="F248" s="21"/>
      <c r="G248" s="25"/>
      <c r="H248" s="29"/>
      <c r="I248" s="25"/>
      <c r="J248" s="25"/>
      <c r="K248" s="32"/>
      <c r="L248" s="25"/>
      <c r="M248" s="26"/>
      <c r="N248" s="12"/>
      <c r="O248" s="21"/>
      <c r="P248" s="25">
        <v>0</v>
      </c>
      <c r="Q248" s="12"/>
      <c r="R248" s="12"/>
      <c r="S248" s="12">
        <v>0</v>
      </c>
      <c r="T248" s="29">
        <v>0</v>
      </c>
      <c r="U248" s="12"/>
      <c r="V248" s="12"/>
      <c r="Z248" s="12"/>
      <c r="AA248" s="16"/>
      <c r="AB248" s="12"/>
      <c r="AC248" s="12"/>
      <c r="AD248" s="12"/>
      <c r="AE248" s="12"/>
      <c r="AF248" s="12"/>
      <c r="AG248" s="12"/>
      <c r="AH248" s="12"/>
      <c r="AI248" s="12"/>
    </row>
    <row r="249" spans="1:35" ht="15.75" customHeight="1">
      <c r="A249" s="25"/>
      <c r="B249" s="12"/>
      <c r="C249" s="25"/>
      <c r="D249" s="25"/>
      <c r="E249" s="16"/>
      <c r="F249" s="21"/>
      <c r="G249" s="25"/>
      <c r="H249" s="29"/>
      <c r="I249" s="25"/>
      <c r="J249" s="25"/>
      <c r="K249" s="32"/>
      <c r="L249" s="25"/>
      <c r="M249" s="26"/>
      <c r="N249" s="12"/>
      <c r="O249" s="21"/>
      <c r="P249" s="25">
        <v>0</v>
      </c>
      <c r="Q249" s="12"/>
      <c r="R249" s="12"/>
      <c r="S249" s="12">
        <v>0</v>
      </c>
      <c r="T249" s="29">
        <v>0</v>
      </c>
      <c r="U249" s="12"/>
      <c r="V249" s="12"/>
      <c r="Z249" s="12"/>
      <c r="AA249" s="16"/>
      <c r="AB249" s="12"/>
      <c r="AC249" s="12"/>
      <c r="AD249" s="12"/>
      <c r="AE249" s="12"/>
      <c r="AF249" s="12"/>
      <c r="AG249" s="12"/>
      <c r="AH249" s="12"/>
      <c r="AI249" s="12"/>
    </row>
    <row r="250" spans="1:35" ht="15.75" customHeight="1">
      <c r="A250" s="25"/>
      <c r="B250" s="12"/>
      <c r="C250" s="25"/>
      <c r="D250" s="25"/>
      <c r="E250" s="16"/>
      <c r="F250" s="21"/>
      <c r="G250" s="25"/>
      <c r="H250" s="29"/>
      <c r="I250" s="25"/>
      <c r="J250" s="25"/>
      <c r="K250" s="32"/>
      <c r="L250" s="25"/>
      <c r="M250" s="26"/>
      <c r="N250" s="12"/>
      <c r="O250" s="21"/>
      <c r="P250" s="25">
        <v>0</v>
      </c>
      <c r="Q250" s="12"/>
      <c r="R250" s="12"/>
      <c r="S250" s="12">
        <v>0</v>
      </c>
      <c r="T250" s="29">
        <v>0</v>
      </c>
      <c r="U250" s="12"/>
      <c r="V250" s="12"/>
      <c r="Z250" s="12"/>
      <c r="AA250" s="16"/>
      <c r="AB250" s="12"/>
      <c r="AC250" s="12"/>
      <c r="AD250" s="12"/>
      <c r="AE250" s="12"/>
      <c r="AF250" s="12"/>
      <c r="AG250" s="12"/>
      <c r="AH250" s="12"/>
      <c r="AI250" s="12"/>
    </row>
    <row r="251" spans="1:35" ht="15.75" customHeight="1">
      <c r="A251" s="25"/>
      <c r="B251" s="12"/>
      <c r="C251" s="25"/>
      <c r="D251" s="25"/>
      <c r="E251" s="16"/>
      <c r="F251" s="21"/>
      <c r="G251" s="25"/>
      <c r="H251" s="29"/>
      <c r="I251" s="25"/>
      <c r="J251" s="25"/>
      <c r="K251" s="32"/>
      <c r="L251" s="25"/>
      <c r="M251" s="26"/>
      <c r="N251" s="12"/>
      <c r="O251" s="21"/>
      <c r="P251" s="25">
        <v>0</v>
      </c>
      <c r="Q251" s="12"/>
      <c r="R251" s="12"/>
      <c r="S251" s="12">
        <v>0</v>
      </c>
      <c r="T251" s="29">
        <v>0</v>
      </c>
      <c r="U251" s="12"/>
      <c r="V251" s="12"/>
      <c r="Z251" s="12"/>
      <c r="AA251" s="16"/>
      <c r="AB251" s="12"/>
      <c r="AC251" s="12"/>
      <c r="AD251" s="12"/>
      <c r="AE251" s="12"/>
      <c r="AF251" s="12"/>
      <c r="AG251" s="12"/>
      <c r="AH251" s="12"/>
      <c r="AI251" s="12"/>
    </row>
    <row r="252" spans="1:35" ht="15.75" customHeight="1">
      <c r="A252" s="25"/>
      <c r="B252" s="12"/>
      <c r="C252" s="25"/>
      <c r="D252" s="25"/>
      <c r="E252" s="16"/>
      <c r="F252" s="21"/>
      <c r="G252" s="25"/>
      <c r="H252" s="29"/>
      <c r="I252" s="25"/>
      <c r="J252" s="25"/>
      <c r="K252" s="32"/>
      <c r="L252" s="25"/>
      <c r="M252" s="26"/>
      <c r="N252" s="12"/>
      <c r="O252" s="21"/>
      <c r="P252" s="25">
        <v>0</v>
      </c>
      <c r="Q252" s="12"/>
      <c r="R252" s="12"/>
      <c r="S252" s="12">
        <v>0</v>
      </c>
      <c r="T252" s="29">
        <v>0</v>
      </c>
      <c r="U252" s="12"/>
      <c r="V252" s="12"/>
      <c r="Z252" s="12"/>
      <c r="AA252" s="16"/>
      <c r="AB252" s="12"/>
      <c r="AC252" s="12"/>
      <c r="AD252" s="12"/>
      <c r="AE252" s="12"/>
      <c r="AF252" s="12"/>
      <c r="AG252" s="12"/>
      <c r="AH252" s="12"/>
      <c r="AI252" s="12"/>
    </row>
    <row r="253" spans="1:35" ht="15.75" customHeight="1">
      <c r="A253" s="25"/>
      <c r="B253" s="12"/>
      <c r="C253" s="25"/>
      <c r="D253" s="25"/>
      <c r="E253" s="16"/>
      <c r="F253" s="21"/>
      <c r="G253" s="25"/>
      <c r="H253" s="29"/>
      <c r="I253" s="25"/>
      <c r="J253" s="25"/>
      <c r="K253" s="32"/>
      <c r="L253" s="25"/>
      <c r="M253" s="26"/>
      <c r="N253" s="12"/>
      <c r="O253" s="21"/>
      <c r="P253" s="25">
        <v>0</v>
      </c>
      <c r="Q253" s="12"/>
      <c r="R253" s="12"/>
      <c r="S253" s="12">
        <v>0</v>
      </c>
      <c r="T253" s="29">
        <v>0</v>
      </c>
      <c r="U253" s="12"/>
      <c r="V253" s="12"/>
      <c r="Z253" s="12"/>
      <c r="AA253" s="16"/>
      <c r="AB253" s="12"/>
      <c r="AC253" s="12"/>
      <c r="AD253" s="12"/>
      <c r="AE253" s="12"/>
      <c r="AF253" s="12"/>
      <c r="AG253" s="12"/>
      <c r="AH253" s="12"/>
      <c r="AI253" s="12"/>
    </row>
    <row r="254" spans="1:35" ht="15.75" customHeight="1">
      <c r="A254" s="25"/>
      <c r="B254" s="12"/>
      <c r="C254" s="25"/>
      <c r="D254" s="25"/>
      <c r="E254" s="16"/>
      <c r="F254" s="21"/>
      <c r="G254" s="25"/>
      <c r="H254" s="29"/>
      <c r="I254" s="25"/>
      <c r="J254" s="25"/>
      <c r="K254" s="32"/>
      <c r="L254" s="25"/>
      <c r="M254" s="26"/>
      <c r="N254" s="12"/>
      <c r="O254" s="21"/>
      <c r="P254" s="25">
        <v>0</v>
      </c>
      <c r="Q254" s="12"/>
      <c r="R254" s="12"/>
      <c r="S254" s="12">
        <v>0</v>
      </c>
      <c r="T254" s="29">
        <v>0</v>
      </c>
      <c r="U254" s="12"/>
      <c r="V254" s="12"/>
      <c r="Z254" s="12"/>
      <c r="AA254" s="16"/>
      <c r="AB254" s="12"/>
      <c r="AC254" s="12"/>
      <c r="AD254" s="12"/>
      <c r="AE254" s="12"/>
      <c r="AF254" s="12"/>
      <c r="AG254" s="12"/>
      <c r="AH254" s="12"/>
      <c r="AI254" s="12"/>
    </row>
    <row r="255" spans="1:35" ht="15.75" customHeight="1">
      <c r="A255" s="25"/>
      <c r="B255" s="12"/>
      <c r="C255" s="25"/>
      <c r="D255" s="25"/>
      <c r="E255" s="16"/>
      <c r="F255" s="21"/>
      <c r="G255" s="8"/>
      <c r="H255" s="8"/>
      <c r="I255" s="8"/>
      <c r="J255" s="8"/>
      <c r="K255" s="8"/>
      <c r="L255" s="8"/>
      <c r="M255" s="8"/>
      <c r="N255" s="8"/>
      <c r="O255" s="8"/>
      <c r="P255" s="8">
        <v>0</v>
      </c>
      <c r="Q255" s="8"/>
      <c r="R255" s="8"/>
      <c r="S255" s="8">
        <v>0</v>
      </c>
      <c r="T255" s="8">
        <v>0</v>
      </c>
      <c r="U255" s="8"/>
      <c r="V255" s="8"/>
      <c r="Z255" s="8"/>
      <c r="AA255" s="8"/>
    </row>
    <row r="256" spans="1:35" ht="15.75" customHeight="1">
      <c r="A256" s="25"/>
      <c r="B256" s="12"/>
      <c r="C256" s="25"/>
      <c r="D256" s="25"/>
      <c r="E256" s="16"/>
      <c r="F256" s="21"/>
      <c r="G256" s="8"/>
      <c r="H256" s="8"/>
      <c r="I256" s="8"/>
      <c r="J256" s="8"/>
      <c r="K256" s="8"/>
      <c r="L256" s="8"/>
      <c r="M256" s="8"/>
      <c r="N256" s="8"/>
      <c r="O256" s="8"/>
      <c r="P256" s="8">
        <v>0</v>
      </c>
      <c r="Q256" s="8"/>
      <c r="R256" s="8"/>
      <c r="S256" s="8">
        <v>0</v>
      </c>
      <c r="T256" s="8">
        <v>0</v>
      </c>
      <c r="U256" s="8"/>
      <c r="V256" s="8"/>
      <c r="Z256" s="8"/>
      <c r="AA256" s="8"/>
    </row>
    <row r="257" spans="1:27" ht="15.75" customHeight="1">
      <c r="A257" s="25"/>
      <c r="B257" s="12"/>
      <c r="C257" s="25"/>
      <c r="D257" s="25"/>
      <c r="E257" s="16"/>
      <c r="F257" s="21"/>
      <c r="G257" s="8"/>
      <c r="H257" s="8"/>
      <c r="I257" s="8"/>
      <c r="J257" s="8"/>
      <c r="K257" s="8"/>
      <c r="L257" s="8"/>
      <c r="M257" s="8"/>
      <c r="N257" s="8"/>
      <c r="O257" s="8"/>
      <c r="P257" s="8">
        <v>0</v>
      </c>
      <c r="Q257" s="8"/>
      <c r="R257" s="8"/>
      <c r="S257" s="8">
        <v>0</v>
      </c>
      <c r="T257" s="8">
        <v>0</v>
      </c>
      <c r="U257" s="8"/>
      <c r="V257" s="8"/>
      <c r="Z257" s="8"/>
      <c r="AA257" s="8"/>
    </row>
    <row r="258" spans="1:27" ht="15.75" customHeight="1">
      <c r="A258" s="25"/>
      <c r="B258" s="12"/>
      <c r="C258" s="25"/>
      <c r="D258" s="25"/>
      <c r="E258" s="16"/>
      <c r="F258" s="21"/>
      <c r="G258" s="8"/>
      <c r="H258" s="8"/>
      <c r="I258" s="8"/>
      <c r="J258" s="8"/>
      <c r="K258" s="8"/>
      <c r="L258" s="8"/>
      <c r="M258" s="8"/>
      <c r="N258" s="8"/>
      <c r="O258" s="8"/>
      <c r="P258" s="8">
        <v>0</v>
      </c>
      <c r="Q258" s="8"/>
      <c r="R258" s="8"/>
      <c r="S258" s="8">
        <v>0</v>
      </c>
      <c r="T258" s="8">
        <v>0</v>
      </c>
      <c r="U258" s="8"/>
      <c r="V258" s="8"/>
      <c r="Z258" s="8"/>
      <c r="AA258" s="8"/>
    </row>
    <row r="259" spans="1:27" ht="15.75" customHeight="1">
      <c r="A259" s="25"/>
      <c r="B259" s="12"/>
      <c r="C259" s="25"/>
      <c r="D259" s="25"/>
      <c r="E259" s="16"/>
      <c r="F259" s="21"/>
      <c r="G259" s="8"/>
      <c r="H259" s="8"/>
      <c r="I259" s="8"/>
      <c r="J259" s="8"/>
      <c r="K259" s="8"/>
      <c r="L259" s="8"/>
      <c r="M259" s="8"/>
      <c r="N259" s="8"/>
      <c r="O259" s="8"/>
      <c r="P259" s="8">
        <v>0</v>
      </c>
      <c r="Q259" s="8"/>
      <c r="R259" s="8"/>
      <c r="S259" s="8">
        <v>0</v>
      </c>
      <c r="T259" s="8">
        <v>0</v>
      </c>
      <c r="U259" s="8"/>
      <c r="V259" s="8"/>
      <c r="Z259" s="8"/>
      <c r="AA259" s="8"/>
    </row>
    <row r="260" spans="1:27" ht="15.75" customHeight="1">
      <c r="A260" s="25"/>
      <c r="B260" s="12"/>
      <c r="C260" s="25"/>
      <c r="D260" s="25"/>
      <c r="E260" s="16"/>
      <c r="F260" s="21"/>
      <c r="G260" s="8"/>
      <c r="H260" s="8"/>
      <c r="I260" s="8"/>
      <c r="J260" s="8"/>
      <c r="K260" s="8"/>
      <c r="L260" s="8"/>
      <c r="M260" s="8"/>
      <c r="N260" s="8"/>
      <c r="O260" s="8"/>
      <c r="P260" s="8">
        <v>0</v>
      </c>
      <c r="Q260" s="8"/>
      <c r="R260" s="8"/>
      <c r="S260" s="8">
        <v>0</v>
      </c>
      <c r="T260" s="8">
        <v>0</v>
      </c>
      <c r="U260" s="8"/>
      <c r="V260" s="8"/>
      <c r="Z260" s="8"/>
      <c r="AA260" s="8"/>
    </row>
    <row r="261" spans="1:27" ht="15.75" customHeight="1">
      <c r="A261" s="25"/>
      <c r="B261" s="12"/>
      <c r="C261" s="25"/>
      <c r="D261" s="25"/>
      <c r="E261" s="16"/>
      <c r="F261" s="21"/>
      <c r="G261" s="8"/>
      <c r="H261" s="8"/>
      <c r="I261" s="8"/>
      <c r="J261" s="8"/>
      <c r="K261" s="8"/>
      <c r="L261" s="8"/>
      <c r="M261" s="8"/>
      <c r="N261" s="8"/>
      <c r="O261" s="8"/>
      <c r="P261" s="8">
        <v>0</v>
      </c>
      <c r="Q261" s="8"/>
      <c r="R261" s="8"/>
      <c r="S261" s="8">
        <v>0</v>
      </c>
      <c r="T261" s="8">
        <v>0</v>
      </c>
      <c r="U261" s="8"/>
      <c r="V261" s="8"/>
      <c r="Z261" s="8"/>
      <c r="AA261" s="8"/>
    </row>
    <row r="262" spans="1:27" ht="15.75" customHeight="1">
      <c r="A262" s="25"/>
      <c r="B262" s="12"/>
      <c r="C262" s="25"/>
      <c r="D262" s="25"/>
      <c r="E262" s="16"/>
      <c r="F262" s="21"/>
      <c r="G262" s="8"/>
      <c r="H262" s="8"/>
      <c r="I262" s="8"/>
      <c r="J262" s="8"/>
      <c r="K262" s="8"/>
      <c r="L262" s="8"/>
      <c r="M262" s="8"/>
      <c r="N262" s="8"/>
      <c r="O262" s="8"/>
      <c r="P262" s="8">
        <v>0</v>
      </c>
      <c r="Q262" s="8"/>
      <c r="R262" s="8"/>
      <c r="S262" s="8">
        <v>0</v>
      </c>
      <c r="T262" s="8">
        <v>0</v>
      </c>
      <c r="U262" s="8"/>
      <c r="V262" s="8"/>
      <c r="Z262" s="8"/>
      <c r="AA262" s="8"/>
    </row>
    <row r="263" spans="1:27" ht="15.75" customHeight="1">
      <c r="A263" s="25"/>
      <c r="B263" s="12"/>
      <c r="C263" s="25"/>
      <c r="D263" s="25"/>
      <c r="E263" s="16"/>
      <c r="F263" s="21"/>
      <c r="G263" s="8"/>
      <c r="H263" s="8"/>
      <c r="I263" s="8"/>
      <c r="J263" s="8"/>
      <c r="K263" s="8"/>
      <c r="L263" s="8"/>
      <c r="M263" s="8"/>
      <c r="N263" s="8"/>
      <c r="O263" s="8"/>
      <c r="P263" s="8">
        <v>0</v>
      </c>
      <c r="Q263" s="8"/>
      <c r="R263" s="8"/>
      <c r="S263" s="8">
        <v>0</v>
      </c>
      <c r="T263" s="8">
        <v>0</v>
      </c>
      <c r="U263" s="8"/>
      <c r="V263" s="8"/>
      <c r="Z263" s="8"/>
      <c r="AA263" s="8"/>
    </row>
    <row r="264" spans="1:27" ht="15.75" customHeight="1">
      <c r="A264" s="25"/>
      <c r="B264" s="12"/>
      <c r="C264" s="25"/>
      <c r="D264" s="25"/>
      <c r="E264" s="16"/>
      <c r="F264" s="21"/>
      <c r="G264" s="8"/>
      <c r="H264" s="8"/>
      <c r="I264" s="8"/>
      <c r="J264" s="8"/>
      <c r="K264" s="8"/>
      <c r="L264" s="8"/>
      <c r="M264" s="8"/>
      <c r="N264" s="8"/>
      <c r="O264" s="8"/>
      <c r="P264" s="8">
        <v>0</v>
      </c>
      <c r="Q264" s="8"/>
      <c r="R264" s="8"/>
      <c r="S264" s="8">
        <v>0</v>
      </c>
      <c r="T264" s="8">
        <v>0</v>
      </c>
      <c r="U264" s="8"/>
      <c r="V264" s="8"/>
      <c r="Z264" s="8"/>
      <c r="AA264" s="8"/>
    </row>
    <row r="265" spans="1:27" ht="15.75" customHeight="1">
      <c r="A265" s="25"/>
      <c r="B265" s="12"/>
      <c r="C265" s="25"/>
      <c r="D265" s="25"/>
      <c r="E265" s="16"/>
      <c r="F265" s="21"/>
      <c r="G265" s="8"/>
      <c r="H265" s="8"/>
      <c r="I265" s="8"/>
      <c r="J265" s="8"/>
      <c r="K265" s="8"/>
      <c r="L265" s="8"/>
      <c r="M265" s="8"/>
      <c r="N265" s="8"/>
      <c r="O265" s="8"/>
      <c r="P265" s="8">
        <v>0</v>
      </c>
      <c r="Q265" s="8"/>
      <c r="R265" s="8"/>
      <c r="S265" s="8">
        <v>0</v>
      </c>
      <c r="T265" s="8">
        <v>0</v>
      </c>
      <c r="U265" s="8"/>
      <c r="V265" s="8"/>
      <c r="Z265" s="8"/>
      <c r="AA265" s="8"/>
    </row>
    <row r="266" spans="1:27" ht="15.75" customHeight="1">
      <c r="A266" s="25"/>
      <c r="B266" s="12"/>
      <c r="C266" s="25"/>
      <c r="D266" s="25"/>
      <c r="E266" s="16"/>
      <c r="F266" s="21"/>
      <c r="G266" s="8"/>
      <c r="H266" s="8"/>
      <c r="I266" s="8"/>
      <c r="J266" s="8"/>
      <c r="K266" s="8"/>
      <c r="L266" s="8"/>
      <c r="M266" s="8"/>
      <c r="N266" s="8"/>
      <c r="O266" s="8"/>
      <c r="P266" s="8">
        <v>0</v>
      </c>
      <c r="Q266" s="8"/>
      <c r="R266" s="8"/>
      <c r="S266" s="8">
        <v>0</v>
      </c>
      <c r="T266" s="8">
        <v>0</v>
      </c>
      <c r="U266" s="8"/>
      <c r="V266" s="8"/>
      <c r="Z266" s="8"/>
      <c r="AA266" s="8"/>
    </row>
    <row r="267" spans="1:2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>
        <v>0</v>
      </c>
      <c r="Q267" s="8"/>
      <c r="R267" s="8"/>
      <c r="S267" s="8">
        <v>0</v>
      </c>
      <c r="T267" s="8">
        <v>0</v>
      </c>
      <c r="U267" s="8"/>
      <c r="V267" s="8"/>
      <c r="Z267" s="8"/>
      <c r="AA267" s="8"/>
    </row>
    <row r="268" spans="1:27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>
        <v>0</v>
      </c>
      <c r="Q268" s="8"/>
      <c r="R268" s="8"/>
      <c r="S268" s="8">
        <v>0</v>
      </c>
      <c r="T268" s="8">
        <v>0</v>
      </c>
      <c r="U268" s="8"/>
      <c r="V268" s="8"/>
      <c r="Z268" s="8"/>
      <c r="AA268" s="8"/>
    </row>
    <row r="269" spans="1:27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>
        <v>0</v>
      </c>
      <c r="Q269" s="8"/>
      <c r="R269" s="8"/>
      <c r="S269" s="8">
        <v>0</v>
      </c>
      <c r="T269" s="8">
        <v>0</v>
      </c>
      <c r="U269" s="8"/>
      <c r="V269" s="8"/>
      <c r="Z269" s="8"/>
      <c r="AA269" s="8"/>
    </row>
    <row r="270" spans="1:27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>
        <v>0</v>
      </c>
      <c r="Q270" s="8"/>
      <c r="R270" s="8"/>
      <c r="S270" s="8">
        <v>0</v>
      </c>
      <c r="T270" s="8">
        <v>0</v>
      </c>
      <c r="U270" s="8"/>
      <c r="V270" s="8"/>
      <c r="Z270" s="8"/>
      <c r="AA270" s="8"/>
    </row>
    <row r="271" spans="1:27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>
        <v>0</v>
      </c>
      <c r="Q271" s="8"/>
      <c r="R271" s="8"/>
      <c r="S271" s="8">
        <v>0</v>
      </c>
      <c r="T271" s="8">
        <v>0</v>
      </c>
      <c r="U271" s="8"/>
      <c r="V271" s="8"/>
      <c r="Z271" s="8"/>
      <c r="AA271" s="8"/>
    </row>
    <row r="272" spans="1:27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>
        <v>0</v>
      </c>
      <c r="Q272" s="8"/>
      <c r="R272" s="8"/>
      <c r="S272" s="8">
        <v>0</v>
      </c>
      <c r="T272" s="8">
        <v>0</v>
      </c>
      <c r="U272" s="8"/>
      <c r="V272" s="8"/>
      <c r="Z272" s="8"/>
      <c r="AA272" s="8"/>
    </row>
    <row r="273" spans="1:27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>
        <v>0</v>
      </c>
      <c r="Q273" s="8"/>
      <c r="R273" s="8"/>
      <c r="S273" s="8">
        <v>0</v>
      </c>
      <c r="T273" s="8">
        <v>0</v>
      </c>
      <c r="U273" s="8"/>
      <c r="V273" s="8"/>
      <c r="Z273" s="8"/>
      <c r="AA273" s="8"/>
    </row>
    <row r="274" spans="1:27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>
        <v>0</v>
      </c>
      <c r="Q274" s="8"/>
      <c r="R274" s="8"/>
      <c r="S274" s="8">
        <v>0</v>
      </c>
      <c r="T274" s="8">
        <v>0</v>
      </c>
      <c r="U274" s="8"/>
      <c r="V274" s="8"/>
      <c r="Z274" s="8"/>
      <c r="AA274" s="8"/>
    </row>
    <row r="275" spans="1:27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>
        <v>0</v>
      </c>
      <c r="Q275" s="8"/>
      <c r="R275" s="8"/>
      <c r="S275" s="8">
        <v>0</v>
      </c>
      <c r="T275" s="8">
        <v>0</v>
      </c>
      <c r="U275" s="8"/>
      <c r="V275" s="8"/>
      <c r="Z275" s="8"/>
      <c r="AA275" s="8"/>
    </row>
    <row r="276" spans="1:27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>
        <v>0</v>
      </c>
      <c r="Q276" s="8"/>
      <c r="R276" s="8"/>
      <c r="S276" s="8">
        <v>0</v>
      </c>
      <c r="T276" s="8">
        <v>0</v>
      </c>
      <c r="U276" s="8"/>
      <c r="V276" s="8"/>
      <c r="Z276" s="8"/>
      <c r="AA276" s="8"/>
    </row>
    <row r="277" spans="1:2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>
        <v>0</v>
      </c>
      <c r="Q277" s="8"/>
      <c r="R277" s="8"/>
      <c r="S277" s="8">
        <v>0</v>
      </c>
      <c r="T277" s="8">
        <v>0</v>
      </c>
      <c r="U277" s="8"/>
      <c r="V277" s="8"/>
      <c r="Z277" s="8"/>
      <c r="AA277" s="8"/>
    </row>
    <row r="278" spans="1:27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>
        <v>0</v>
      </c>
      <c r="Q278" s="8"/>
      <c r="R278" s="8"/>
      <c r="S278" s="8">
        <v>0</v>
      </c>
      <c r="T278" s="8">
        <v>0</v>
      </c>
      <c r="U278" s="8"/>
      <c r="V278" s="8"/>
      <c r="Z278" s="8"/>
      <c r="AA278" s="8"/>
    </row>
    <row r="279" spans="1:27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>
        <v>0</v>
      </c>
      <c r="Q279" s="8"/>
      <c r="R279" s="8"/>
      <c r="S279" s="8">
        <v>0</v>
      </c>
      <c r="T279" s="8">
        <v>0</v>
      </c>
      <c r="U279" s="8"/>
      <c r="V279" s="8"/>
      <c r="Z279" s="8"/>
      <c r="AA279" s="8"/>
    </row>
    <row r="280" spans="1:27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>
        <v>0</v>
      </c>
      <c r="Q280" s="8"/>
      <c r="R280" s="8"/>
      <c r="S280" s="8">
        <v>0</v>
      </c>
      <c r="T280" s="8">
        <v>0</v>
      </c>
      <c r="U280" s="8"/>
      <c r="V280" s="8"/>
      <c r="Z280" s="8"/>
      <c r="AA280" s="8"/>
    </row>
    <row r="281" spans="1:27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>
        <v>0</v>
      </c>
      <c r="Q281" s="8"/>
      <c r="R281" s="8"/>
      <c r="S281" s="8">
        <v>0</v>
      </c>
      <c r="T281" s="8">
        <v>0</v>
      </c>
      <c r="U281" s="8"/>
      <c r="V281" s="8"/>
      <c r="Z281" s="8"/>
      <c r="AA281" s="8"/>
    </row>
    <row r="282" spans="1:27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>
        <v>0</v>
      </c>
      <c r="Q282" s="8"/>
      <c r="R282" s="8"/>
      <c r="S282" s="8">
        <v>0</v>
      </c>
      <c r="T282" s="8">
        <v>0</v>
      </c>
      <c r="U282" s="8"/>
      <c r="V282" s="8"/>
      <c r="Z282" s="8"/>
      <c r="AA282" s="8"/>
    </row>
    <row r="283" spans="1:27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>
        <v>0</v>
      </c>
      <c r="Q283" s="8"/>
      <c r="R283" s="8"/>
      <c r="S283" s="8">
        <v>0</v>
      </c>
      <c r="T283" s="8">
        <v>0</v>
      </c>
      <c r="U283" s="8"/>
      <c r="V283" s="8"/>
      <c r="Z283" s="8"/>
      <c r="AA283" s="8"/>
    </row>
    <row r="284" spans="1:27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>
        <v>0</v>
      </c>
      <c r="Q284" s="8"/>
      <c r="R284" s="8"/>
      <c r="S284" s="8">
        <v>0</v>
      </c>
      <c r="T284" s="8">
        <v>0</v>
      </c>
      <c r="U284" s="8"/>
      <c r="V284" s="8"/>
      <c r="Z284" s="8"/>
      <c r="AA284" s="8"/>
    </row>
    <row r="285" spans="1:27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>
        <v>0</v>
      </c>
      <c r="Q285" s="8"/>
      <c r="R285" s="8"/>
      <c r="S285" s="8">
        <v>0</v>
      </c>
      <c r="T285" s="8">
        <v>0</v>
      </c>
      <c r="U285" s="8"/>
      <c r="V285" s="8"/>
      <c r="Z285" s="8"/>
      <c r="AA285" s="8"/>
    </row>
    <row r="286" spans="1:27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>
        <v>0</v>
      </c>
      <c r="Q286" s="8"/>
      <c r="R286" s="8"/>
      <c r="S286" s="8">
        <v>0</v>
      </c>
      <c r="T286" s="8">
        <v>0</v>
      </c>
      <c r="U286" s="8"/>
      <c r="V286" s="8"/>
      <c r="Z286" s="8"/>
      <c r="AA286" s="8"/>
    </row>
    <row r="287" spans="1:2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>
        <v>0</v>
      </c>
      <c r="Q287" s="8"/>
      <c r="R287" s="8"/>
      <c r="S287" s="8">
        <v>0</v>
      </c>
      <c r="T287" s="8">
        <v>0</v>
      </c>
      <c r="U287" s="8"/>
      <c r="V287" s="8"/>
      <c r="Z287" s="8"/>
      <c r="AA287" s="8"/>
    </row>
    <row r="288" spans="1:27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>
        <v>0</v>
      </c>
      <c r="Q288" s="8"/>
      <c r="R288" s="8"/>
      <c r="S288" s="8">
        <v>0</v>
      </c>
      <c r="T288" s="8">
        <v>0</v>
      </c>
      <c r="U288" s="8"/>
      <c r="V288" s="8"/>
      <c r="Z288" s="8"/>
      <c r="AA288" s="8"/>
    </row>
    <row r="289" spans="1:27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>
        <v>0</v>
      </c>
      <c r="Q289" s="8"/>
      <c r="R289" s="8"/>
      <c r="S289" s="8">
        <v>0</v>
      </c>
      <c r="T289" s="8">
        <v>0</v>
      </c>
      <c r="U289" s="8"/>
      <c r="V289" s="8"/>
      <c r="Z289" s="8"/>
      <c r="AA289" s="8"/>
    </row>
    <row r="290" spans="1:27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>
        <v>0</v>
      </c>
      <c r="Q290" s="8"/>
      <c r="R290" s="8"/>
      <c r="S290" s="8">
        <v>0</v>
      </c>
      <c r="T290" s="8">
        <v>0</v>
      </c>
      <c r="U290" s="8"/>
      <c r="V290" s="8"/>
      <c r="Z290" s="8"/>
      <c r="AA290" s="8"/>
    </row>
    <row r="291" spans="1:27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>
        <v>0</v>
      </c>
      <c r="Q291" s="8"/>
      <c r="R291" s="8"/>
      <c r="S291" s="8">
        <v>0</v>
      </c>
      <c r="T291" s="8">
        <v>0</v>
      </c>
      <c r="U291" s="8"/>
      <c r="V291" s="8"/>
      <c r="Z291" s="8"/>
      <c r="AA291" s="8"/>
    </row>
    <row r="292" spans="1:27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>
        <v>0</v>
      </c>
      <c r="Q292" s="8"/>
      <c r="R292" s="8"/>
      <c r="S292" s="8">
        <v>0</v>
      </c>
      <c r="T292" s="8">
        <v>0</v>
      </c>
      <c r="U292" s="8"/>
      <c r="V292" s="8"/>
      <c r="Z292" s="8"/>
      <c r="AA292" s="8"/>
    </row>
    <row r="293" spans="1:27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>
        <v>0</v>
      </c>
      <c r="Q293" s="8"/>
      <c r="R293" s="8"/>
      <c r="S293" s="8">
        <v>0</v>
      </c>
      <c r="T293" s="8">
        <v>0</v>
      </c>
      <c r="U293" s="8"/>
      <c r="V293" s="8"/>
      <c r="Z293" s="8"/>
      <c r="AA293" s="8"/>
    </row>
    <row r="294" spans="1:27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>
        <v>0</v>
      </c>
      <c r="Q294" s="8"/>
      <c r="R294" s="8"/>
      <c r="S294" s="8">
        <v>0</v>
      </c>
      <c r="T294" s="8">
        <v>0</v>
      </c>
      <c r="U294" s="8"/>
      <c r="V294" s="8"/>
      <c r="Z294" s="8"/>
      <c r="AA294" s="8"/>
    </row>
    <row r="295" spans="1:27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>
        <v>0</v>
      </c>
      <c r="Q295" s="8"/>
      <c r="R295" s="8"/>
      <c r="S295" s="8">
        <v>0</v>
      </c>
      <c r="T295" s="8">
        <v>0</v>
      </c>
      <c r="U295" s="8"/>
      <c r="V295" s="8"/>
      <c r="Z295" s="8"/>
      <c r="AA295" s="8"/>
    </row>
    <row r="296" spans="1:27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>
        <v>0</v>
      </c>
      <c r="Q296" s="8"/>
      <c r="R296" s="8"/>
      <c r="S296" s="8">
        <v>0</v>
      </c>
      <c r="T296" s="8">
        <v>0</v>
      </c>
      <c r="U296" s="8"/>
      <c r="V296" s="8"/>
      <c r="Z296" s="8"/>
      <c r="AA296" s="8"/>
    </row>
    <row r="297" spans="1:2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>
        <v>0</v>
      </c>
      <c r="Q297" s="8"/>
      <c r="R297" s="8"/>
      <c r="S297" s="8">
        <v>0</v>
      </c>
      <c r="T297" s="8">
        <v>0</v>
      </c>
      <c r="U297" s="8"/>
      <c r="V297" s="8"/>
      <c r="Z297" s="8"/>
      <c r="AA297" s="8"/>
    </row>
    <row r="298" spans="1:27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>
        <v>0</v>
      </c>
      <c r="Q298" s="8"/>
      <c r="R298" s="8"/>
      <c r="S298" s="8">
        <v>0</v>
      </c>
      <c r="T298" s="8">
        <v>0</v>
      </c>
      <c r="U298" s="8"/>
      <c r="V298" s="8"/>
      <c r="Z298" s="8"/>
      <c r="AA298" s="8"/>
    </row>
    <row r="299" spans="1:27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>
        <v>0</v>
      </c>
      <c r="Q299" s="8"/>
      <c r="R299" s="8"/>
      <c r="S299" s="8">
        <v>0</v>
      </c>
      <c r="T299" s="8">
        <v>0</v>
      </c>
      <c r="U299" s="8"/>
      <c r="V299" s="8"/>
      <c r="Z299" s="8"/>
      <c r="AA299" s="8"/>
    </row>
    <row r="300" spans="1:27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>
        <v>0</v>
      </c>
      <c r="Q300" s="8"/>
      <c r="R300" s="8"/>
      <c r="S300" s="8">
        <v>0</v>
      </c>
      <c r="T300" s="8">
        <v>0</v>
      </c>
      <c r="U300" s="8"/>
      <c r="V300" s="8"/>
      <c r="Z300" s="8"/>
      <c r="AA300" s="8"/>
    </row>
    <row r="301" spans="1:27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>
        <v>0</v>
      </c>
      <c r="Q301" s="8"/>
      <c r="R301" s="8"/>
      <c r="S301" s="8">
        <v>0</v>
      </c>
      <c r="T301" s="8">
        <v>0</v>
      </c>
      <c r="U301" s="8"/>
      <c r="V301" s="8"/>
      <c r="Z301" s="8"/>
      <c r="AA301" s="8"/>
    </row>
    <row r="302" spans="1:27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>
        <v>0</v>
      </c>
      <c r="Q302" s="8"/>
      <c r="R302" s="8"/>
      <c r="S302" s="8">
        <v>0</v>
      </c>
      <c r="T302" s="8">
        <v>0</v>
      </c>
      <c r="U302" s="8"/>
      <c r="V302" s="8"/>
      <c r="Z302" s="8"/>
      <c r="AA302" s="8"/>
    </row>
    <row r="303" spans="1:27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>
        <v>0</v>
      </c>
      <c r="Q303" s="8"/>
      <c r="R303" s="8"/>
      <c r="S303" s="8">
        <v>0</v>
      </c>
      <c r="T303" s="8">
        <v>0</v>
      </c>
      <c r="U303" s="8"/>
      <c r="V303" s="8"/>
      <c r="Z303" s="8"/>
      <c r="AA303" s="8"/>
    </row>
    <row r="304" spans="1:27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>
        <v>0</v>
      </c>
      <c r="Q304" s="8"/>
      <c r="R304" s="8"/>
      <c r="S304" s="8">
        <v>0</v>
      </c>
      <c r="T304" s="8">
        <v>0</v>
      </c>
      <c r="U304" s="8"/>
      <c r="V304" s="8"/>
      <c r="Z304" s="8"/>
      <c r="AA304" s="8"/>
    </row>
    <row r="305" spans="1:27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>
        <v>0</v>
      </c>
      <c r="Q305" s="8"/>
      <c r="R305" s="8"/>
      <c r="S305" s="8">
        <v>0</v>
      </c>
      <c r="T305" s="8">
        <v>0</v>
      </c>
      <c r="U305" s="8"/>
      <c r="V305" s="8"/>
      <c r="Z305" s="8"/>
      <c r="AA305" s="8"/>
    </row>
    <row r="306" spans="1:27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>
        <v>0</v>
      </c>
      <c r="Q306" s="8"/>
      <c r="R306" s="8"/>
      <c r="S306" s="8">
        <v>0</v>
      </c>
      <c r="T306" s="8">
        <v>0</v>
      </c>
      <c r="U306" s="8"/>
      <c r="V306" s="8"/>
      <c r="Z306" s="8"/>
      <c r="AA306" s="8"/>
    </row>
    <row r="307" spans="1:2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>
        <v>0</v>
      </c>
      <c r="Q307" s="8"/>
      <c r="R307" s="8"/>
      <c r="S307" s="8">
        <v>0</v>
      </c>
      <c r="T307" s="8">
        <v>0</v>
      </c>
      <c r="U307" s="8"/>
      <c r="V307" s="8"/>
      <c r="Z307" s="8"/>
      <c r="AA307" s="8"/>
    </row>
    <row r="308" spans="1:27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>
        <v>0</v>
      </c>
      <c r="Q308" s="8"/>
      <c r="R308" s="8"/>
      <c r="S308" s="8">
        <v>0</v>
      </c>
      <c r="T308" s="8">
        <v>0</v>
      </c>
      <c r="U308" s="8"/>
      <c r="V308" s="8"/>
      <c r="Z308" s="8"/>
      <c r="AA308" s="8"/>
    </row>
    <row r="309" spans="1:27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>
        <v>0</v>
      </c>
      <c r="Q309" s="8"/>
      <c r="R309" s="8"/>
      <c r="S309" s="8">
        <v>0</v>
      </c>
      <c r="T309" s="8">
        <v>0</v>
      </c>
      <c r="U309" s="8"/>
      <c r="V309" s="8"/>
      <c r="Z309" s="8"/>
      <c r="AA309" s="8"/>
    </row>
    <row r="310" spans="1:27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>
        <v>0</v>
      </c>
      <c r="Q310" s="8"/>
      <c r="R310" s="8"/>
      <c r="S310" s="8">
        <v>0</v>
      </c>
      <c r="T310" s="8">
        <v>0</v>
      </c>
      <c r="U310" s="8"/>
      <c r="V310" s="8"/>
      <c r="Z310" s="8"/>
      <c r="AA310" s="8"/>
    </row>
    <row r="311" spans="1:27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>
        <v>0</v>
      </c>
      <c r="Q311" s="8"/>
      <c r="R311" s="8"/>
      <c r="S311" s="8">
        <v>0</v>
      </c>
      <c r="T311" s="8">
        <v>0</v>
      </c>
      <c r="U311" s="8"/>
      <c r="V311" s="8"/>
      <c r="Z311" s="8"/>
      <c r="AA311" s="8"/>
    </row>
    <row r="312" spans="1:27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>
        <v>0</v>
      </c>
      <c r="Q312" s="8"/>
      <c r="R312" s="8"/>
      <c r="S312" s="8">
        <v>0</v>
      </c>
      <c r="T312" s="8">
        <v>0</v>
      </c>
      <c r="U312" s="8"/>
      <c r="V312" s="8"/>
      <c r="Z312" s="8"/>
      <c r="AA312" s="8"/>
    </row>
    <row r="313" spans="1:27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>
        <v>0</v>
      </c>
      <c r="Q313" s="8"/>
      <c r="R313" s="8"/>
      <c r="S313" s="8">
        <v>0</v>
      </c>
      <c r="T313" s="8">
        <v>0</v>
      </c>
      <c r="U313" s="8"/>
      <c r="V313" s="8"/>
      <c r="Z313" s="8"/>
      <c r="AA313" s="8"/>
    </row>
    <row r="314" spans="1:27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>
        <v>0</v>
      </c>
      <c r="Q314" s="8"/>
      <c r="R314" s="8"/>
      <c r="S314" s="8">
        <v>0</v>
      </c>
      <c r="T314" s="8">
        <v>0</v>
      </c>
      <c r="U314" s="8"/>
      <c r="V314" s="8"/>
      <c r="Z314" s="8"/>
      <c r="AA314" s="8"/>
    </row>
    <row r="315" spans="1:27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>
        <v>0</v>
      </c>
      <c r="Q315" s="8"/>
      <c r="R315" s="8"/>
      <c r="S315" s="8">
        <v>0</v>
      </c>
      <c r="T315" s="8">
        <v>0</v>
      </c>
      <c r="U315" s="8"/>
      <c r="V315" s="8"/>
      <c r="Z315" s="8"/>
      <c r="AA315" s="8"/>
    </row>
    <row r="316" spans="1:27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>
        <v>0</v>
      </c>
      <c r="Q316" s="8"/>
      <c r="R316" s="8"/>
      <c r="S316" s="8">
        <v>0</v>
      </c>
      <c r="T316" s="8">
        <v>0</v>
      </c>
      <c r="U316" s="8"/>
      <c r="V316" s="8"/>
      <c r="Z316" s="8"/>
      <c r="AA316" s="8"/>
    </row>
    <row r="317" spans="1:2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>
        <v>0</v>
      </c>
      <c r="Q317" s="8"/>
      <c r="R317" s="8"/>
      <c r="S317" s="8">
        <v>0</v>
      </c>
      <c r="T317" s="8">
        <v>0</v>
      </c>
      <c r="U317" s="8"/>
      <c r="V317" s="8"/>
      <c r="Z317" s="8"/>
      <c r="AA317" s="8"/>
    </row>
    <row r="318" spans="1:27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>
        <v>0</v>
      </c>
      <c r="Q318" s="8"/>
      <c r="R318" s="8"/>
      <c r="S318" s="8">
        <v>0</v>
      </c>
      <c r="T318" s="8">
        <v>0</v>
      </c>
      <c r="U318" s="8"/>
      <c r="V318" s="8"/>
      <c r="Z318" s="8"/>
      <c r="AA318" s="8"/>
    </row>
    <row r="319" spans="1:27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>
        <v>0</v>
      </c>
      <c r="Q319" s="8"/>
      <c r="R319" s="8"/>
      <c r="S319" s="8">
        <v>0</v>
      </c>
      <c r="T319" s="8">
        <v>0</v>
      </c>
      <c r="U319" s="8"/>
      <c r="V319" s="8"/>
      <c r="Z319" s="8"/>
      <c r="AA319" s="8"/>
    </row>
    <row r="320" spans="1:27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>
        <v>0</v>
      </c>
      <c r="Q320" s="8"/>
      <c r="R320" s="8"/>
      <c r="S320" s="8">
        <v>0</v>
      </c>
      <c r="T320" s="8">
        <v>0</v>
      </c>
      <c r="U320" s="8"/>
      <c r="V320" s="8"/>
      <c r="Z320" s="8"/>
      <c r="AA320" s="8"/>
    </row>
    <row r="321" spans="1:27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>
        <v>0</v>
      </c>
      <c r="Q321" s="8"/>
      <c r="R321" s="8"/>
      <c r="S321" s="8">
        <v>0</v>
      </c>
      <c r="T321" s="8">
        <v>0</v>
      </c>
      <c r="U321" s="8"/>
      <c r="V321" s="8"/>
      <c r="Z321" s="8"/>
      <c r="AA321" s="8"/>
    </row>
    <row r="322" spans="1:27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>
        <v>0</v>
      </c>
      <c r="Q322" s="8"/>
      <c r="R322" s="8"/>
      <c r="S322" s="8">
        <v>0</v>
      </c>
      <c r="T322" s="8">
        <v>0</v>
      </c>
      <c r="U322" s="8"/>
      <c r="V322" s="8"/>
      <c r="Z322" s="8"/>
      <c r="AA322" s="8"/>
    </row>
    <row r="323" spans="1:27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>
        <v>0</v>
      </c>
      <c r="Q323" s="8"/>
      <c r="R323" s="8"/>
      <c r="S323" s="8">
        <v>0</v>
      </c>
      <c r="T323" s="8">
        <v>0</v>
      </c>
      <c r="U323" s="8"/>
      <c r="V323" s="8"/>
      <c r="Z323" s="8"/>
      <c r="AA323" s="8"/>
    </row>
    <row r="324" spans="1:27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>
        <v>0</v>
      </c>
      <c r="Q324" s="8"/>
      <c r="R324" s="8"/>
      <c r="S324" s="8">
        <v>0</v>
      </c>
      <c r="T324" s="8">
        <v>0</v>
      </c>
      <c r="U324" s="8"/>
      <c r="V324" s="8"/>
      <c r="Z324" s="8"/>
      <c r="AA324" s="8"/>
    </row>
    <row r="325" spans="1:27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>
        <v>0</v>
      </c>
      <c r="Q325" s="8"/>
      <c r="R325" s="8"/>
      <c r="S325" s="8">
        <v>0</v>
      </c>
      <c r="T325" s="8">
        <v>0</v>
      </c>
      <c r="U325" s="8"/>
      <c r="V325" s="8"/>
      <c r="Z325" s="8"/>
      <c r="AA325" s="8"/>
    </row>
    <row r="326" spans="1:27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>
        <v>0</v>
      </c>
      <c r="Q326" s="8"/>
      <c r="R326" s="8"/>
      <c r="S326" s="8">
        <v>0</v>
      </c>
      <c r="T326" s="8">
        <v>0</v>
      </c>
      <c r="U326" s="8"/>
      <c r="V326" s="8"/>
      <c r="Z326" s="8"/>
      <c r="AA326" s="8"/>
    </row>
    <row r="327" spans="1: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>
        <v>0</v>
      </c>
      <c r="Q327" s="8"/>
      <c r="R327" s="8"/>
      <c r="S327" s="8">
        <v>0</v>
      </c>
      <c r="T327" s="8">
        <v>0</v>
      </c>
      <c r="U327" s="8"/>
      <c r="V327" s="8"/>
      <c r="Z327" s="8"/>
      <c r="AA327" s="8"/>
    </row>
    <row r="328" spans="1:27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>
        <v>0</v>
      </c>
      <c r="Q328" s="8"/>
      <c r="R328" s="8"/>
      <c r="S328" s="8">
        <v>0</v>
      </c>
      <c r="T328" s="8">
        <v>0</v>
      </c>
      <c r="U328" s="8"/>
      <c r="V328" s="8"/>
      <c r="Z328" s="8"/>
      <c r="AA328" s="8"/>
    </row>
    <row r="329" spans="1:27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>
        <v>0</v>
      </c>
      <c r="Q329" s="8"/>
      <c r="R329" s="8"/>
      <c r="S329" s="8">
        <v>0</v>
      </c>
      <c r="T329" s="8">
        <v>0</v>
      </c>
      <c r="U329" s="8"/>
      <c r="V329" s="8"/>
      <c r="Z329" s="8"/>
      <c r="AA329" s="8"/>
    </row>
    <row r="330" spans="1:27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>
        <v>0</v>
      </c>
      <c r="Q330" s="8"/>
      <c r="R330" s="8"/>
      <c r="S330" s="8">
        <v>0</v>
      </c>
      <c r="T330" s="8">
        <v>0</v>
      </c>
      <c r="U330" s="8"/>
      <c r="V330" s="8"/>
      <c r="Z330" s="8"/>
      <c r="AA330" s="8"/>
    </row>
    <row r="331" spans="1:27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>
        <v>0</v>
      </c>
      <c r="Q331" s="8"/>
      <c r="R331" s="8"/>
      <c r="S331" s="8">
        <v>0</v>
      </c>
      <c r="T331" s="8">
        <v>0</v>
      </c>
      <c r="U331" s="8"/>
      <c r="V331" s="8"/>
      <c r="Z331" s="8"/>
      <c r="AA331" s="8"/>
    </row>
    <row r="332" spans="1:27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>
        <v>0</v>
      </c>
      <c r="Q332" s="8"/>
      <c r="R332" s="8"/>
      <c r="S332" s="8">
        <v>0</v>
      </c>
      <c r="T332" s="8">
        <v>0</v>
      </c>
      <c r="U332" s="8"/>
      <c r="V332" s="8"/>
      <c r="Z332" s="8"/>
      <c r="AA332" s="8"/>
    </row>
    <row r="333" spans="1:27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>
        <v>0</v>
      </c>
      <c r="Q333" s="8"/>
      <c r="R333" s="8"/>
      <c r="S333" s="8">
        <v>0</v>
      </c>
      <c r="T333" s="8">
        <v>0</v>
      </c>
      <c r="U333" s="8"/>
      <c r="V333" s="8"/>
      <c r="Z333" s="8"/>
      <c r="AA333" s="8"/>
    </row>
    <row r="334" spans="1:27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>
        <v>0</v>
      </c>
      <c r="Q334" s="8"/>
      <c r="R334" s="8"/>
      <c r="S334" s="8">
        <v>0</v>
      </c>
      <c r="T334" s="8">
        <v>0</v>
      </c>
      <c r="U334" s="8"/>
      <c r="V334" s="8"/>
      <c r="Z334" s="8"/>
      <c r="AA334" s="8"/>
    </row>
    <row r="335" spans="1:27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>
        <v>0</v>
      </c>
      <c r="Q335" s="8"/>
      <c r="R335" s="8"/>
      <c r="S335" s="8">
        <v>0</v>
      </c>
      <c r="T335" s="8">
        <v>0</v>
      </c>
      <c r="U335" s="8"/>
      <c r="V335" s="8"/>
      <c r="Z335" s="8"/>
      <c r="AA335" s="8"/>
    </row>
    <row r="336" spans="1:27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>
        <v>0</v>
      </c>
      <c r="Q336" s="8"/>
      <c r="R336" s="8"/>
      <c r="S336" s="8">
        <v>0</v>
      </c>
      <c r="T336" s="8">
        <v>0</v>
      </c>
      <c r="U336" s="8"/>
      <c r="V336" s="8"/>
      <c r="Z336" s="8"/>
      <c r="AA336" s="8"/>
    </row>
    <row r="337" spans="1:2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>
        <v>0</v>
      </c>
      <c r="Q337" s="8"/>
      <c r="R337" s="8"/>
      <c r="S337" s="8">
        <v>0</v>
      </c>
      <c r="T337" s="8">
        <v>0</v>
      </c>
      <c r="U337" s="8"/>
      <c r="V337" s="8"/>
      <c r="Z337" s="8"/>
      <c r="AA337" s="8"/>
    </row>
    <row r="338" spans="1:27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>
        <v>0</v>
      </c>
      <c r="Q338" s="8"/>
      <c r="R338" s="8"/>
      <c r="S338" s="8">
        <v>0</v>
      </c>
      <c r="T338" s="8">
        <v>0</v>
      </c>
      <c r="U338" s="8"/>
      <c r="V338" s="8"/>
      <c r="Z338" s="8"/>
      <c r="AA338" s="8"/>
    </row>
    <row r="339" spans="1:27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>
        <v>0</v>
      </c>
      <c r="Q339" s="8"/>
      <c r="R339" s="8"/>
      <c r="S339" s="8">
        <v>0</v>
      </c>
      <c r="T339" s="8">
        <v>0</v>
      </c>
      <c r="U339" s="8"/>
      <c r="V339" s="8"/>
      <c r="Z339" s="8"/>
      <c r="AA339" s="8"/>
    </row>
    <row r="340" spans="1:27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>
        <v>0</v>
      </c>
      <c r="Q340" s="8"/>
      <c r="R340" s="8"/>
      <c r="S340" s="8">
        <v>0</v>
      </c>
      <c r="T340" s="8">
        <v>0</v>
      </c>
      <c r="U340" s="8"/>
      <c r="V340" s="8"/>
      <c r="Z340" s="8"/>
      <c r="AA340" s="8"/>
    </row>
    <row r="341" spans="1:27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>
        <v>0</v>
      </c>
      <c r="Q341" s="8"/>
      <c r="R341" s="8"/>
      <c r="S341" s="8">
        <v>0</v>
      </c>
      <c r="T341" s="8">
        <v>0</v>
      </c>
      <c r="U341" s="8"/>
      <c r="V341" s="8"/>
      <c r="Z341" s="8"/>
      <c r="AA341" s="8"/>
    </row>
    <row r="342" spans="1:27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>
        <v>0</v>
      </c>
      <c r="Q342" s="8"/>
      <c r="R342" s="8"/>
      <c r="S342" s="8">
        <v>0</v>
      </c>
      <c r="T342" s="8">
        <v>0</v>
      </c>
      <c r="U342" s="8"/>
      <c r="V342" s="8"/>
      <c r="Z342" s="8"/>
      <c r="AA342" s="8"/>
    </row>
    <row r="343" spans="1:27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>
        <v>0</v>
      </c>
      <c r="Q343" s="8"/>
      <c r="R343" s="8"/>
      <c r="S343" s="8">
        <v>0</v>
      </c>
      <c r="T343" s="8">
        <v>0</v>
      </c>
      <c r="U343" s="8"/>
      <c r="V343" s="8"/>
      <c r="Z343" s="8"/>
      <c r="AA343" s="8"/>
    </row>
    <row r="344" spans="1:27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>
        <v>0</v>
      </c>
      <c r="Q344" s="8"/>
      <c r="R344" s="8"/>
      <c r="S344" s="8">
        <v>0</v>
      </c>
      <c r="T344" s="8">
        <v>0</v>
      </c>
      <c r="U344" s="8"/>
      <c r="V344" s="8"/>
      <c r="Z344" s="8"/>
      <c r="AA344" s="8"/>
    </row>
    <row r="345" spans="1:27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>
        <v>0</v>
      </c>
      <c r="Q345" s="8"/>
      <c r="R345" s="8"/>
      <c r="S345" s="8">
        <v>0</v>
      </c>
      <c r="T345" s="8">
        <v>0</v>
      </c>
      <c r="U345" s="8"/>
      <c r="V345" s="8"/>
      <c r="Z345" s="8"/>
      <c r="AA345" s="8"/>
    </row>
    <row r="346" spans="1:27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>
        <v>0</v>
      </c>
      <c r="Q346" s="8"/>
      <c r="R346" s="8"/>
      <c r="S346" s="8">
        <v>0</v>
      </c>
      <c r="T346" s="8">
        <v>0</v>
      </c>
      <c r="U346" s="8"/>
      <c r="V346" s="8"/>
      <c r="Z346" s="8"/>
      <c r="AA346" s="8"/>
    </row>
    <row r="347" spans="1:2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>
        <v>0</v>
      </c>
      <c r="Q347" s="8"/>
      <c r="R347" s="8"/>
      <c r="S347" s="8">
        <v>0</v>
      </c>
      <c r="T347" s="8">
        <v>0</v>
      </c>
      <c r="U347" s="8"/>
      <c r="V347" s="8"/>
      <c r="Z347" s="8"/>
      <c r="AA347" s="8"/>
    </row>
    <row r="348" spans="1:27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>
        <v>0</v>
      </c>
      <c r="Q348" s="8"/>
      <c r="R348" s="8"/>
      <c r="S348" s="8">
        <v>0</v>
      </c>
      <c r="T348" s="8">
        <v>0</v>
      </c>
      <c r="U348" s="8"/>
      <c r="V348" s="8"/>
      <c r="Z348" s="8"/>
      <c r="AA348" s="8"/>
    </row>
    <row r="349" spans="1:27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>
        <v>0</v>
      </c>
      <c r="Q349" s="8"/>
      <c r="R349" s="8"/>
      <c r="S349" s="8">
        <v>0</v>
      </c>
      <c r="T349" s="8">
        <v>0</v>
      </c>
      <c r="U349" s="8"/>
      <c r="V349" s="8"/>
      <c r="Z349" s="8"/>
      <c r="AA349" s="8"/>
    </row>
    <row r="350" spans="1:27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>
        <v>0</v>
      </c>
      <c r="Q350" s="8"/>
      <c r="R350" s="8"/>
      <c r="S350" s="8">
        <v>0</v>
      </c>
      <c r="T350" s="8">
        <v>0</v>
      </c>
      <c r="U350" s="8"/>
      <c r="V350" s="8"/>
      <c r="Z350" s="8"/>
      <c r="AA350" s="8"/>
    </row>
    <row r="351" spans="1:27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>
        <v>0</v>
      </c>
      <c r="Q351" s="8"/>
      <c r="R351" s="8"/>
      <c r="S351" s="8">
        <v>0</v>
      </c>
      <c r="T351" s="8">
        <v>0</v>
      </c>
      <c r="U351" s="8"/>
      <c r="V351" s="8"/>
      <c r="Z351" s="8"/>
      <c r="AA351" s="8"/>
    </row>
    <row r="352" spans="1:27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>
        <v>0</v>
      </c>
      <c r="Q352" s="8"/>
      <c r="R352" s="8"/>
      <c r="S352" s="8">
        <v>0</v>
      </c>
      <c r="T352" s="8">
        <v>0</v>
      </c>
      <c r="U352" s="8"/>
      <c r="V352" s="8"/>
      <c r="Z352" s="8"/>
      <c r="AA352" s="8"/>
    </row>
    <row r="353" spans="1:27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>
        <v>0</v>
      </c>
      <c r="Q353" s="8"/>
      <c r="R353" s="8"/>
      <c r="S353" s="8">
        <v>0</v>
      </c>
      <c r="T353" s="8">
        <v>0</v>
      </c>
      <c r="U353" s="8"/>
      <c r="V353" s="8"/>
      <c r="Z353" s="8"/>
      <c r="AA353" s="8"/>
    </row>
    <row r="354" spans="1:27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>
        <v>0</v>
      </c>
      <c r="Q354" s="8"/>
      <c r="R354" s="8"/>
      <c r="S354" s="8">
        <v>0</v>
      </c>
      <c r="T354" s="8">
        <v>0</v>
      </c>
      <c r="U354" s="8"/>
      <c r="V354" s="8"/>
      <c r="Z354" s="8"/>
      <c r="AA354" s="8"/>
    </row>
    <row r="355" spans="1:27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>
        <v>0</v>
      </c>
      <c r="Q355" s="8"/>
      <c r="R355" s="8"/>
      <c r="S355" s="8">
        <v>0</v>
      </c>
      <c r="T355" s="8">
        <v>0</v>
      </c>
      <c r="U355" s="8"/>
      <c r="V355" s="8"/>
      <c r="Z355" s="8"/>
      <c r="AA355" s="8"/>
    </row>
    <row r="356" spans="1:27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>
        <v>0</v>
      </c>
      <c r="Q356" s="8"/>
      <c r="R356" s="8"/>
      <c r="S356" s="8">
        <v>0</v>
      </c>
      <c r="T356" s="8">
        <v>0</v>
      </c>
      <c r="U356" s="8"/>
      <c r="V356" s="8"/>
      <c r="Z356" s="8"/>
      <c r="AA356" s="8"/>
    </row>
    <row r="357" spans="1:2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>
        <v>0</v>
      </c>
      <c r="Q357" s="8"/>
      <c r="R357" s="8"/>
      <c r="S357" s="8">
        <v>0</v>
      </c>
      <c r="T357" s="8">
        <v>0</v>
      </c>
      <c r="U357" s="8"/>
      <c r="V357" s="8"/>
      <c r="Z357" s="8"/>
      <c r="AA357" s="8"/>
    </row>
    <row r="358" spans="1:27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>
        <v>0</v>
      </c>
      <c r="Q358" s="8"/>
      <c r="R358" s="8"/>
      <c r="S358" s="8">
        <v>0</v>
      </c>
      <c r="T358" s="8">
        <v>0</v>
      </c>
      <c r="U358" s="8"/>
      <c r="V358" s="8"/>
      <c r="Z358" s="8"/>
      <c r="AA358" s="8"/>
    </row>
    <row r="359" spans="1:27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>
        <v>0</v>
      </c>
      <c r="Q359" s="8"/>
      <c r="R359" s="8"/>
      <c r="S359" s="8">
        <v>0</v>
      </c>
      <c r="T359" s="8">
        <v>0</v>
      </c>
      <c r="U359" s="8"/>
      <c r="V359" s="8"/>
      <c r="Z359" s="8"/>
      <c r="AA359" s="8"/>
    </row>
    <row r="360" spans="1:27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>
        <v>0</v>
      </c>
      <c r="Q360" s="8"/>
      <c r="R360" s="8"/>
      <c r="S360" s="8">
        <v>0</v>
      </c>
      <c r="T360" s="8">
        <v>0</v>
      </c>
      <c r="U360" s="8"/>
      <c r="V360" s="8"/>
      <c r="Z360" s="8"/>
      <c r="AA360" s="8"/>
    </row>
    <row r="361" spans="1:27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>
        <v>0</v>
      </c>
      <c r="Q361" s="8"/>
      <c r="R361" s="8"/>
      <c r="S361" s="8">
        <v>0</v>
      </c>
      <c r="T361" s="8">
        <v>0</v>
      </c>
      <c r="U361" s="8"/>
      <c r="V361" s="8"/>
      <c r="Z361" s="8"/>
      <c r="AA361" s="8"/>
    </row>
    <row r="362" spans="1:27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>
        <v>0</v>
      </c>
      <c r="Q362" s="8"/>
      <c r="R362" s="8"/>
      <c r="S362" s="8">
        <v>0</v>
      </c>
      <c r="T362" s="8">
        <v>0</v>
      </c>
      <c r="U362" s="8"/>
      <c r="V362" s="8"/>
      <c r="Z362" s="8"/>
      <c r="AA362" s="8"/>
    </row>
    <row r="363" spans="1:27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>
        <v>0</v>
      </c>
      <c r="Q363" s="8"/>
      <c r="R363" s="8"/>
      <c r="S363" s="8">
        <v>0</v>
      </c>
      <c r="T363" s="8">
        <v>0</v>
      </c>
      <c r="U363" s="8"/>
      <c r="V363" s="8"/>
      <c r="Z363" s="8"/>
      <c r="AA363" s="8"/>
    </row>
    <row r="364" spans="1:27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>
        <v>0</v>
      </c>
      <c r="Q364" s="8"/>
      <c r="R364" s="8"/>
      <c r="S364" s="8">
        <v>0</v>
      </c>
      <c r="T364" s="8">
        <v>0</v>
      </c>
      <c r="U364" s="8"/>
      <c r="V364" s="8"/>
      <c r="Z364" s="8"/>
      <c r="AA364" s="8"/>
    </row>
    <row r="365" spans="1:27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>
        <v>0</v>
      </c>
      <c r="Q365" s="8"/>
      <c r="R365" s="8"/>
      <c r="S365" s="8">
        <v>0</v>
      </c>
      <c r="T365" s="8">
        <v>0</v>
      </c>
      <c r="U365" s="8"/>
      <c r="V365" s="8"/>
      <c r="Z365" s="8"/>
      <c r="AA365" s="8"/>
    </row>
    <row r="366" spans="1:27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>
        <v>0</v>
      </c>
      <c r="Q366" s="8"/>
      <c r="R366" s="8"/>
      <c r="S366" s="8">
        <v>0</v>
      </c>
      <c r="T366" s="8">
        <v>0</v>
      </c>
      <c r="U366" s="8"/>
      <c r="V366" s="8"/>
      <c r="Z366" s="8"/>
      <c r="AA366" s="8"/>
    </row>
    <row r="367" spans="1:2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>
        <v>0</v>
      </c>
      <c r="Q367" s="8"/>
      <c r="R367" s="8"/>
      <c r="S367" s="8">
        <v>0</v>
      </c>
      <c r="T367" s="8">
        <v>0</v>
      </c>
      <c r="U367" s="8"/>
      <c r="V367" s="8"/>
      <c r="Z367" s="8"/>
      <c r="AA367" s="8"/>
    </row>
    <row r="368" spans="1:27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>
        <v>0</v>
      </c>
      <c r="Q368" s="8"/>
      <c r="R368" s="8"/>
      <c r="S368" s="8">
        <v>0</v>
      </c>
      <c r="T368" s="8">
        <v>0</v>
      </c>
      <c r="U368" s="8"/>
      <c r="V368" s="8"/>
      <c r="Z368" s="8"/>
      <c r="AA368" s="8"/>
    </row>
    <row r="369" spans="1:27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>
        <v>0</v>
      </c>
      <c r="Q369" s="8"/>
      <c r="R369" s="8"/>
      <c r="S369" s="8">
        <v>0</v>
      </c>
      <c r="T369" s="8">
        <v>0</v>
      </c>
      <c r="U369" s="8"/>
      <c r="V369" s="8"/>
      <c r="Z369" s="8"/>
      <c r="AA369" s="8"/>
    </row>
    <row r="370" spans="1:27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>
        <v>0</v>
      </c>
      <c r="Q370" s="8"/>
      <c r="R370" s="8"/>
      <c r="S370" s="8">
        <v>0</v>
      </c>
      <c r="T370" s="8">
        <v>0</v>
      </c>
      <c r="U370" s="8"/>
      <c r="V370" s="8"/>
      <c r="Z370" s="8"/>
      <c r="AA370" s="8"/>
    </row>
    <row r="371" spans="1:27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>
        <v>0</v>
      </c>
      <c r="Q371" s="8"/>
      <c r="R371" s="8"/>
      <c r="S371" s="8">
        <v>0</v>
      </c>
      <c r="T371" s="8">
        <v>0</v>
      </c>
      <c r="U371" s="8"/>
      <c r="V371" s="8"/>
      <c r="Z371" s="8"/>
      <c r="AA371" s="8"/>
    </row>
    <row r="372" spans="1:27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>
        <v>0</v>
      </c>
      <c r="Q372" s="8"/>
      <c r="R372" s="8"/>
      <c r="S372" s="8">
        <v>0</v>
      </c>
      <c r="T372" s="8">
        <v>0</v>
      </c>
      <c r="U372" s="8"/>
      <c r="V372" s="8"/>
      <c r="Z372" s="8"/>
      <c r="AA372" s="8"/>
    </row>
    <row r="373" spans="1:27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>
        <v>0</v>
      </c>
      <c r="Q373" s="8"/>
      <c r="R373" s="8"/>
      <c r="S373" s="8">
        <v>0</v>
      </c>
      <c r="T373" s="8">
        <v>0</v>
      </c>
      <c r="U373" s="8"/>
      <c r="V373" s="8"/>
      <c r="Z373" s="8"/>
      <c r="AA373" s="8"/>
    </row>
    <row r="374" spans="1:27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>
        <v>0</v>
      </c>
      <c r="Q374" s="8"/>
      <c r="R374" s="8"/>
      <c r="S374" s="8">
        <v>0</v>
      </c>
      <c r="T374" s="8">
        <v>0</v>
      </c>
      <c r="U374" s="8"/>
      <c r="V374" s="8"/>
      <c r="Z374" s="8"/>
      <c r="AA374" s="8"/>
    </row>
    <row r="375" spans="1:27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>
        <v>0</v>
      </c>
      <c r="Q375" s="8"/>
      <c r="R375" s="8"/>
      <c r="S375" s="8">
        <v>0</v>
      </c>
      <c r="T375" s="8">
        <v>0</v>
      </c>
      <c r="U375" s="8"/>
      <c r="V375" s="8"/>
      <c r="Z375" s="8"/>
      <c r="AA375" s="8"/>
    </row>
    <row r="376" spans="1:27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>
        <v>0</v>
      </c>
      <c r="Q376" s="8"/>
      <c r="R376" s="8"/>
      <c r="S376" s="8">
        <v>0</v>
      </c>
      <c r="T376" s="8">
        <v>0</v>
      </c>
      <c r="U376" s="8"/>
      <c r="V376" s="8"/>
      <c r="Z376" s="8"/>
      <c r="AA376" s="8"/>
    </row>
    <row r="377" spans="1:2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>
        <v>0</v>
      </c>
      <c r="Q377" s="8"/>
      <c r="R377" s="8"/>
      <c r="S377" s="8">
        <v>0</v>
      </c>
      <c r="T377" s="8">
        <v>0</v>
      </c>
      <c r="U377" s="8"/>
      <c r="V377" s="8"/>
      <c r="Z377" s="8"/>
      <c r="AA377" s="8"/>
    </row>
    <row r="378" spans="1:27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>
        <v>0</v>
      </c>
      <c r="Q378" s="8"/>
      <c r="R378" s="8"/>
      <c r="S378" s="8">
        <v>0</v>
      </c>
      <c r="T378" s="8">
        <v>0</v>
      </c>
      <c r="U378" s="8"/>
      <c r="V378" s="8"/>
      <c r="Z378" s="8"/>
      <c r="AA378" s="8"/>
    </row>
    <row r="379" spans="1:27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>
        <v>0</v>
      </c>
      <c r="Q379" s="8"/>
      <c r="R379" s="8"/>
      <c r="S379" s="8">
        <v>0</v>
      </c>
      <c r="T379" s="8">
        <v>0</v>
      </c>
      <c r="U379" s="8"/>
      <c r="V379" s="8"/>
      <c r="Z379" s="8"/>
      <c r="AA379" s="8"/>
    </row>
    <row r="380" spans="1:27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>
        <v>0</v>
      </c>
      <c r="Q380" s="8"/>
      <c r="R380" s="8"/>
      <c r="S380" s="8">
        <v>0</v>
      </c>
      <c r="T380" s="8">
        <v>0</v>
      </c>
      <c r="U380" s="8"/>
      <c r="V380" s="8"/>
      <c r="Z380" s="8"/>
      <c r="AA380" s="8"/>
    </row>
    <row r="381" spans="1:27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>
        <v>0</v>
      </c>
      <c r="Q381" s="8"/>
      <c r="R381" s="8"/>
      <c r="S381" s="8">
        <v>0</v>
      </c>
      <c r="T381" s="8">
        <v>0</v>
      </c>
      <c r="U381" s="8"/>
      <c r="V381" s="8"/>
      <c r="Z381" s="8"/>
      <c r="AA381" s="8"/>
    </row>
    <row r="382" spans="1:27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>
        <v>0</v>
      </c>
      <c r="Q382" s="8"/>
      <c r="R382" s="8"/>
      <c r="S382" s="8">
        <v>0</v>
      </c>
      <c r="T382" s="8">
        <v>0</v>
      </c>
      <c r="U382" s="8"/>
      <c r="V382" s="8"/>
      <c r="Z382" s="8"/>
      <c r="AA382" s="8"/>
    </row>
    <row r="383" spans="1:27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>
        <v>0</v>
      </c>
      <c r="Q383" s="8"/>
      <c r="R383" s="8"/>
      <c r="S383" s="8">
        <v>0</v>
      </c>
      <c r="T383" s="8">
        <v>0</v>
      </c>
      <c r="U383" s="8"/>
      <c r="V383" s="8"/>
      <c r="Z383" s="8"/>
      <c r="AA383" s="8"/>
    </row>
    <row r="384" spans="1:27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>
        <v>0</v>
      </c>
      <c r="Q384" s="8"/>
      <c r="R384" s="8"/>
      <c r="S384" s="8">
        <v>0</v>
      </c>
      <c r="T384" s="8">
        <v>0</v>
      </c>
      <c r="U384" s="8"/>
      <c r="V384" s="8"/>
      <c r="Z384" s="8"/>
      <c r="AA384" s="8"/>
    </row>
    <row r="385" spans="1:27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>
        <v>0</v>
      </c>
      <c r="Q385" s="8"/>
      <c r="R385" s="8"/>
      <c r="S385" s="8">
        <v>0</v>
      </c>
      <c r="T385" s="8">
        <v>0</v>
      </c>
      <c r="U385" s="8"/>
      <c r="V385" s="8"/>
      <c r="Z385" s="8"/>
      <c r="AA385" s="8"/>
    </row>
    <row r="386" spans="1:27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>
        <v>0</v>
      </c>
      <c r="Q386" s="8"/>
      <c r="R386" s="8"/>
      <c r="S386" s="8">
        <v>0</v>
      </c>
      <c r="T386" s="8">
        <v>0</v>
      </c>
      <c r="U386" s="8"/>
      <c r="V386" s="8"/>
      <c r="Z386" s="8"/>
      <c r="AA386" s="8"/>
    </row>
    <row r="387" spans="1:2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>
        <v>0</v>
      </c>
      <c r="Q387" s="8"/>
      <c r="R387" s="8"/>
      <c r="S387" s="8">
        <v>0</v>
      </c>
      <c r="T387" s="8">
        <v>0</v>
      </c>
      <c r="U387" s="8"/>
      <c r="V387" s="8"/>
      <c r="Z387" s="8"/>
      <c r="AA387" s="8"/>
    </row>
    <row r="388" spans="1:27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>
        <v>0</v>
      </c>
      <c r="Q388" s="8"/>
      <c r="R388" s="8"/>
      <c r="S388" s="8">
        <v>0</v>
      </c>
      <c r="T388" s="8">
        <v>0</v>
      </c>
      <c r="U388" s="8"/>
      <c r="V388" s="8"/>
      <c r="Z388" s="8"/>
      <c r="AA388" s="8"/>
    </row>
    <row r="389" spans="1:27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>
        <v>0</v>
      </c>
      <c r="Q389" s="8"/>
      <c r="R389" s="8"/>
      <c r="S389" s="8">
        <v>0</v>
      </c>
      <c r="T389" s="8">
        <v>0</v>
      </c>
      <c r="U389" s="8"/>
      <c r="V389" s="8"/>
      <c r="Z389" s="8"/>
      <c r="AA389" s="8"/>
    </row>
    <row r="390" spans="1:27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>
        <v>0</v>
      </c>
      <c r="Q390" s="8"/>
      <c r="R390" s="8"/>
      <c r="S390" s="8">
        <v>0</v>
      </c>
      <c r="T390" s="8">
        <v>0</v>
      </c>
      <c r="U390" s="8"/>
      <c r="V390" s="8"/>
      <c r="Z390" s="8"/>
      <c r="AA390" s="8"/>
    </row>
    <row r="391" spans="1:27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>
        <v>0</v>
      </c>
      <c r="Q391" s="8"/>
      <c r="R391" s="8"/>
      <c r="S391" s="8">
        <v>0</v>
      </c>
      <c r="T391" s="8">
        <v>0</v>
      </c>
      <c r="U391" s="8"/>
      <c r="V391" s="8"/>
      <c r="Z391" s="8"/>
      <c r="AA391" s="8"/>
    </row>
    <row r="392" spans="1:27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>
        <v>0</v>
      </c>
      <c r="Q392" s="8"/>
      <c r="R392" s="8"/>
      <c r="S392" s="8">
        <v>0</v>
      </c>
      <c r="T392" s="8">
        <v>0</v>
      </c>
      <c r="U392" s="8"/>
      <c r="V392" s="8"/>
      <c r="Z392" s="8"/>
      <c r="AA392" s="8"/>
    </row>
    <row r="393" spans="1:27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>
        <v>0</v>
      </c>
      <c r="Q393" s="8"/>
      <c r="R393" s="8"/>
      <c r="S393" s="8">
        <v>0</v>
      </c>
      <c r="T393" s="8">
        <v>0</v>
      </c>
      <c r="U393" s="8"/>
      <c r="V393" s="8"/>
      <c r="Z393" s="8"/>
      <c r="AA393" s="8"/>
    </row>
    <row r="394" spans="1:27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>
        <v>0</v>
      </c>
      <c r="Q394" s="8"/>
      <c r="R394" s="8"/>
      <c r="S394" s="8">
        <v>0</v>
      </c>
      <c r="T394" s="8">
        <v>0</v>
      </c>
      <c r="U394" s="8"/>
      <c r="V394" s="8"/>
      <c r="Z394" s="8"/>
      <c r="AA394" s="8"/>
    </row>
    <row r="395" spans="1:27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>
        <v>0</v>
      </c>
      <c r="Q395" s="8"/>
      <c r="R395" s="8"/>
      <c r="S395" s="8">
        <v>0</v>
      </c>
      <c r="T395" s="8">
        <v>0</v>
      </c>
      <c r="U395" s="8"/>
      <c r="V395" s="8"/>
      <c r="Z395" s="8"/>
      <c r="AA395" s="8"/>
    </row>
    <row r="396" spans="1:27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>
        <v>0</v>
      </c>
      <c r="Q396" s="8"/>
      <c r="R396" s="8"/>
      <c r="S396" s="8">
        <v>0</v>
      </c>
      <c r="T396" s="8">
        <v>0</v>
      </c>
      <c r="U396" s="8"/>
      <c r="V396" s="8"/>
      <c r="Z396" s="8"/>
      <c r="AA396" s="8"/>
    </row>
    <row r="397" spans="1:2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>
        <v>0</v>
      </c>
      <c r="Q397" s="8"/>
      <c r="R397" s="8"/>
      <c r="S397" s="8">
        <v>0</v>
      </c>
      <c r="T397" s="8">
        <v>0</v>
      </c>
      <c r="U397" s="8"/>
      <c r="V397" s="8"/>
      <c r="Z397" s="8"/>
      <c r="AA397" s="8"/>
    </row>
    <row r="398" spans="1:27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>
        <v>0</v>
      </c>
      <c r="Q398" s="8"/>
      <c r="R398" s="8"/>
      <c r="S398" s="8">
        <v>0</v>
      </c>
      <c r="T398" s="8">
        <v>0</v>
      </c>
      <c r="U398" s="8"/>
      <c r="V398" s="8"/>
      <c r="Z398" s="8"/>
      <c r="AA398" s="8"/>
    </row>
    <row r="399" spans="1:27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>
        <v>0</v>
      </c>
      <c r="Q399" s="8"/>
      <c r="R399" s="8"/>
      <c r="S399" s="8">
        <v>0</v>
      </c>
      <c r="T399" s="8">
        <v>0</v>
      </c>
      <c r="U399" s="8"/>
      <c r="V399" s="8"/>
      <c r="Z399" s="8"/>
      <c r="AA399" s="8"/>
    </row>
    <row r="400" spans="1:27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>
        <v>0</v>
      </c>
      <c r="Q400" s="8"/>
      <c r="R400" s="8"/>
      <c r="S400" s="8">
        <v>0</v>
      </c>
      <c r="T400" s="8">
        <v>0</v>
      </c>
      <c r="U400" s="8"/>
      <c r="V400" s="8"/>
      <c r="Z400" s="8"/>
      <c r="AA400" s="8"/>
    </row>
    <row r="401" spans="1:27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>
        <v>0</v>
      </c>
      <c r="Q401" s="8"/>
      <c r="R401" s="8"/>
      <c r="S401" s="8">
        <v>0</v>
      </c>
      <c r="T401" s="8">
        <v>0</v>
      </c>
      <c r="U401" s="8"/>
      <c r="V401" s="8"/>
      <c r="Z401" s="8"/>
      <c r="AA401" s="8"/>
    </row>
    <row r="402" spans="1:27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>
        <v>0</v>
      </c>
      <c r="Q402" s="8"/>
      <c r="R402" s="8"/>
      <c r="S402" s="8">
        <v>0</v>
      </c>
      <c r="T402" s="8">
        <v>0</v>
      </c>
      <c r="U402" s="8"/>
      <c r="V402" s="8"/>
      <c r="Z402" s="8"/>
      <c r="AA402" s="8"/>
    </row>
    <row r="403" spans="1:27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>
        <v>0</v>
      </c>
      <c r="Q403" s="8"/>
      <c r="R403" s="8"/>
      <c r="S403" s="8">
        <v>0</v>
      </c>
      <c r="T403" s="8">
        <v>0</v>
      </c>
      <c r="U403" s="8"/>
      <c r="V403" s="8"/>
      <c r="Z403" s="8"/>
      <c r="AA403" s="8"/>
    </row>
    <row r="404" spans="1:27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>
        <v>0</v>
      </c>
      <c r="Q404" s="8"/>
      <c r="R404" s="8"/>
      <c r="S404" s="8">
        <v>0</v>
      </c>
      <c r="T404" s="8">
        <v>0</v>
      </c>
      <c r="U404" s="8"/>
      <c r="V404" s="8"/>
      <c r="Z404" s="8"/>
      <c r="AA404" s="8"/>
    </row>
    <row r="405" spans="1:27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>
        <v>0</v>
      </c>
      <c r="Q405" s="8"/>
      <c r="R405" s="8"/>
      <c r="S405" s="8">
        <v>0</v>
      </c>
      <c r="T405" s="8">
        <v>0</v>
      </c>
      <c r="U405" s="8"/>
      <c r="V405" s="8"/>
      <c r="Z405" s="8"/>
      <c r="AA405" s="8"/>
    </row>
    <row r="406" spans="1:27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>
        <v>0</v>
      </c>
      <c r="Q406" s="8"/>
      <c r="R406" s="8"/>
      <c r="S406" s="8">
        <v>0</v>
      </c>
      <c r="T406" s="8">
        <v>0</v>
      </c>
      <c r="U406" s="8"/>
      <c r="V406" s="8"/>
      <c r="Z406" s="8"/>
      <c r="AA406" s="8"/>
    </row>
    <row r="407" spans="1:2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>
        <v>0</v>
      </c>
      <c r="Q407" s="8"/>
      <c r="R407" s="8"/>
      <c r="S407" s="8">
        <v>0</v>
      </c>
      <c r="T407" s="8">
        <v>0</v>
      </c>
      <c r="U407" s="8"/>
      <c r="V407" s="8"/>
      <c r="Z407" s="8"/>
      <c r="AA407" s="8"/>
    </row>
    <row r="408" spans="1:27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>
        <v>0</v>
      </c>
      <c r="Q408" s="8"/>
      <c r="R408" s="8"/>
      <c r="S408" s="8">
        <v>0</v>
      </c>
      <c r="T408" s="8">
        <v>0</v>
      </c>
      <c r="U408" s="8"/>
      <c r="V408" s="8"/>
      <c r="Z408" s="8"/>
      <c r="AA408" s="8"/>
    </row>
    <row r="409" spans="1:27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>
        <v>0</v>
      </c>
      <c r="Q409" s="8"/>
      <c r="R409" s="8"/>
      <c r="S409" s="8">
        <v>0</v>
      </c>
      <c r="T409" s="8">
        <v>0</v>
      </c>
      <c r="U409" s="8"/>
      <c r="V409" s="8"/>
      <c r="Z409" s="8"/>
      <c r="AA409" s="8"/>
    </row>
    <row r="410" spans="1:27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>
        <v>0</v>
      </c>
      <c r="Q410" s="8"/>
      <c r="R410" s="8"/>
      <c r="S410" s="8">
        <v>0</v>
      </c>
      <c r="T410" s="8">
        <v>0</v>
      </c>
      <c r="U410" s="8"/>
      <c r="V410" s="8"/>
      <c r="Z410" s="8"/>
      <c r="AA410" s="8"/>
    </row>
    <row r="411" spans="1:27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>
        <v>0</v>
      </c>
      <c r="Q411" s="8"/>
      <c r="R411" s="8"/>
      <c r="S411" s="8">
        <v>0</v>
      </c>
      <c r="T411" s="8">
        <v>0</v>
      </c>
      <c r="U411" s="8"/>
      <c r="V411" s="8"/>
      <c r="Z411" s="8"/>
      <c r="AA411" s="8"/>
    </row>
    <row r="412" spans="1:27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>
        <v>0</v>
      </c>
      <c r="Q412" s="8"/>
      <c r="R412" s="8"/>
      <c r="S412" s="8">
        <v>0</v>
      </c>
      <c r="T412" s="8">
        <v>0</v>
      </c>
      <c r="U412" s="8"/>
      <c r="V412" s="8"/>
      <c r="Z412" s="8"/>
      <c r="AA412" s="8"/>
    </row>
    <row r="413" spans="1:27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>
        <v>0</v>
      </c>
      <c r="Q413" s="8"/>
      <c r="R413" s="8"/>
      <c r="S413" s="8">
        <v>0</v>
      </c>
      <c r="T413" s="8">
        <v>0</v>
      </c>
      <c r="U413" s="8"/>
      <c r="V413" s="8"/>
      <c r="Z413" s="8"/>
      <c r="AA413" s="8"/>
    </row>
    <row r="414" spans="1:27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>
        <v>0</v>
      </c>
      <c r="Q414" s="8"/>
      <c r="R414" s="8"/>
      <c r="S414" s="8">
        <v>0</v>
      </c>
      <c r="T414" s="8">
        <v>0</v>
      </c>
      <c r="U414" s="8"/>
      <c r="V414" s="8"/>
      <c r="Z414" s="8"/>
      <c r="AA414" s="8"/>
    </row>
    <row r="415" spans="1:27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>
        <v>0</v>
      </c>
      <c r="Q415" s="8"/>
      <c r="R415" s="8"/>
      <c r="S415" s="8">
        <v>0</v>
      </c>
      <c r="T415" s="8">
        <v>0</v>
      </c>
      <c r="U415" s="8"/>
      <c r="V415" s="8"/>
      <c r="Z415" s="8"/>
      <c r="AA415" s="8"/>
    </row>
    <row r="416" spans="1:27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>
        <v>0</v>
      </c>
      <c r="Q416" s="8"/>
      <c r="R416" s="8"/>
      <c r="S416" s="8">
        <v>0</v>
      </c>
      <c r="T416" s="8">
        <v>0</v>
      </c>
      <c r="U416" s="8"/>
      <c r="V416" s="8"/>
      <c r="Z416" s="8"/>
      <c r="AA416" s="8"/>
    </row>
    <row r="417" spans="1:2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>
        <v>0</v>
      </c>
      <c r="Q417" s="8"/>
      <c r="R417" s="8"/>
      <c r="S417" s="8">
        <v>0</v>
      </c>
      <c r="T417" s="8">
        <v>0</v>
      </c>
      <c r="U417" s="8"/>
      <c r="V417" s="8"/>
      <c r="Z417" s="8"/>
      <c r="AA417" s="8"/>
    </row>
    <row r="418" spans="1:27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>
        <v>0</v>
      </c>
      <c r="Q418" s="8"/>
      <c r="R418" s="8"/>
      <c r="S418" s="8">
        <v>0</v>
      </c>
      <c r="T418" s="8">
        <v>0</v>
      </c>
      <c r="U418" s="8"/>
      <c r="V418" s="8"/>
      <c r="Z418" s="8"/>
      <c r="AA418" s="8"/>
    </row>
    <row r="419" spans="1:27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>
        <v>0</v>
      </c>
      <c r="Q419" s="8"/>
      <c r="R419" s="8"/>
      <c r="S419" s="8">
        <v>0</v>
      </c>
      <c r="T419" s="8">
        <v>0</v>
      </c>
      <c r="U419" s="8"/>
      <c r="V419" s="8"/>
      <c r="Z419" s="8"/>
      <c r="AA419" s="8"/>
    </row>
    <row r="420" spans="1:27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>
        <v>0</v>
      </c>
      <c r="Q420" s="8"/>
      <c r="R420" s="8"/>
      <c r="S420" s="8">
        <v>0</v>
      </c>
      <c r="T420" s="8">
        <v>0</v>
      </c>
      <c r="U420" s="8"/>
      <c r="V420" s="8"/>
      <c r="Z420" s="8"/>
      <c r="AA420" s="8"/>
    </row>
    <row r="421" spans="1:27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>
        <v>0</v>
      </c>
      <c r="Q421" s="8"/>
      <c r="R421" s="8"/>
      <c r="S421" s="8">
        <v>0</v>
      </c>
      <c r="T421" s="8">
        <v>0</v>
      </c>
      <c r="U421" s="8"/>
      <c r="V421" s="8"/>
      <c r="Z421" s="8"/>
      <c r="AA421" s="8"/>
    </row>
    <row r="422" spans="1:27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>
        <v>0</v>
      </c>
      <c r="Q422" s="8"/>
      <c r="R422" s="8"/>
      <c r="S422" s="8">
        <v>0</v>
      </c>
      <c r="T422" s="8">
        <v>0</v>
      </c>
      <c r="U422" s="8"/>
      <c r="V422" s="8"/>
      <c r="Z422" s="8"/>
      <c r="AA422" s="8"/>
    </row>
    <row r="423" spans="1:27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>
        <v>0</v>
      </c>
      <c r="Q423" s="8"/>
      <c r="R423" s="8"/>
      <c r="S423" s="8">
        <v>0</v>
      </c>
      <c r="T423" s="8">
        <v>0</v>
      </c>
      <c r="U423" s="8"/>
      <c r="V423" s="8"/>
      <c r="Z423" s="8"/>
      <c r="AA423" s="8"/>
    </row>
    <row r="424" spans="1:27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>
        <v>0</v>
      </c>
      <c r="Q424" s="8"/>
      <c r="R424" s="8"/>
      <c r="S424" s="8">
        <v>0</v>
      </c>
      <c r="T424" s="8">
        <v>0</v>
      </c>
      <c r="U424" s="8"/>
      <c r="V424" s="8"/>
      <c r="Z424" s="8"/>
      <c r="AA424" s="8"/>
    </row>
    <row r="425" spans="1:27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>
        <v>0</v>
      </c>
      <c r="Q425" s="8"/>
      <c r="R425" s="8"/>
      <c r="S425" s="8">
        <v>0</v>
      </c>
      <c r="T425" s="8">
        <v>0</v>
      </c>
      <c r="U425" s="8"/>
      <c r="V425" s="8"/>
      <c r="Z425" s="8"/>
      <c r="AA425" s="8"/>
    </row>
    <row r="426" spans="1:27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>
        <v>0</v>
      </c>
      <c r="Q426" s="8"/>
      <c r="R426" s="8"/>
      <c r="S426" s="8">
        <v>0</v>
      </c>
      <c r="T426" s="8">
        <v>0</v>
      </c>
      <c r="U426" s="8"/>
      <c r="V426" s="8"/>
      <c r="Z426" s="8"/>
      <c r="AA426" s="8"/>
    </row>
    <row r="427" spans="1: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>
        <v>0</v>
      </c>
      <c r="Q427" s="8"/>
      <c r="R427" s="8"/>
      <c r="S427" s="8">
        <v>0</v>
      </c>
      <c r="T427" s="8">
        <v>0</v>
      </c>
      <c r="U427" s="8"/>
      <c r="V427" s="8"/>
      <c r="Z427" s="8"/>
      <c r="AA427" s="8"/>
    </row>
    <row r="428" spans="1:27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>
        <v>0</v>
      </c>
      <c r="Q428" s="8"/>
      <c r="R428" s="8"/>
      <c r="S428" s="8">
        <v>0</v>
      </c>
      <c r="T428" s="8">
        <v>0</v>
      </c>
      <c r="U428" s="8"/>
      <c r="V428" s="8"/>
      <c r="Z428" s="8"/>
      <c r="AA428" s="8"/>
    </row>
    <row r="429" spans="1:27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>
        <v>0</v>
      </c>
      <c r="Q429" s="8"/>
      <c r="R429" s="8"/>
      <c r="S429" s="8">
        <v>0</v>
      </c>
      <c r="T429" s="8">
        <v>0</v>
      </c>
      <c r="U429" s="8"/>
      <c r="V429" s="8"/>
      <c r="Z429" s="8"/>
      <c r="AA429" s="8"/>
    </row>
    <row r="430" spans="1:27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>
        <v>0</v>
      </c>
      <c r="Q430" s="8"/>
      <c r="R430" s="8"/>
      <c r="S430" s="8">
        <v>0</v>
      </c>
      <c r="T430" s="8">
        <v>0</v>
      </c>
      <c r="U430" s="8"/>
      <c r="V430" s="8"/>
      <c r="Z430" s="8"/>
      <c r="AA430" s="8"/>
    </row>
    <row r="431" spans="1:27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>
        <v>0</v>
      </c>
      <c r="Q431" s="8"/>
      <c r="R431" s="8"/>
      <c r="S431" s="8">
        <v>0</v>
      </c>
      <c r="T431" s="8">
        <v>0</v>
      </c>
      <c r="U431" s="8"/>
      <c r="V431" s="8"/>
      <c r="Z431" s="8"/>
      <c r="AA431" s="8"/>
    </row>
    <row r="432" spans="1:27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>
        <v>0</v>
      </c>
      <c r="Q432" s="8"/>
      <c r="R432" s="8"/>
      <c r="S432" s="8">
        <v>0</v>
      </c>
      <c r="T432" s="8">
        <v>0</v>
      </c>
      <c r="U432" s="8"/>
      <c r="V432" s="8"/>
      <c r="Z432" s="8"/>
      <c r="AA432" s="8"/>
    </row>
    <row r="433" spans="1:27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>
        <v>0</v>
      </c>
      <c r="Q433" s="8"/>
      <c r="R433" s="8"/>
      <c r="S433" s="8">
        <v>0</v>
      </c>
      <c r="T433" s="8">
        <v>0</v>
      </c>
      <c r="U433" s="8"/>
      <c r="V433" s="8"/>
      <c r="Z433" s="8"/>
      <c r="AA433" s="8"/>
    </row>
    <row r="434" spans="1:27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>
        <v>0</v>
      </c>
      <c r="Q434" s="8"/>
      <c r="R434" s="8"/>
      <c r="S434" s="8">
        <v>0</v>
      </c>
      <c r="T434" s="8">
        <v>0</v>
      </c>
      <c r="U434" s="8"/>
      <c r="V434" s="8"/>
      <c r="Z434" s="8"/>
      <c r="AA434" s="8"/>
    </row>
    <row r="435" spans="1:27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>
        <v>0</v>
      </c>
      <c r="Q435" s="8"/>
      <c r="R435" s="8"/>
      <c r="S435" s="8">
        <v>0</v>
      </c>
      <c r="T435" s="8">
        <v>0</v>
      </c>
      <c r="U435" s="8"/>
      <c r="V435" s="8"/>
      <c r="Z435" s="8"/>
      <c r="AA435" s="8"/>
    </row>
    <row r="436" spans="1:27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>
        <v>0</v>
      </c>
      <c r="Q436" s="8"/>
      <c r="R436" s="8"/>
      <c r="S436" s="8">
        <v>0</v>
      </c>
      <c r="T436" s="8">
        <v>0</v>
      </c>
      <c r="U436" s="8"/>
      <c r="V436" s="8"/>
      <c r="Z436" s="8"/>
      <c r="AA436" s="8"/>
    </row>
    <row r="437" spans="1:2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>
        <v>0</v>
      </c>
      <c r="Q437" s="8"/>
      <c r="R437" s="8"/>
      <c r="S437" s="8">
        <v>0</v>
      </c>
      <c r="T437" s="8">
        <v>0</v>
      </c>
      <c r="U437" s="8"/>
      <c r="V437" s="8"/>
      <c r="Z437" s="8"/>
      <c r="AA437" s="8"/>
    </row>
    <row r="438" spans="1:27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>
        <v>0</v>
      </c>
      <c r="Q438" s="8"/>
      <c r="R438" s="8"/>
      <c r="S438" s="8">
        <v>0</v>
      </c>
      <c r="T438" s="8">
        <v>0</v>
      </c>
      <c r="U438" s="8"/>
      <c r="V438" s="8"/>
      <c r="Z438" s="8"/>
      <c r="AA438" s="8"/>
    </row>
    <row r="439" spans="1:27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>
        <v>0</v>
      </c>
      <c r="Q439" s="8"/>
      <c r="R439" s="8"/>
      <c r="S439" s="8">
        <v>0</v>
      </c>
      <c r="T439" s="8">
        <v>0</v>
      </c>
      <c r="U439" s="8"/>
      <c r="V439" s="8"/>
      <c r="Z439" s="8"/>
      <c r="AA439" s="8"/>
    </row>
    <row r="440" spans="1:27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>
        <v>0</v>
      </c>
      <c r="Q440" s="8"/>
      <c r="R440" s="8"/>
      <c r="S440" s="8">
        <v>0</v>
      </c>
      <c r="T440" s="8">
        <v>0</v>
      </c>
      <c r="U440" s="8"/>
      <c r="V440" s="8"/>
      <c r="Z440" s="8"/>
      <c r="AA440" s="8"/>
    </row>
    <row r="441" spans="1:27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>
        <v>0</v>
      </c>
      <c r="Q441" s="8"/>
      <c r="R441" s="8"/>
      <c r="S441" s="8">
        <v>0</v>
      </c>
      <c r="T441" s="8">
        <v>0</v>
      </c>
      <c r="U441" s="8"/>
      <c r="V441" s="8"/>
      <c r="Z441" s="8"/>
      <c r="AA441" s="8"/>
    </row>
    <row r="442" spans="1:27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>
        <v>0</v>
      </c>
      <c r="Q442" s="8"/>
      <c r="R442" s="8"/>
      <c r="S442" s="8">
        <v>0</v>
      </c>
      <c r="T442" s="8">
        <v>0</v>
      </c>
      <c r="U442" s="8"/>
      <c r="V442" s="8"/>
      <c r="Z442" s="8"/>
      <c r="AA442" s="8"/>
    </row>
    <row r="443" spans="1:27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>
        <v>0</v>
      </c>
      <c r="Q443" s="8"/>
      <c r="R443" s="8"/>
      <c r="S443" s="8">
        <v>0</v>
      </c>
      <c r="T443" s="8">
        <v>0</v>
      </c>
      <c r="U443" s="8"/>
      <c r="V443" s="8"/>
      <c r="Z443" s="8"/>
      <c r="AA443" s="8"/>
    </row>
    <row r="444" spans="1:27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>
        <v>0</v>
      </c>
      <c r="Q444" s="8"/>
      <c r="R444" s="8"/>
      <c r="S444" s="8">
        <v>0</v>
      </c>
      <c r="T444" s="8">
        <v>0</v>
      </c>
      <c r="U444" s="8"/>
      <c r="V444" s="8"/>
      <c r="Z444" s="8"/>
      <c r="AA444" s="8"/>
    </row>
    <row r="445" spans="1:27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>
        <v>0</v>
      </c>
      <c r="Q445" s="8"/>
      <c r="R445" s="8"/>
      <c r="S445" s="8">
        <v>0</v>
      </c>
      <c r="T445" s="8">
        <v>0</v>
      </c>
      <c r="U445" s="8"/>
      <c r="V445" s="8"/>
      <c r="Z445" s="8"/>
      <c r="AA445" s="8"/>
    </row>
    <row r="446" spans="1:27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>
        <v>0</v>
      </c>
      <c r="Q446" s="8"/>
      <c r="R446" s="8"/>
      <c r="S446" s="8">
        <v>0</v>
      </c>
      <c r="T446" s="8">
        <v>0</v>
      </c>
      <c r="U446" s="8"/>
      <c r="V446" s="8"/>
      <c r="Z446" s="8"/>
      <c r="AA446" s="8"/>
    </row>
    <row r="447" spans="1:2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>
        <v>0</v>
      </c>
      <c r="Q447" s="8"/>
      <c r="R447" s="8"/>
      <c r="S447" s="8">
        <v>0</v>
      </c>
      <c r="T447" s="8">
        <v>0</v>
      </c>
      <c r="U447" s="8"/>
      <c r="V447" s="8"/>
      <c r="Z447" s="8"/>
      <c r="AA447" s="8"/>
    </row>
    <row r="448" spans="1:27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>
        <v>0</v>
      </c>
      <c r="Q448" s="8"/>
      <c r="R448" s="8"/>
      <c r="S448" s="8">
        <v>0</v>
      </c>
      <c r="T448" s="8">
        <v>0</v>
      </c>
      <c r="U448" s="8"/>
      <c r="V448" s="8"/>
      <c r="Z448" s="8"/>
      <c r="AA448" s="8"/>
    </row>
    <row r="449" spans="1:27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>
        <v>0</v>
      </c>
      <c r="Q449" s="8"/>
      <c r="R449" s="8"/>
      <c r="S449" s="8">
        <v>0</v>
      </c>
      <c r="T449" s="8">
        <v>0</v>
      </c>
      <c r="U449" s="8"/>
      <c r="V449" s="8"/>
      <c r="Z449" s="8"/>
      <c r="AA449" s="8"/>
    </row>
    <row r="450" spans="1:27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>
        <v>0</v>
      </c>
      <c r="Q450" s="8"/>
      <c r="R450" s="8"/>
      <c r="S450" s="8">
        <v>0</v>
      </c>
      <c r="T450" s="8">
        <v>0</v>
      </c>
      <c r="U450" s="8"/>
      <c r="V450" s="8"/>
      <c r="Z450" s="8"/>
      <c r="AA450" s="8"/>
    </row>
    <row r="451" spans="1:27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>
        <v>0</v>
      </c>
      <c r="Q451" s="8"/>
      <c r="R451" s="8"/>
      <c r="S451" s="8">
        <v>0</v>
      </c>
      <c r="T451" s="8">
        <v>0</v>
      </c>
      <c r="U451" s="8"/>
      <c r="V451" s="8"/>
      <c r="Z451" s="8"/>
      <c r="AA451" s="8"/>
    </row>
    <row r="452" spans="1:27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>
        <v>0</v>
      </c>
      <c r="Q452" s="8"/>
      <c r="R452" s="8"/>
      <c r="S452" s="8">
        <v>0</v>
      </c>
      <c r="T452" s="8">
        <v>0</v>
      </c>
      <c r="U452" s="8"/>
      <c r="V452" s="8"/>
      <c r="Z452" s="8"/>
      <c r="AA452" s="8"/>
    </row>
    <row r="453" spans="1:27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>
        <v>0</v>
      </c>
      <c r="Q453" s="8"/>
      <c r="R453" s="8"/>
      <c r="S453" s="8">
        <v>0</v>
      </c>
      <c r="T453" s="8">
        <v>0</v>
      </c>
      <c r="U453" s="8"/>
      <c r="V453" s="8"/>
      <c r="Z453" s="8"/>
      <c r="AA453" s="8"/>
    </row>
    <row r="454" spans="1:27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>
        <v>0</v>
      </c>
      <c r="Q454" s="8"/>
      <c r="R454" s="8"/>
      <c r="S454" s="8">
        <v>0</v>
      </c>
      <c r="T454" s="8">
        <v>0</v>
      </c>
      <c r="U454" s="8"/>
      <c r="V454" s="8"/>
      <c r="Z454" s="8"/>
      <c r="AA454" s="8"/>
    </row>
    <row r="455" spans="1:27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>
        <v>0</v>
      </c>
      <c r="Q455" s="8"/>
      <c r="R455" s="8"/>
      <c r="S455" s="8">
        <v>0</v>
      </c>
      <c r="T455" s="8">
        <v>0</v>
      </c>
      <c r="U455" s="8"/>
      <c r="V455" s="8"/>
      <c r="Z455" s="8"/>
      <c r="AA455" s="8"/>
    </row>
    <row r="456" spans="1:27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>
        <v>0</v>
      </c>
      <c r="Q456" s="8"/>
      <c r="R456" s="8"/>
      <c r="S456" s="8">
        <v>0</v>
      </c>
      <c r="T456" s="8">
        <v>0</v>
      </c>
      <c r="U456" s="8"/>
      <c r="V456" s="8"/>
      <c r="Z456" s="8"/>
      <c r="AA456" s="8"/>
    </row>
    <row r="457" spans="1:2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>
        <v>0</v>
      </c>
      <c r="Q457" s="8"/>
      <c r="R457" s="8"/>
      <c r="S457" s="8">
        <v>0</v>
      </c>
      <c r="T457" s="8">
        <v>0</v>
      </c>
      <c r="U457" s="8"/>
      <c r="V457" s="8"/>
      <c r="Z457" s="8"/>
      <c r="AA457" s="8"/>
    </row>
    <row r="458" spans="1:27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>
        <v>0</v>
      </c>
      <c r="Q458" s="8"/>
      <c r="R458" s="8"/>
      <c r="S458" s="8">
        <v>0</v>
      </c>
      <c r="T458" s="8">
        <v>0</v>
      </c>
      <c r="U458" s="8"/>
      <c r="V458" s="8"/>
      <c r="Z458" s="8"/>
      <c r="AA458" s="8"/>
    </row>
    <row r="459" spans="1:27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>
        <v>0</v>
      </c>
      <c r="Q459" s="8"/>
      <c r="R459" s="8"/>
      <c r="S459" s="8">
        <v>0</v>
      </c>
      <c r="T459" s="8">
        <v>0</v>
      </c>
      <c r="U459" s="8"/>
      <c r="V459" s="8"/>
      <c r="Z459" s="8"/>
      <c r="AA459" s="8"/>
    </row>
    <row r="460" spans="1:27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>
        <v>0</v>
      </c>
      <c r="Q460" s="8"/>
      <c r="R460" s="8"/>
      <c r="S460" s="8">
        <v>0</v>
      </c>
      <c r="T460" s="8">
        <v>0</v>
      </c>
      <c r="U460" s="8"/>
      <c r="V460" s="8"/>
      <c r="Z460" s="8"/>
      <c r="AA460" s="8"/>
    </row>
    <row r="461" spans="1:27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>
        <v>0</v>
      </c>
      <c r="Q461" s="8"/>
      <c r="R461" s="8"/>
      <c r="S461" s="8">
        <v>0</v>
      </c>
      <c r="T461" s="8">
        <v>0</v>
      </c>
      <c r="U461" s="8"/>
      <c r="V461" s="8"/>
      <c r="Z461" s="8"/>
      <c r="AA461" s="8"/>
    </row>
    <row r="462" spans="1:27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>
        <v>0</v>
      </c>
      <c r="Q462" s="8"/>
      <c r="R462" s="8"/>
      <c r="S462" s="8">
        <v>0</v>
      </c>
      <c r="T462" s="8">
        <v>0</v>
      </c>
      <c r="U462" s="8"/>
      <c r="V462" s="8"/>
      <c r="Z462" s="8"/>
      <c r="AA462" s="8"/>
    </row>
    <row r="463" spans="1:27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>
        <v>0</v>
      </c>
      <c r="Q463" s="8"/>
      <c r="R463" s="8"/>
      <c r="S463" s="8">
        <v>0</v>
      </c>
      <c r="T463" s="8">
        <v>0</v>
      </c>
      <c r="U463" s="8"/>
      <c r="V463" s="8"/>
      <c r="Z463" s="8"/>
      <c r="AA463" s="8"/>
    </row>
    <row r="464" spans="1:27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>
        <v>0</v>
      </c>
      <c r="Q464" s="8"/>
      <c r="R464" s="8"/>
      <c r="S464" s="8">
        <v>0</v>
      </c>
      <c r="T464" s="8">
        <v>0</v>
      </c>
      <c r="U464" s="8"/>
      <c r="V464" s="8"/>
      <c r="Z464" s="8"/>
      <c r="AA464" s="8"/>
    </row>
    <row r="465" spans="1:27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>
        <v>0</v>
      </c>
      <c r="Q465" s="8"/>
      <c r="R465" s="8"/>
      <c r="S465" s="8">
        <v>0</v>
      </c>
      <c r="T465" s="8">
        <v>0</v>
      </c>
      <c r="U465" s="8"/>
      <c r="V465" s="8"/>
      <c r="Z465" s="8"/>
      <c r="AA465" s="8"/>
    </row>
    <row r="466" spans="1:27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>
        <v>0</v>
      </c>
      <c r="Q466" s="8"/>
      <c r="R466" s="8"/>
      <c r="S466" s="8">
        <v>0</v>
      </c>
      <c r="T466" s="8">
        <v>0</v>
      </c>
      <c r="U466" s="8"/>
      <c r="V466" s="8"/>
      <c r="Z466" s="8"/>
      <c r="AA466" s="8"/>
    </row>
    <row r="467" spans="1:2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>
        <v>0</v>
      </c>
      <c r="Q467" s="8"/>
      <c r="R467" s="8"/>
      <c r="S467" s="8">
        <v>0</v>
      </c>
      <c r="T467" s="8">
        <v>0</v>
      </c>
      <c r="U467" s="8"/>
      <c r="V467" s="8"/>
      <c r="Z467" s="8"/>
      <c r="AA467" s="8"/>
    </row>
    <row r="468" spans="1:27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>
        <v>0</v>
      </c>
      <c r="Q468" s="8"/>
      <c r="R468" s="8"/>
      <c r="S468" s="8">
        <v>0</v>
      </c>
      <c r="T468" s="8">
        <v>0</v>
      </c>
      <c r="U468" s="8"/>
      <c r="V468" s="8"/>
      <c r="Z468" s="8"/>
      <c r="AA468" s="8"/>
    </row>
    <row r="469" spans="1:27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>
        <v>0</v>
      </c>
      <c r="Q469" s="8"/>
      <c r="R469" s="8"/>
      <c r="S469" s="8">
        <v>0</v>
      </c>
      <c r="T469" s="8">
        <v>0</v>
      </c>
      <c r="U469" s="8"/>
      <c r="V469" s="8"/>
      <c r="Z469" s="8"/>
      <c r="AA469" s="8"/>
    </row>
    <row r="470" spans="1:27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>
        <v>0</v>
      </c>
      <c r="Q470" s="8"/>
      <c r="R470" s="8"/>
      <c r="S470" s="8">
        <v>0</v>
      </c>
      <c r="T470" s="8">
        <v>0</v>
      </c>
      <c r="U470" s="8"/>
      <c r="V470" s="8"/>
      <c r="Z470" s="8"/>
      <c r="AA470" s="8"/>
    </row>
    <row r="471" spans="1:27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>
        <v>0</v>
      </c>
      <c r="Q471" s="8"/>
      <c r="R471" s="8"/>
      <c r="S471" s="8">
        <v>0</v>
      </c>
      <c r="T471" s="8">
        <v>0</v>
      </c>
      <c r="U471" s="8"/>
      <c r="V471" s="8"/>
      <c r="Z471" s="8"/>
      <c r="AA471" s="8"/>
    </row>
    <row r="472" spans="1:27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>
        <v>0</v>
      </c>
      <c r="Q472" s="8"/>
      <c r="R472" s="8"/>
      <c r="S472" s="8">
        <v>0</v>
      </c>
      <c r="T472" s="8">
        <v>0</v>
      </c>
      <c r="U472" s="8"/>
      <c r="V472" s="8"/>
      <c r="Z472" s="8"/>
      <c r="AA472" s="8"/>
    </row>
    <row r="473" spans="1:27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>
        <v>0</v>
      </c>
      <c r="Q473" s="8"/>
      <c r="R473" s="8"/>
      <c r="S473" s="8">
        <v>0</v>
      </c>
      <c r="T473" s="8">
        <v>0</v>
      </c>
      <c r="U473" s="8"/>
      <c r="V473" s="8"/>
      <c r="Z473" s="8"/>
      <c r="AA473" s="8"/>
    </row>
    <row r="474" spans="1:27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>
        <v>0</v>
      </c>
      <c r="Q474" s="8"/>
      <c r="R474" s="8"/>
      <c r="S474" s="8">
        <v>0</v>
      </c>
      <c r="T474" s="8">
        <v>0</v>
      </c>
      <c r="U474" s="8"/>
      <c r="V474" s="8"/>
      <c r="Z474" s="8"/>
      <c r="AA474" s="8"/>
    </row>
    <row r="475" spans="1:27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>
        <v>0</v>
      </c>
      <c r="Q475" s="8"/>
      <c r="R475" s="8"/>
      <c r="S475" s="8">
        <v>0</v>
      </c>
      <c r="T475" s="8">
        <v>0</v>
      </c>
      <c r="U475" s="8"/>
      <c r="V475" s="8"/>
      <c r="Z475" s="8"/>
      <c r="AA475" s="8"/>
    </row>
    <row r="476" spans="1:27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>
        <v>0</v>
      </c>
      <c r="Q476" s="8"/>
      <c r="R476" s="8"/>
      <c r="S476" s="8">
        <v>0</v>
      </c>
      <c r="T476" s="8">
        <v>0</v>
      </c>
      <c r="U476" s="8"/>
      <c r="V476" s="8"/>
      <c r="Z476" s="8"/>
      <c r="AA476" s="8"/>
    </row>
    <row r="477" spans="1:2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>
        <v>0</v>
      </c>
      <c r="Q477" s="8"/>
      <c r="R477" s="8"/>
      <c r="S477" s="8">
        <v>0</v>
      </c>
      <c r="T477" s="8">
        <v>0</v>
      </c>
      <c r="U477" s="8"/>
      <c r="V477" s="8"/>
      <c r="Z477" s="8"/>
      <c r="AA477" s="8"/>
    </row>
    <row r="478" spans="1:27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>
        <v>0</v>
      </c>
      <c r="Q478" s="8"/>
      <c r="R478" s="8"/>
      <c r="S478" s="8">
        <v>0</v>
      </c>
      <c r="T478" s="8">
        <v>0</v>
      </c>
      <c r="U478" s="8"/>
      <c r="V478" s="8"/>
      <c r="Z478" s="8"/>
      <c r="AA478" s="8"/>
    </row>
    <row r="479" spans="1:27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>
        <v>0</v>
      </c>
      <c r="Q479" s="8"/>
      <c r="R479" s="8"/>
      <c r="S479" s="8">
        <v>0</v>
      </c>
      <c r="T479" s="8">
        <v>0</v>
      </c>
      <c r="U479" s="8"/>
      <c r="V479" s="8"/>
      <c r="Z479" s="8"/>
      <c r="AA479" s="8"/>
    </row>
    <row r="480" spans="1:27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>
        <v>0</v>
      </c>
      <c r="Q480" s="8"/>
      <c r="R480" s="8"/>
      <c r="S480" s="8">
        <v>0</v>
      </c>
      <c r="T480" s="8">
        <v>0</v>
      </c>
      <c r="U480" s="8"/>
      <c r="V480" s="8"/>
      <c r="Z480" s="8"/>
      <c r="AA480" s="8"/>
    </row>
    <row r="481" spans="1:27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>
        <v>0</v>
      </c>
      <c r="Q481" s="8"/>
      <c r="R481" s="8"/>
      <c r="S481" s="8">
        <v>0</v>
      </c>
      <c r="T481" s="8">
        <v>0</v>
      </c>
      <c r="U481" s="8"/>
      <c r="V481" s="8"/>
      <c r="Z481" s="8"/>
      <c r="AA481" s="8"/>
    </row>
    <row r="482" spans="1:27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>
        <v>0</v>
      </c>
      <c r="Q482" s="8"/>
      <c r="R482" s="8"/>
      <c r="S482" s="8">
        <v>0</v>
      </c>
      <c r="T482" s="8">
        <v>0</v>
      </c>
      <c r="U482" s="8"/>
      <c r="V482" s="8"/>
      <c r="Z482" s="8"/>
      <c r="AA482" s="8"/>
    </row>
    <row r="483" spans="1:27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>
        <v>0</v>
      </c>
      <c r="Q483" s="8"/>
      <c r="R483" s="8"/>
      <c r="S483" s="8">
        <v>0</v>
      </c>
      <c r="T483" s="8">
        <v>0</v>
      </c>
      <c r="U483" s="8"/>
      <c r="V483" s="8"/>
      <c r="Z483" s="8"/>
      <c r="AA483" s="8"/>
    </row>
    <row r="484" spans="1:27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>
        <v>0</v>
      </c>
      <c r="Q484" s="8"/>
      <c r="R484" s="8"/>
      <c r="S484" s="8">
        <v>0</v>
      </c>
      <c r="T484" s="8">
        <v>0</v>
      </c>
      <c r="U484" s="8"/>
      <c r="V484" s="8"/>
      <c r="Z484" s="8"/>
      <c r="AA484" s="8"/>
    </row>
    <row r="485" spans="1:27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>
        <v>0</v>
      </c>
      <c r="Q485" s="8"/>
      <c r="R485" s="8"/>
      <c r="S485" s="8">
        <v>0</v>
      </c>
      <c r="T485" s="8">
        <v>0</v>
      </c>
      <c r="U485" s="8"/>
      <c r="V485" s="8"/>
      <c r="Z485" s="8"/>
      <c r="AA485" s="8"/>
    </row>
    <row r="486" spans="1:27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>
        <v>0</v>
      </c>
      <c r="Q486" s="8"/>
      <c r="R486" s="8"/>
      <c r="S486" s="8">
        <v>0</v>
      </c>
      <c r="T486" s="8">
        <v>0</v>
      </c>
      <c r="U486" s="8"/>
      <c r="V486" s="8"/>
      <c r="Z486" s="8"/>
      <c r="AA486" s="8"/>
    </row>
    <row r="487" spans="1:2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>
        <v>0</v>
      </c>
      <c r="Q487" s="8"/>
      <c r="R487" s="8"/>
      <c r="S487" s="8">
        <v>0</v>
      </c>
      <c r="T487" s="8">
        <v>0</v>
      </c>
      <c r="U487" s="8"/>
      <c r="V487" s="8"/>
      <c r="Z487" s="8"/>
      <c r="AA487" s="8"/>
    </row>
    <row r="488" spans="1:27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>
        <v>0</v>
      </c>
      <c r="Q488" s="8"/>
      <c r="R488" s="8"/>
      <c r="S488" s="8">
        <v>0</v>
      </c>
      <c r="T488" s="8">
        <v>0</v>
      </c>
      <c r="U488" s="8"/>
      <c r="V488" s="8"/>
      <c r="Z488" s="8"/>
      <c r="AA488" s="8"/>
    </row>
    <row r="489" spans="1:27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>
        <v>0</v>
      </c>
      <c r="Q489" s="8"/>
      <c r="R489" s="8"/>
      <c r="S489" s="8">
        <v>0</v>
      </c>
      <c r="T489" s="8">
        <v>0</v>
      </c>
      <c r="U489" s="8"/>
      <c r="V489" s="8"/>
      <c r="Z489" s="8"/>
      <c r="AA489" s="8"/>
    </row>
    <row r="490" spans="1:27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>
        <v>0</v>
      </c>
      <c r="Q490" s="8"/>
      <c r="R490" s="8"/>
      <c r="S490" s="8">
        <v>0</v>
      </c>
      <c r="T490" s="8">
        <v>0</v>
      </c>
      <c r="U490" s="8"/>
      <c r="V490" s="8"/>
      <c r="Z490" s="8"/>
      <c r="AA490" s="8"/>
    </row>
    <row r="491" spans="1:27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>
        <v>0</v>
      </c>
      <c r="Q491" s="8"/>
      <c r="R491" s="8"/>
      <c r="S491" s="8">
        <v>0</v>
      </c>
      <c r="T491" s="8">
        <v>0</v>
      </c>
      <c r="U491" s="8"/>
      <c r="V491" s="8"/>
      <c r="Z491" s="8"/>
      <c r="AA491" s="8"/>
    </row>
    <row r="492" spans="1:27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>
        <v>0</v>
      </c>
      <c r="Q492" s="8"/>
      <c r="R492" s="8"/>
      <c r="S492" s="8">
        <v>0</v>
      </c>
      <c r="T492" s="8">
        <v>0</v>
      </c>
      <c r="U492" s="8"/>
      <c r="V492" s="8"/>
      <c r="Z492" s="8"/>
      <c r="AA492" s="8"/>
    </row>
    <row r="493" spans="1:27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>
        <v>0</v>
      </c>
      <c r="Q493" s="8"/>
      <c r="R493" s="8"/>
      <c r="S493" s="8">
        <v>0</v>
      </c>
      <c r="T493" s="8">
        <v>0</v>
      </c>
      <c r="U493" s="8"/>
      <c r="V493" s="8"/>
      <c r="Z493" s="8"/>
      <c r="AA493" s="8"/>
    </row>
    <row r="494" spans="1:27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>
        <v>0</v>
      </c>
      <c r="Q494" s="8"/>
      <c r="R494" s="8"/>
      <c r="S494" s="8">
        <v>0</v>
      </c>
      <c r="T494" s="8">
        <v>0</v>
      </c>
      <c r="U494" s="8"/>
      <c r="V494" s="8"/>
      <c r="Z494" s="8"/>
      <c r="AA494" s="8"/>
    </row>
    <row r="495" spans="1:27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>
        <v>0</v>
      </c>
      <c r="Q495" s="8"/>
      <c r="R495" s="8"/>
      <c r="S495" s="8">
        <v>0</v>
      </c>
      <c r="T495" s="8">
        <v>0</v>
      </c>
      <c r="U495" s="8"/>
      <c r="V495" s="8"/>
      <c r="Z495" s="8"/>
      <c r="AA495" s="8"/>
    </row>
    <row r="496" spans="1:27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>
        <v>0</v>
      </c>
      <c r="Q496" s="8"/>
      <c r="R496" s="8"/>
      <c r="S496" s="8">
        <v>0</v>
      </c>
      <c r="T496" s="8">
        <v>0</v>
      </c>
      <c r="U496" s="8"/>
      <c r="V496" s="8"/>
      <c r="Z496" s="8"/>
      <c r="AA496" s="8"/>
    </row>
    <row r="497" spans="1:2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>
        <v>0</v>
      </c>
      <c r="Q497" s="8"/>
      <c r="R497" s="8"/>
      <c r="S497" s="8">
        <v>0</v>
      </c>
      <c r="T497" s="8">
        <v>0</v>
      </c>
      <c r="U497" s="8"/>
      <c r="V497" s="8"/>
      <c r="Z497" s="8"/>
      <c r="AA497" s="8"/>
    </row>
    <row r="498" spans="1:27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>
        <v>0</v>
      </c>
      <c r="Q498" s="8"/>
      <c r="R498" s="8"/>
      <c r="S498" s="8">
        <v>0</v>
      </c>
      <c r="T498" s="8">
        <v>0</v>
      </c>
      <c r="U498" s="8"/>
      <c r="V498" s="8"/>
      <c r="Z498" s="8"/>
      <c r="AA498" s="8"/>
    </row>
    <row r="499" spans="1:27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>
        <v>0</v>
      </c>
      <c r="Q499" s="8"/>
      <c r="R499" s="8"/>
      <c r="S499" s="8">
        <v>0</v>
      </c>
      <c r="T499" s="8">
        <v>0</v>
      </c>
      <c r="U499" s="8"/>
      <c r="V499" s="8"/>
      <c r="Z499" s="8"/>
      <c r="AA499" s="8"/>
    </row>
    <row r="500" spans="1:27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>
        <v>0</v>
      </c>
      <c r="Q500" s="8"/>
      <c r="R500" s="8"/>
      <c r="S500" s="8">
        <v>0</v>
      </c>
      <c r="T500" s="8">
        <v>0</v>
      </c>
      <c r="U500" s="8"/>
      <c r="V500" s="8"/>
      <c r="Z500" s="8"/>
      <c r="AA500" s="8"/>
    </row>
    <row r="501" spans="1:27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>
        <v>0</v>
      </c>
      <c r="Q501" s="8"/>
      <c r="R501" s="8"/>
      <c r="S501" s="8">
        <v>0</v>
      </c>
      <c r="T501" s="8">
        <v>0</v>
      </c>
      <c r="U501" s="8"/>
      <c r="V501" s="8"/>
      <c r="Z501" s="8"/>
      <c r="AA501" s="8"/>
    </row>
    <row r="502" spans="1:27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>
        <v>0</v>
      </c>
      <c r="Q502" s="8"/>
      <c r="R502" s="8"/>
      <c r="S502" s="8">
        <v>0</v>
      </c>
      <c r="T502" s="8">
        <v>0</v>
      </c>
      <c r="U502" s="8"/>
      <c r="V502" s="8"/>
      <c r="Z502" s="8"/>
      <c r="AA502" s="8"/>
    </row>
    <row r="503" spans="1:27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>
        <v>0</v>
      </c>
      <c r="Q503" s="8"/>
      <c r="R503" s="8"/>
      <c r="S503" s="8">
        <v>0</v>
      </c>
      <c r="T503" s="8">
        <v>0</v>
      </c>
      <c r="U503" s="8"/>
      <c r="V503" s="8"/>
      <c r="Z503" s="8"/>
      <c r="AA503" s="8"/>
    </row>
    <row r="504" spans="1:27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>
        <v>0</v>
      </c>
      <c r="Q504" s="8"/>
      <c r="R504" s="8"/>
      <c r="S504" s="8">
        <v>0</v>
      </c>
      <c r="T504" s="8">
        <v>0</v>
      </c>
      <c r="U504" s="8"/>
      <c r="V504" s="8"/>
      <c r="Z504" s="8"/>
      <c r="AA504" s="8"/>
    </row>
    <row r="505" spans="1:27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>
        <v>0</v>
      </c>
      <c r="Q505" s="8"/>
      <c r="R505" s="8"/>
      <c r="S505" s="8">
        <v>0</v>
      </c>
      <c r="T505" s="8">
        <v>0</v>
      </c>
      <c r="U505" s="8"/>
      <c r="V505" s="8"/>
      <c r="Z505" s="8"/>
      <c r="AA505" s="8"/>
    </row>
    <row r="506" spans="1:27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>
        <v>0</v>
      </c>
      <c r="Q506" s="8"/>
      <c r="R506" s="8"/>
      <c r="S506" s="8">
        <v>0</v>
      </c>
      <c r="T506" s="8">
        <v>0</v>
      </c>
      <c r="U506" s="8"/>
      <c r="V506" s="8"/>
      <c r="Z506" s="8"/>
      <c r="AA506" s="8"/>
    </row>
    <row r="507" spans="1:2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>
        <v>0</v>
      </c>
      <c r="Q507" s="8"/>
      <c r="R507" s="8"/>
      <c r="S507" s="8">
        <v>0</v>
      </c>
      <c r="T507" s="8">
        <v>0</v>
      </c>
      <c r="U507" s="8"/>
      <c r="V507" s="8"/>
      <c r="Z507" s="8"/>
      <c r="AA507" s="8"/>
    </row>
    <row r="508" spans="1:27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>
        <v>0</v>
      </c>
      <c r="Q508" s="8"/>
      <c r="R508" s="8"/>
      <c r="S508" s="8">
        <v>0</v>
      </c>
      <c r="T508" s="8">
        <v>0</v>
      </c>
      <c r="U508" s="8"/>
      <c r="V508" s="8"/>
      <c r="Z508" s="8"/>
      <c r="AA508" s="8"/>
    </row>
    <row r="509" spans="1:27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>
        <v>0</v>
      </c>
      <c r="Q509" s="8"/>
      <c r="R509" s="8"/>
      <c r="S509" s="8">
        <v>0</v>
      </c>
      <c r="T509" s="8">
        <v>0</v>
      </c>
      <c r="U509" s="8"/>
      <c r="V509" s="8"/>
      <c r="Z509" s="8"/>
      <c r="AA509" s="8"/>
    </row>
    <row r="510" spans="1:27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>
        <v>0</v>
      </c>
      <c r="Q510" s="8"/>
      <c r="R510" s="8"/>
      <c r="S510" s="8">
        <v>0</v>
      </c>
      <c r="T510" s="8">
        <v>0</v>
      </c>
      <c r="U510" s="8"/>
      <c r="V510" s="8"/>
      <c r="Z510" s="8"/>
      <c r="AA510" s="8"/>
    </row>
    <row r="511" spans="1:27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>
        <v>0</v>
      </c>
      <c r="Q511" s="8"/>
      <c r="R511" s="8"/>
      <c r="S511" s="8">
        <v>0</v>
      </c>
      <c r="T511" s="8">
        <v>0</v>
      </c>
      <c r="U511" s="8"/>
      <c r="V511" s="8"/>
      <c r="Z511" s="8"/>
      <c r="AA511" s="8"/>
    </row>
    <row r="512" spans="1:27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>
        <v>0</v>
      </c>
      <c r="Q512" s="8"/>
      <c r="R512" s="8"/>
      <c r="S512" s="8">
        <v>0</v>
      </c>
      <c r="T512" s="8">
        <v>0</v>
      </c>
      <c r="U512" s="8"/>
      <c r="V512" s="8"/>
      <c r="Z512" s="8"/>
      <c r="AA512" s="8"/>
    </row>
    <row r="513" spans="1:27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>
        <v>0</v>
      </c>
      <c r="Q513" s="8"/>
      <c r="R513" s="8"/>
      <c r="S513" s="8">
        <v>0</v>
      </c>
      <c r="T513" s="8">
        <v>0</v>
      </c>
      <c r="U513" s="8"/>
      <c r="V513" s="8"/>
      <c r="Z513" s="8"/>
      <c r="AA513" s="8"/>
    </row>
    <row r="514" spans="1:27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>
        <v>0</v>
      </c>
      <c r="Q514" s="8"/>
      <c r="R514" s="8"/>
      <c r="S514" s="8">
        <v>0</v>
      </c>
      <c r="T514" s="8">
        <v>0</v>
      </c>
      <c r="U514" s="8"/>
      <c r="V514" s="8"/>
      <c r="Z514" s="8"/>
      <c r="AA514" s="8"/>
    </row>
    <row r="515" spans="1:27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>
        <v>0</v>
      </c>
      <c r="Q515" s="8"/>
      <c r="R515" s="8"/>
      <c r="S515" s="8">
        <v>0</v>
      </c>
      <c r="T515" s="8">
        <v>0</v>
      </c>
      <c r="U515" s="8"/>
      <c r="V515" s="8"/>
      <c r="Z515" s="8"/>
      <c r="AA515" s="8"/>
    </row>
    <row r="516" spans="1:27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>
        <v>0</v>
      </c>
      <c r="Q516" s="8"/>
      <c r="R516" s="8"/>
      <c r="S516" s="8">
        <v>0</v>
      </c>
      <c r="T516" s="8">
        <v>0</v>
      </c>
      <c r="U516" s="8"/>
      <c r="V516" s="8"/>
      <c r="Z516" s="8"/>
      <c r="AA516" s="8"/>
    </row>
    <row r="517" spans="1:2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>
        <v>0</v>
      </c>
      <c r="Q517" s="8"/>
      <c r="R517" s="8"/>
      <c r="S517" s="8">
        <v>0</v>
      </c>
      <c r="T517" s="8">
        <v>0</v>
      </c>
      <c r="U517" s="8"/>
      <c r="V517" s="8"/>
      <c r="Z517" s="8"/>
      <c r="AA517" s="8"/>
    </row>
    <row r="518" spans="1:27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>
        <v>0</v>
      </c>
      <c r="Q518" s="8"/>
      <c r="R518" s="8"/>
      <c r="S518" s="8">
        <v>0</v>
      </c>
      <c r="T518" s="8">
        <v>0</v>
      </c>
      <c r="U518" s="8"/>
      <c r="V518" s="8"/>
      <c r="Z518" s="8"/>
      <c r="AA518" s="8"/>
    </row>
    <row r="519" spans="1:27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>
        <v>0</v>
      </c>
      <c r="Q519" s="8"/>
      <c r="R519" s="8"/>
      <c r="S519" s="8">
        <v>0</v>
      </c>
      <c r="T519" s="8">
        <v>0</v>
      </c>
      <c r="U519" s="8"/>
      <c r="V519" s="8"/>
      <c r="Z519" s="8"/>
      <c r="AA519" s="8"/>
    </row>
    <row r="520" spans="1:27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>
        <v>0</v>
      </c>
      <c r="Q520" s="8"/>
      <c r="R520" s="8"/>
      <c r="S520" s="8">
        <v>0</v>
      </c>
      <c r="T520" s="8">
        <v>0</v>
      </c>
      <c r="U520" s="8"/>
      <c r="V520" s="8"/>
      <c r="Z520" s="8"/>
      <c r="AA520" s="8"/>
    </row>
    <row r="521" spans="1:27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>
        <v>0</v>
      </c>
      <c r="Q521" s="8"/>
      <c r="R521" s="8"/>
      <c r="S521" s="8">
        <v>0</v>
      </c>
      <c r="T521" s="8">
        <v>0</v>
      </c>
      <c r="U521" s="8"/>
      <c r="V521" s="8"/>
      <c r="Z521" s="8"/>
      <c r="AA521" s="8"/>
    </row>
    <row r="522" spans="1:27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>
        <v>0</v>
      </c>
      <c r="Q522" s="8"/>
      <c r="R522" s="8"/>
      <c r="S522" s="8">
        <v>0</v>
      </c>
      <c r="T522" s="8">
        <v>0</v>
      </c>
      <c r="U522" s="8"/>
      <c r="V522" s="8"/>
      <c r="Z522" s="8"/>
      <c r="AA522" s="8"/>
    </row>
    <row r="523" spans="1:27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>
        <v>0</v>
      </c>
      <c r="Q523" s="8"/>
      <c r="R523" s="8"/>
      <c r="S523" s="8">
        <v>0</v>
      </c>
      <c r="T523" s="8">
        <v>0</v>
      </c>
      <c r="U523" s="8"/>
      <c r="V523" s="8"/>
      <c r="Z523" s="8"/>
      <c r="AA523" s="8"/>
    </row>
    <row r="524" spans="1:27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>
        <v>0</v>
      </c>
      <c r="Q524" s="8"/>
      <c r="R524" s="8"/>
      <c r="S524" s="8">
        <v>0</v>
      </c>
      <c r="T524" s="8">
        <v>0</v>
      </c>
      <c r="U524" s="8"/>
      <c r="V524" s="8"/>
      <c r="Z524" s="8"/>
      <c r="AA524" s="8"/>
    </row>
    <row r="525" spans="1:27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>
        <v>0</v>
      </c>
      <c r="Q525" s="8"/>
      <c r="R525" s="8"/>
      <c r="S525" s="8">
        <v>0</v>
      </c>
      <c r="T525" s="8">
        <v>0</v>
      </c>
      <c r="U525" s="8"/>
      <c r="V525" s="8"/>
      <c r="Z525" s="8"/>
      <c r="AA525" s="8"/>
    </row>
    <row r="526" spans="1:27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>
        <v>0</v>
      </c>
      <c r="Q526" s="8"/>
      <c r="R526" s="8"/>
      <c r="S526" s="8">
        <v>0</v>
      </c>
      <c r="T526" s="8">
        <v>0</v>
      </c>
      <c r="U526" s="8"/>
      <c r="V526" s="8"/>
      <c r="Z526" s="8"/>
      <c r="AA526" s="8"/>
    </row>
    <row r="527" spans="1: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>
        <v>0</v>
      </c>
      <c r="Q527" s="8"/>
      <c r="R527" s="8"/>
      <c r="S527" s="8">
        <v>0</v>
      </c>
      <c r="T527" s="8">
        <v>0</v>
      </c>
      <c r="U527" s="8"/>
      <c r="V527" s="8"/>
      <c r="Z527" s="8"/>
      <c r="AA527" s="8"/>
    </row>
    <row r="528" spans="1:27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>
        <v>0</v>
      </c>
      <c r="Q528" s="8"/>
      <c r="R528" s="8"/>
      <c r="S528" s="8">
        <v>0</v>
      </c>
      <c r="T528" s="8">
        <v>0</v>
      </c>
      <c r="U528" s="8"/>
      <c r="V528" s="8"/>
      <c r="Z528" s="8"/>
      <c r="AA528" s="8"/>
    </row>
    <row r="529" spans="1:27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>
        <v>0</v>
      </c>
      <c r="Q529" s="8"/>
      <c r="R529" s="8"/>
      <c r="S529" s="8">
        <v>0</v>
      </c>
      <c r="T529" s="8">
        <v>0</v>
      </c>
      <c r="U529" s="8"/>
      <c r="V529" s="8"/>
      <c r="Z529" s="8"/>
      <c r="AA529" s="8"/>
    </row>
    <row r="530" spans="1:27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>
        <v>0</v>
      </c>
      <c r="Q530" s="8"/>
      <c r="R530" s="8"/>
      <c r="S530" s="8">
        <v>0</v>
      </c>
      <c r="T530" s="8">
        <v>0</v>
      </c>
      <c r="U530" s="8"/>
      <c r="V530" s="8"/>
      <c r="Z530" s="8"/>
      <c r="AA530" s="8"/>
    </row>
    <row r="531" spans="1:27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>
        <v>0</v>
      </c>
      <c r="Q531" s="8"/>
      <c r="R531" s="8"/>
      <c r="S531" s="8">
        <v>0</v>
      </c>
      <c r="T531" s="8">
        <v>0</v>
      </c>
      <c r="U531" s="8"/>
      <c r="V531" s="8"/>
      <c r="Z531" s="8"/>
      <c r="AA531" s="8"/>
    </row>
    <row r="532" spans="1:27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>
        <v>0</v>
      </c>
      <c r="Q532" s="8"/>
      <c r="R532" s="8"/>
      <c r="S532" s="8">
        <v>0</v>
      </c>
      <c r="T532" s="8">
        <v>0</v>
      </c>
      <c r="U532" s="8"/>
      <c r="V532" s="8"/>
      <c r="Z532" s="8"/>
      <c r="AA532" s="8"/>
    </row>
    <row r="533" spans="1:27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>
        <v>0</v>
      </c>
      <c r="Q533" s="8"/>
      <c r="R533" s="8"/>
      <c r="S533" s="8">
        <v>0</v>
      </c>
      <c r="T533" s="8">
        <v>0</v>
      </c>
      <c r="U533" s="8"/>
      <c r="V533" s="8"/>
      <c r="Z533" s="8"/>
      <c r="AA533" s="8"/>
    </row>
    <row r="534" spans="1:27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>
        <v>0</v>
      </c>
      <c r="Q534" s="8"/>
      <c r="R534" s="8"/>
      <c r="S534" s="8">
        <v>0</v>
      </c>
      <c r="T534" s="8">
        <v>0</v>
      </c>
      <c r="U534" s="8"/>
      <c r="V534" s="8"/>
      <c r="Z534" s="8"/>
      <c r="AA534" s="8"/>
    </row>
    <row r="535" spans="1:27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>
        <v>0</v>
      </c>
      <c r="Q535" s="8"/>
      <c r="R535" s="8"/>
      <c r="S535" s="8">
        <v>0</v>
      </c>
      <c r="T535" s="8">
        <v>0</v>
      </c>
      <c r="U535" s="8"/>
      <c r="V535" s="8"/>
      <c r="Z535" s="8"/>
      <c r="AA535" s="8"/>
    </row>
    <row r="536" spans="1:27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>
        <v>0</v>
      </c>
      <c r="Q536" s="8"/>
      <c r="R536" s="8"/>
      <c r="S536" s="8">
        <v>0</v>
      </c>
      <c r="T536" s="8">
        <v>0</v>
      </c>
      <c r="U536" s="8"/>
      <c r="V536" s="8"/>
      <c r="Z536" s="8"/>
      <c r="AA536" s="8"/>
    </row>
    <row r="537" spans="1:2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>
        <v>0</v>
      </c>
      <c r="Q537" s="8"/>
      <c r="R537" s="8"/>
      <c r="S537" s="8">
        <v>0</v>
      </c>
      <c r="T537" s="8">
        <v>0</v>
      </c>
      <c r="U537" s="8"/>
      <c r="V537" s="8"/>
      <c r="Z537" s="8"/>
      <c r="AA537" s="8"/>
    </row>
    <row r="538" spans="1:27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>
        <v>0</v>
      </c>
      <c r="Q538" s="8"/>
      <c r="R538" s="8"/>
      <c r="S538" s="8">
        <v>0</v>
      </c>
      <c r="T538" s="8">
        <v>0</v>
      </c>
      <c r="U538" s="8"/>
      <c r="V538" s="8"/>
      <c r="Z538" s="8"/>
      <c r="AA538" s="8"/>
    </row>
    <row r="539" spans="1:27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>
        <v>0</v>
      </c>
      <c r="Q539" s="8"/>
      <c r="R539" s="8"/>
      <c r="S539" s="8">
        <v>0</v>
      </c>
      <c r="T539" s="8">
        <v>0</v>
      </c>
      <c r="U539" s="8"/>
      <c r="V539" s="8"/>
      <c r="Z539" s="8"/>
      <c r="AA539" s="8"/>
    </row>
    <row r="540" spans="1:27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>
        <v>0</v>
      </c>
      <c r="Q540" s="8"/>
      <c r="R540" s="8"/>
      <c r="S540" s="8">
        <v>0</v>
      </c>
      <c r="T540" s="8">
        <v>0</v>
      </c>
      <c r="U540" s="8"/>
      <c r="V540" s="8"/>
      <c r="Z540" s="8"/>
      <c r="AA540" s="8"/>
    </row>
    <row r="541" spans="1:27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>
        <v>0</v>
      </c>
      <c r="Q541" s="8"/>
      <c r="R541" s="8"/>
      <c r="S541" s="8">
        <v>0</v>
      </c>
      <c r="T541" s="8">
        <v>0</v>
      </c>
      <c r="U541" s="8"/>
      <c r="V541" s="8"/>
      <c r="Z541" s="8"/>
      <c r="AA541" s="8"/>
    </row>
    <row r="542" spans="1:27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>
        <v>0</v>
      </c>
      <c r="Q542" s="8"/>
      <c r="R542" s="8"/>
      <c r="S542" s="8">
        <v>0</v>
      </c>
      <c r="T542" s="8">
        <v>0</v>
      </c>
      <c r="U542" s="8"/>
      <c r="V542" s="8"/>
      <c r="Z542" s="8"/>
      <c r="AA542" s="8"/>
    </row>
    <row r="543" spans="1:27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>
        <v>0</v>
      </c>
      <c r="Q543" s="8"/>
      <c r="R543" s="8"/>
      <c r="S543" s="8">
        <v>0</v>
      </c>
      <c r="T543" s="8">
        <v>0</v>
      </c>
      <c r="U543" s="8"/>
      <c r="V543" s="8"/>
      <c r="Z543" s="8"/>
      <c r="AA543" s="8"/>
    </row>
    <row r="544" spans="1:27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>
        <v>0</v>
      </c>
      <c r="Q544" s="8"/>
      <c r="R544" s="8"/>
      <c r="S544" s="8">
        <v>0</v>
      </c>
      <c r="T544" s="8">
        <v>0</v>
      </c>
      <c r="U544" s="8"/>
      <c r="V544" s="8"/>
      <c r="Z544" s="8"/>
      <c r="AA544" s="8"/>
    </row>
    <row r="545" spans="1:27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>
        <v>0</v>
      </c>
      <c r="Q545" s="8"/>
      <c r="R545" s="8"/>
      <c r="S545" s="8">
        <v>0</v>
      </c>
      <c r="T545" s="8">
        <v>0</v>
      </c>
      <c r="U545" s="8"/>
      <c r="V545" s="8"/>
      <c r="Z545" s="8"/>
      <c r="AA545" s="8"/>
    </row>
    <row r="546" spans="1:27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>
        <v>0</v>
      </c>
      <c r="Q546" s="8"/>
      <c r="R546" s="8"/>
      <c r="S546" s="8">
        <v>0</v>
      </c>
      <c r="T546" s="8">
        <v>0</v>
      </c>
      <c r="U546" s="8"/>
      <c r="V546" s="8"/>
      <c r="Z546" s="8"/>
      <c r="AA546" s="8"/>
    </row>
    <row r="547" spans="1:2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>
        <v>0</v>
      </c>
      <c r="Q547" s="8"/>
      <c r="R547" s="8"/>
      <c r="S547" s="8">
        <v>0</v>
      </c>
      <c r="T547" s="8">
        <v>0</v>
      </c>
      <c r="U547" s="8"/>
      <c r="V547" s="8"/>
      <c r="Z547" s="8"/>
      <c r="AA547" s="8"/>
    </row>
    <row r="548" spans="1:27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>
        <v>0</v>
      </c>
      <c r="Q548" s="8"/>
      <c r="R548" s="8"/>
      <c r="S548" s="8">
        <v>0</v>
      </c>
      <c r="T548" s="8">
        <v>0</v>
      </c>
      <c r="U548" s="8"/>
      <c r="V548" s="8"/>
      <c r="Z548" s="8"/>
      <c r="AA548" s="8"/>
    </row>
    <row r="549" spans="1:27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>
        <v>0</v>
      </c>
      <c r="Q549" s="8"/>
      <c r="R549" s="8"/>
      <c r="S549" s="8">
        <v>0</v>
      </c>
      <c r="T549" s="8">
        <v>0</v>
      </c>
      <c r="U549" s="8"/>
      <c r="V549" s="8"/>
      <c r="Z549" s="8"/>
      <c r="AA549" s="8"/>
    </row>
    <row r="550" spans="1:27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>
        <v>0</v>
      </c>
      <c r="Q550" s="8"/>
      <c r="R550" s="8"/>
      <c r="S550" s="8">
        <v>0</v>
      </c>
      <c r="T550" s="8">
        <v>0</v>
      </c>
      <c r="U550" s="8"/>
      <c r="V550" s="8"/>
      <c r="Z550" s="8"/>
      <c r="AA550" s="8"/>
    </row>
    <row r="551" spans="1:27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>
        <v>0</v>
      </c>
      <c r="Q551" s="8"/>
      <c r="R551" s="8"/>
      <c r="S551" s="8">
        <v>0</v>
      </c>
      <c r="T551" s="8">
        <v>0</v>
      </c>
      <c r="U551" s="8"/>
      <c r="V551" s="8"/>
      <c r="Z551" s="8"/>
      <c r="AA551" s="8"/>
    </row>
    <row r="552" spans="1:27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>
        <v>0</v>
      </c>
      <c r="Q552" s="8"/>
      <c r="R552" s="8"/>
      <c r="S552" s="8">
        <v>0</v>
      </c>
      <c r="T552" s="8">
        <v>0</v>
      </c>
      <c r="U552" s="8"/>
      <c r="V552" s="8"/>
      <c r="Z552" s="8"/>
      <c r="AA552" s="8"/>
    </row>
    <row r="553" spans="1:27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>
        <v>0</v>
      </c>
      <c r="Q553" s="8"/>
      <c r="R553" s="8"/>
      <c r="S553" s="8">
        <v>0</v>
      </c>
      <c r="T553" s="8">
        <v>0</v>
      </c>
      <c r="U553" s="8"/>
      <c r="V553" s="8"/>
      <c r="Z553" s="8"/>
      <c r="AA553" s="8"/>
    </row>
    <row r="554" spans="1:27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>
        <v>0</v>
      </c>
      <c r="Q554" s="8"/>
      <c r="R554" s="8"/>
      <c r="S554" s="8">
        <v>0</v>
      </c>
      <c r="T554" s="8">
        <v>0</v>
      </c>
      <c r="U554" s="8"/>
      <c r="V554" s="8"/>
      <c r="Z554" s="8"/>
      <c r="AA554" s="8"/>
    </row>
    <row r="555" spans="1:27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>
        <v>0</v>
      </c>
      <c r="Q555" s="8"/>
      <c r="R555" s="8"/>
      <c r="S555" s="8">
        <v>0</v>
      </c>
      <c r="T555" s="8">
        <v>0</v>
      </c>
      <c r="U555" s="8"/>
      <c r="V555" s="8"/>
      <c r="Z555" s="8"/>
      <c r="AA555" s="8"/>
    </row>
    <row r="556" spans="1:27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>
        <v>0</v>
      </c>
      <c r="Q556" s="8"/>
      <c r="R556" s="8"/>
      <c r="S556" s="8">
        <v>0</v>
      </c>
      <c r="T556" s="8">
        <v>0</v>
      </c>
      <c r="U556" s="8"/>
      <c r="V556" s="8"/>
      <c r="Z556" s="8"/>
      <c r="AA556" s="8"/>
    </row>
    <row r="557" spans="1:2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>
        <v>0</v>
      </c>
      <c r="Q557" s="8"/>
      <c r="R557" s="8"/>
      <c r="S557" s="8">
        <v>0</v>
      </c>
      <c r="T557" s="8">
        <v>0</v>
      </c>
      <c r="U557" s="8"/>
      <c r="V557" s="8"/>
      <c r="Z557" s="8"/>
      <c r="AA557" s="8"/>
    </row>
    <row r="558" spans="1:27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>
        <v>0</v>
      </c>
      <c r="Q558" s="8"/>
      <c r="R558" s="8"/>
      <c r="S558" s="8">
        <v>0</v>
      </c>
      <c r="T558" s="8">
        <v>0</v>
      </c>
      <c r="U558" s="8"/>
      <c r="V558" s="8"/>
      <c r="Z558" s="8"/>
      <c r="AA558" s="8"/>
    </row>
    <row r="559" spans="1:27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>
        <v>0</v>
      </c>
      <c r="Q559" s="8"/>
      <c r="R559" s="8"/>
      <c r="S559" s="8">
        <v>0</v>
      </c>
      <c r="T559" s="8">
        <v>0</v>
      </c>
      <c r="U559" s="8"/>
      <c r="V559" s="8"/>
      <c r="Z559" s="8"/>
      <c r="AA559" s="8"/>
    </row>
    <row r="560" spans="1:27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>
        <v>0</v>
      </c>
      <c r="Q560" s="8"/>
      <c r="R560" s="8"/>
      <c r="S560" s="8">
        <v>0</v>
      </c>
      <c r="T560" s="8">
        <v>0</v>
      </c>
      <c r="U560" s="8"/>
      <c r="V560" s="8"/>
      <c r="Z560" s="8"/>
      <c r="AA560" s="8"/>
    </row>
    <row r="561" spans="1:27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>
        <v>0</v>
      </c>
      <c r="Q561" s="8"/>
      <c r="R561" s="8"/>
      <c r="S561" s="8">
        <v>0</v>
      </c>
      <c r="T561" s="8">
        <v>0</v>
      </c>
      <c r="U561" s="8"/>
      <c r="V561" s="8"/>
      <c r="Z561" s="8"/>
      <c r="AA561" s="8"/>
    </row>
    <row r="562" spans="1:27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>
        <v>0</v>
      </c>
      <c r="Q562" s="8"/>
      <c r="R562" s="8"/>
      <c r="S562" s="8">
        <v>0</v>
      </c>
      <c r="T562" s="8">
        <v>0</v>
      </c>
      <c r="U562" s="8"/>
      <c r="V562" s="8"/>
      <c r="Z562" s="8"/>
      <c r="AA562" s="8"/>
    </row>
    <row r="563" spans="1:27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>
        <v>0</v>
      </c>
      <c r="Q563" s="8"/>
      <c r="R563" s="8"/>
      <c r="S563" s="8">
        <v>0</v>
      </c>
      <c r="T563" s="8">
        <v>0</v>
      </c>
      <c r="U563" s="8"/>
      <c r="V563" s="8"/>
      <c r="Z563" s="8"/>
      <c r="AA563" s="8"/>
    </row>
    <row r="564" spans="1:27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>
        <v>0</v>
      </c>
      <c r="Q564" s="8"/>
      <c r="R564" s="8"/>
      <c r="S564" s="8">
        <v>0</v>
      </c>
      <c r="T564" s="8">
        <v>0</v>
      </c>
      <c r="U564" s="8"/>
      <c r="V564" s="8"/>
      <c r="Z564" s="8"/>
      <c r="AA564" s="8"/>
    </row>
    <row r="565" spans="1:27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>
        <v>0</v>
      </c>
      <c r="Q565" s="8"/>
      <c r="R565" s="8"/>
      <c r="S565" s="8">
        <v>0</v>
      </c>
      <c r="T565" s="8">
        <v>0</v>
      </c>
      <c r="U565" s="8"/>
      <c r="V565" s="8"/>
      <c r="Z565" s="8"/>
      <c r="AA565" s="8"/>
    </row>
    <row r="566" spans="1:27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>
        <v>0</v>
      </c>
      <c r="Q566" s="8"/>
      <c r="R566" s="8"/>
      <c r="S566" s="8">
        <v>0</v>
      </c>
      <c r="T566" s="8">
        <v>0</v>
      </c>
      <c r="U566" s="8"/>
      <c r="V566" s="8"/>
      <c r="Z566" s="8"/>
      <c r="AA566" s="8"/>
    </row>
    <row r="567" spans="1:2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>
        <v>0</v>
      </c>
      <c r="Q567" s="8"/>
      <c r="R567" s="8"/>
      <c r="S567" s="8">
        <v>0</v>
      </c>
      <c r="T567" s="8">
        <v>0</v>
      </c>
      <c r="U567" s="8"/>
      <c r="V567" s="8"/>
      <c r="Z567" s="8"/>
      <c r="AA567" s="8"/>
    </row>
    <row r="568" spans="1:27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>
        <v>0</v>
      </c>
      <c r="Q568" s="8"/>
      <c r="R568" s="8"/>
      <c r="S568" s="8">
        <v>0</v>
      </c>
      <c r="T568" s="8">
        <v>0</v>
      </c>
      <c r="U568" s="8"/>
      <c r="V568" s="8"/>
      <c r="Z568" s="8"/>
      <c r="AA568" s="8"/>
    </row>
    <row r="569" spans="1:27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>
        <v>0</v>
      </c>
      <c r="Q569" s="8"/>
      <c r="R569" s="8"/>
      <c r="S569" s="8">
        <v>0</v>
      </c>
      <c r="T569" s="8">
        <v>0</v>
      </c>
      <c r="U569" s="8"/>
      <c r="V569" s="8"/>
      <c r="Z569" s="8"/>
      <c r="AA569" s="8"/>
    </row>
    <row r="570" spans="1:27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>
        <v>0</v>
      </c>
      <c r="Q570" s="8"/>
      <c r="R570" s="8"/>
      <c r="S570" s="8">
        <v>0</v>
      </c>
      <c r="T570" s="8">
        <v>0</v>
      </c>
      <c r="U570" s="8"/>
      <c r="V570" s="8"/>
      <c r="Z570" s="8"/>
      <c r="AA570" s="8"/>
    </row>
    <row r="571" spans="1:27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>
        <v>0</v>
      </c>
      <c r="Q571" s="8"/>
      <c r="R571" s="8"/>
      <c r="S571" s="8">
        <v>0</v>
      </c>
      <c r="T571" s="8">
        <v>0</v>
      </c>
      <c r="U571" s="8"/>
      <c r="V571" s="8"/>
      <c r="Z571" s="8"/>
      <c r="AA571" s="8"/>
    </row>
    <row r="572" spans="1:27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>
        <v>0</v>
      </c>
      <c r="Q572" s="8"/>
      <c r="R572" s="8"/>
      <c r="S572" s="8">
        <v>0</v>
      </c>
      <c r="T572" s="8">
        <v>0</v>
      </c>
      <c r="U572" s="8"/>
      <c r="V572" s="8"/>
      <c r="Z572" s="8"/>
      <c r="AA572" s="8"/>
    </row>
    <row r="573" spans="1:27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>
        <v>0</v>
      </c>
      <c r="Q573" s="8"/>
      <c r="R573" s="8"/>
      <c r="S573" s="8">
        <v>0</v>
      </c>
      <c r="T573" s="8">
        <v>0</v>
      </c>
      <c r="U573" s="8"/>
      <c r="V573" s="8"/>
      <c r="Z573" s="8"/>
      <c r="AA573" s="8"/>
    </row>
    <row r="574" spans="1:27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>
        <v>0</v>
      </c>
      <c r="Q574" s="8"/>
      <c r="R574" s="8"/>
      <c r="S574" s="8">
        <v>0</v>
      </c>
      <c r="T574" s="8">
        <v>0</v>
      </c>
      <c r="U574" s="8"/>
      <c r="V574" s="8"/>
      <c r="Z574" s="8"/>
      <c r="AA574" s="8"/>
    </row>
    <row r="575" spans="1:27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>
        <v>0</v>
      </c>
      <c r="Q575" s="8"/>
      <c r="R575" s="8"/>
      <c r="S575" s="8">
        <v>0</v>
      </c>
      <c r="T575" s="8">
        <v>0</v>
      </c>
      <c r="U575" s="8"/>
      <c r="V575" s="8"/>
      <c r="Z575" s="8"/>
      <c r="AA575" s="8"/>
    </row>
    <row r="576" spans="1:27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>
        <v>0</v>
      </c>
      <c r="Q576" s="8"/>
      <c r="R576" s="8"/>
      <c r="S576" s="8">
        <v>0</v>
      </c>
      <c r="T576" s="8">
        <v>0</v>
      </c>
      <c r="U576" s="8"/>
      <c r="V576" s="8"/>
      <c r="Z576" s="8"/>
      <c r="AA576" s="8"/>
    </row>
    <row r="577" spans="1:2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>
        <v>0</v>
      </c>
      <c r="Q577" s="8"/>
      <c r="R577" s="8"/>
      <c r="S577" s="8">
        <v>0</v>
      </c>
      <c r="T577" s="8">
        <v>0</v>
      </c>
      <c r="U577" s="8"/>
      <c r="V577" s="8"/>
      <c r="Z577" s="8"/>
      <c r="AA577" s="8"/>
    </row>
    <row r="578" spans="1:27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>
        <v>0</v>
      </c>
      <c r="Q578" s="8"/>
      <c r="R578" s="8"/>
      <c r="S578" s="8">
        <v>0</v>
      </c>
      <c r="T578" s="8">
        <v>0</v>
      </c>
      <c r="U578" s="8"/>
      <c r="V578" s="8"/>
      <c r="Z578" s="8"/>
      <c r="AA578" s="8"/>
    </row>
    <row r="579" spans="1:27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>
        <v>0</v>
      </c>
      <c r="Q579" s="8"/>
      <c r="R579" s="8"/>
      <c r="S579" s="8">
        <v>0</v>
      </c>
      <c r="T579" s="8">
        <v>0</v>
      </c>
      <c r="U579" s="8"/>
      <c r="V579" s="8"/>
      <c r="Z579" s="8"/>
      <c r="AA579" s="8"/>
    </row>
    <row r="580" spans="1:27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>
        <v>0</v>
      </c>
      <c r="Q580" s="8"/>
      <c r="R580" s="8"/>
      <c r="S580" s="8">
        <v>0</v>
      </c>
      <c r="T580" s="8">
        <v>0</v>
      </c>
      <c r="U580" s="8"/>
      <c r="V580" s="8"/>
      <c r="Z580" s="8"/>
      <c r="AA580" s="8"/>
    </row>
    <row r="581" spans="1:27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>
        <v>0</v>
      </c>
      <c r="Q581" s="8"/>
      <c r="R581" s="8"/>
      <c r="S581" s="8">
        <v>0</v>
      </c>
      <c r="T581" s="8">
        <v>0</v>
      </c>
      <c r="U581" s="8"/>
      <c r="V581" s="8"/>
      <c r="Z581" s="8"/>
      <c r="AA581" s="8"/>
    </row>
    <row r="582" spans="1:27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>
        <v>0</v>
      </c>
      <c r="Q582" s="8"/>
      <c r="R582" s="8"/>
      <c r="S582" s="8">
        <v>0</v>
      </c>
      <c r="T582" s="8">
        <v>0</v>
      </c>
      <c r="U582" s="8"/>
      <c r="V582" s="8"/>
      <c r="Z582" s="8"/>
      <c r="AA582" s="8"/>
    </row>
    <row r="583" spans="1:27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>
        <v>0</v>
      </c>
      <c r="Q583" s="8"/>
      <c r="R583" s="8"/>
      <c r="S583" s="8">
        <v>0</v>
      </c>
      <c r="T583" s="8">
        <v>0</v>
      </c>
      <c r="U583" s="8"/>
      <c r="V583" s="8"/>
      <c r="Z583" s="8"/>
      <c r="AA583" s="8"/>
    </row>
    <row r="584" spans="1:27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>
        <v>0</v>
      </c>
      <c r="Q584" s="8"/>
      <c r="R584" s="8"/>
      <c r="S584" s="8">
        <v>0</v>
      </c>
      <c r="T584" s="8">
        <v>0</v>
      </c>
      <c r="U584" s="8"/>
      <c r="V584" s="8"/>
      <c r="Z584" s="8"/>
      <c r="AA584" s="8"/>
    </row>
    <row r="585" spans="1:27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>
        <v>0</v>
      </c>
      <c r="Q585" s="8"/>
      <c r="R585" s="8"/>
      <c r="S585" s="8">
        <v>0</v>
      </c>
      <c r="T585" s="8">
        <v>0</v>
      </c>
      <c r="U585" s="8"/>
      <c r="V585" s="8"/>
      <c r="Z585" s="8"/>
      <c r="AA585" s="8"/>
    </row>
    <row r="586" spans="1:27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>
        <v>0</v>
      </c>
      <c r="Q586" s="8"/>
      <c r="R586" s="8"/>
      <c r="S586" s="8">
        <v>0</v>
      </c>
      <c r="T586" s="8">
        <v>0</v>
      </c>
      <c r="U586" s="8"/>
      <c r="V586" s="8"/>
      <c r="Z586" s="8"/>
      <c r="AA586" s="8"/>
    </row>
    <row r="587" spans="1:2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>
        <v>0</v>
      </c>
      <c r="Q587" s="8"/>
      <c r="R587" s="8"/>
      <c r="S587" s="8">
        <v>0</v>
      </c>
      <c r="T587" s="8">
        <v>0</v>
      </c>
      <c r="U587" s="8"/>
      <c r="V587" s="8"/>
      <c r="Z587" s="8"/>
      <c r="AA587" s="8"/>
    </row>
    <row r="588" spans="1:27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>
        <v>0</v>
      </c>
      <c r="Q588" s="8"/>
      <c r="R588" s="8"/>
      <c r="S588" s="8">
        <v>0</v>
      </c>
      <c r="T588" s="8">
        <v>0</v>
      </c>
      <c r="U588" s="8"/>
      <c r="V588" s="8"/>
      <c r="Z588" s="8"/>
      <c r="AA588" s="8"/>
    </row>
    <row r="589" spans="1:27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>
        <v>0</v>
      </c>
      <c r="Q589" s="8"/>
      <c r="R589" s="8"/>
      <c r="S589" s="8">
        <v>0</v>
      </c>
      <c r="T589" s="8">
        <v>0</v>
      </c>
      <c r="U589" s="8"/>
      <c r="V589" s="8"/>
      <c r="Z589" s="8"/>
      <c r="AA589" s="8"/>
    </row>
    <row r="590" spans="1:27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>
        <v>0</v>
      </c>
      <c r="Q590" s="8"/>
      <c r="R590" s="8"/>
      <c r="S590" s="8">
        <v>0</v>
      </c>
      <c r="T590" s="8">
        <v>0</v>
      </c>
      <c r="U590" s="8"/>
      <c r="V590" s="8"/>
      <c r="Z590" s="8"/>
      <c r="AA590" s="8"/>
    </row>
    <row r="591" spans="1:27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>
        <v>0</v>
      </c>
      <c r="Q591" s="8"/>
      <c r="R591" s="8"/>
      <c r="S591" s="8">
        <v>0</v>
      </c>
      <c r="T591" s="8">
        <v>0</v>
      </c>
      <c r="U591" s="8"/>
      <c r="V591" s="8"/>
      <c r="Z591" s="8"/>
      <c r="AA591" s="8"/>
    </row>
    <row r="592" spans="1:27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>
        <v>0</v>
      </c>
      <c r="Q592" s="8"/>
      <c r="R592" s="8"/>
      <c r="S592" s="8">
        <v>0</v>
      </c>
      <c r="T592" s="8">
        <v>0</v>
      </c>
      <c r="U592" s="8"/>
      <c r="V592" s="8"/>
      <c r="Z592" s="8"/>
      <c r="AA592" s="8"/>
    </row>
    <row r="593" spans="1:27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>
        <v>0</v>
      </c>
      <c r="Q593" s="8"/>
      <c r="R593" s="8"/>
      <c r="S593" s="8">
        <v>0</v>
      </c>
      <c r="T593" s="8">
        <v>0</v>
      </c>
      <c r="U593" s="8"/>
      <c r="V593" s="8"/>
      <c r="Z593" s="8"/>
      <c r="AA593" s="8"/>
    </row>
    <row r="594" spans="1:27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>
        <v>0</v>
      </c>
      <c r="Q594" s="8"/>
      <c r="R594" s="8"/>
      <c r="S594" s="8">
        <v>0</v>
      </c>
      <c r="T594" s="8">
        <v>0</v>
      </c>
      <c r="U594" s="8"/>
      <c r="V594" s="8"/>
      <c r="Z594" s="8"/>
      <c r="AA594" s="8"/>
    </row>
    <row r="595" spans="1:27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>
        <v>0</v>
      </c>
      <c r="Q595" s="8"/>
      <c r="R595" s="8"/>
      <c r="S595" s="8">
        <v>0</v>
      </c>
      <c r="T595" s="8">
        <v>0</v>
      </c>
      <c r="U595" s="8"/>
      <c r="V595" s="8"/>
      <c r="Z595" s="8"/>
      <c r="AA595" s="8"/>
    </row>
    <row r="596" spans="1:27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>
        <v>0</v>
      </c>
      <c r="Q596" s="8"/>
      <c r="R596" s="8"/>
      <c r="S596" s="8">
        <v>0</v>
      </c>
      <c r="T596" s="8">
        <v>0</v>
      </c>
      <c r="U596" s="8"/>
      <c r="V596" s="8"/>
      <c r="Z596" s="8"/>
      <c r="AA596" s="8"/>
    </row>
    <row r="597" spans="1:2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>
        <v>0</v>
      </c>
      <c r="Q597" s="8"/>
      <c r="R597" s="8"/>
      <c r="S597" s="8">
        <v>0</v>
      </c>
      <c r="T597" s="8">
        <v>0</v>
      </c>
      <c r="U597" s="8"/>
      <c r="V597" s="8"/>
      <c r="Z597" s="8"/>
      <c r="AA597" s="8"/>
    </row>
    <row r="598" spans="1:27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>
        <v>0</v>
      </c>
      <c r="Q598" s="8"/>
      <c r="R598" s="8"/>
      <c r="S598" s="8">
        <v>0</v>
      </c>
      <c r="T598" s="8">
        <v>0</v>
      </c>
      <c r="U598" s="8"/>
      <c r="V598" s="8"/>
      <c r="Z598" s="8"/>
      <c r="AA598" s="8"/>
    </row>
    <row r="599" spans="1:27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>
        <v>0</v>
      </c>
      <c r="Q599" s="8"/>
      <c r="R599" s="8"/>
      <c r="S599" s="8">
        <v>0</v>
      </c>
      <c r="T599" s="8">
        <v>0</v>
      </c>
      <c r="U599" s="8"/>
      <c r="V599" s="8"/>
      <c r="Z599" s="8"/>
      <c r="AA599" s="8"/>
    </row>
    <row r="600" spans="1:27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>
        <v>0</v>
      </c>
      <c r="Q600" s="8"/>
      <c r="R600" s="8"/>
      <c r="S600" s="8">
        <v>0</v>
      </c>
      <c r="T600" s="8">
        <v>0</v>
      </c>
      <c r="U600" s="8"/>
      <c r="V600" s="8"/>
      <c r="Z600" s="8"/>
      <c r="AA600" s="8"/>
    </row>
    <row r="601" spans="1:27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>
        <v>0</v>
      </c>
      <c r="Q601" s="8"/>
      <c r="R601" s="8"/>
      <c r="S601" s="8">
        <v>0</v>
      </c>
      <c r="T601" s="8">
        <v>0</v>
      </c>
      <c r="U601" s="8"/>
      <c r="V601" s="8"/>
      <c r="Z601" s="8"/>
      <c r="AA601" s="8"/>
    </row>
    <row r="602" spans="1:27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>
        <v>0</v>
      </c>
      <c r="Q602" s="8"/>
      <c r="R602" s="8"/>
      <c r="S602" s="8">
        <v>0</v>
      </c>
      <c r="T602" s="8">
        <v>0</v>
      </c>
      <c r="U602" s="8"/>
      <c r="V602" s="8"/>
      <c r="Z602" s="8"/>
      <c r="AA602" s="8"/>
    </row>
    <row r="603" spans="1:27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>
        <v>0</v>
      </c>
      <c r="Q603" s="8"/>
      <c r="R603" s="8"/>
      <c r="S603" s="8">
        <v>0</v>
      </c>
      <c r="T603" s="8">
        <v>0</v>
      </c>
      <c r="U603" s="8"/>
      <c r="V603" s="8"/>
      <c r="Z603" s="8"/>
      <c r="AA603" s="8"/>
    </row>
    <row r="604" spans="1:27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>
        <v>0</v>
      </c>
      <c r="Q604" s="8"/>
      <c r="R604" s="8"/>
      <c r="S604" s="8">
        <v>0</v>
      </c>
      <c r="T604" s="8">
        <v>0</v>
      </c>
      <c r="U604" s="8"/>
      <c r="V604" s="8"/>
      <c r="Z604" s="8"/>
      <c r="AA604" s="8"/>
    </row>
    <row r="605" spans="1:27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>
        <v>0</v>
      </c>
      <c r="Q605" s="8"/>
      <c r="R605" s="8"/>
      <c r="S605" s="8">
        <v>0</v>
      </c>
      <c r="T605" s="8">
        <v>0</v>
      </c>
      <c r="U605" s="8"/>
      <c r="V605" s="8"/>
      <c r="Z605" s="8"/>
      <c r="AA605" s="8"/>
    </row>
    <row r="606" spans="1:27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>
        <v>0</v>
      </c>
      <c r="Q606" s="8"/>
      <c r="R606" s="8"/>
      <c r="S606" s="8">
        <v>0</v>
      </c>
      <c r="T606" s="8">
        <v>0</v>
      </c>
      <c r="U606" s="8"/>
      <c r="V606" s="8"/>
      <c r="Z606" s="8"/>
      <c r="AA606" s="8"/>
    </row>
    <row r="607" spans="1:2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>
        <v>0</v>
      </c>
      <c r="Q607" s="8"/>
      <c r="R607" s="8"/>
      <c r="S607" s="8">
        <v>0</v>
      </c>
      <c r="T607" s="8">
        <v>0</v>
      </c>
      <c r="U607" s="8"/>
      <c r="V607" s="8"/>
      <c r="Z607" s="8"/>
      <c r="AA607" s="8"/>
    </row>
    <row r="608" spans="1:27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>
        <v>0</v>
      </c>
      <c r="Q608" s="8"/>
      <c r="R608" s="8"/>
      <c r="S608" s="8">
        <v>0</v>
      </c>
      <c r="T608" s="8">
        <v>0</v>
      </c>
      <c r="U608" s="8"/>
      <c r="V608" s="8"/>
      <c r="Z608" s="8"/>
      <c r="AA608" s="8"/>
    </row>
    <row r="609" spans="1:27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>
        <v>0</v>
      </c>
      <c r="Q609" s="8"/>
      <c r="R609" s="8"/>
      <c r="S609" s="8">
        <v>0</v>
      </c>
      <c r="T609" s="8">
        <v>0</v>
      </c>
      <c r="U609" s="8"/>
      <c r="V609" s="8"/>
      <c r="Z609" s="8"/>
      <c r="AA609" s="8"/>
    </row>
    <row r="610" spans="1:27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>
        <v>0</v>
      </c>
      <c r="Q610" s="8"/>
      <c r="R610" s="8"/>
      <c r="S610" s="8">
        <v>0</v>
      </c>
      <c r="T610" s="8">
        <v>0</v>
      </c>
      <c r="U610" s="8"/>
      <c r="V610" s="8"/>
      <c r="Z610" s="8"/>
      <c r="AA610" s="8"/>
    </row>
    <row r="611" spans="1:27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>
        <v>0</v>
      </c>
      <c r="Q611" s="8"/>
      <c r="R611" s="8"/>
      <c r="S611" s="8">
        <v>0</v>
      </c>
      <c r="T611" s="8">
        <v>0</v>
      </c>
      <c r="U611" s="8"/>
      <c r="V611" s="8"/>
      <c r="Z611" s="8"/>
      <c r="AA611" s="8"/>
    </row>
    <row r="612" spans="1:27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>
        <v>0</v>
      </c>
      <c r="Q612" s="8"/>
      <c r="R612" s="8"/>
      <c r="S612" s="8">
        <v>0</v>
      </c>
      <c r="T612" s="8">
        <v>0</v>
      </c>
      <c r="U612" s="8"/>
      <c r="V612" s="8"/>
      <c r="Z612" s="8"/>
      <c r="AA612" s="8"/>
    </row>
    <row r="613" spans="1:27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>
        <v>0</v>
      </c>
      <c r="Q613" s="8"/>
      <c r="R613" s="8"/>
      <c r="S613" s="8">
        <v>0</v>
      </c>
      <c r="T613" s="8">
        <v>0</v>
      </c>
      <c r="U613" s="8"/>
      <c r="V613" s="8"/>
      <c r="Z613" s="8"/>
      <c r="AA613" s="8"/>
    </row>
    <row r="614" spans="1:27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>
        <v>0</v>
      </c>
      <c r="Q614" s="8"/>
      <c r="R614" s="8"/>
      <c r="S614" s="8">
        <v>0</v>
      </c>
      <c r="T614" s="8">
        <v>0</v>
      </c>
      <c r="U614" s="8"/>
      <c r="V614" s="8"/>
      <c r="Z614" s="8"/>
      <c r="AA614" s="8"/>
    </row>
    <row r="615" spans="1:27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>
        <v>0</v>
      </c>
      <c r="Q615" s="8"/>
      <c r="R615" s="8"/>
      <c r="S615" s="8">
        <v>0</v>
      </c>
      <c r="T615" s="8">
        <v>0</v>
      </c>
      <c r="U615" s="8"/>
      <c r="V615" s="8"/>
      <c r="Z615" s="8"/>
      <c r="AA615" s="8"/>
    </row>
    <row r="616" spans="1:27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>
        <v>0</v>
      </c>
      <c r="Q616" s="8"/>
      <c r="R616" s="8"/>
      <c r="S616" s="8">
        <v>0</v>
      </c>
      <c r="T616" s="8">
        <v>0</v>
      </c>
      <c r="U616" s="8"/>
      <c r="V616" s="8"/>
      <c r="Z616" s="8"/>
      <c r="AA616" s="8"/>
    </row>
    <row r="617" spans="1:2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>
        <v>0</v>
      </c>
      <c r="Q617" s="8"/>
      <c r="R617" s="8"/>
      <c r="S617" s="8">
        <v>0</v>
      </c>
      <c r="T617" s="8">
        <v>0</v>
      </c>
      <c r="U617" s="8"/>
      <c r="V617" s="8"/>
      <c r="Z617" s="8"/>
      <c r="AA617" s="8"/>
    </row>
    <row r="618" spans="1:27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>
        <v>0</v>
      </c>
      <c r="Q618" s="8"/>
      <c r="R618" s="8"/>
      <c r="S618" s="8">
        <v>0</v>
      </c>
      <c r="T618" s="8">
        <v>0</v>
      </c>
      <c r="U618" s="8"/>
      <c r="V618" s="8"/>
      <c r="Z618" s="8"/>
      <c r="AA618" s="8"/>
    </row>
    <row r="619" spans="1:27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>
        <v>0</v>
      </c>
      <c r="Q619" s="8"/>
      <c r="R619" s="8"/>
      <c r="S619" s="8">
        <v>0</v>
      </c>
      <c r="T619" s="8">
        <v>0</v>
      </c>
      <c r="U619" s="8"/>
      <c r="V619" s="8"/>
      <c r="Z619" s="8"/>
      <c r="AA619" s="8"/>
    </row>
    <row r="620" spans="1:27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>
        <v>0</v>
      </c>
      <c r="Q620" s="8"/>
      <c r="R620" s="8"/>
      <c r="S620" s="8">
        <v>0</v>
      </c>
      <c r="T620" s="8">
        <v>0</v>
      </c>
      <c r="U620" s="8"/>
      <c r="V620" s="8"/>
      <c r="Z620" s="8"/>
      <c r="AA620" s="8"/>
    </row>
    <row r="621" spans="1:27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>
        <v>0</v>
      </c>
      <c r="Q621" s="8"/>
      <c r="R621" s="8"/>
      <c r="S621" s="8">
        <v>0</v>
      </c>
      <c r="T621" s="8">
        <v>0</v>
      </c>
      <c r="U621" s="8"/>
      <c r="V621" s="8"/>
      <c r="Z621" s="8"/>
      <c r="AA621" s="8"/>
    </row>
    <row r="622" spans="1:27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>
        <v>0</v>
      </c>
      <c r="Q622" s="8"/>
      <c r="R622" s="8"/>
      <c r="S622" s="8">
        <v>0</v>
      </c>
      <c r="T622" s="8">
        <v>0</v>
      </c>
      <c r="U622" s="8"/>
      <c r="V622" s="8"/>
      <c r="Z622" s="8"/>
      <c r="AA622" s="8"/>
    </row>
    <row r="623" spans="1:27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>
        <v>0</v>
      </c>
      <c r="Q623" s="8"/>
      <c r="R623" s="8"/>
      <c r="S623" s="8">
        <v>0</v>
      </c>
      <c r="T623" s="8">
        <v>0</v>
      </c>
      <c r="U623" s="8"/>
      <c r="V623" s="8"/>
      <c r="Z623" s="8"/>
      <c r="AA623" s="8"/>
    </row>
    <row r="624" spans="1:27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>
        <v>0</v>
      </c>
      <c r="Q624" s="8"/>
      <c r="R624" s="8"/>
      <c r="S624" s="8">
        <v>0</v>
      </c>
      <c r="T624" s="8">
        <v>0</v>
      </c>
      <c r="U624" s="8"/>
      <c r="V624" s="8"/>
      <c r="Z624" s="8"/>
      <c r="AA624" s="8"/>
    </row>
    <row r="625" spans="1:27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>
        <v>0</v>
      </c>
      <c r="Q625" s="8"/>
      <c r="R625" s="8"/>
      <c r="S625" s="8">
        <v>0</v>
      </c>
      <c r="T625" s="8">
        <v>0</v>
      </c>
      <c r="U625" s="8"/>
      <c r="V625" s="8"/>
      <c r="Z625" s="8"/>
      <c r="AA625" s="8"/>
    </row>
    <row r="626" spans="1:27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>
        <v>0</v>
      </c>
      <c r="Q626" s="8"/>
      <c r="R626" s="8"/>
      <c r="S626" s="8">
        <v>0</v>
      </c>
      <c r="T626" s="8">
        <v>0</v>
      </c>
      <c r="U626" s="8"/>
      <c r="V626" s="8"/>
      <c r="Z626" s="8"/>
      <c r="AA626" s="8"/>
    </row>
    <row r="627" spans="1: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>
        <v>0</v>
      </c>
      <c r="Q627" s="8"/>
      <c r="R627" s="8"/>
      <c r="S627" s="8">
        <v>0</v>
      </c>
      <c r="T627" s="8">
        <v>0</v>
      </c>
      <c r="U627" s="8"/>
      <c r="V627" s="8"/>
      <c r="Z627" s="8"/>
      <c r="AA627" s="8"/>
    </row>
    <row r="628" spans="1:27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>
        <v>0</v>
      </c>
      <c r="Q628" s="8"/>
      <c r="R628" s="8"/>
      <c r="S628" s="8">
        <v>0</v>
      </c>
      <c r="T628" s="8">
        <v>0</v>
      </c>
      <c r="U628" s="8"/>
      <c r="V628" s="8"/>
      <c r="Z628" s="8"/>
      <c r="AA628" s="8"/>
    </row>
    <row r="629" spans="1:27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>
        <v>0</v>
      </c>
      <c r="Q629" s="8"/>
      <c r="R629" s="8"/>
      <c r="S629" s="8">
        <v>0</v>
      </c>
      <c r="T629" s="8">
        <v>0</v>
      </c>
      <c r="U629" s="8"/>
      <c r="V629" s="8"/>
      <c r="Z629" s="8"/>
      <c r="AA629" s="8"/>
    </row>
    <row r="630" spans="1:27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>
        <v>0</v>
      </c>
      <c r="Q630" s="8"/>
      <c r="R630" s="8"/>
      <c r="S630" s="8">
        <v>0</v>
      </c>
      <c r="T630" s="8">
        <v>0</v>
      </c>
      <c r="U630" s="8"/>
      <c r="V630" s="8"/>
      <c r="Z630" s="8"/>
      <c r="AA630" s="8"/>
    </row>
    <row r="631" spans="1:27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>
        <v>0</v>
      </c>
      <c r="Q631" s="8"/>
      <c r="R631" s="8"/>
      <c r="S631" s="8">
        <v>0</v>
      </c>
      <c r="T631" s="8">
        <v>0</v>
      </c>
      <c r="U631" s="8"/>
      <c r="V631" s="8"/>
      <c r="Z631" s="8"/>
      <c r="AA631" s="8"/>
    </row>
    <row r="632" spans="1:27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>
        <v>0</v>
      </c>
      <c r="Q632" s="8"/>
      <c r="R632" s="8"/>
      <c r="S632" s="8">
        <v>0</v>
      </c>
      <c r="T632" s="8">
        <v>0</v>
      </c>
      <c r="U632" s="8"/>
      <c r="V632" s="8"/>
      <c r="Z632" s="8"/>
      <c r="AA632" s="8"/>
    </row>
    <row r="633" spans="1:27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>
        <v>0</v>
      </c>
      <c r="Q633" s="8"/>
      <c r="R633" s="8"/>
      <c r="S633" s="8">
        <v>0</v>
      </c>
      <c r="T633" s="8">
        <v>0</v>
      </c>
      <c r="U633" s="8"/>
      <c r="V633" s="8"/>
      <c r="Z633" s="8"/>
      <c r="AA633" s="8"/>
    </row>
    <row r="634" spans="1:27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>
        <v>0</v>
      </c>
      <c r="Q634" s="8"/>
      <c r="R634" s="8"/>
      <c r="S634" s="8">
        <v>0</v>
      </c>
      <c r="T634" s="8">
        <v>0</v>
      </c>
      <c r="U634" s="8"/>
      <c r="V634" s="8"/>
      <c r="Z634" s="8"/>
      <c r="AA634" s="8"/>
    </row>
    <row r="635" spans="1:27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>
        <v>0</v>
      </c>
      <c r="Q635" s="8"/>
      <c r="R635" s="8"/>
      <c r="S635" s="8">
        <v>0</v>
      </c>
      <c r="T635" s="8">
        <v>0</v>
      </c>
      <c r="U635" s="8"/>
      <c r="V635" s="8"/>
      <c r="Z635" s="8"/>
      <c r="AA635" s="8"/>
    </row>
    <row r="636" spans="1:27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>
        <v>0</v>
      </c>
      <c r="Q636" s="8"/>
      <c r="R636" s="8"/>
      <c r="S636" s="8">
        <v>0</v>
      </c>
      <c r="T636" s="8">
        <v>0</v>
      </c>
      <c r="U636" s="8"/>
      <c r="V636" s="8"/>
      <c r="Z636" s="8"/>
      <c r="AA636" s="8"/>
    </row>
    <row r="637" spans="1:2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>
        <v>0</v>
      </c>
      <c r="Q637" s="8"/>
      <c r="R637" s="8"/>
      <c r="S637" s="8">
        <v>0</v>
      </c>
      <c r="T637" s="8">
        <v>0</v>
      </c>
      <c r="U637" s="8"/>
      <c r="V637" s="8"/>
      <c r="Z637" s="8"/>
      <c r="AA637" s="8"/>
    </row>
    <row r="638" spans="1:27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>
        <v>0</v>
      </c>
      <c r="Q638" s="8"/>
      <c r="R638" s="8"/>
      <c r="S638" s="8">
        <v>0</v>
      </c>
      <c r="T638" s="8">
        <v>0</v>
      </c>
      <c r="U638" s="8"/>
      <c r="V638" s="8"/>
      <c r="Z638" s="8"/>
      <c r="AA638" s="8"/>
    </row>
    <row r="639" spans="1:27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>
        <v>0</v>
      </c>
      <c r="Q639" s="8"/>
      <c r="R639" s="8"/>
      <c r="S639" s="8">
        <v>0</v>
      </c>
      <c r="T639" s="8">
        <v>0</v>
      </c>
      <c r="U639" s="8"/>
      <c r="V639" s="8"/>
      <c r="Z639" s="8"/>
      <c r="AA639" s="8"/>
    </row>
    <row r="640" spans="1:27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>
        <v>0</v>
      </c>
      <c r="Q640" s="8"/>
      <c r="R640" s="8"/>
      <c r="S640" s="8">
        <v>0</v>
      </c>
      <c r="T640" s="8">
        <v>0</v>
      </c>
      <c r="U640" s="8"/>
      <c r="V640" s="8"/>
      <c r="Z640" s="8"/>
      <c r="AA640" s="8"/>
    </row>
    <row r="641" spans="1:27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>
        <v>0</v>
      </c>
      <c r="Q641" s="8"/>
      <c r="R641" s="8"/>
      <c r="S641" s="8">
        <v>0</v>
      </c>
      <c r="T641" s="8">
        <v>0</v>
      </c>
      <c r="U641" s="8"/>
      <c r="V641" s="8"/>
      <c r="Z641" s="8"/>
      <c r="AA641" s="8"/>
    </row>
    <row r="642" spans="1:27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>
        <v>0</v>
      </c>
      <c r="Q642" s="8"/>
      <c r="R642" s="8"/>
      <c r="S642" s="8">
        <v>0</v>
      </c>
      <c r="T642" s="8">
        <v>0</v>
      </c>
      <c r="U642" s="8"/>
      <c r="V642" s="8"/>
      <c r="Z642" s="8"/>
      <c r="AA642" s="8"/>
    </row>
    <row r="643" spans="1:27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>
        <v>0</v>
      </c>
      <c r="Q643" s="8"/>
      <c r="R643" s="8"/>
      <c r="S643" s="8">
        <v>0</v>
      </c>
      <c r="T643" s="8">
        <v>0</v>
      </c>
      <c r="U643" s="8"/>
      <c r="V643" s="8"/>
      <c r="Z643" s="8"/>
      <c r="AA643" s="8"/>
    </row>
    <row r="644" spans="1:27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>
        <v>0</v>
      </c>
      <c r="Q644" s="8"/>
      <c r="R644" s="8"/>
      <c r="S644" s="8">
        <v>0</v>
      </c>
      <c r="T644" s="8">
        <v>0</v>
      </c>
      <c r="U644" s="8"/>
      <c r="V644" s="8"/>
      <c r="Z644" s="8"/>
      <c r="AA644" s="8"/>
    </row>
    <row r="645" spans="1:27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>
        <v>0</v>
      </c>
      <c r="Q645" s="8"/>
      <c r="R645" s="8"/>
      <c r="S645" s="8">
        <v>0</v>
      </c>
      <c r="T645" s="8">
        <v>0</v>
      </c>
      <c r="U645" s="8"/>
      <c r="V645" s="8"/>
      <c r="Z645" s="8"/>
      <c r="AA645" s="8"/>
    </row>
    <row r="646" spans="1:27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>
        <v>0</v>
      </c>
      <c r="Q646" s="8"/>
      <c r="R646" s="8"/>
      <c r="S646" s="8">
        <v>0</v>
      </c>
      <c r="T646" s="8">
        <v>0</v>
      </c>
      <c r="U646" s="8"/>
      <c r="V646" s="8"/>
      <c r="Z646" s="8"/>
      <c r="AA646" s="8"/>
    </row>
    <row r="647" spans="1:2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>
        <v>0</v>
      </c>
      <c r="Q647" s="8"/>
      <c r="R647" s="8"/>
      <c r="S647" s="8">
        <v>0</v>
      </c>
      <c r="T647" s="8">
        <v>0</v>
      </c>
      <c r="U647" s="8"/>
      <c r="V647" s="8"/>
      <c r="Z647" s="8"/>
      <c r="AA647" s="8"/>
    </row>
    <row r="648" spans="1:27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>
        <v>0</v>
      </c>
      <c r="Q648" s="8"/>
      <c r="R648" s="8"/>
      <c r="S648" s="8">
        <v>0</v>
      </c>
      <c r="T648" s="8">
        <v>0</v>
      </c>
      <c r="U648" s="8"/>
      <c r="V648" s="8"/>
      <c r="Z648" s="8"/>
      <c r="AA648" s="8"/>
    </row>
    <row r="649" spans="1:27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>
        <v>0</v>
      </c>
      <c r="Q649" s="8"/>
      <c r="R649" s="8"/>
      <c r="S649" s="8">
        <v>0</v>
      </c>
      <c r="T649" s="8">
        <v>0</v>
      </c>
      <c r="U649" s="8"/>
      <c r="V649" s="8"/>
      <c r="Z649" s="8"/>
      <c r="AA649" s="8"/>
    </row>
    <row r="650" spans="1:27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>
        <v>0</v>
      </c>
      <c r="Q650" s="8"/>
      <c r="R650" s="8"/>
      <c r="S650" s="8">
        <v>0</v>
      </c>
      <c r="T650" s="8">
        <v>0</v>
      </c>
      <c r="U650" s="8"/>
      <c r="V650" s="8"/>
      <c r="Z650" s="8"/>
      <c r="AA650" s="8"/>
    </row>
    <row r="651" spans="1:27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>
        <v>0</v>
      </c>
      <c r="Q651" s="8"/>
      <c r="R651" s="8"/>
      <c r="S651" s="8">
        <v>0</v>
      </c>
      <c r="T651" s="8">
        <v>0</v>
      </c>
      <c r="U651" s="8"/>
      <c r="V651" s="8"/>
      <c r="Z651" s="8"/>
      <c r="AA651" s="8"/>
    </row>
    <row r="652" spans="1:27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>
        <v>0</v>
      </c>
      <c r="Q652" s="8"/>
      <c r="R652" s="8"/>
      <c r="S652" s="8">
        <v>0</v>
      </c>
      <c r="T652" s="8">
        <v>0</v>
      </c>
      <c r="U652" s="8"/>
      <c r="V652" s="8"/>
      <c r="Z652" s="8"/>
      <c r="AA652" s="8"/>
    </row>
    <row r="653" spans="1:27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>
        <v>0</v>
      </c>
      <c r="Q653" s="8"/>
      <c r="R653" s="8"/>
      <c r="S653" s="8">
        <v>0</v>
      </c>
      <c r="T653" s="8">
        <v>0</v>
      </c>
      <c r="U653" s="8"/>
      <c r="V653" s="8"/>
      <c r="Z653" s="8"/>
      <c r="AA653" s="8"/>
    </row>
    <row r="654" spans="1:27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>
        <v>0</v>
      </c>
      <c r="Q654" s="8"/>
      <c r="R654" s="8"/>
      <c r="S654" s="8">
        <v>0</v>
      </c>
      <c r="T654" s="8">
        <v>0</v>
      </c>
      <c r="U654" s="8"/>
      <c r="V654" s="8"/>
      <c r="Z654" s="8"/>
      <c r="AA654" s="8"/>
    </row>
    <row r="655" spans="1:27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>
        <v>0</v>
      </c>
      <c r="Q655" s="8"/>
      <c r="R655" s="8"/>
      <c r="S655" s="8">
        <v>0</v>
      </c>
      <c r="T655" s="8">
        <v>0</v>
      </c>
      <c r="U655" s="8"/>
      <c r="V655" s="8"/>
      <c r="Z655" s="8"/>
      <c r="AA655" s="8"/>
    </row>
    <row r="656" spans="1:27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>
        <v>0</v>
      </c>
      <c r="Q656" s="8"/>
      <c r="R656" s="8"/>
      <c r="S656" s="8">
        <v>0</v>
      </c>
      <c r="T656" s="8">
        <v>0</v>
      </c>
      <c r="U656" s="8"/>
      <c r="V656" s="8"/>
      <c r="Z656" s="8"/>
      <c r="AA656" s="8"/>
    </row>
    <row r="657" spans="1:2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>
        <v>0</v>
      </c>
      <c r="Q657" s="8"/>
      <c r="R657" s="8"/>
      <c r="S657" s="8">
        <v>0</v>
      </c>
      <c r="T657" s="8">
        <v>0</v>
      </c>
      <c r="U657" s="8"/>
      <c r="V657" s="8"/>
      <c r="Z657" s="8"/>
      <c r="AA657" s="8"/>
    </row>
    <row r="658" spans="1:27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>
        <v>0</v>
      </c>
      <c r="Q658" s="8"/>
      <c r="R658" s="8"/>
      <c r="S658" s="8">
        <v>0</v>
      </c>
      <c r="T658" s="8">
        <v>0</v>
      </c>
      <c r="U658" s="8"/>
      <c r="V658" s="8"/>
      <c r="Z658" s="8"/>
      <c r="AA658" s="8"/>
    </row>
    <row r="659" spans="1:27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>
        <v>0</v>
      </c>
      <c r="Q659" s="8"/>
      <c r="R659" s="8"/>
      <c r="S659" s="8">
        <v>0</v>
      </c>
      <c r="T659" s="8">
        <v>0</v>
      </c>
      <c r="U659" s="8"/>
      <c r="V659" s="8"/>
      <c r="Z659" s="8"/>
      <c r="AA659" s="8"/>
    </row>
    <row r="660" spans="1:27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>
        <v>0</v>
      </c>
      <c r="Q660" s="8"/>
      <c r="R660" s="8"/>
      <c r="S660" s="8">
        <v>0</v>
      </c>
      <c r="T660" s="8">
        <v>0</v>
      </c>
      <c r="U660" s="8"/>
      <c r="V660" s="8"/>
      <c r="Z660" s="8"/>
      <c r="AA660" s="8"/>
    </row>
    <row r="661" spans="1:27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>
        <v>0</v>
      </c>
      <c r="Q661" s="8"/>
      <c r="R661" s="8"/>
      <c r="S661" s="8">
        <v>0</v>
      </c>
      <c r="T661" s="8">
        <v>0</v>
      </c>
      <c r="U661" s="8"/>
      <c r="V661" s="8"/>
      <c r="Z661" s="8"/>
      <c r="AA661" s="8"/>
    </row>
    <row r="662" spans="1:27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>
        <v>0</v>
      </c>
      <c r="Q662" s="8"/>
      <c r="R662" s="8"/>
      <c r="S662" s="8">
        <v>0</v>
      </c>
      <c r="T662" s="8">
        <v>0</v>
      </c>
      <c r="U662" s="8"/>
      <c r="V662" s="8"/>
      <c r="Z662" s="8"/>
      <c r="AA662" s="8"/>
    </row>
    <row r="663" spans="1:27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>
        <v>0</v>
      </c>
      <c r="Q663" s="8"/>
      <c r="R663" s="8"/>
      <c r="S663" s="8">
        <v>0</v>
      </c>
      <c r="T663" s="8">
        <v>0</v>
      </c>
      <c r="U663" s="8"/>
      <c r="V663" s="8"/>
      <c r="Z663" s="8"/>
      <c r="AA663" s="8"/>
    </row>
    <row r="664" spans="1:27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>
        <v>0</v>
      </c>
      <c r="Q664" s="8"/>
      <c r="R664" s="8"/>
      <c r="S664" s="8">
        <v>0</v>
      </c>
      <c r="T664" s="8">
        <v>0</v>
      </c>
      <c r="U664" s="8"/>
      <c r="V664" s="8"/>
      <c r="Z664" s="8"/>
      <c r="AA664" s="8"/>
    </row>
    <row r="665" spans="1:27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>
        <v>0</v>
      </c>
      <c r="Q665" s="8"/>
      <c r="R665" s="8"/>
      <c r="S665" s="8">
        <v>0</v>
      </c>
      <c r="T665" s="8">
        <v>0</v>
      </c>
      <c r="U665" s="8"/>
      <c r="V665" s="8"/>
      <c r="Z665" s="8"/>
      <c r="AA665" s="8"/>
    </row>
    <row r="666" spans="1:27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>
        <v>0</v>
      </c>
      <c r="Q666" s="8"/>
      <c r="R666" s="8"/>
      <c r="S666" s="8">
        <v>0</v>
      </c>
      <c r="T666" s="8">
        <v>0</v>
      </c>
      <c r="U666" s="8"/>
      <c r="V666" s="8"/>
      <c r="Z666" s="8"/>
      <c r="AA666" s="8"/>
    </row>
    <row r="667" spans="1:2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>
        <v>0</v>
      </c>
      <c r="Q667" s="8"/>
      <c r="R667" s="8"/>
      <c r="S667" s="8">
        <v>0</v>
      </c>
      <c r="T667" s="8">
        <v>0</v>
      </c>
      <c r="U667" s="8"/>
      <c r="V667" s="8"/>
      <c r="Z667" s="8"/>
      <c r="AA667" s="8"/>
    </row>
    <row r="668" spans="1:27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>
        <v>0</v>
      </c>
      <c r="Q668" s="8"/>
      <c r="R668" s="8"/>
      <c r="S668" s="8">
        <v>0</v>
      </c>
      <c r="T668" s="8">
        <v>0</v>
      </c>
      <c r="U668" s="8"/>
      <c r="V668" s="8"/>
      <c r="Z668" s="8"/>
      <c r="AA668" s="8"/>
    </row>
    <row r="669" spans="1:27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>
        <v>0</v>
      </c>
      <c r="Q669" s="8"/>
      <c r="R669" s="8"/>
      <c r="S669" s="8">
        <v>0</v>
      </c>
      <c r="T669" s="8">
        <v>0</v>
      </c>
      <c r="U669" s="8"/>
      <c r="V669" s="8"/>
      <c r="Z669" s="8"/>
      <c r="AA669" s="8"/>
    </row>
    <row r="670" spans="1:27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>
        <v>0</v>
      </c>
      <c r="Q670" s="8"/>
      <c r="R670" s="8"/>
      <c r="S670" s="8">
        <v>0</v>
      </c>
      <c r="T670" s="8">
        <v>0</v>
      </c>
      <c r="U670" s="8"/>
      <c r="V670" s="8"/>
      <c r="Z670" s="8"/>
      <c r="AA670" s="8"/>
    </row>
    <row r="671" spans="1:27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>
        <v>0</v>
      </c>
      <c r="Q671" s="8"/>
      <c r="R671" s="8"/>
      <c r="S671" s="8">
        <v>0</v>
      </c>
      <c r="T671" s="8">
        <v>0</v>
      </c>
      <c r="U671" s="8"/>
      <c r="V671" s="8"/>
      <c r="Z671" s="8"/>
      <c r="AA671" s="8"/>
    </row>
    <row r="672" spans="1:27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>
        <v>0</v>
      </c>
      <c r="Q672" s="8"/>
      <c r="R672" s="8"/>
      <c r="S672" s="8">
        <v>0</v>
      </c>
      <c r="T672" s="8">
        <v>0</v>
      </c>
      <c r="U672" s="8"/>
      <c r="V672" s="8"/>
      <c r="Z672" s="8"/>
      <c r="AA672" s="8"/>
    </row>
    <row r="673" spans="1:27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>
        <v>0</v>
      </c>
      <c r="Q673" s="8"/>
      <c r="R673" s="8"/>
      <c r="S673" s="8">
        <v>0</v>
      </c>
      <c r="T673" s="8">
        <v>0</v>
      </c>
      <c r="U673" s="8"/>
      <c r="V673" s="8"/>
      <c r="Z673" s="8"/>
      <c r="AA673" s="8"/>
    </row>
    <row r="674" spans="1:27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>
        <v>0</v>
      </c>
      <c r="Q674" s="8"/>
      <c r="R674" s="8"/>
      <c r="S674" s="8">
        <v>0</v>
      </c>
      <c r="T674" s="8">
        <v>0</v>
      </c>
      <c r="U674" s="8"/>
      <c r="V674" s="8"/>
      <c r="Z674" s="8"/>
      <c r="AA674" s="8"/>
    </row>
    <row r="675" spans="1:27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>
        <v>0</v>
      </c>
      <c r="Q675" s="8"/>
      <c r="R675" s="8"/>
      <c r="S675" s="8">
        <v>0</v>
      </c>
      <c r="T675" s="8">
        <v>0</v>
      </c>
      <c r="U675" s="8"/>
      <c r="V675" s="8"/>
      <c r="Z675" s="8"/>
      <c r="AA675" s="8"/>
    </row>
    <row r="676" spans="1:27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>
        <v>0</v>
      </c>
      <c r="Q676" s="8"/>
      <c r="R676" s="8"/>
      <c r="S676" s="8">
        <v>0</v>
      </c>
      <c r="T676" s="8">
        <v>0</v>
      </c>
      <c r="U676" s="8"/>
      <c r="V676" s="8"/>
      <c r="Z676" s="8"/>
      <c r="AA676" s="8"/>
    </row>
    <row r="677" spans="1:2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>
        <v>0</v>
      </c>
      <c r="Q677" s="8"/>
      <c r="R677" s="8"/>
      <c r="S677" s="8">
        <v>0</v>
      </c>
      <c r="T677" s="8">
        <v>0</v>
      </c>
      <c r="U677" s="8"/>
      <c r="V677" s="8"/>
      <c r="Z677" s="8"/>
      <c r="AA677" s="8"/>
    </row>
    <row r="678" spans="1:27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>
        <v>0</v>
      </c>
      <c r="Q678" s="8"/>
      <c r="R678" s="8"/>
      <c r="S678" s="8">
        <v>0</v>
      </c>
      <c r="T678" s="8">
        <v>0</v>
      </c>
      <c r="U678" s="8"/>
      <c r="V678" s="8"/>
      <c r="Z678" s="8"/>
      <c r="AA678" s="8"/>
    </row>
    <row r="679" spans="1:27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>
        <v>0</v>
      </c>
      <c r="Q679" s="8"/>
      <c r="R679" s="8"/>
      <c r="S679" s="8">
        <v>0</v>
      </c>
      <c r="T679" s="8">
        <v>0</v>
      </c>
      <c r="U679" s="8"/>
      <c r="V679" s="8"/>
      <c r="Z679" s="8"/>
      <c r="AA679" s="8"/>
    </row>
    <row r="680" spans="1:27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>
        <v>0</v>
      </c>
      <c r="Q680" s="8"/>
      <c r="R680" s="8"/>
      <c r="S680" s="8">
        <v>0</v>
      </c>
      <c r="T680" s="8">
        <v>0</v>
      </c>
      <c r="U680" s="8"/>
      <c r="V680" s="8"/>
      <c r="Z680" s="8"/>
      <c r="AA680" s="8"/>
    </row>
    <row r="681" spans="1:27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>
        <v>0</v>
      </c>
      <c r="Q681" s="8"/>
      <c r="R681" s="8"/>
      <c r="S681" s="8">
        <v>0</v>
      </c>
      <c r="T681" s="8">
        <v>0</v>
      </c>
      <c r="U681" s="8"/>
      <c r="V681" s="8"/>
      <c r="Z681" s="8"/>
      <c r="AA681" s="8"/>
    </row>
    <row r="682" spans="1:27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>
        <v>0</v>
      </c>
      <c r="Q682" s="8"/>
      <c r="R682" s="8"/>
      <c r="S682" s="8">
        <v>0</v>
      </c>
      <c r="T682" s="8">
        <v>0</v>
      </c>
      <c r="U682" s="8"/>
      <c r="V682" s="8"/>
      <c r="Z682" s="8"/>
      <c r="AA682" s="8"/>
    </row>
    <row r="683" spans="1:27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>
        <v>0</v>
      </c>
      <c r="Q683" s="8"/>
      <c r="R683" s="8"/>
      <c r="S683" s="8">
        <v>0</v>
      </c>
      <c r="T683" s="8">
        <v>0</v>
      </c>
      <c r="U683" s="8"/>
      <c r="V683" s="8"/>
      <c r="Z683" s="8"/>
      <c r="AA683" s="8"/>
    </row>
    <row r="684" spans="1:27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>
        <v>0</v>
      </c>
      <c r="Q684" s="8"/>
      <c r="R684" s="8"/>
      <c r="S684" s="8">
        <v>0</v>
      </c>
      <c r="T684" s="8">
        <v>0</v>
      </c>
      <c r="U684" s="8"/>
      <c r="V684" s="8"/>
      <c r="Z684" s="8"/>
      <c r="AA684" s="8"/>
    </row>
    <row r="685" spans="1:27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>
        <v>0</v>
      </c>
      <c r="Q685" s="8"/>
      <c r="R685" s="8"/>
      <c r="S685" s="8">
        <v>0</v>
      </c>
      <c r="T685" s="8">
        <v>0</v>
      </c>
      <c r="U685" s="8"/>
      <c r="V685" s="8"/>
      <c r="Z685" s="8"/>
      <c r="AA685" s="8"/>
    </row>
    <row r="686" spans="1:27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>
        <v>0</v>
      </c>
      <c r="Q686" s="8"/>
      <c r="R686" s="8"/>
      <c r="S686" s="8">
        <v>0</v>
      </c>
      <c r="T686" s="8">
        <v>0</v>
      </c>
      <c r="U686" s="8"/>
      <c r="V686" s="8"/>
      <c r="Z686" s="8"/>
      <c r="AA686" s="8"/>
    </row>
    <row r="687" spans="1:2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>
        <v>0</v>
      </c>
      <c r="Q687" s="8"/>
      <c r="R687" s="8"/>
      <c r="S687" s="8">
        <v>0</v>
      </c>
      <c r="T687" s="8">
        <v>0</v>
      </c>
      <c r="U687" s="8"/>
      <c r="V687" s="8"/>
      <c r="Z687" s="8"/>
      <c r="AA687" s="8"/>
    </row>
    <row r="688" spans="1:27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>
        <v>0</v>
      </c>
      <c r="Q688" s="8"/>
      <c r="R688" s="8"/>
      <c r="S688" s="8">
        <v>0</v>
      </c>
      <c r="T688" s="8">
        <v>0</v>
      </c>
      <c r="U688" s="8"/>
      <c r="V688" s="8"/>
      <c r="Z688" s="8"/>
      <c r="AA688" s="8"/>
    </row>
    <row r="689" spans="1:27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>
        <v>0</v>
      </c>
      <c r="Q689" s="8"/>
      <c r="R689" s="8"/>
      <c r="S689" s="8">
        <v>0</v>
      </c>
      <c r="T689" s="8">
        <v>0</v>
      </c>
      <c r="U689" s="8"/>
      <c r="V689" s="8"/>
      <c r="Z689" s="8"/>
      <c r="AA689" s="8"/>
    </row>
    <row r="690" spans="1:27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>
        <v>0</v>
      </c>
      <c r="Q690" s="8"/>
      <c r="R690" s="8"/>
      <c r="S690" s="8">
        <v>0</v>
      </c>
      <c r="T690" s="8">
        <v>0</v>
      </c>
      <c r="U690" s="8"/>
      <c r="V690" s="8"/>
      <c r="Z690" s="8"/>
      <c r="AA690" s="8"/>
    </row>
    <row r="691" spans="1:27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>
        <v>0</v>
      </c>
      <c r="Q691" s="8"/>
      <c r="R691" s="8"/>
      <c r="S691" s="8">
        <v>0</v>
      </c>
      <c r="T691" s="8">
        <v>0</v>
      </c>
      <c r="U691" s="8"/>
      <c r="V691" s="8"/>
      <c r="Z691" s="8"/>
      <c r="AA691" s="8"/>
    </row>
    <row r="692" spans="1:27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>
        <v>0</v>
      </c>
      <c r="Q692" s="8"/>
      <c r="R692" s="8"/>
      <c r="S692" s="8">
        <v>0</v>
      </c>
      <c r="T692" s="8">
        <v>0</v>
      </c>
      <c r="U692" s="8"/>
      <c r="V692" s="8"/>
      <c r="Z692" s="8"/>
      <c r="AA692" s="8"/>
    </row>
    <row r="693" spans="1:27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>
        <v>0</v>
      </c>
      <c r="Q693" s="8"/>
      <c r="R693" s="8"/>
      <c r="S693" s="8">
        <v>0</v>
      </c>
      <c r="T693" s="8">
        <v>0</v>
      </c>
      <c r="U693" s="8"/>
      <c r="V693" s="8"/>
      <c r="Z693" s="8"/>
      <c r="AA693" s="8"/>
    </row>
    <row r="694" spans="1:27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>
        <v>0</v>
      </c>
      <c r="Q694" s="8"/>
      <c r="R694" s="8"/>
      <c r="S694" s="8">
        <v>0</v>
      </c>
      <c r="T694" s="8">
        <v>0</v>
      </c>
      <c r="U694" s="8"/>
      <c r="V694" s="8"/>
      <c r="Z694" s="8"/>
      <c r="AA694" s="8"/>
    </row>
    <row r="695" spans="1:27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>
        <v>0</v>
      </c>
      <c r="Q695" s="8"/>
      <c r="R695" s="8"/>
      <c r="S695" s="8">
        <v>0</v>
      </c>
      <c r="T695" s="8">
        <v>0</v>
      </c>
      <c r="U695" s="8"/>
      <c r="V695" s="8"/>
      <c r="Z695" s="8"/>
      <c r="AA695" s="8"/>
    </row>
    <row r="696" spans="1:27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>
        <v>0</v>
      </c>
      <c r="Q696" s="8"/>
      <c r="R696" s="8"/>
      <c r="S696" s="8">
        <v>0</v>
      </c>
      <c r="T696" s="8">
        <v>0</v>
      </c>
      <c r="U696" s="8"/>
      <c r="V696" s="8"/>
      <c r="Z696" s="8"/>
      <c r="AA696" s="8"/>
    </row>
    <row r="697" spans="1:2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>
        <v>0</v>
      </c>
      <c r="Q697" s="8"/>
      <c r="R697" s="8"/>
      <c r="S697" s="8">
        <v>0</v>
      </c>
      <c r="T697" s="8">
        <v>0</v>
      </c>
      <c r="U697" s="8"/>
      <c r="V697" s="8"/>
      <c r="Z697" s="8"/>
      <c r="AA697" s="8"/>
    </row>
    <row r="698" spans="1:27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>
        <v>0</v>
      </c>
      <c r="Q698" s="8"/>
      <c r="R698" s="8"/>
      <c r="S698" s="8">
        <v>0</v>
      </c>
      <c r="T698" s="8">
        <v>0</v>
      </c>
      <c r="U698" s="8"/>
      <c r="V698" s="8"/>
      <c r="Z698" s="8"/>
      <c r="AA698" s="8"/>
    </row>
    <row r="699" spans="1:27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>
        <v>0</v>
      </c>
      <c r="Q699" s="8"/>
      <c r="R699" s="8"/>
      <c r="S699" s="8">
        <v>0</v>
      </c>
      <c r="T699" s="8">
        <v>0</v>
      </c>
      <c r="U699" s="8"/>
      <c r="V699" s="8"/>
      <c r="Z699" s="8"/>
      <c r="AA699" s="8"/>
    </row>
    <row r="700" spans="1:27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>
        <v>0</v>
      </c>
      <c r="Q700" s="8"/>
      <c r="R700" s="8"/>
      <c r="S700" s="8">
        <v>0</v>
      </c>
      <c r="T700" s="8">
        <v>0</v>
      </c>
      <c r="U700" s="8"/>
      <c r="V700" s="8"/>
      <c r="Z700" s="8"/>
      <c r="AA700" s="8"/>
    </row>
    <row r="701" spans="1:27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>
        <v>0</v>
      </c>
      <c r="Q701" s="8"/>
      <c r="R701" s="8"/>
      <c r="S701" s="8">
        <v>0</v>
      </c>
      <c r="T701" s="8">
        <v>0</v>
      </c>
      <c r="U701" s="8"/>
      <c r="V701" s="8"/>
      <c r="Z701" s="8"/>
      <c r="AA701" s="8"/>
    </row>
    <row r="702" spans="1:27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>
        <v>0</v>
      </c>
      <c r="Q702" s="8"/>
      <c r="R702" s="8"/>
      <c r="S702" s="8">
        <v>0</v>
      </c>
      <c r="T702" s="8">
        <v>0</v>
      </c>
      <c r="U702" s="8"/>
      <c r="V702" s="8"/>
      <c r="Z702" s="8"/>
      <c r="AA702" s="8"/>
    </row>
    <row r="703" spans="1:27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>
        <v>0</v>
      </c>
      <c r="Q703" s="8"/>
      <c r="R703" s="8"/>
      <c r="S703" s="8">
        <v>0</v>
      </c>
      <c r="T703" s="8">
        <v>0</v>
      </c>
      <c r="U703" s="8"/>
      <c r="V703" s="8"/>
      <c r="Z703" s="8"/>
      <c r="AA703" s="8"/>
    </row>
    <row r="704" spans="1:27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>
        <v>0</v>
      </c>
      <c r="Q704" s="8"/>
      <c r="R704" s="8"/>
      <c r="S704" s="8">
        <v>0</v>
      </c>
      <c r="T704" s="8">
        <v>0</v>
      </c>
      <c r="U704" s="8"/>
      <c r="V704" s="8"/>
      <c r="Z704" s="8"/>
      <c r="AA704" s="8"/>
    </row>
    <row r="705" spans="1:27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>
        <v>0</v>
      </c>
      <c r="Q705" s="8"/>
      <c r="R705" s="8"/>
      <c r="S705" s="8">
        <v>0</v>
      </c>
      <c r="T705" s="8">
        <v>0</v>
      </c>
      <c r="U705" s="8"/>
      <c r="V705" s="8"/>
      <c r="Z705" s="8"/>
      <c r="AA705" s="8"/>
    </row>
    <row r="706" spans="1:27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>
        <v>0</v>
      </c>
      <c r="Q706" s="8"/>
      <c r="R706" s="8"/>
      <c r="S706" s="8">
        <v>0</v>
      </c>
      <c r="T706" s="8">
        <v>0</v>
      </c>
      <c r="U706" s="8"/>
      <c r="V706" s="8"/>
      <c r="Z706" s="8"/>
      <c r="AA706" s="8"/>
    </row>
    <row r="707" spans="1:2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>
        <v>0</v>
      </c>
      <c r="Q707" s="8"/>
      <c r="R707" s="8"/>
      <c r="S707" s="8">
        <v>0</v>
      </c>
      <c r="T707" s="8">
        <v>0</v>
      </c>
      <c r="U707" s="8"/>
      <c r="V707" s="8"/>
      <c r="Z707" s="8"/>
      <c r="AA707" s="8"/>
    </row>
    <row r="708" spans="1:27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>
        <v>0</v>
      </c>
      <c r="Q708" s="8"/>
      <c r="R708" s="8"/>
      <c r="S708" s="8">
        <v>0</v>
      </c>
      <c r="T708" s="8">
        <v>0</v>
      </c>
      <c r="U708" s="8"/>
      <c r="V708" s="8"/>
      <c r="Z708" s="8"/>
      <c r="AA708" s="8"/>
    </row>
    <row r="709" spans="1:27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>
        <v>0</v>
      </c>
      <c r="Q709" s="8"/>
      <c r="R709" s="8"/>
      <c r="S709" s="8">
        <v>0</v>
      </c>
      <c r="T709" s="8">
        <v>0</v>
      </c>
      <c r="U709" s="8"/>
      <c r="V709" s="8"/>
      <c r="Z709" s="8"/>
      <c r="AA709" s="8"/>
    </row>
    <row r="710" spans="1:27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>
        <v>0</v>
      </c>
      <c r="Q710" s="8"/>
      <c r="R710" s="8"/>
      <c r="S710" s="8">
        <v>0</v>
      </c>
      <c r="T710" s="8">
        <v>0</v>
      </c>
      <c r="U710" s="8"/>
      <c r="V710" s="8"/>
      <c r="Z710" s="8"/>
      <c r="AA710" s="8"/>
    </row>
    <row r="711" spans="1:27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>
        <v>0</v>
      </c>
      <c r="Q711" s="8"/>
      <c r="R711" s="8"/>
      <c r="S711" s="8">
        <v>0</v>
      </c>
      <c r="T711" s="8">
        <v>0</v>
      </c>
      <c r="U711" s="8"/>
      <c r="V711" s="8"/>
      <c r="Z711" s="8"/>
      <c r="AA711" s="8"/>
    </row>
    <row r="712" spans="1:27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>
        <v>0</v>
      </c>
      <c r="Q712" s="8"/>
      <c r="R712" s="8"/>
      <c r="S712" s="8">
        <v>0</v>
      </c>
      <c r="T712" s="8">
        <v>0</v>
      </c>
      <c r="U712" s="8"/>
      <c r="V712" s="8"/>
      <c r="Z712" s="8"/>
      <c r="AA712" s="8"/>
    </row>
    <row r="713" spans="1:27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>
        <v>0</v>
      </c>
      <c r="Q713" s="8"/>
      <c r="R713" s="8"/>
      <c r="S713" s="8">
        <v>0</v>
      </c>
      <c r="T713" s="8">
        <v>0</v>
      </c>
      <c r="U713" s="8"/>
      <c r="V713" s="8"/>
      <c r="Z713" s="8"/>
      <c r="AA713" s="8"/>
    </row>
    <row r="714" spans="1:27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>
        <v>0</v>
      </c>
      <c r="Q714" s="8"/>
      <c r="R714" s="8"/>
      <c r="S714" s="8">
        <v>0</v>
      </c>
      <c r="T714" s="8">
        <v>0</v>
      </c>
      <c r="U714" s="8"/>
      <c r="V714" s="8"/>
      <c r="Z714" s="8"/>
      <c r="AA714" s="8"/>
    </row>
    <row r="715" spans="1:27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>
        <v>0</v>
      </c>
      <c r="Q715" s="8"/>
      <c r="R715" s="8"/>
      <c r="S715" s="8">
        <v>0</v>
      </c>
      <c r="T715" s="8">
        <v>0</v>
      </c>
      <c r="U715" s="8"/>
      <c r="V715" s="8"/>
      <c r="Z715" s="8"/>
      <c r="AA715" s="8"/>
    </row>
    <row r="716" spans="1:27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>
        <v>0</v>
      </c>
      <c r="Q716" s="8"/>
      <c r="R716" s="8"/>
      <c r="S716" s="8">
        <v>0</v>
      </c>
      <c r="T716" s="8">
        <v>0</v>
      </c>
      <c r="U716" s="8"/>
      <c r="V716" s="8"/>
      <c r="Z716" s="8"/>
      <c r="AA716" s="8"/>
    </row>
    <row r="717" spans="1:2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>
        <v>0</v>
      </c>
      <c r="Q717" s="8"/>
      <c r="R717" s="8"/>
      <c r="S717" s="8">
        <v>0</v>
      </c>
      <c r="T717" s="8">
        <v>0</v>
      </c>
      <c r="U717" s="8"/>
      <c r="V717" s="8"/>
      <c r="Z717" s="8"/>
      <c r="AA717" s="8"/>
    </row>
    <row r="718" spans="1:27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>
        <v>0</v>
      </c>
      <c r="Q718" s="8"/>
      <c r="R718" s="8"/>
      <c r="S718" s="8">
        <v>0</v>
      </c>
      <c r="T718" s="8">
        <v>0</v>
      </c>
      <c r="U718" s="8"/>
      <c r="V718" s="8"/>
      <c r="Z718" s="8"/>
      <c r="AA718" s="8"/>
    </row>
    <row r="719" spans="1:27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>
        <v>0</v>
      </c>
      <c r="Q719" s="8"/>
      <c r="R719" s="8"/>
      <c r="S719" s="8">
        <v>0</v>
      </c>
      <c r="T719" s="8">
        <v>0</v>
      </c>
      <c r="U719" s="8"/>
      <c r="V719" s="8"/>
      <c r="Z719" s="8"/>
      <c r="AA719" s="8"/>
    </row>
    <row r="720" spans="1:27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>
        <v>0</v>
      </c>
      <c r="Q720" s="8"/>
      <c r="R720" s="8"/>
      <c r="S720" s="8">
        <v>0</v>
      </c>
      <c r="T720" s="8">
        <v>0</v>
      </c>
      <c r="U720" s="8"/>
      <c r="V720" s="8"/>
      <c r="Z720" s="8"/>
      <c r="AA720" s="8"/>
    </row>
    <row r="721" spans="1:27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>
        <v>0</v>
      </c>
      <c r="Q721" s="8"/>
      <c r="R721" s="8"/>
      <c r="S721" s="8">
        <v>0</v>
      </c>
      <c r="T721" s="8">
        <v>0</v>
      </c>
      <c r="U721" s="8"/>
      <c r="V721" s="8"/>
      <c r="Z721" s="8"/>
      <c r="AA721" s="8"/>
    </row>
    <row r="722" spans="1:27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>
        <v>0</v>
      </c>
      <c r="Q722" s="8"/>
      <c r="R722" s="8"/>
      <c r="S722" s="8">
        <v>0</v>
      </c>
      <c r="T722" s="8">
        <v>0</v>
      </c>
      <c r="U722" s="8"/>
      <c r="V722" s="8"/>
      <c r="Z722" s="8"/>
      <c r="AA722" s="8"/>
    </row>
    <row r="723" spans="1:27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>
        <v>0</v>
      </c>
      <c r="Q723" s="8"/>
      <c r="R723" s="8"/>
      <c r="S723" s="8">
        <v>0</v>
      </c>
      <c r="T723" s="8">
        <v>0</v>
      </c>
      <c r="U723" s="8"/>
      <c r="V723" s="8"/>
      <c r="Z723" s="8"/>
      <c r="AA723" s="8"/>
    </row>
    <row r="724" spans="1:27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>
        <v>0</v>
      </c>
      <c r="Q724" s="8"/>
      <c r="R724" s="8"/>
      <c r="S724" s="8">
        <v>0</v>
      </c>
      <c r="T724" s="8">
        <v>0</v>
      </c>
      <c r="U724" s="8"/>
      <c r="V724" s="8"/>
      <c r="Z724" s="8"/>
      <c r="AA724" s="8"/>
    </row>
    <row r="725" spans="1:27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>
        <v>0</v>
      </c>
      <c r="Q725" s="8"/>
      <c r="R725" s="8"/>
      <c r="S725" s="8">
        <v>0</v>
      </c>
      <c r="T725" s="8">
        <v>0</v>
      </c>
      <c r="U725" s="8"/>
      <c r="V725" s="8"/>
      <c r="Z725" s="8"/>
      <c r="AA725" s="8"/>
    </row>
    <row r="726" spans="1:27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>
        <v>0</v>
      </c>
      <c r="Q726" s="8"/>
      <c r="R726" s="8"/>
      <c r="S726" s="8">
        <v>0</v>
      </c>
      <c r="T726" s="8">
        <v>0</v>
      </c>
      <c r="U726" s="8"/>
      <c r="V726" s="8"/>
      <c r="Z726" s="8"/>
      <c r="AA726" s="8"/>
    </row>
    <row r="727" spans="1: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>
        <v>0</v>
      </c>
      <c r="Q727" s="8"/>
      <c r="R727" s="8"/>
      <c r="S727" s="8">
        <v>0</v>
      </c>
      <c r="T727" s="8">
        <v>0</v>
      </c>
      <c r="U727" s="8"/>
      <c r="V727" s="8"/>
      <c r="Z727" s="8"/>
      <c r="AA727" s="8"/>
    </row>
    <row r="728" spans="1:27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>
        <v>0</v>
      </c>
      <c r="Q728" s="8"/>
      <c r="R728" s="8"/>
      <c r="S728" s="8">
        <v>0</v>
      </c>
      <c r="T728" s="8">
        <v>0</v>
      </c>
      <c r="U728" s="8"/>
      <c r="V728" s="8"/>
      <c r="Z728" s="8"/>
      <c r="AA728" s="8"/>
    </row>
    <row r="729" spans="1:27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>
        <v>0</v>
      </c>
      <c r="Q729" s="8"/>
      <c r="R729" s="8"/>
      <c r="S729" s="8">
        <v>0</v>
      </c>
      <c r="T729" s="8">
        <v>0</v>
      </c>
      <c r="U729" s="8"/>
      <c r="V729" s="8"/>
      <c r="Z729" s="8"/>
      <c r="AA729" s="8"/>
    </row>
    <row r="730" spans="1:27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>
        <v>0</v>
      </c>
      <c r="Q730" s="8"/>
      <c r="R730" s="8"/>
      <c r="S730" s="8">
        <v>0</v>
      </c>
      <c r="T730" s="8">
        <v>0</v>
      </c>
      <c r="U730" s="8"/>
      <c r="V730" s="8"/>
      <c r="Z730" s="8"/>
      <c r="AA730" s="8"/>
    </row>
    <row r="731" spans="1:27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>
        <v>0</v>
      </c>
      <c r="Q731" s="8"/>
      <c r="R731" s="8"/>
      <c r="S731" s="8">
        <v>0</v>
      </c>
      <c r="T731" s="8">
        <v>0</v>
      </c>
      <c r="U731" s="8"/>
      <c r="V731" s="8"/>
      <c r="Z731" s="8"/>
      <c r="AA731" s="8"/>
    </row>
    <row r="732" spans="1:27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>
        <v>0</v>
      </c>
      <c r="Q732" s="8"/>
      <c r="R732" s="8"/>
      <c r="S732" s="8">
        <v>0</v>
      </c>
      <c r="T732" s="8">
        <v>0</v>
      </c>
      <c r="U732" s="8"/>
      <c r="V732" s="8"/>
      <c r="Z732" s="8"/>
      <c r="AA732" s="8"/>
    </row>
    <row r="733" spans="1:27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>
        <v>0</v>
      </c>
      <c r="Q733" s="8"/>
      <c r="R733" s="8"/>
      <c r="S733" s="8">
        <v>0</v>
      </c>
      <c r="T733" s="8">
        <v>0</v>
      </c>
      <c r="U733" s="8"/>
      <c r="V733" s="8"/>
      <c r="Z733" s="8"/>
      <c r="AA733" s="8"/>
    </row>
    <row r="734" spans="1:27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>
        <v>0</v>
      </c>
      <c r="Q734" s="8"/>
      <c r="R734" s="8"/>
      <c r="S734" s="8">
        <v>0</v>
      </c>
      <c r="T734" s="8">
        <v>0</v>
      </c>
      <c r="U734" s="8"/>
      <c r="V734" s="8"/>
      <c r="Z734" s="8"/>
      <c r="AA734" s="8"/>
    </row>
    <row r="735" spans="1:27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>
        <v>0</v>
      </c>
      <c r="Q735" s="8"/>
      <c r="R735" s="8"/>
      <c r="S735" s="8">
        <v>0</v>
      </c>
      <c r="T735" s="8">
        <v>0</v>
      </c>
      <c r="U735" s="8"/>
      <c r="V735" s="8"/>
      <c r="Z735" s="8"/>
      <c r="AA735" s="8"/>
    </row>
    <row r="736" spans="1:27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>
        <v>0</v>
      </c>
      <c r="Q736" s="8"/>
      <c r="R736" s="8"/>
      <c r="S736" s="8">
        <v>0</v>
      </c>
      <c r="T736" s="8">
        <v>0</v>
      </c>
      <c r="U736" s="8"/>
      <c r="V736" s="8"/>
      <c r="Z736" s="8"/>
      <c r="AA736" s="8"/>
    </row>
    <row r="737" spans="1:2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>
        <v>0</v>
      </c>
      <c r="Q737" s="8"/>
      <c r="R737" s="8"/>
      <c r="S737" s="8">
        <v>0</v>
      </c>
      <c r="T737" s="8">
        <v>0</v>
      </c>
      <c r="U737" s="8"/>
      <c r="V737" s="8"/>
      <c r="Z737" s="8"/>
      <c r="AA737" s="8"/>
    </row>
    <row r="738" spans="1:27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>
        <v>0</v>
      </c>
      <c r="Q738" s="8"/>
      <c r="R738" s="8"/>
      <c r="S738" s="8">
        <v>0</v>
      </c>
      <c r="T738" s="8">
        <v>0</v>
      </c>
      <c r="U738" s="8"/>
      <c r="V738" s="8"/>
      <c r="Z738" s="8"/>
      <c r="AA738" s="8"/>
    </row>
    <row r="739" spans="1:27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>
        <v>0</v>
      </c>
      <c r="Q739" s="8"/>
      <c r="R739" s="8"/>
      <c r="S739" s="8">
        <v>0</v>
      </c>
      <c r="T739" s="8">
        <v>0</v>
      </c>
      <c r="U739" s="8"/>
      <c r="V739" s="8"/>
      <c r="Z739" s="8"/>
      <c r="AA739" s="8"/>
    </row>
    <row r="740" spans="1:27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>
        <v>0</v>
      </c>
      <c r="Q740" s="8"/>
      <c r="R740" s="8"/>
      <c r="S740" s="8">
        <v>0</v>
      </c>
      <c r="T740" s="8">
        <v>0</v>
      </c>
      <c r="U740" s="8"/>
      <c r="V740" s="8"/>
      <c r="Z740" s="8"/>
      <c r="AA740" s="8"/>
    </row>
    <row r="741" spans="1:27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>
        <v>0</v>
      </c>
      <c r="Q741" s="8"/>
      <c r="R741" s="8"/>
      <c r="S741" s="8">
        <v>0</v>
      </c>
      <c r="T741" s="8">
        <v>0</v>
      </c>
      <c r="U741" s="8"/>
      <c r="V741" s="8"/>
      <c r="Z741" s="8"/>
      <c r="AA741" s="8"/>
    </row>
    <row r="742" spans="1:27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>
        <v>0</v>
      </c>
      <c r="Q742" s="8"/>
      <c r="R742" s="8"/>
      <c r="S742" s="8">
        <v>0</v>
      </c>
      <c r="T742" s="8">
        <v>0</v>
      </c>
      <c r="U742" s="8"/>
      <c r="V742" s="8"/>
      <c r="Z742" s="8"/>
      <c r="AA742" s="8"/>
    </row>
    <row r="743" spans="1:27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>
        <v>0</v>
      </c>
      <c r="Q743" s="8"/>
      <c r="R743" s="8"/>
      <c r="S743" s="8">
        <v>0</v>
      </c>
      <c r="T743" s="8">
        <v>0</v>
      </c>
      <c r="U743" s="8"/>
      <c r="V743" s="8"/>
      <c r="Z743" s="8"/>
      <c r="AA743" s="8"/>
    </row>
    <row r="744" spans="1:27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>
        <v>0</v>
      </c>
      <c r="Q744" s="8"/>
      <c r="R744" s="8"/>
      <c r="S744" s="8">
        <v>0</v>
      </c>
      <c r="T744" s="8">
        <v>0</v>
      </c>
      <c r="U744" s="8"/>
      <c r="V744" s="8"/>
      <c r="Z744" s="8"/>
      <c r="AA744" s="8"/>
    </row>
    <row r="745" spans="1:27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>
        <v>0</v>
      </c>
      <c r="Q745" s="8"/>
      <c r="R745" s="8"/>
      <c r="S745" s="8">
        <v>0</v>
      </c>
      <c r="T745" s="8">
        <v>0</v>
      </c>
      <c r="U745" s="8"/>
      <c r="V745" s="8"/>
      <c r="Z745" s="8"/>
      <c r="AA745" s="8"/>
    </row>
    <row r="746" spans="1:27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>
        <v>0</v>
      </c>
      <c r="Q746" s="8"/>
      <c r="R746" s="8"/>
      <c r="S746" s="8">
        <v>0</v>
      </c>
      <c r="T746" s="8">
        <v>0</v>
      </c>
      <c r="U746" s="8"/>
      <c r="V746" s="8"/>
      <c r="Z746" s="8"/>
      <c r="AA746" s="8"/>
    </row>
    <row r="747" spans="1:2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>
        <v>0</v>
      </c>
      <c r="Q747" s="8"/>
      <c r="R747" s="8"/>
      <c r="S747" s="8">
        <v>0</v>
      </c>
      <c r="T747" s="8">
        <v>0</v>
      </c>
      <c r="U747" s="8"/>
      <c r="V747" s="8"/>
      <c r="Z747" s="8"/>
      <c r="AA747" s="8"/>
    </row>
    <row r="748" spans="1:27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>
        <v>0</v>
      </c>
      <c r="Q748" s="8"/>
      <c r="R748" s="8"/>
      <c r="S748" s="8">
        <v>0</v>
      </c>
      <c r="T748" s="8">
        <v>0</v>
      </c>
      <c r="U748" s="8"/>
      <c r="V748" s="8"/>
      <c r="Z748" s="8"/>
      <c r="AA748" s="8"/>
    </row>
    <row r="749" spans="1:27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>
        <v>0</v>
      </c>
      <c r="Q749" s="8"/>
      <c r="R749" s="8"/>
      <c r="S749" s="8">
        <v>0</v>
      </c>
      <c r="T749" s="8">
        <v>0</v>
      </c>
      <c r="U749" s="8"/>
      <c r="V749" s="8"/>
      <c r="Z749" s="8"/>
      <c r="AA749" s="8"/>
    </row>
    <row r="750" spans="1:27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>
        <v>0</v>
      </c>
      <c r="Q750" s="8"/>
      <c r="R750" s="8"/>
      <c r="S750" s="8">
        <v>0</v>
      </c>
      <c r="T750" s="8">
        <v>0</v>
      </c>
      <c r="U750" s="8"/>
      <c r="V750" s="8"/>
      <c r="Z750" s="8"/>
      <c r="AA750" s="8"/>
    </row>
    <row r="751" spans="1:27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>
        <v>0</v>
      </c>
      <c r="Q751" s="8"/>
      <c r="R751" s="8"/>
      <c r="S751" s="8">
        <v>0</v>
      </c>
      <c r="T751" s="8">
        <v>0</v>
      </c>
      <c r="U751" s="8"/>
      <c r="V751" s="8"/>
      <c r="Z751" s="8"/>
      <c r="AA751" s="8"/>
    </row>
    <row r="752" spans="1:27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>
        <v>0</v>
      </c>
      <c r="Q752" s="8"/>
      <c r="R752" s="8"/>
      <c r="S752" s="8">
        <v>0</v>
      </c>
      <c r="T752" s="8">
        <v>0</v>
      </c>
      <c r="U752" s="8"/>
      <c r="V752" s="8"/>
      <c r="Z752" s="8"/>
      <c r="AA752" s="8"/>
    </row>
    <row r="753" spans="1:27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>
        <v>0</v>
      </c>
      <c r="Q753" s="8"/>
      <c r="R753" s="8"/>
      <c r="S753" s="8">
        <v>0</v>
      </c>
      <c r="T753" s="8">
        <v>0</v>
      </c>
      <c r="U753" s="8"/>
      <c r="V753" s="8"/>
      <c r="Z753" s="8"/>
      <c r="AA753" s="8"/>
    </row>
    <row r="754" spans="1:27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>
        <v>0</v>
      </c>
      <c r="Q754" s="8"/>
      <c r="R754" s="8"/>
      <c r="S754" s="8">
        <v>0</v>
      </c>
      <c r="T754" s="8">
        <v>0</v>
      </c>
      <c r="U754" s="8"/>
      <c r="V754" s="8"/>
      <c r="Z754" s="8"/>
      <c r="AA754" s="8"/>
    </row>
    <row r="755" spans="1:27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>
        <v>0</v>
      </c>
      <c r="Q755" s="8"/>
      <c r="R755" s="8"/>
      <c r="S755" s="8">
        <v>0</v>
      </c>
      <c r="T755" s="8">
        <v>0</v>
      </c>
      <c r="U755" s="8"/>
      <c r="V755" s="8"/>
      <c r="Z755" s="8"/>
      <c r="AA755" s="8"/>
    </row>
    <row r="756" spans="1:27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>
        <v>0</v>
      </c>
      <c r="Q756" s="8"/>
      <c r="R756" s="8"/>
      <c r="S756" s="8">
        <v>0</v>
      </c>
      <c r="T756" s="8">
        <v>0</v>
      </c>
      <c r="U756" s="8"/>
      <c r="V756" s="8"/>
      <c r="Z756" s="8"/>
      <c r="AA756" s="8"/>
    </row>
    <row r="757" spans="1:2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>
        <v>0</v>
      </c>
      <c r="Q757" s="8"/>
      <c r="R757" s="8"/>
      <c r="S757" s="8">
        <v>0</v>
      </c>
      <c r="T757" s="8">
        <v>0</v>
      </c>
      <c r="U757" s="8"/>
      <c r="V757" s="8"/>
      <c r="Z757" s="8"/>
      <c r="AA757" s="8"/>
    </row>
    <row r="758" spans="1:27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>
        <v>0</v>
      </c>
      <c r="Q758" s="8"/>
      <c r="R758" s="8"/>
      <c r="S758" s="8">
        <v>0</v>
      </c>
      <c r="T758" s="8">
        <v>0</v>
      </c>
      <c r="U758" s="8"/>
      <c r="V758" s="8"/>
      <c r="Z758" s="8"/>
      <c r="AA758" s="8"/>
    </row>
    <row r="759" spans="1:27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>
        <v>0</v>
      </c>
      <c r="Q759" s="8"/>
      <c r="R759" s="8"/>
      <c r="S759" s="8">
        <v>0</v>
      </c>
      <c r="T759" s="8">
        <v>0</v>
      </c>
      <c r="U759" s="8"/>
      <c r="V759" s="8"/>
      <c r="Z759" s="8"/>
      <c r="AA759" s="8"/>
    </row>
    <row r="760" spans="1:27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>
        <v>0</v>
      </c>
      <c r="Q760" s="8"/>
      <c r="R760" s="8"/>
      <c r="S760" s="8">
        <v>0</v>
      </c>
      <c r="T760" s="8">
        <v>0</v>
      </c>
      <c r="U760" s="8"/>
      <c r="V760" s="8"/>
      <c r="Z760" s="8"/>
      <c r="AA760" s="8"/>
    </row>
    <row r="761" spans="1:27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>
        <v>0</v>
      </c>
      <c r="Q761" s="8"/>
      <c r="R761" s="8"/>
      <c r="S761" s="8">
        <v>0</v>
      </c>
      <c r="T761" s="8">
        <v>0</v>
      </c>
      <c r="U761" s="8"/>
      <c r="V761" s="8"/>
      <c r="Z761" s="8"/>
      <c r="AA761" s="8"/>
    </row>
    <row r="762" spans="1:27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>
        <v>0</v>
      </c>
      <c r="Q762" s="8"/>
      <c r="R762" s="8"/>
      <c r="S762" s="8">
        <v>0</v>
      </c>
      <c r="T762" s="8">
        <v>0</v>
      </c>
      <c r="U762" s="8"/>
      <c r="V762" s="8"/>
      <c r="Z762" s="8"/>
      <c r="AA762" s="8"/>
    </row>
    <row r="763" spans="1:27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>
        <v>0</v>
      </c>
      <c r="Q763" s="8"/>
      <c r="R763" s="8"/>
      <c r="S763" s="8">
        <v>0</v>
      </c>
      <c r="T763" s="8">
        <v>0</v>
      </c>
      <c r="U763" s="8"/>
      <c r="V763" s="8"/>
      <c r="Z763" s="8"/>
      <c r="AA763" s="8"/>
    </row>
    <row r="764" spans="1:27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>
        <v>0</v>
      </c>
      <c r="Q764" s="8"/>
      <c r="R764" s="8"/>
      <c r="S764" s="8">
        <v>0</v>
      </c>
      <c r="T764" s="8">
        <v>0</v>
      </c>
      <c r="U764" s="8"/>
      <c r="V764" s="8"/>
      <c r="Z764" s="8"/>
      <c r="AA764" s="8"/>
    </row>
    <row r="765" spans="1:27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>
        <v>0</v>
      </c>
      <c r="Q765" s="8"/>
      <c r="R765" s="8"/>
      <c r="S765" s="8">
        <v>0</v>
      </c>
      <c r="T765" s="8">
        <v>0</v>
      </c>
      <c r="U765" s="8"/>
      <c r="V765" s="8"/>
      <c r="Z765" s="8"/>
      <c r="AA765" s="8"/>
    </row>
    <row r="766" spans="1:27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>
        <v>0</v>
      </c>
      <c r="Q766" s="8"/>
      <c r="R766" s="8"/>
      <c r="S766" s="8">
        <v>0</v>
      </c>
      <c r="T766" s="8">
        <v>0</v>
      </c>
      <c r="U766" s="8"/>
      <c r="V766" s="8"/>
      <c r="Z766" s="8"/>
      <c r="AA766" s="8"/>
    </row>
    <row r="767" spans="1:2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>
        <v>0</v>
      </c>
      <c r="Q767" s="8"/>
      <c r="R767" s="8"/>
      <c r="S767" s="8">
        <v>0</v>
      </c>
      <c r="T767" s="8">
        <v>0</v>
      </c>
      <c r="U767" s="8"/>
      <c r="V767" s="8"/>
      <c r="Z767" s="8"/>
      <c r="AA767" s="8"/>
    </row>
    <row r="768" spans="1:27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>
        <v>0</v>
      </c>
      <c r="Q768" s="8"/>
      <c r="R768" s="8"/>
      <c r="S768" s="8">
        <v>0</v>
      </c>
      <c r="T768" s="8">
        <v>0</v>
      </c>
      <c r="U768" s="8"/>
      <c r="V768" s="8"/>
      <c r="Z768" s="8"/>
      <c r="AA768" s="8"/>
    </row>
    <row r="769" spans="1:27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>
        <v>0</v>
      </c>
      <c r="Q769" s="8"/>
      <c r="R769" s="8"/>
      <c r="S769" s="8">
        <v>0</v>
      </c>
      <c r="T769" s="8">
        <v>0</v>
      </c>
      <c r="U769" s="8"/>
      <c r="V769" s="8"/>
      <c r="Z769" s="8"/>
      <c r="AA769" s="8"/>
    </row>
    <row r="770" spans="1:27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>
        <v>0</v>
      </c>
      <c r="Q770" s="8"/>
      <c r="R770" s="8"/>
      <c r="S770" s="8">
        <v>0</v>
      </c>
      <c r="T770" s="8">
        <v>0</v>
      </c>
      <c r="U770" s="8"/>
      <c r="V770" s="8"/>
      <c r="Z770" s="8"/>
      <c r="AA770" s="8"/>
    </row>
    <row r="771" spans="1:27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>
        <v>0</v>
      </c>
      <c r="Q771" s="8"/>
      <c r="R771" s="8"/>
      <c r="S771" s="8">
        <v>0</v>
      </c>
      <c r="T771" s="8">
        <v>0</v>
      </c>
      <c r="U771" s="8"/>
      <c r="V771" s="8"/>
      <c r="Z771" s="8"/>
      <c r="AA771" s="8"/>
    </row>
    <row r="772" spans="1:27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>
        <v>0</v>
      </c>
      <c r="Q772" s="8"/>
      <c r="R772" s="8"/>
      <c r="S772" s="8">
        <v>0</v>
      </c>
      <c r="T772" s="8">
        <v>0</v>
      </c>
      <c r="U772" s="8"/>
      <c r="V772" s="8"/>
      <c r="Z772" s="8"/>
      <c r="AA772" s="8"/>
    </row>
    <row r="773" spans="1:27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>
        <v>0</v>
      </c>
      <c r="Q773" s="8"/>
      <c r="R773" s="8"/>
      <c r="S773" s="8">
        <v>0</v>
      </c>
      <c r="T773" s="8">
        <v>0</v>
      </c>
      <c r="U773" s="8"/>
      <c r="V773" s="8"/>
      <c r="Z773" s="8"/>
      <c r="AA773" s="8"/>
    </row>
    <row r="774" spans="1:27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>
        <v>0</v>
      </c>
      <c r="Q774" s="8"/>
      <c r="R774" s="8"/>
      <c r="S774" s="8">
        <v>0</v>
      </c>
      <c r="T774" s="8">
        <v>0</v>
      </c>
      <c r="U774" s="8"/>
      <c r="V774" s="8"/>
      <c r="Z774" s="8"/>
      <c r="AA774" s="8"/>
    </row>
    <row r="775" spans="1:27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>
        <v>0</v>
      </c>
      <c r="Q775" s="8"/>
      <c r="R775" s="8"/>
      <c r="S775" s="8">
        <v>0</v>
      </c>
      <c r="T775" s="8">
        <v>0</v>
      </c>
      <c r="U775" s="8"/>
      <c r="V775" s="8"/>
      <c r="Z775" s="8"/>
      <c r="AA775" s="8"/>
    </row>
    <row r="776" spans="1:27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>
        <v>0</v>
      </c>
      <c r="Q776" s="8"/>
      <c r="R776" s="8"/>
      <c r="S776" s="8">
        <v>0</v>
      </c>
      <c r="T776" s="8">
        <v>0</v>
      </c>
      <c r="U776" s="8"/>
      <c r="V776" s="8"/>
      <c r="Z776" s="8"/>
      <c r="AA776" s="8"/>
    </row>
    <row r="777" spans="1:2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>
        <v>0</v>
      </c>
      <c r="Q777" s="8"/>
      <c r="R777" s="8"/>
      <c r="S777" s="8">
        <v>0</v>
      </c>
      <c r="T777" s="8">
        <v>0</v>
      </c>
      <c r="U777" s="8"/>
      <c r="V777" s="8"/>
      <c r="Z777" s="8"/>
      <c r="AA777" s="8"/>
    </row>
    <row r="778" spans="1:27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>
        <v>0</v>
      </c>
      <c r="Q778" s="8"/>
      <c r="R778" s="8"/>
      <c r="S778" s="8">
        <v>0</v>
      </c>
      <c r="T778" s="8">
        <v>0</v>
      </c>
      <c r="U778" s="8"/>
      <c r="V778" s="8"/>
      <c r="Z778" s="8"/>
      <c r="AA778" s="8"/>
    </row>
    <row r="779" spans="1:27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>
        <v>0</v>
      </c>
      <c r="Q779" s="8"/>
      <c r="R779" s="8"/>
      <c r="S779" s="8">
        <v>0</v>
      </c>
      <c r="T779" s="8">
        <v>0</v>
      </c>
      <c r="U779" s="8"/>
      <c r="V779" s="8"/>
      <c r="Z779" s="8"/>
      <c r="AA779" s="8"/>
    </row>
    <row r="780" spans="1:27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>
        <v>0</v>
      </c>
      <c r="Q780" s="8"/>
      <c r="R780" s="8"/>
      <c r="S780" s="8">
        <v>0</v>
      </c>
      <c r="T780" s="8">
        <v>0</v>
      </c>
      <c r="U780" s="8"/>
      <c r="V780" s="8"/>
      <c r="Z780" s="8"/>
      <c r="AA780" s="8"/>
    </row>
    <row r="781" spans="1:27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>
        <v>0</v>
      </c>
      <c r="Q781" s="8"/>
      <c r="R781" s="8"/>
      <c r="S781" s="8">
        <v>0</v>
      </c>
      <c r="T781" s="8">
        <v>0</v>
      </c>
      <c r="U781" s="8"/>
      <c r="V781" s="8"/>
      <c r="Z781" s="8"/>
      <c r="AA781" s="8"/>
    </row>
    <row r="782" spans="1:27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>
        <v>0</v>
      </c>
      <c r="Q782" s="8"/>
      <c r="R782" s="8"/>
      <c r="S782" s="8">
        <v>0</v>
      </c>
      <c r="T782" s="8">
        <v>0</v>
      </c>
      <c r="U782" s="8"/>
      <c r="V782" s="8"/>
      <c r="Z782" s="8"/>
      <c r="AA782" s="8"/>
    </row>
    <row r="783" spans="1:27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>
        <v>0</v>
      </c>
      <c r="Q783" s="8"/>
      <c r="R783" s="8"/>
      <c r="S783" s="8">
        <v>0</v>
      </c>
      <c r="T783" s="8">
        <v>0</v>
      </c>
      <c r="U783" s="8"/>
      <c r="V783" s="8"/>
      <c r="Z783" s="8"/>
      <c r="AA783" s="8"/>
    </row>
    <row r="784" spans="1:27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>
        <v>0</v>
      </c>
      <c r="Q784" s="8"/>
      <c r="R784" s="8"/>
      <c r="S784" s="8">
        <v>0</v>
      </c>
      <c r="T784" s="8">
        <v>0</v>
      </c>
      <c r="U784" s="8"/>
      <c r="V784" s="8"/>
      <c r="Z784" s="8"/>
      <c r="AA784" s="8"/>
    </row>
    <row r="785" spans="1:27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>
        <v>0</v>
      </c>
      <c r="Q785" s="8"/>
      <c r="R785" s="8"/>
      <c r="S785" s="8">
        <v>0</v>
      </c>
      <c r="T785" s="8">
        <v>0</v>
      </c>
      <c r="U785" s="8"/>
      <c r="V785" s="8"/>
      <c r="Z785" s="8"/>
      <c r="AA785" s="8"/>
    </row>
    <row r="786" spans="1:27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>
        <v>0</v>
      </c>
      <c r="Q786" s="8"/>
      <c r="R786" s="8"/>
      <c r="S786" s="8">
        <v>0</v>
      </c>
      <c r="T786" s="8">
        <v>0</v>
      </c>
      <c r="U786" s="8"/>
      <c r="V786" s="8"/>
      <c r="Z786" s="8"/>
      <c r="AA786" s="8"/>
    </row>
    <row r="787" spans="1:2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>
        <v>0</v>
      </c>
      <c r="Q787" s="8"/>
      <c r="R787" s="8"/>
      <c r="S787" s="8">
        <v>0</v>
      </c>
      <c r="T787" s="8">
        <v>0</v>
      </c>
      <c r="U787" s="8"/>
      <c r="V787" s="8"/>
      <c r="Z787" s="8"/>
      <c r="AA787" s="8"/>
    </row>
    <row r="788" spans="1:27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>
        <v>0</v>
      </c>
      <c r="Q788" s="8"/>
      <c r="R788" s="8"/>
      <c r="S788" s="8">
        <v>0</v>
      </c>
      <c r="T788" s="8">
        <v>0</v>
      </c>
      <c r="U788" s="8"/>
      <c r="V788" s="8"/>
      <c r="Z788" s="8"/>
      <c r="AA788" s="8"/>
    </row>
    <row r="789" spans="1:27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>
        <v>0</v>
      </c>
      <c r="Q789" s="8"/>
      <c r="R789" s="8"/>
      <c r="S789" s="8">
        <v>0</v>
      </c>
      <c r="T789" s="8">
        <v>0</v>
      </c>
      <c r="U789" s="8"/>
      <c r="V789" s="8"/>
      <c r="Z789" s="8"/>
      <c r="AA789" s="8"/>
    </row>
    <row r="790" spans="1:27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>
        <v>0</v>
      </c>
      <c r="Q790" s="8"/>
      <c r="R790" s="8"/>
      <c r="S790" s="8">
        <v>0</v>
      </c>
      <c r="T790" s="8">
        <v>0</v>
      </c>
      <c r="U790" s="8"/>
      <c r="V790" s="8"/>
      <c r="Z790" s="8"/>
      <c r="AA790" s="8"/>
    </row>
    <row r="791" spans="1:27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>
        <v>0</v>
      </c>
      <c r="Q791" s="8"/>
      <c r="R791" s="8"/>
      <c r="S791" s="8">
        <v>0</v>
      </c>
      <c r="T791" s="8">
        <v>0</v>
      </c>
      <c r="U791" s="8"/>
      <c r="V791" s="8"/>
      <c r="Z791" s="8"/>
      <c r="AA791" s="8"/>
    </row>
    <row r="792" spans="1:27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>
        <v>0</v>
      </c>
      <c r="Q792" s="8"/>
      <c r="R792" s="8"/>
      <c r="S792" s="8">
        <v>0</v>
      </c>
      <c r="T792" s="8">
        <v>0</v>
      </c>
      <c r="U792" s="8"/>
      <c r="V792" s="8"/>
      <c r="Z792" s="8"/>
      <c r="AA792" s="8"/>
    </row>
    <row r="793" spans="1:27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>
        <v>0</v>
      </c>
      <c r="Q793" s="8"/>
      <c r="R793" s="8"/>
      <c r="S793" s="8">
        <v>0</v>
      </c>
      <c r="T793" s="8">
        <v>0</v>
      </c>
      <c r="U793" s="8"/>
      <c r="V793" s="8"/>
      <c r="Z793" s="8"/>
      <c r="AA793" s="8"/>
    </row>
    <row r="794" spans="1:27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>
        <v>0</v>
      </c>
      <c r="Q794" s="8"/>
      <c r="R794" s="8"/>
      <c r="S794" s="8">
        <v>0</v>
      </c>
      <c r="T794" s="8">
        <v>0</v>
      </c>
      <c r="U794" s="8"/>
      <c r="V794" s="8"/>
      <c r="Z794" s="8"/>
      <c r="AA794" s="8"/>
    </row>
    <row r="795" spans="1:27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>
        <v>0</v>
      </c>
      <c r="Q795" s="8"/>
      <c r="R795" s="8"/>
      <c r="S795" s="8">
        <v>0</v>
      </c>
      <c r="T795" s="8">
        <v>0</v>
      </c>
      <c r="U795" s="8"/>
      <c r="V795" s="8"/>
      <c r="Z795" s="8"/>
      <c r="AA795" s="8"/>
    </row>
    <row r="796" spans="1:27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>
        <v>0</v>
      </c>
      <c r="Q796" s="8"/>
      <c r="R796" s="8"/>
      <c r="S796" s="8">
        <v>0</v>
      </c>
      <c r="T796" s="8">
        <v>0</v>
      </c>
      <c r="U796" s="8"/>
      <c r="V796" s="8"/>
      <c r="Z796" s="8"/>
      <c r="AA796" s="8"/>
    </row>
    <row r="797" spans="1:2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>
        <v>0</v>
      </c>
      <c r="Q797" s="8"/>
      <c r="R797" s="8"/>
      <c r="S797" s="8">
        <v>0</v>
      </c>
      <c r="T797" s="8">
        <v>0</v>
      </c>
      <c r="U797" s="8"/>
      <c r="V797" s="8"/>
      <c r="Z797" s="8"/>
      <c r="AA797" s="8"/>
    </row>
    <row r="798" spans="1:27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>
        <v>0</v>
      </c>
      <c r="Q798" s="8"/>
      <c r="R798" s="8"/>
      <c r="S798" s="8">
        <v>0</v>
      </c>
      <c r="T798" s="8">
        <v>0</v>
      </c>
      <c r="U798" s="8"/>
      <c r="V798" s="8"/>
      <c r="Z798" s="8"/>
      <c r="AA798" s="8"/>
    </row>
    <row r="799" spans="1:27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>
        <v>0</v>
      </c>
      <c r="Q799" s="8"/>
      <c r="R799" s="8"/>
      <c r="S799" s="8">
        <v>0</v>
      </c>
      <c r="T799" s="8">
        <v>0</v>
      </c>
      <c r="U799" s="8"/>
      <c r="V799" s="8"/>
      <c r="Z799" s="8"/>
      <c r="AA799" s="8"/>
    </row>
    <row r="800" spans="1:27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>
        <v>0</v>
      </c>
      <c r="Q800" s="8"/>
      <c r="R800" s="8"/>
      <c r="S800" s="8">
        <v>0</v>
      </c>
      <c r="T800" s="8">
        <v>0</v>
      </c>
      <c r="U800" s="8"/>
      <c r="V800" s="8"/>
      <c r="Z800" s="8"/>
      <c r="AA800" s="8"/>
    </row>
    <row r="801" spans="1:27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>
        <v>0</v>
      </c>
      <c r="Q801" s="8"/>
      <c r="R801" s="8"/>
      <c r="S801" s="8">
        <v>0</v>
      </c>
      <c r="T801" s="8">
        <v>0</v>
      </c>
      <c r="U801" s="8"/>
      <c r="V801" s="8"/>
      <c r="Z801" s="8"/>
      <c r="AA801" s="8"/>
    </row>
    <row r="802" spans="1:27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>
        <v>0</v>
      </c>
      <c r="Q802" s="8"/>
      <c r="R802" s="8"/>
      <c r="S802" s="8">
        <v>0</v>
      </c>
      <c r="T802" s="8">
        <v>0</v>
      </c>
      <c r="U802" s="8"/>
      <c r="V802" s="8"/>
      <c r="Z802" s="8"/>
      <c r="AA802" s="8"/>
    </row>
    <row r="803" spans="1:27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>
        <v>0</v>
      </c>
      <c r="Q803" s="8"/>
      <c r="R803" s="8"/>
      <c r="S803" s="8">
        <v>0</v>
      </c>
      <c r="T803" s="8">
        <v>0</v>
      </c>
      <c r="U803" s="8"/>
      <c r="V803" s="8"/>
      <c r="Z803" s="8"/>
      <c r="AA803" s="8"/>
    </row>
    <row r="804" spans="1:27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>
        <v>0</v>
      </c>
      <c r="Q804" s="8"/>
      <c r="R804" s="8"/>
      <c r="S804" s="8">
        <v>0</v>
      </c>
      <c r="T804" s="8">
        <v>0</v>
      </c>
      <c r="U804" s="8"/>
      <c r="V804" s="8"/>
      <c r="Z804" s="8"/>
      <c r="AA804" s="8"/>
    </row>
    <row r="805" spans="1:27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>
        <v>0</v>
      </c>
      <c r="Q805" s="8"/>
      <c r="R805" s="8"/>
      <c r="S805" s="8">
        <v>0</v>
      </c>
      <c r="T805" s="8">
        <v>0</v>
      </c>
      <c r="U805" s="8"/>
      <c r="V805" s="8"/>
      <c r="Z805" s="8"/>
      <c r="AA805" s="8"/>
    </row>
    <row r="806" spans="1:27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>
        <v>0</v>
      </c>
      <c r="Q806" s="8"/>
      <c r="R806" s="8"/>
      <c r="S806" s="8">
        <v>0</v>
      </c>
      <c r="T806" s="8">
        <v>0</v>
      </c>
      <c r="U806" s="8"/>
      <c r="V806" s="8"/>
      <c r="Z806" s="8"/>
      <c r="AA806" s="8"/>
    </row>
    <row r="807" spans="1:2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>
        <v>0</v>
      </c>
      <c r="Q807" s="8"/>
      <c r="R807" s="8"/>
      <c r="S807" s="8">
        <v>0</v>
      </c>
      <c r="T807" s="8">
        <v>0</v>
      </c>
      <c r="U807" s="8"/>
      <c r="V807" s="8"/>
      <c r="Z807" s="8"/>
      <c r="AA807" s="8"/>
    </row>
    <row r="808" spans="1:27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>
        <v>0</v>
      </c>
      <c r="Q808" s="8"/>
      <c r="R808" s="8"/>
      <c r="S808" s="8">
        <v>0</v>
      </c>
      <c r="T808" s="8">
        <v>0</v>
      </c>
      <c r="U808" s="8"/>
      <c r="V808" s="8"/>
      <c r="Z808" s="8"/>
      <c r="AA808" s="8"/>
    </row>
    <row r="809" spans="1:27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>
        <v>0</v>
      </c>
      <c r="Q809" s="8"/>
      <c r="R809" s="8"/>
      <c r="S809" s="8">
        <v>0</v>
      </c>
      <c r="T809" s="8">
        <v>0</v>
      </c>
      <c r="U809" s="8"/>
      <c r="V809" s="8"/>
      <c r="Z809" s="8"/>
      <c r="AA809" s="8"/>
    </row>
    <row r="810" spans="1:27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>
        <v>0</v>
      </c>
      <c r="Q810" s="8"/>
      <c r="R810" s="8"/>
      <c r="S810" s="8">
        <v>0</v>
      </c>
      <c r="T810" s="8">
        <v>0</v>
      </c>
      <c r="U810" s="8"/>
      <c r="V810" s="8"/>
      <c r="Z810" s="8"/>
      <c r="AA810" s="8"/>
    </row>
    <row r="811" spans="1:27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>
        <v>0</v>
      </c>
      <c r="Q811" s="8"/>
      <c r="R811" s="8"/>
      <c r="S811" s="8">
        <v>0</v>
      </c>
      <c r="T811" s="8">
        <v>0</v>
      </c>
      <c r="U811" s="8"/>
      <c r="V811" s="8"/>
      <c r="Z811" s="8"/>
      <c r="AA811" s="8"/>
    </row>
    <row r="812" spans="1:27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>
        <v>0</v>
      </c>
      <c r="Q812" s="8"/>
      <c r="R812" s="8"/>
      <c r="S812" s="8">
        <v>0</v>
      </c>
      <c r="T812" s="8">
        <v>0</v>
      </c>
      <c r="U812" s="8"/>
      <c r="V812" s="8"/>
      <c r="Z812" s="8"/>
      <c r="AA812" s="8"/>
    </row>
    <row r="813" spans="1:27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>
        <v>0</v>
      </c>
      <c r="Q813" s="8"/>
      <c r="R813" s="8"/>
      <c r="S813" s="8">
        <v>0</v>
      </c>
      <c r="T813" s="8">
        <v>0</v>
      </c>
      <c r="U813" s="8"/>
      <c r="V813" s="8"/>
      <c r="Z813" s="8"/>
      <c r="AA813" s="8"/>
    </row>
    <row r="814" spans="1:27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>
        <v>0</v>
      </c>
      <c r="Q814" s="8"/>
      <c r="R814" s="8"/>
      <c r="S814" s="8">
        <v>0</v>
      </c>
      <c r="T814" s="8">
        <v>0</v>
      </c>
      <c r="U814" s="8"/>
      <c r="V814" s="8"/>
      <c r="Z814" s="8"/>
      <c r="AA814" s="8"/>
    </row>
    <row r="815" spans="1:27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>
        <v>0</v>
      </c>
      <c r="Q815" s="8"/>
      <c r="R815" s="8"/>
      <c r="S815" s="8">
        <v>0</v>
      </c>
      <c r="T815" s="8">
        <v>0</v>
      </c>
      <c r="U815" s="8"/>
      <c r="V815" s="8"/>
      <c r="Z815" s="8"/>
      <c r="AA815" s="8"/>
    </row>
    <row r="816" spans="1:27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>
        <v>0</v>
      </c>
      <c r="Q816" s="8"/>
      <c r="R816" s="8"/>
      <c r="S816" s="8">
        <v>0</v>
      </c>
      <c r="T816" s="8">
        <v>0</v>
      </c>
      <c r="U816" s="8"/>
      <c r="V816" s="8"/>
      <c r="Z816" s="8"/>
      <c r="AA816" s="8"/>
    </row>
    <row r="817" spans="1:2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>
        <v>0</v>
      </c>
      <c r="Q817" s="8"/>
      <c r="R817" s="8"/>
      <c r="S817" s="8">
        <v>0</v>
      </c>
      <c r="T817" s="8">
        <v>0</v>
      </c>
      <c r="U817" s="8"/>
      <c r="V817" s="8"/>
      <c r="Z817" s="8"/>
      <c r="AA817" s="8"/>
    </row>
    <row r="818" spans="1:27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>
        <v>0</v>
      </c>
      <c r="Q818" s="8"/>
      <c r="R818" s="8"/>
      <c r="S818" s="8">
        <v>0</v>
      </c>
      <c r="T818" s="8">
        <v>0</v>
      </c>
      <c r="U818" s="8"/>
      <c r="V818" s="8"/>
      <c r="Z818" s="8"/>
      <c r="AA818" s="8"/>
    </row>
    <row r="819" spans="1:27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>
        <v>0</v>
      </c>
      <c r="Q819" s="8"/>
      <c r="R819" s="8"/>
      <c r="S819" s="8">
        <v>0</v>
      </c>
      <c r="T819" s="8">
        <v>0</v>
      </c>
      <c r="U819" s="8"/>
      <c r="V819" s="8"/>
      <c r="Z819" s="8"/>
      <c r="AA819" s="8"/>
    </row>
    <row r="820" spans="1:27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>
        <v>0</v>
      </c>
      <c r="Q820" s="8"/>
      <c r="R820" s="8"/>
      <c r="S820" s="8">
        <v>0</v>
      </c>
      <c r="T820" s="8">
        <v>0</v>
      </c>
      <c r="U820" s="8"/>
      <c r="V820" s="8"/>
      <c r="Z820" s="8"/>
      <c r="AA820" s="8"/>
    </row>
    <row r="821" spans="1:27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>
        <v>0</v>
      </c>
      <c r="Q821" s="8"/>
      <c r="R821" s="8"/>
      <c r="S821" s="8">
        <v>0</v>
      </c>
      <c r="T821" s="8">
        <v>0</v>
      </c>
      <c r="U821" s="8"/>
      <c r="V821" s="8"/>
      <c r="Z821" s="8"/>
      <c r="AA821" s="8"/>
    </row>
    <row r="822" spans="1:27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>
        <v>0</v>
      </c>
      <c r="Q822" s="8"/>
      <c r="R822" s="8"/>
      <c r="S822" s="8">
        <v>0</v>
      </c>
      <c r="T822" s="8">
        <v>0</v>
      </c>
      <c r="U822" s="8"/>
      <c r="V822" s="8"/>
      <c r="Z822" s="8"/>
      <c r="AA822" s="8"/>
    </row>
    <row r="823" spans="1:27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>
        <v>0</v>
      </c>
      <c r="Q823" s="8"/>
      <c r="R823" s="8"/>
      <c r="S823" s="8">
        <v>0</v>
      </c>
      <c r="T823" s="8">
        <v>0</v>
      </c>
      <c r="U823" s="8"/>
      <c r="V823" s="8"/>
      <c r="Z823" s="8"/>
      <c r="AA823" s="8"/>
    </row>
    <row r="824" spans="1:27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>
        <v>0</v>
      </c>
      <c r="Q824" s="8"/>
      <c r="R824" s="8"/>
      <c r="S824" s="8">
        <v>0</v>
      </c>
      <c r="T824" s="8">
        <v>0</v>
      </c>
      <c r="U824" s="8"/>
      <c r="V824" s="8"/>
      <c r="Z824" s="8"/>
      <c r="AA824" s="8"/>
    </row>
    <row r="825" spans="1:27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>
        <v>0</v>
      </c>
      <c r="Q825" s="8"/>
      <c r="R825" s="8"/>
      <c r="S825" s="8">
        <v>0</v>
      </c>
      <c r="T825" s="8">
        <v>0</v>
      </c>
      <c r="U825" s="8"/>
      <c r="V825" s="8"/>
      <c r="Z825" s="8"/>
      <c r="AA825" s="8"/>
    </row>
    <row r="826" spans="1:27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>
        <v>0</v>
      </c>
      <c r="Q826" s="8"/>
      <c r="R826" s="8"/>
      <c r="S826" s="8">
        <v>0</v>
      </c>
      <c r="T826" s="8">
        <v>0</v>
      </c>
      <c r="U826" s="8"/>
      <c r="V826" s="8"/>
      <c r="Z826" s="8"/>
      <c r="AA826" s="8"/>
    </row>
    <row r="827" spans="1: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>
        <v>0</v>
      </c>
      <c r="Q827" s="8"/>
      <c r="R827" s="8"/>
      <c r="S827" s="8">
        <v>0</v>
      </c>
      <c r="T827" s="8">
        <v>0</v>
      </c>
      <c r="U827" s="8"/>
      <c r="V827" s="8"/>
      <c r="Z827" s="8"/>
      <c r="AA827" s="8"/>
    </row>
    <row r="828" spans="1:27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>
        <v>0</v>
      </c>
      <c r="Q828" s="8"/>
      <c r="R828" s="8"/>
      <c r="S828" s="8">
        <v>0</v>
      </c>
      <c r="T828" s="8">
        <v>0</v>
      </c>
      <c r="U828" s="8"/>
      <c r="V828" s="8"/>
      <c r="Z828" s="8"/>
      <c r="AA828" s="8"/>
    </row>
    <row r="829" spans="1:27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>
        <v>0</v>
      </c>
      <c r="Q829" s="8"/>
      <c r="R829" s="8"/>
      <c r="S829" s="8">
        <v>0</v>
      </c>
      <c r="T829" s="8">
        <v>0</v>
      </c>
      <c r="U829" s="8"/>
      <c r="V829" s="8"/>
      <c r="Z829" s="8"/>
      <c r="AA829" s="8"/>
    </row>
    <row r="830" spans="1:27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>
        <v>0</v>
      </c>
      <c r="Q830" s="8"/>
      <c r="R830" s="8"/>
      <c r="S830" s="8">
        <v>0</v>
      </c>
      <c r="T830" s="8">
        <v>0</v>
      </c>
      <c r="U830" s="8"/>
      <c r="V830" s="8"/>
      <c r="Z830" s="8"/>
      <c r="AA830" s="8"/>
    </row>
    <row r="831" spans="1:27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>
        <v>0</v>
      </c>
      <c r="Q831" s="8"/>
      <c r="R831" s="8"/>
      <c r="S831" s="8">
        <v>0</v>
      </c>
      <c r="T831" s="8">
        <v>0</v>
      </c>
      <c r="U831" s="8"/>
      <c r="V831" s="8"/>
      <c r="Z831" s="8"/>
      <c r="AA831" s="8"/>
    </row>
    <row r="832" spans="1:27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>
        <v>0</v>
      </c>
      <c r="Q832" s="8"/>
      <c r="R832" s="8"/>
      <c r="S832" s="8">
        <v>0</v>
      </c>
      <c r="T832" s="8">
        <v>0</v>
      </c>
      <c r="U832" s="8"/>
      <c r="V832" s="8"/>
      <c r="Z832" s="8"/>
      <c r="AA832" s="8"/>
    </row>
    <row r="833" spans="1:27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>
        <v>0</v>
      </c>
      <c r="Q833" s="8"/>
      <c r="R833" s="8"/>
      <c r="S833" s="8">
        <v>0</v>
      </c>
      <c r="T833" s="8">
        <v>0</v>
      </c>
      <c r="U833" s="8"/>
      <c r="V833" s="8"/>
      <c r="Z833" s="8"/>
      <c r="AA833" s="8"/>
    </row>
    <row r="834" spans="1:27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>
        <v>0</v>
      </c>
      <c r="Q834" s="8"/>
      <c r="R834" s="8"/>
      <c r="S834" s="8">
        <v>0</v>
      </c>
      <c r="T834" s="8">
        <v>0</v>
      </c>
      <c r="U834" s="8"/>
      <c r="V834" s="8"/>
      <c r="Z834" s="8"/>
      <c r="AA834" s="8"/>
    </row>
    <row r="835" spans="1:27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>
        <v>0</v>
      </c>
      <c r="Q835" s="8"/>
      <c r="R835" s="8"/>
      <c r="S835" s="8">
        <v>0</v>
      </c>
      <c r="T835" s="8">
        <v>0</v>
      </c>
      <c r="U835" s="8"/>
      <c r="V835" s="8"/>
      <c r="Z835" s="8"/>
      <c r="AA835" s="8"/>
    </row>
    <row r="836" spans="1:27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>
        <v>0</v>
      </c>
      <c r="Q836" s="8"/>
      <c r="R836" s="8"/>
      <c r="S836" s="8">
        <v>0</v>
      </c>
      <c r="T836" s="8">
        <v>0</v>
      </c>
      <c r="U836" s="8"/>
      <c r="V836" s="8"/>
      <c r="Z836" s="8"/>
      <c r="AA836" s="8"/>
    </row>
    <row r="837" spans="1:2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>
        <v>0</v>
      </c>
      <c r="Q837" s="8"/>
      <c r="R837" s="8"/>
      <c r="S837" s="8">
        <v>0</v>
      </c>
      <c r="T837" s="8">
        <v>0</v>
      </c>
      <c r="U837" s="8"/>
      <c r="V837" s="8"/>
      <c r="Z837" s="8"/>
      <c r="AA837" s="8"/>
    </row>
    <row r="838" spans="1:27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>
        <v>0</v>
      </c>
      <c r="Q838" s="8"/>
      <c r="R838" s="8"/>
      <c r="S838" s="8">
        <v>0</v>
      </c>
      <c r="T838" s="8">
        <v>0</v>
      </c>
      <c r="U838" s="8"/>
      <c r="V838" s="8"/>
      <c r="Z838" s="8"/>
      <c r="AA838" s="8"/>
    </row>
    <row r="839" spans="1:27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>
        <v>0</v>
      </c>
      <c r="Q839" s="8"/>
      <c r="R839" s="8"/>
      <c r="S839" s="8">
        <v>0</v>
      </c>
      <c r="T839" s="8">
        <v>0</v>
      </c>
      <c r="U839" s="8"/>
      <c r="V839" s="8"/>
      <c r="Z839" s="8"/>
      <c r="AA839" s="8"/>
    </row>
    <row r="840" spans="1:27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>
        <v>0</v>
      </c>
      <c r="Q840" s="8"/>
      <c r="R840" s="8"/>
      <c r="S840" s="8">
        <v>0</v>
      </c>
      <c r="T840" s="8">
        <v>0</v>
      </c>
      <c r="U840" s="8"/>
      <c r="V840" s="8"/>
      <c r="Z840" s="8"/>
      <c r="AA840" s="8"/>
    </row>
    <row r="841" spans="1:27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>
        <v>0</v>
      </c>
      <c r="Q841" s="8"/>
      <c r="R841" s="8"/>
      <c r="S841" s="8">
        <v>0</v>
      </c>
      <c r="T841" s="8">
        <v>0</v>
      </c>
      <c r="U841" s="8"/>
      <c r="V841" s="8"/>
      <c r="Z841" s="8"/>
      <c r="AA841" s="8"/>
    </row>
    <row r="842" spans="1:27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>
        <v>0</v>
      </c>
      <c r="Q842" s="8"/>
      <c r="R842" s="8"/>
      <c r="S842" s="8">
        <v>0</v>
      </c>
      <c r="T842" s="8">
        <v>0</v>
      </c>
      <c r="U842" s="8"/>
      <c r="V842" s="8"/>
      <c r="Z842" s="8"/>
      <c r="AA842" s="8"/>
    </row>
    <row r="843" spans="1:27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>
        <v>0</v>
      </c>
      <c r="Q843" s="8"/>
      <c r="R843" s="8"/>
      <c r="S843" s="8">
        <v>0</v>
      </c>
      <c r="T843" s="8">
        <v>0</v>
      </c>
      <c r="U843" s="8"/>
      <c r="V843" s="8"/>
      <c r="Z843" s="8"/>
      <c r="AA843" s="8"/>
    </row>
    <row r="844" spans="1:27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>
        <v>0</v>
      </c>
      <c r="Q844" s="8"/>
      <c r="R844" s="8"/>
      <c r="S844" s="8">
        <v>0</v>
      </c>
      <c r="T844" s="8">
        <v>0</v>
      </c>
      <c r="U844" s="8"/>
      <c r="V844" s="8"/>
      <c r="Z844" s="8"/>
      <c r="AA844" s="8"/>
    </row>
    <row r="845" spans="1:27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>
        <v>0</v>
      </c>
      <c r="Q845" s="8"/>
      <c r="R845" s="8"/>
      <c r="S845" s="8">
        <v>0</v>
      </c>
      <c r="T845" s="8">
        <v>0</v>
      </c>
      <c r="U845" s="8"/>
      <c r="V845" s="8"/>
      <c r="Z845" s="8"/>
      <c r="AA845" s="8"/>
    </row>
    <row r="846" spans="1:27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>
        <v>0</v>
      </c>
      <c r="Q846" s="8"/>
      <c r="R846" s="8"/>
      <c r="S846" s="8">
        <v>0</v>
      </c>
      <c r="T846" s="8">
        <v>0</v>
      </c>
      <c r="U846" s="8"/>
      <c r="V846" s="8"/>
      <c r="Z846" s="8"/>
      <c r="AA846" s="8"/>
    </row>
    <row r="847" spans="1:2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>
        <v>0</v>
      </c>
      <c r="Q847" s="8"/>
      <c r="R847" s="8"/>
      <c r="S847" s="8">
        <v>0</v>
      </c>
      <c r="T847" s="8">
        <v>0</v>
      </c>
      <c r="U847" s="8"/>
      <c r="V847" s="8"/>
      <c r="Z847" s="8"/>
      <c r="AA847" s="8"/>
    </row>
    <row r="848" spans="1:27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>
        <v>0</v>
      </c>
      <c r="Q848" s="8"/>
      <c r="R848" s="8"/>
      <c r="S848" s="8">
        <v>0</v>
      </c>
      <c r="T848" s="8">
        <v>0</v>
      </c>
      <c r="U848" s="8"/>
      <c r="V848" s="8"/>
      <c r="Z848" s="8"/>
      <c r="AA848" s="8"/>
    </row>
    <row r="849" spans="1:27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>
        <v>0</v>
      </c>
      <c r="Q849" s="8"/>
      <c r="R849" s="8"/>
      <c r="S849" s="8">
        <v>0</v>
      </c>
      <c r="T849" s="8">
        <v>0</v>
      </c>
      <c r="U849" s="8"/>
      <c r="V849" s="8"/>
      <c r="Z849" s="8"/>
      <c r="AA849" s="8"/>
    </row>
    <row r="850" spans="1:27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>
        <v>0</v>
      </c>
      <c r="Q850" s="8"/>
      <c r="R850" s="8"/>
      <c r="S850" s="8">
        <v>0</v>
      </c>
      <c r="T850" s="8">
        <v>0</v>
      </c>
      <c r="U850" s="8"/>
      <c r="V850" s="8"/>
      <c r="Z850" s="8"/>
      <c r="AA850" s="8"/>
    </row>
    <row r="851" spans="1:27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>
        <v>0</v>
      </c>
      <c r="Q851" s="8"/>
      <c r="R851" s="8"/>
      <c r="S851" s="8">
        <v>0</v>
      </c>
      <c r="T851" s="8">
        <v>0</v>
      </c>
      <c r="U851" s="8"/>
      <c r="V851" s="8"/>
      <c r="Z851" s="8"/>
      <c r="AA851" s="8"/>
    </row>
    <row r="852" spans="1:27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>
        <v>0</v>
      </c>
      <c r="Q852" s="8"/>
      <c r="R852" s="8"/>
      <c r="S852" s="8">
        <v>0</v>
      </c>
      <c r="T852" s="8">
        <v>0</v>
      </c>
      <c r="U852" s="8"/>
      <c r="V852" s="8"/>
      <c r="Z852" s="8"/>
      <c r="AA852" s="8"/>
    </row>
    <row r="853" spans="1:27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>
        <v>0</v>
      </c>
      <c r="Q853" s="8"/>
      <c r="R853" s="8"/>
      <c r="S853" s="8">
        <v>0</v>
      </c>
      <c r="T853" s="8">
        <v>0</v>
      </c>
      <c r="U853" s="8"/>
      <c r="V853" s="8"/>
      <c r="Z853" s="8"/>
      <c r="AA853" s="8"/>
    </row>
    <row r="854" spans="1:27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>
        <v>0</v>
      </c>
      <c r="Q854" s="8"/>
      <c r="R854" s="8"/>
      <c r="S854" s="8">
        <v>0</v>
      </c>
      <c r="T854" s="8">
        <v>0</v>
      </c>
      <c r="U854" s="8"/>
      <c r="V854" s="8"/>
      <c r="Z854" s="8"/>
      <c r="AA854" s="8"/>
    </row>
    <row r="855" spans="1:27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>
        <v>0</v>
      </c>
      <c r="Q855" s="8"/>
      <c r="R855" s="8"/>
      <c r="S855" s="8">
        <v>0</v>
      </c>
      <c r="T855" s="8">
        <v>0</v>
      </c>
      <c r="U855" s="8"/>
      <c r="V855" s="8"/>
      <c r="Z855" s="8"/>
      <c r="AA855" s="8"/>
    </row>
    <row r="856" spans="1:27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>
        <v>0</v>
      </c>
      <c r="Q856" s="8"/>
      <c r="R856" s="8"/>
      <c r="S856" s="8">
        <v>0</v>
      </c>
      <c r="T856" s="8">
        <v>0</v>
      </c>
      <c r="U856" s="8"/>
      <c r="V856" s="8"/>
      <c r="Z856" s="8"/>
      <c r="AA856" s="8"/>
    </row>
    <row r="857" spans="1:2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>
        <v>0</v>
      </c>
      <c r="Q857" s="8"/>
      <c r="R857" s="8"/>
      <c r="S857" s="8">
        <v>0</v>
      </c>
      <c r="T857" s="8">
        <v>0</v>
      </c>
      <c r="U857" s="8"/>
      <c r="V857" s="8"/>
      <c r="Z857" s="8"/>
      <c r="AA857" s="8"/>
    </row>
    <row r="858" spans="1:27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>
        <v>0</v>
      </c>
      <c r="Q858" s="8"/>
      <c r="R858" s="8"/>
      <c r="S858" s="8">
        <v>0</v>
      </c>
      <c r="T858" s="8">
        <v>0</v>
      </c>
      <c r="U858" s="8"/>
      <c r="V858" s="8"/>
      <c r="Z858" s="8"/>
      <c r="AA858" s="8"/>
    </row>
    <row r="859" spans="1:27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>
        <v>0</v>
      </c>
      <c r="Q859" s="8"/>
      <c r="R859" s="8"/>
      <c r="S859" s="8">
        <v>0</v>
      </c>
      <c r="T859" s="8">
        <v>0</v>
      </c>
      <c r="U859" s="8"/>
      <c r="V859" s="8"/>
      <c r="Z859" s="8"/>
      <c r="AA859" s="8"/>
    </row>
    <row r="860" spans="1:27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>
        <v>0</v>
      </c>
      <c r="Q860" s="8"/>
      <c r="R860" s="8"/>
      <c r="S860" s="8">
        <v>0</v>
      </c>
      <c r="T860" s="8">
        <v>0</v>
      </c>
      <c r="U860" s="8"/>
      <c r="V860" s="8"/>
      <c r="Z860" s="8"/>
      <c r="AA860" s="8"/>
    </row>
    <row r="861" spans="1:27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>
        <v>0</v>
      </c>
      <c r="Q861" s="8"/>
      <c r="R861" s="8"/>
      <c r="S861" s="8">
        <v>0</v>
      </c>
      <c r="T861" s="8">
        <v>0</v>
      </c>
      <c r="U861" s="8"/>
      <c r="V861" s="8"/>
      <c r="Z861" s="8"/>
      <c r="AA861" s="8"/>
    </row>
    <row r="862" spans="1:27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>
        <v>0</v>
      </c>
      <c r="Q862" s="8"/>
      <c r="R862" s="8"/>
      <c r="S862" s="8">
        <v>0</v>
      </c>
      <c r="T862" s="8">
        <v>0</v>
      </c>
      <c r="U862" s="8"/>
      <c r="V862" s="8"/>
      <c r="Z862" s="8"/>
      <c r="AA862" s="8"/>
    </row>
    <row r="863" spans="1:27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>
        <v>0</v>
      </c>
      <c r="Q863" s="8"/>
      <c r="R863" s="8"/>
      <c r="S863" s="8">
        <v>0</v>
      </c>
      <c r="T863" s="8">
        <v>0</v>
      </c>
      <c r="U863" s="8"/>
      <c r="V863" s="8"/>
      <c r="Z863" s="8"/>
      <c r="AA863" s="8"/>
    </row>
    <row r="864" spans="1:27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>
        <v>0</v>
      </c>
      <c r="Q864" s="8"/>
      <c r="R864" s="8"/>
      <c r="S864" s="8">
        <v>0</v>
      </c>
      <c r="T864" s="8">
        <v>0</v>
      </c>
      <c r="U864" s="8"/>
      <c r="V864" s="8"/>
      <c r="Z864" s="8"/>
      <c r="AA864" s="8"/>
    </row>
    <row r="865" spans="1:27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>
        <v>0</v>
      </c>
      <c r="Q865" s="8"/>
      <c r="R865" s="8"/>
      <c r="S865" s="8">
        <v>0</v>
      </c>
      <c r="T865" s="8">
        <v>0</v>
      </c>
      <c r="U865" s="8"/>
      <c r="V865" s="8"/>
      <c r="Z865" s="8"/>
      <c r="AA865" s="8"/>
    </row>
    <row r="866" spans="1:27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>
        <v>0</v>
      </c>
      <c r="Q866" s="8"/>
      <c r="R866" s="8"/>
      <c r="S866" s="8">
        <v>0</v>
      </c>
      <c r="T866" s="8">
        <v>0</v>
      </c>
      <c r="U866" s="8"/>
      <c r="V866" s="8"/>
      <c r="Z866" s="8"/>
      <c r="AA866" s="8"/>
    </row>
    <row r="867" spans="1:2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>
        <v>0</v>
      </c>
      <c r="Q867" s="8"/>
      <c r="R867" s="8"/>
      <c r="S867" s="8">
        <v>0</v>
      </c>
      <c r="T867" s="8">
        <v>0</v>
      </c>
      <c r="U867" s="8"/>
      <c r="V867" s="8"/>
      <c r="Z867" s="8"/>
      <c r="AA867" s="8"/>
    </row>
    <row r="868" spans="1:27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>
        <v>0</v>
      </c>
      <c r="Q868" s="8"/>
      <c r="R868" s="8"/>
      <c r="S868" s="8">
        <v>0</v>
      </c>
      <c r="T868" s="8">
        <v>0</v>
      </c>
      <c r="U868" s="8"/>
      <c r="V868" s="8"/>
      <c r="Z868" s="8"/>
      <c r="AA868" s="8"/>
    </row>
    <row r="869" spans="1:27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>
        <v>0</v>
      </c>
      <c r="Q869" s="8"/>
      <c r="R869" s="8"/>
      <c r="S869" s="8">
        <v>0</v>
      </c>
      <c r="T869" s="8">
        <v>0</v>
      </c>
      <c r="U869" s="8"/>
      <c r="V869" s="8"/>
      <c r="Z869" s="8"/>
      <c r="AA869" s="8"/>
    </row>
    <row r="870" spans="1:27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>
        <v>0</v>
      </c>
      <c r="Q870" s="8"/>
      <c r="R870" s="8"/>
      <c r="S870" s="8">
        <v>0</v>
      </c>
      <c r="T870" s="8">
        <v>0</v>
      </c>
      <c r="U870" s="8"/>
      <c r="V870" s="8"/>
      <c r="Z870" s="8"/>
      <c r="AA870" s="8"/>
    </row>
    <row r="871" spans="1:27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>
        <v>0</v>
      </c>
      <c r="Q871" s="8"/>
      <c r="R871" s="8"/>
      <c r="S871" s="8">
        <v>0</v>
      </c>
      <c r="T871" s="8">
        <v>0</v>
      </c>
      <c r="U871" s="8"/>
      <c r="V871" s="8"/>
      <c r="Z871" s="8"/>
      <c r="AA871" s="8"/>
    </row>
    <row r="872" spans="1:27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>
        <v>0</v>
      </c>
      <c r="Q872" s="8"/>
      <c r="R872" s="8"/>
      <c r="S872" s="8">
        <v>0</v>
      </c>
      <c r="T872" s="8">
        <v>0</v>
      </c>
      <c r="U872" s="8"/>
      <c r="V872" s="8"/>
      <c r="Z872" s="8"/>
      <c r="AA872" s="8"/>
    </row>
    <row r="873" spans="1:27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>
        <v>0</v>
      </c>
      <c r="Q873" s="8"/>
      <c r="R873" s="8"/>
      <c r="S873" s="8">
        <v>0</v>
      </c>
      <c r="T873" s="8">
        <v>0</v>
      </c>
      <c r="U873" s="8"/>
      <c r="V873" s="8"/>
      <c r="Z873" s="8"/>
      <c r="AA873" s="8"/>
    </row>
    <row r="874" spans="1:27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>
        <v>0</v>
      </c>
      <c r="Q874" s="8"/>
      <c r="R874" s="8"/>
      <c r="S874" s="8">
        <v>0</v>
      </c>
      <c r="T874" s="8">
        <v>0</v>
      </c>
      <c r="U874" s="8"/>
      <c r="V874" s="8"/>
      <c r="Z874" s="8"/>
      <c r="AA874" s="8"/>
    </row>
    <row r="875" spans="1:27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>
        <v>0</v>
      </c>
      <c r="Q875" s="8"/>
      <c r="R875" s="8"/>
      <c r="S875" s="8">
        <v>0</v>
      </c>
      <c r="T875" s="8">
        <v>0</v>
      </c>
      <c r="U875" s="8"/>
      <c r="V875" s="8"/>
      <c r="Z875" s="8"/>
      <c r="AA875" s="8"/>
    </row>
    <row r="876" spans="1:27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>
        <v>0</v>
      </c>
      <c r="Q876" s="8"/>
      <c r="R876" s="8"/>
      <c r="S876" s="8">
        <v>0</v>
      </c>
      <c r="T876" s="8">
        <v>0</v>
      </c>
      <c r="U876" s="8"/>
      <c r="V876" s="8"/>
      <c r="Z876" s="8"/>
      <c r="AA876" s="8"/>
    </row>
    <row r="877" spans="1:2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>
        <v>0</v>
      </c>
      <c r="Q877" s="8"/>
      <c r="R877" s="8"/>
      <c r="S877" s="8">
        <v>0</v>
      </c>
      <c r="T877" s="8">
        <v>0</v>
      </c>
      <c r="U877" s="8"/>
      <c r="V877" s="8"/>
      <c r="Z877" s="8"/>
      <c r="AA877" s="8"/>
    </row>
    <row r="878" spans="1:27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>
        <v>0</v>
      </c>
      <c r="Q878" s="8"/>
      <c r="R878" s="8"/>
      <c r="S878" s="8">
        <v>0</v>
      </c>
      <c r="T878" s="8">
        <v>0</v>
      </c>
      <c r="U878" s="8"/>
      <c r="V878" s="8"/>
      <c r="Z878" s="8"/>
      <c r="AA878" s="8"/>
    </row>
    <row r="879" spans="1:27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>
        <v>0</v>
      </c>
      <c r="Q879" s="8"/>
      <c r="R879" s="8"/>
      <c r="S879" s="8">
        <v>0</v>
      </c>
      <c r="T879" s="8">
        <v>0</v>
      </c>
      <c r="U879" s="8"/>
      <c r="V879" s="8"/>
      <c r="Z879" s="8"/>
      <c r="AA879" s="8"/>
    </row>
    <row r="880" spans="1:27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>
        <v>0</v>
      </c>
      <c r="Q880" s="8"/>
      <c r="R880" s="8"/>
      <c r="S880" s="8">
        <v>0</v>
      </c>
      <c r="T880" s="8">
        <v>0</v>
      </c>
      <c r="U880" s="8"/>
      <c r="V880" s="8"/>
      <c r="Z880" s="8"/>
      <c r="AA880" s="8"/>
    </row>
    <row r="881" spans="1:27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>
        <v>0</v>
      </c>
      <c r="Q881" s="8"/>
      <c r="R881" s="8"/>
      <c r="S881" s="8">
        <v>0</v>
      </c>
      <c r="T881" s="8">
        <v>0</v>
      </c>
      <c r="U881" s="8"/>
      <c r="V881" s="8"/>
      <c r="Z881" s="8"/>
      <c r="AA881" s="8"/>
    </row>
    <row r="882" spans="1:27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>
        <v>0</v>
      </c>
      <c r="Q882" s="8"/>
      <c r="R882" s="8"/>
      <c r="S882" s="8">
        <v>0</v>
      </c>
      <c r="T882" s="8">
        <v>0</v>
      </c>
      <c r="U882" s="8"/>
      <c r="V882" s="8"/>
      <c r="Z882" s="8"/>
      <c r="AA882" s="8"/>
    </row>
    <row r="883" spans="1:27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>
        <v>0</v>
      </c>
      <c r="Q883" s="8"/>
      <c r="R883" s="8"/>
      <c r="S883" s="8">
        <v>0</v>
      </c>
      <c r="T883" s="8">
        <v>0</v>
      </c>
      <c r="U883" s="8"/>
      <c r="V883" s="8"/>
      <c r="Z883" s="8"/>
      <c r="AA883" s="8"/>
    </row>
    <row r="884" spans="1:27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>
        <v>0</v>
      </c>
      <c r="Q884" s="8"/>
      <c r="R884" s="8"/>
      <c r="S884" s="8">
        <v>0</v>
      </c>
      <c r="T884" s="8">
        <v>0</v>
      </c>
      <c r="U884" s="8"/>
      <c r="V884" s="8"/>
      <c r="Z884" s="8"/>
      <c r="AA884" s="8"/>
    </row>
    <row r="885" spans="1:27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>
        <v>0</v>
      </c>
      <c r="Q885" s="8"/>
      <c r="R885" s="8"/>
      <c r="S885" s="8">
        <v>0</v>
      </c>
      <c r="T885" s="8">
        <v>0</v>
      </c>
      <c r="U885" s="8"/>
      <c r="V885" s="8"/>
      <c r="Z885" s="8"/>
      <c r="AA885" s="8"/>
    </row>
    <row r="886" spans="1:27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>
        <v>0</v>
      </c>
      <c r="Q886" s="8"/>
      <c r="R886" s="8"/>
      <c r="S886" s="8">
        <v>0</v>
      </c>
      <c r="T886" s="8">
        <v>0</v>
      </c>
      <c r="U886" s="8"/>
      <c r="V886" s="8"/>
      <c r="Z886" s="8"/>
      <c r="AA886" s="8"/>
    </row>
    <row r="887" spans="1:2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>
        <v>0</v>
      </c>
      <c r="Q887" s="8"/>
      <c r="R887" s="8"/>
      <c r="S887" s="8">
        <v>0</v>
      </c>
      <c r="T887" s="8">
        <v>0</v>
      </c>
      <c r="U887" s="8"/>
      <c r="V887" s="8"/>
      <c r="Z887" s="8"/>
      <c r="AA887" s="8"/>
    </row>
    <row r="888" spans="1:27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>
        <v>0</v>
      </c>
      <c r="Q888" s="8"/>
      <c r="R888" s="8"/>
      <c r="S888" s="8">
        <v>0</v>
      </c>
      <c r="T888" s="8">
        <v>0</v>
      </c>
      <c r="U888" s="8"/>
      <c r="V888" s="8"/>
      <c r="Z888" s="8"/>
      <c r="AA888" s="8"/>
    </row>
    <row r="889" spans="1:27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>
        <v>0</v>
      </c>
      <c r="Q889" s="8"/>
      <c r="R889" s="8"/>
      <c r="S889" s="8">
        <v>0</v>
      </c>
      <c r="T889" s="8">
        <v>0</v>
      </c>
      <c r="U889" s="8"/>
      <c r="V889" s="8"/>
      <c r="Z889" s="8"/>
      <c r="AA889" s="8"/>
    </row>
    <row r="890" spans="1:27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>
        <v>0</v>
      </c>
      <c r="Q890" s="8"/>
      <c r="R890" s="8"/>
      <c r="S890" s="8">
        <v>0</v>
      </c>
      <c r="T890" s="8">
        <v>0</v>
      </c>
      <c r="U890" s="8"/>
      <c r="V890" s="8"/>
      <c r="Z890" s="8"/>
      <c r="AA890" s="8"/>
    </row>
    <row r="891" spans="1:27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>
        <v>0</v>
      </c>
      <c r="Q891" s="8"/>
      <c r="R891" s="8"/>
      <c r="S891" s="8">
        <v>0</v>
      </c>
      <c r="T891" s="8">
        <v>0</v>
      </c>
      <c r="U891" s="8"/>
      <c r="V891" s="8"/>
      <c r="Z891" s="8"/>
      <c r="AA891" s="8"/>
    </row>
    <row r="892" spans="1:27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>
        <v>0</v>
      </c>
      <c r="Q892" s="8"/>
      <c r="R892" s="8"/>
      <c r="S892" s="8">
        <v>0</v>
      </c>
      <c r="T892" s="8">
        <v>0</v>
      </c>
      <c r="U892" s="8"/>
      <c r="V892" s="8"/>
      <c r="Z892" s="8"/>
      <c r="AA892" s="8"/>
    </row>
    <row r="893" spans="1:27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>
        <v>0</v>
      </c>
      <c r="Q893" s="8"/>
      <c r="R893" s="8"/>
      <c r="S893" s="8">
        <v>0</v>
      </c>
      <c r="T893" s="8">
        <v>0</v>
      </c>
      <c r="U893" s="8"/>
      <c r="V893" s="8"/>
      <c r="Z893" s="8"/>
      <c r="AA893" s="8"/>
    </row>
    <row r="894" spans="1:27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>
        <v>0</v>
      </c>
      <c r="Q894" s="8"/>
      <c r="R894" s="8"/>
      <c r="S894" s="8">
        <v>0</v>
      </c>
      <c r="T894" s="8">
        <v>0</v>
      </c>
      <c r="U894" s="8"/>
      <c r="V894" s="8"/>
      <c r="Z894" s="8"/>
      <c r="AA894" s="8"/>
    </row>
    <row r="895" spans="1:27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>
        <v>0</v>
      </c>
      <c r="Q895" s="8"/>
      <c r="R895" s="8"/>
      <c r="S895" s="8">
        <v>0</v>
      </c>
      <c r="T895" s="8">
        <v>0</v>
      </c>
      <c r="U895" s="8"/>
      <c r="V895" s="8"/>
      <c r="Z895" s="8"/>
      <c r="AA895" s="8"/>
    </row>
    <row r="896" spans="1:27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>
        <v>0</v>
      </c>
      <c r="Q896" s="8"/>
      <c r="R896" s="8"/>
      <c r="S896" s="8">
        <v>0</v>
      </c>
      <c r="T896" s="8">
        <v>0</v>
      </c>
      <c r="U896" s="8"/>
      <c r="V896" s="8"/>
      <c r="Z896" s="8"/>
      <c r="AA896" s="8"/>
    </row>
    <row r="897" spans="1:2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>
        <v>0</v>
      </c>
      <c r="Q897" s="8"/>
      <c r="R897" s="8"/>
      <c r="S897" s="8">
        <v>0</v>
      </c>
      <c r="T897" s="8">
        <v>0</v>
      </c>
      <c r="U897" s="8"/>
      <c r="V897" s="8"/>
      <c r="Z897" s="8"/>
      <c r="AA897" s="8"/>
    </row>
    <row r="898" spans="1:27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>
        <v>0</v>
      </c>
      <c r="Q898" s="8"/>
      <c r="R898" s="8"/>
      <c r="S898" s="8">
        <v>0</v>
      </c>
      <c r="T898" s="8">
        <v>0</v>
      </c>
      <c r="U898" s="8"/>
      <c r="V898" s="8"/>
      <c r="Z898" s="8"/>
      <c r="AA898" s="8"/>
    </row>
    <row r="899" spans="1:27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>
        <v>0</v>
      </c>
      <c r="Q899" s="8"/>
      <c r="R899" s="8"/>
      <c r="S899" s="8">
        <v>0</v>
      </c>
      <c r="T899" s="8">
        <v>0</v>
      </c>
      <c r="U899" s="8"/>
      <c r="V899" s="8"/>
      <c r="Z899" s="8"/>
      <c r="AA899" s="8"/>
    </row>
    <row r="900" spans="1:27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>
        <v>0</v>
      </c>
      <c r="Q900" s="8"/>
      <c r="R900" s="8"/>
      <c r="S900" s="8">
        <v>0</v>
      </c>
      <c r="T900" s="8">
        <v>0</v>
      </c>
      <c r="U900" s="8"/>
      <c r="V900" s="8"/>
      <c r="Z900" s="8"/>
      <c r="AA900" s="8"/>
    </row>
    <row r="901" spans="1:27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>
        <v>0</v>
      </c>
      <c r="Q901" s="8"/>
      <c r="R901" s="8"/>
      <c r="S901" s="8">
        <v>0</v>
      </c>
      <c r="T901" s="8">
        <v>0</v>
      </c>
      <c r="U901" s="8"/>
      <c r="V901" s="8"/>
      <c r="Z901" s="8"/>
      <c r="AA901" s="8"/>
    </row>
    <row r="902" spans="1:27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>
        <v>0</v>
      </c>
      <c r="Q902" s="8"/>
      <c r="R902" s="8"/>
      <c r="S902" s="8">
        <v>0</v>
      </c>
      <c r="T902" s="8">
        <v>0</v>
      </c>
      <c r="U902" s="8"/>
      <c r="V902" s="8"/>
      <c r="Z902" s="8"/>
      <c r="AA902" s="8"/>
    </row>
    <row r="903" spans="1:27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>
        <v>0</v>
      </c>
      <c r="Q903" s="8"/>
      <c r="R903" s="8"/>
      <c r="S903" s="8">
        <v>0</v>
      </c>
      <c r="T903" s="8">
        <v>0</v>
      </c>
      <c r="U903" s="8"/>
      <c r="V903" s="8"/>
      <c r="Z903" s="8"/>
      <c r="AA903" s="8"/>
    </row>
    <row r="904" spans="1:27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>
        <v>0</v>
      </c>
      <c r="Q904" s="8"/>
      <c r="R904" s="8"/>
      <c r="S904" s="8">
        <v>0</v>
      </c>
      <c r="T904" s="8">
        <v>0</v>
      </c>
      <c r="U904" s="8"/>
      <c r="V904" s="8"/>
      <c r="Z904" s="8"/>
      <c r="AA904" s="8"/>
    </row>
    <row r="905" spans="1:27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>
        <v>0</v>
      </c>
      <c r="Q905" s="8"/>
      <c r="R905" s="8"/>
      <c r="S905" s="8">
        <v>0</v>
      </c>
      <c r="T905" s="8">
        <v>0</v>
      </c>
      <c r="U905" s="8"/>
      <c r="V905" s="8"/>
      <c r="Z905" s="8"/>
      <c r="AA905" s="8"/>
    </row>
    <row r="906" spans="1:27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>
        <v>0</v>
      </c>
      <c r="Q906" s="8"/>
      <c r="R906" s="8"/>
      <c r="S906" s="8">
        <v>0</v>
      </c>
      <c r="T906" s="8">
        <v>0</v>
      </c>
      <c r="U906" s="8"/>
      <c r="V906" s="8"/>
      <c r="Z906" s="8"/>
      <c r="AA906" s="8"/>
    </row>
    <row r="907" spans="1:2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>
        <v>0</v>
      </c>
      <c r="Q907" s="8"/>
      <c r="R907" s="8"/>
      <c r="S907" s="8">
        <v>0</v>
      </c>
      <c r="T907" s="8">
        <v>0</v>
      </c>
      <c r="U907" s="8"/>
      <c r="V907" s="8"/>
      <c r="Z907" s="8"/>
      <c r="AA907" s="8"/>
    </row>
    <row r="908" spans="1:27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>
        <v>0</v>
      </c>
      <c r="Q908" s="8"/>
      <c r="R908" s="8"/>
      <c r="S908" s="8">
        <v>0</v>
      </c>
      <c r="T908" s="8">
        <v>0</v>
      </c>
      <c r="U908" s="8"/>
      <c r="V908" s="8"/>
      <c r="Z908" s="8"/>
      <c r="AA908" s="8"/>
    </row>
    <row r="909" spans="1:27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>
        <v>0</v>
      </c>
      <c r="Q909" s="8"/>
      <c r="R909" s="8"/>
      <c r="S909" s="8">
        <v>0</v>
      </c>
      <c r="T909" s="8">
        <v>0</v>
      </c>
      <c r="U909" s="8"/>
      <c r="V909" s="8"/>
      <c r="Z909" s="8"/>
      <c r="AA909" s="8"/>
    </row>
    <row r="910" spans="1:27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>
        <v>0</v>
      </c>
      <c r="Q910" s="8"/>
      <c r="R910" s="8"/>
      <c r="S910" s="8">
        <v>0</v>
      </c>
      <c r="T910" s="8">
        <v>0</v>
      </c>
      <c r="U910" s="8"/>
      <c r="V910" s="8"/>
      <c r="Z910" s="8"/>
      <c r="AA910" s="8"/>
    </row>
    <row r="911" spans="1:27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>
        <v>0</v>
      </c>
      <c r="Q911" s="8"/>
      <c r="R911" s="8"/>
      <c r="S911" s="8">
        <v>0</v>
      </c>
      <c r="T911" s="8">
        <v>0</v>
      </c>
      <c r="U911" s="8"/>
      <c r="V911" s="8"/>
      <c r="Z911" s="8"/>
      <c r="AA911" s="8"/>
    </row>
    <row r="912" spans="1:27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>
        <v>0</v>
      </c>
      <c r="Q912" s="8"/>
      <c r="R912" s="8"/>
      <c r="S912" s="8">
        <v>0</v>
      </c>
      <c r="T912" s="8">
        <v>0</v>
      </c>
      <c r="U912" s="8"/>
      <c r="V912" s="8"/>
      <c r="Z912" s="8"/>
      <c r="AA912" s="8"/>
    </row>
    <row r="913" spans="1:27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>
        <v>0</v>
      </c>
      <c r="Q913" s="8"/>
      <c r="R913" s="8"/>
      <c r="S913" s="8">
        <v>0</v>
      </c>
      <c r="T913" s="8">
        <v>0</v>
      </c>
      <c r="U913" s="8"/>
      <c r="V913" s="8"/>
      <c r="Z913" s="8"/>
      <c r="AA913" s="8"/>
    </row>
    <row r="914" spans="1:27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>
        <v>0</v>
      </c>
      <c r="Q914" s="8"/>
      <c r="R914" s="8"/>
      <c r="S914" s="8">
        <v>0</v>
      </c>
      <c r="T914" s="8">
        <v>0</v>
      </c>
      <c r="U914" s="8"/>
      <c r="V914" s="8"/>
      <c r="Z914" s="8"/>
      <c r="AA914" s="8"/>
    </row>
    <row r="915" spans="1:27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>
        <v>0</v>
      </c>
      <c r="Q915" s="8"/>
      <c r="R915" s="8"/>
      <c r="S915" s="8">
        <v>0</v>
      </c>
      <c r="T915" s="8">
        <v>0</v>
      </c>
      <c r="U915" s="8"/>
      <c r="V915" s="8"/>
      <c r="Z915" s="8"/>
      <c r="AA915" s="8"/>
    </row>
    <row r="916" spans="1:27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>
        <v>0</v>
      </c>
      <c r="Q916" s="8"/>
      <c r="R916" s="8"/>
      <c r="S916" s="8">
        <v>0</v>
      </c>
      <c r="T916" s="8">
        <v>0</v>
      </c>
      <c r="U916" s="8"/>
      <c r="V916" s="8"/>
      <c r="Z916" s="8"/>
      <c r="AA916" s="8"/>
    </row>
    <row r="917" spans="1:2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>
        <v>0</v>
      </c>
      <c r="Q917" s="8"/>
      <c r="R917" s="8"/>
      <c r="S917" s="8">
        <v>0</v>
      </c>
      <c r="T917" s="8">
        <v>0</v>
      </c>
      <c r="U917" s="8"/>
      <c r="V917" s="8"/>
      <c r="Z917" s="8"/>
      <c r="AA917" s="8"/>
    </row>
    <row r="918" spans="1:27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>
        <v>0</v>
      </c>
      <c r="Q918" s="8"/>
      <c r="R918" s="8"/>
      <c r="S918" s="8">
        <v>0</v>
      </c>
      <c r="T918" s="8">
        <v>0</v>
      </c>
      <c r="U918" s="8"/>
      <c r="V918" s="8"/>
      <c r="Z918" s="8"/>
      <c r="AA918" s="8"/>
    </row>
    <row r="919" spans="1:27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>
        <v>0</v>
      </c>
      <c r="Q919" s="8"/>
      <c r="R919" s="8"/>
      <c r="S919" s="8">
        <v>0</v>
      </c>
      <c r="T919" s="8">
        <v>0</v>
      </c>
      <c r="U919" s="8"/>
      <c r="V919" s="8"/>
      <c r="Z919" s="8"/>
      <c r="AA919" s="8"/>
    </row>
    <row r="920" spans="1:27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>
        <v>0</v>
      </c>
      <c r="Q920" s="8"/>
      <c r="R920" s="8"/>
      <c r="S920" s="8">
        <v>0</v>
      </c>
      <c r="T920" s="8">
        <v>0</v>
      </c>
      <c r="U920" s="8"/>
      <c r="V920" s="8"/>
      <c r="Z920" s="8"/>
      <c r="AA920" s="8"/>
    </row>
    <row r="921" spans="1:27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>
        <v>0</v>
      </c>
      <c r="Q921" s="8"/>
      <c r="R921" s="8"/>
      <c r="S921" s="8">
        <v>0</v>
      </c>
      <c r="T921" s="8">
        <v>0</v>
      </c>
      <c r="U921" s="8"/>
      <c r="V921" s="8"/>
      <c r="Z921" s="8"/>
      <c r="AA921" s="8"/>
    </row>
    <row r="922" spans="1:27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>
        <v>0</v>
      </c>
      <c r="Q922" s="8"/>
      <c r="R922" s="8"/>
      <c r="S922" s="8">
        <v>0</v>
      </c>
      <c r="T922" s="8">
        <v>0</v>
      </c>
      <c r="U922" s="8"/>
      <c r="V922" s="8"/>
      <c r="Z922" s="8"/>
      <c r="AA922" s="8"/>
    </row>
    <row r="923" spans="1:27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>
        <v>0</v>
      </c>
      <c r="Q923" s="8"/>
      <c r="R923" s="8"/>
      <c r="S923" s="8">
        <v>0</v>
      </c>
      <c r="T923" s="8">
        <v>0</v>
      </c>
      <c r="U923" s="8"/>
      <c r="V923" s="8"/>
      <c r="Z923" s="8"/>
      <c r="AA923" s="8"/>
    </row>
    <row r="924" spans="1:27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>
        <v>0</v>
      </c>
      <c r="Q924" s="8"/>
      <c r="R924" s="8"/>
      <c r="S924" s="8">
        <v>0</v>
      </c>
      <c r="T924" s="8">
        <v>0</v>
      </c>
      <c r="U924" s="8"/>
      <c r="V924" s="8"/>
      <c r="Z924" s="8"/>
      <c r="AA924" s="8"/>
    </row>
    <row r="925" spans="1:27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>
        <v>0</v>
      </c>
      <c r="Q925" s="8"/>
      <c r="R925" s="8"/>
      <c r="S925" s="8">
        <v>0</v>
      </c>
      <c r="T925" s="8">
        <v>0</v>
      </c>
      <c r="U925" s="8"/>
      <c r="V925" s="8"/>
      <c r="Z925" s="8"/>
      <c r="AA925" s="8"/>
    </row>
    <row r="926" spans="1:27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>
        <v>0</v>
      </c>
      <c r="Q926" s="8"/>
      <c r="R926" s="8"/>
      <c r="S926" s="8">
        <v>0</v>
      </c>
      <c r="T926" s="8">
        <v>0</v>
      </c>
      <c r="U926" s="8"/>
      <c r="V926" s="8"/>
      <c r="Z926" s="8"/>
      <c r="AA926" s="8"/>
    </row>
    <row r="927" spans="1: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>
        <v>0</v>
      </c>
      <c r="Q927" s="8"/>
      <c r="R927" s="8"/>
      <c r="S927" s="8">
        <v>0</v>
      </c>
      <c r="T927" s="8">
        <v>0</v>
      </c>
      <c r="U927" s="8"/>
      <c r="V927" s="8"/>
      <c r="Z927" s="8"/>
      <c r="AA927" s="8"/>
    </row>
    <row r="928" spans="1:27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>
        <v>0</v>
      </c>
      <c r="Q928" s="8"/>
      <c r="R928" s="8"/>
      <c r="S928" s="8">
        <v>0</v>
      </c>
      <c r="T928" s="8">
        <v>0</v>
      </c>
      <c r="U928" s="8"/>
      <c r="V928" s="8"/>
      <c r="Z928" s="8"/>
      <c r="AA928" s="8"/>
    </row>
    <row r="929" spans="1:27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>
        <v>0</v>
      </c>
      <c r="Q929" s="8"/>
      <c r="R929" s="8"/>
      <c r="S929" s="8">
        <v>0</v>
      </c>
      <c r="T929" s="8">
        <v>0</v>
      </c>
      <c r="U929" s="8"/>
      <c r="V929" s="8"/>
      <c r="Z929" s="8"/>
      <c r="AA929" s="8"/>
    </row>
    <row r="930" spans="1:27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>
        <v>0</v>
      </c>
      <c r="Q930" s="8"/>
      <c r="R930" s="8"/>
      <c r="S930" s="8">
        <v>0</v>
      </c>
      <c r="T930" s="8">
        <v>0</v>
      </c>
      <c r="U930" s="8"/>
      <c r="V930" s="8"/>
      <c r="Z930" s="8"/>
      <c r="AA930" s="8"/>
    </row>
    <row r="931" spans="1:27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>
        <v>0</v>
      </c>
      <c r="Q931" s="8"/>
      <c r="R931" s="8"/>
      <c r="S931" s="8">
        <v>0</v>
      </c>
      <c r="T931" s="8">
        <v>0</v>
      </c>
      <c r="U931" s="8"/>
      <c r="V931" s="8"/>
      <c r="Z931" s="8"/>
      <c r="AA931" s="8"/>
    </row>
    <row r="932" spans="1:27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>
        <v>0</v>
      </c>
      <c r="Q932" s="8"/>
      <c r="R932" s="8"/>
      <c r="S932" s="8">
        <v>0</v>
      </c>
      <c r="T932" s="8">
        <v>0</v>
      </c>
      <c r="U932" s="8"/>
      <c r="V932" s="8"/>
      <c r="Z932" s="8"/>
      <c r="AA932" s="8"/>
    </row>
    <row r="933" spans="1:27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>
        <v>0</v>
      </c>
      <c r="Q933" s="8"/>
      <c r="R933" s="8"/>
      <c r="S933" s="8">
        <v>0</v>
      </c>
      <c r="T933" s="8">
        <v>0</v>
      </c>
      <c r="U933" s="8"/>
      <c r="V933" s="8"/>
      <c r="Z933" s="8"/>
      <c r="AA933" s="8"/>
    </row>
    <row r="934" spans="1:27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>
        <v>0</v>
      </c>
      <c r="Q934" s="8"/>
      <c r="R934" s="8"/>
      <c r="S934" s="8">
        <v>0</v>
      </c>
      <c r="T934" s="8">
        <v>0</v>
      </c>
      <c r="U934" s="8"/>
      <c r="V934" s="8"/>
      <c r="Z934" s="8"/>
      <c r="AA934" s="8"/>
    </row>
    <row r="935" spans="1:27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>
        <v>0</v>
      </c>
      <c r="Q935" s="8"/>
      <c r="R935" s="8"/>
      <c r="S935" s="8">
        <v>0</v>
      </c>
      <c r="T935" s="8">
        <v>0</v>
      </c>
      <c r="U935" s="8"/>
      <c r="V935" s="8"/>
      <c r="Z935" s="8"/>
      <c r="AA935" s="8"/>
    </row>
    <row r="936" spans="1:27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>
        <v>0</v>
      </c>
      <c r="Q936" s="8"/>
      <c r="R936" s="8"/>
      <c r="S936" s="8">
        <v>0</v>
      </c>
      <c r="T936" s="8">
        <v>0</v>
      </c>
      <c r="U936" s="8"/>
      <c r="V936" s="8"/>
      <c r="Z936" s="8"/>
      <c r="AA936" s="8"/>
    </row>
    <row r="937" spans="1:2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>
        <v>0</v>
      </c>
      <c r="Q937" s="8"/>
      <c r="R937" s="8"/>
      <c r="S937" s="8">
        <v>0</v>
      </c>
      <c r="T937" s="8">
        <v>0</v>
      </c>
      <c r="U937" s="8"/>
      <c r="V937" s="8"/>
      <c r="Z937" s="8"/>
      <c r="AA937" s="8"/>
    </row>
    <row r="938" spans="1:27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>
        <v>0</v>
      </c>
      <c r="Q938" s="8"/>
      <c r="R938" s="8"/>
      <c r="S938" s="8">
        <v>0</v>
      </c>
      <c r="T938" s="8">
        <v>0</v>
      </c>
      <c r="U938" s="8"/>
      <c r="V938" s="8"/>
      <c r="Z938" s="8"/>
      <c r="AA938" s="8"/>
    </row>
    <row r="939" spans="1:27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>
        <v>0</v>
      </c>
      <c r="Q939" s="8"/>
      <c r="R939" s="8"/>
      <c r="S939" s="8">
        <v>0</v>
      </c>
      <c r="T939" s="8">
        <v>0</v>
      </c>
      <c r="U939" s="8"/>
      <c r="V939" s="8"/>
      <c r="Z939" s="8"/>
      <c r="AA939" s="8"/>
    </row>
    <row r="940" spans="1:27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>
        <v>0</v>
      </c>
      <c r="Q940" s="8"/>
      <c r="R940" s="8"/>
      <c r="S940" s="8">
        <v>0</v>
      </c>
      <c r="T940" s="8">
        <v>0</v>
      </c>
      <c r="U940" s="8"/>
      <c r="V940" s="8"/>
      <c r="Z940" s="8"/>
      <c r="AA940" s="8"/>
    </row>
    <row r="941" spans="1:27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>
        <v>0</v>
      </c>
      <c r="Q941" s="8"/>
      <c r="R941" s="8"/>
      <c r="S941" s="8">
        <v>0</v>
      </c>
      <c r="T941" s="8">
        <v>0</v>
      </c>
      <c r="U941" s="8"/>
      <c r="V941" s="8"/>
      <c r="Z941" s="8"/>
      <c r="AA941" s="8"/>
    </row>
    <row r="942" spans="1:27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>
        <v>0</v>
      </c>
      <c r="Q942" s="8"/>
      <c r="R942" s="8"/>
      <c r="S942" s="8">
        <v>0</v>
      </c>
      <c r="T942" s="8">
        <v>0</v>
      </c>
      <c r="U942" s="8"/>
      <c r="V942" s="8"/>
      <c r="Z942" s="8"/>
      <c r="AA942" s="8"/>
    </row>
    <row r="943" spans="1:27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>
        <v>0</v>
      </c>
      <c r="Q943" s="8"/>
      <c r="R943" s="8"/>
      <c r="S943" s="8">
        <v>0</v>
      </c>
      <c r="T943" s="8">
        <v>0</v>
      </c>
      <c r="U943" s="8"/>
      <c r="V943" s="8"/>
      <c r="Z943" s="8"/>
      <c r="AA943" s="8"/>
    </row>
    <row r="944" spans="1:27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>
        <v>0</v>
      </c>
      <c r="Q944" s="8"/>
      <c r="R944" s="8"/>
      <c r="S944" s="8">
        <v>0</v>
      </c>
      <c r="T944" s="8">
        <v>0</v>
      </c>
      <c r="U944" s="8"/>
      <c r="V944" s="8"/>
      <c r="Z944" s="8"/>
      <c r="AA944" s="8"/>
    </row>
    <row r="945" spans="1:27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>
        <v>0</v>
      </c>
      <c r="Q945" s="8"/>
      <c r="R945" s="8"/>
      <c r="S945" s="8">
        <v>0</v>
      </c>
      <c r="T945" s="8">
        <v>0</v>
      </c>
      <c r="U945" s="8"/>
      <c r="V945" s="8"/>
      <c r="Z945" s="8"/>
      <c r="AA945" s="8"/>
    </row>
    <row r="946" spans="1:27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>
        <v>0</v>
      </c>
      <c r="Q946" s="8"/>
      <c r="R946" s="8"/>
      <c r="S946" s="8">
        <v>0</v>
      </c>
      <c r="T946" s="8">
        <v>0</v>
      </c>
      <c r="U946" s="8"/>
      <c r="V946" s="8"/>
      <c r="Z946" s="8"/>
      <c r="AA946" s="8"/>
    </row>
    <row r="947" spans="1:2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>
        <v>0</v>
      </c>
      <c r="Q947" s="8"/>
      <c r="R947" s="8"/>
      <c r="S947" s="8">
        <v>0</v>
      </c>
      <c r="T947" s="8">
        <v>0</v>
      </c>
      <c r="U947" s="8"/>
      <c r="V947" s="8"/>
      <c r="Z947" s="8"/>
      <c r="AA947" s="8"/>
    </row>
    <row r="948" spans="1:27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>
        <v>0</v>
      </c>
      <c r="Q948" s="8"/>
      <c r="R948" s="8"/>
      <c r="S948" s="8">
        <v>0</v>
      </c>
      <c r="T948" s="8">
        <v>0</v>
      </c>
      <c r="U948" s="8"/>
      <c r="V948" s="8"/>
      <c r="Z948" s="8"/>
      <c r="AA948" s="8"/>
    </row>
    <row r="949" spans="1:27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>
        <v>0</v>
      </c>
      <c r="Q949" s="8"/>
      <c r="R949" s="8"/>
      <c r="S949" s="8">
        <v>0</v>
      </c>
      <c r="T949" s="8">
        <v>0</v>
      </c>
      <c r="U949" s="8"/>
      <c r="V949" s="8"/>
      <c r="Z949" s="8"/>
      <c r="AA949" s="8"/>
    </row>
    <row r="950" spans="1:27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>
        <v>0</v>
      </c>
      <c r="Q950" s="8"/>
      <c r="R950" s="8"/>
      <c r="S950" s="8">
        <v>0</v>
      </c>
      <c r="T950" s="8">
        <v>0</v>
      </c>
      <c r="U950" s="8"/>
      <c r="V950" s="8"/>
      <c r="Z950" s="8"/>
      <c r="AA950" s="8"/>
    </row>
    <row r="951" spans="1:27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>
        <v>0</v>
      </c>
      <c r="Q951" s="8"/>
      <c r="R951" s="8"/>
      <c r="S951" s="8">
        <v>0</v>
      </c>
      <c r="T951" s="8">
        <v>0</v>
      </c>
      <c r="U951" s="8"/>
      <c r="V951" s="8"/>
      <c r="Z951" s="8"/>
      <c r="AA951" s="8"/>
    </row>
    <row r="952" spans="1:27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>
        <v>0</v>
      </c>
      <c r="Q952" s="8"/>
      <c r="R952" s="8"/>
      <c r="S952" s="8">
        <v>0</v>
      </c>
      <c r="T952" s="8">
        <v>0</v>
      </c>
      <c r="U952" s="8"/>
      <c r="V952" s="8"/>
      <c r="Z952" s="8"/>
      <c r="AA952" s="8"/>
    </row>
    <row r="953" spans="1:27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>
        <v>0</v>
      </c>
      <c r="Q953" s="8"/>
      <c r="R953" s="8"/>
      <c r="S953" s="8">
        <v>0</v>
      </c>
      <c r="T953" s="8">
        <v>0</v>
      </c>
      <c r="U953" s="8"/>
      <c r="V953" s="8"/>
      <c r="Z953" s="8"/>
      <c r="AA953" s="8"/>
    </row>
    <row r="954" spans="1:27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>
        <v>0</v>
      </c>
      <c r="Q954" s="8"/>
      <c r="R954" s="8"/>
      <c r="S954" s="8">
        <v>0</v>
      </c>
      <c r="T954" s="8">
        <v>0</v>
      </c>
      <c r="U954" s="8"/>
      <c r="V954" s="8"/>
      <c r="Z954" s="8"/>
      <c r="AA954" s="8"/>
    </row>
    <row r="955" spans="1:27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>
        <v>0</v>
      </c>
      <c r="Q955" s="8"/>
      <c r="R955" s="8"/>
      <c r="S955" s="8">
        <v>0</v>
      </c>
      <c r="T955" s="8">
        <v>0</v>
      </c>
      <c r="U955" s="8"/>
      <c r="V955" s="8"/>
      <c r="Z955" s="8"/>
      <c r="AA955" s="8"/>
    </row>
    <row r="956" spans="1:27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>
        <v>0</v>
      </c>
      <c r="Q956" s="8"/>
      <c r="R956" s="8"/>
      <c r="S956" s="8">
        <v>0</v>
      </c>
      <c r="T956" s="8">
        <v>0</v>
      </c>
      <c r="U956" s="8"/>
      <c r="V956" s="8"/>
      <c r="Z956" s="8"/>
      <c r="AA956" s="8"/>
    </row>
    <row r="957" spans="1:2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>
        <v>0</v>
      </c>
      <c r="Q957" s="8"/>
      <c r="R957" s="8"/>
      <c r="S957" s="8">
        <v>0</v>
      </c>
      <c r="T957" s="8">
        <v>0</v>
      </c>
      <c r="U957" s="8"/>
      <c r="V957" s="8"/>
      <c r="Z957" s="8"/>
      <c r="AA957" s="8"/>
    </row>
    <row r="958" spans="1:27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>
        <v>0</v>
      </c>
      <c r="Q958" s="8"/>
      <c r="R958" s="8"/>
      <c r="S958" s="8">
        <v>0</v>
      </c>
      <c r="T958" s="8">
        <v>0</v>
      </c>
      <c r="U958" s="8"/>
      <c r="V958" s="8"/>
      <c r="Z958" s="8"/>
      <c r="AA958" s="8"/>
    </row>
    <row r="959" spans="1:27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>
        <v>0</v>
      </c>
      <c r="Q959" s="8"/>
      <c r="R959" s="8"/>
      <c r="S959" s="8">
        <v>0</v>
      </c>
      <c r="T959" s="8">
        <v>0</v>
      </c>
      <c r="U959" s="8"/>
      <c r="V959" s="8"/>
      <c r="Z959" s="8"/>
      <c r="AA959" s="8"/>
    </row>
    <row r="960" spans="1:27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>
        <v>0</v>
      </c>
      <c r="Q960" s="8"/>
      <c r="R960" s="8"/>
      <c r="S960" s="8">
        <v>0</v>
      </c>
      <c r="T960" s="8">
        <v>0</v>
      </c>
      <c r="U960" s="8"/>
      <c r="V960" s="8"/>
      <c r="Z960" s="8"/>
      <c r="AA960" s="8"/>
    </row>
    <row r="961" spans="1:27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>
        <v>0</v>
      </c>
      <c r="Q961" s="8"/>
      <c r="R961" s="8"/>
      <c r="S961" s="8">
        <v>0</v>
      </c>
      <c r="T961" s="8">
        <v>0</v>
      </c>
      <c r="U961" s="8"/>
      <c r="V961" s="8"/>
      <c r="Z961" s="8"/>
      <c r="AA961" s="8"/>
    </row>
    <row r="962" spans="1:27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>
        <v>0</v>
      </c>
      <c r="Q962" s="8"/>
      <c r="R962" s="8"/>
      <c r="S962" s="8">
        <v>0</v>
      </c>
      <c r="T962" s="8">
        <v>0</v>
      </c>
      <c r="U962" s="8"/>
      <c r="V962" s="8"/>
      <c r="Z962" s="8"/>
      <c r="AA962" s="8"/>
    </row>
    <row r="963" spans="1:27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>
        <v>0</v>
      </c>
      <c r="Q963" s="8"/>
      <c r="R963" s="8"/>
      <c r="S963" s="8">
        <v>0</v>
      </c>
      <c r="T963" s="8">
        <v>0</v>
      </c>
      <c r="U963" s="8"/>
      <c r="V963" s="8"/>
      <c r="Z963" s="8"/>
      <c r="AA963" s="8"/>
    </row>
    <row r="964" spans="1:27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>
        <v>0</v>
      </c>
      <c r="Q964" s="8"/>
      <c r="R964" s="8"/>
      <c r="S964" s="8">
        <v>0</v>
      </c>
      <c r="T964" s="8">
        <v>0</v>
      </c>
      <c r="U964" s="8"/>
      <c r="V964" s="8"/>
      <c r="Z964" s="8"/>
      <c r="AA964" s="8"/>
    </row>
    <row r="965" spans="1:27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>
        <v>0</v>
      </c>
      <c r="Q965" s="8"/>
      <c r="R965" s="8"/>
      <c r="S965" s="8">
        <v>0</v>
      </c>
      <c r="T965" s="8">
        <v>0</v>
      </c>
      <c r="U965" s="8"/>
      <c r="V965" s="8"/>
      <c r="Z965" s="8"/>
      <c r="AA965" s="8"/>
    </row>
    <row r="966" spans="1:27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>
        <v>0</v>
      </c>
      <c r="Q966" s="8"/>
      <c r="R966" s="8"/>
      <c r="S966" s="8">
        <v>0</v>
      </c>
      <c r="T966" s="8">
        <v>0</v>
      </c>
      <c r="U966" s="8"/>
      <c r="V966" s="8"/>
      <c r="Z966" s="8"/>
      <c r="AA966" s="8"/>
    </row>
    <row r="967" spans="1:2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>
        <v>0</v>
      </c>
      <c r="Q967" s="8"/>
      <c r="R967" s="8"/>
      <c r="S967" s="8">
        <v>0</v>
      </c>
      <c r="T967" s="8">
        <v>0</v>
      </c>
      <c r="U967" s="8"/>
      <c r="V967" s="8"/>
      <c r="Z967" s="8"/>
      <c r="AA967" s="8"/>
    </row>
    <row r="968" spans="1:27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>
        <v>0</v>
      </c>
      <c r="Q968" s="8"/>
      <c r="R968" s="8"/>
      <c r="S968" s="8">
        <v>0</v>
      </c>
      <c r="T968" s="8">
        <v>0</v>
      </c>
      <c r="U968" s="8"/>
      <c r="V968" s="8"/>
      <c r="Z968" s="8"/>
      <c r="AA968" s="8"/>
    </row>
    <row r="969" spans="1:27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>
        <v>0</v>
      </c>
      <c r="Q969" s="8"/>
      <c r="R969" s="8"/>
      <c r="S969" s="8">
        <v>0</v>
      </c>
      <c r="T969" s="8">
        <v>0</v>
      </c>
      <c r="U969" s="8"/>
      <c r="V969" s="8"/>
      <c r="Z969" s="8"/>
      <c r="AA969" s="8"/>
    </row>
    <row r="970" spans="1:27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>
        <v>0</v>
      </c>
      <c r="Q970" s="8"/>
      <c r="R970" s="8"/>
      <c r="S970" s="8">
        <v>0</v>
      </c>
      <c r="T970" s="8">
        <v>0</v>
      </c>
      <c r="U970" s="8"/>
      <c r="V970" s="8"/>
      <c r="Z970" s="8"/>
      <c r="AA970" s="8"/>
    </row>
    <row r="971" spans="1:27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>
        <v>0</v>
      </c>
      <c r="Q971" s="8"/>
      <c r="R971" s="8"/>
      <c r="S971" s="8">
        <v>0</v>
      </c>
      <c r="T971" s="8">
        <v>0</v>
      </c>
      <c r="U971" s="8"/>
      <c r="V971" s="8"/>
      <c r="Z971" s="8"/>
      <c r="AA971" s="8"/>
    </row>
    <row r="972" spans="1:27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>
        <v>0</v>
      </c>
      <c r="Q972" s="8"/>
      <c r="R972" s="8"/>
      <c r="S972" s="8">
        <v>0</v>
      </c>
      <c r="T972" s="8">
        <v>0</v>
      </c>
      <c r="U972" s="8"/>
      <c r="V972" s="8"/>
      <c r="Z972" s="8"/>
      <c r="AA972" s="8"/>
    </row>
    <row r="973" spans="1:27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>
        <v>0</v>
      </c>
      <c r="Q973" s="8"/>
      <c r="R973" s="8"/>
      <c r="S973" s="8">
        <v>0</v>
      </c>
      <c r="T973" s="8">
        <v>0</v>
      </c>
      <c r="U973" s="8"/>
      <c r="V973" s="8"/>
      <c r="Z973" s="8"/>
      <c r="AA973" s="8"/>
    </row>
    <row r="974" spans="1:27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>
        <v>0</v>
      </c>
      <c r="Q974" s="8"/>
      <c r="R974" s="8"/>
      <c r="S974" s="8">
        <v>0</v>
      </c>
      <c r="T974" s="8">
        <v>0</v>
      </c>
      <c r="U974" s="8"/>
      <c r="V974" s="8"/>
      <c r="Z974" s="8"/>
      <c r="AA974" s="8"/>
    </row>
    <row r="975" spans="1:27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>
        <v>0</v>
      </c>
      <c r="Q975" s="8"/>
      <c r="R975" s="8"/>
      <c r="S975" s="8">
        <v>0</v>
      </c>
      <c r="T975" s="8">
        <v>0</v>
      </c>
      <c r="U975" s="8"/>
      <c r="V975" s="8"/>
      <c r="Z975" s="8"/>
      <c r="AA975" s="8"/>
    </row>
    <row r="976" spans="1:27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>
        <v>0</v>
      </c>
      <c r="Q976" s="8"/>
      <c r="R976" s="8"/>
      <c r="S976" s="8">
        <v>0</v>
      </c>
      <c r="T976" s="8">
        <v>0</v>
      </c>
      <c r="U976" s="8"/>
      <c r="V976" s="8"/>
      <c r="Z976" s="8"/>
      <c r="AA976" s="8"/>
    </row>
    <row r="977" spans="1:2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>
        <v>0</v>
      </c>
      <c r="Q977" s="8"/>
      <c r="R977" s="8"/>
      <c r="S977" s="8">
        <v>0</v>
      </c>
      <c r="T977" s="8">
        <v>0</v>
      </c>
      <c r="U977" s="8"/>
      <c r="V977" s="8"/>
      <c r="Z977" s="8"/>
      <c r="AA977" s="8"/>
    </row>
    <row r="978" spans="1:27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>
        <v>0</v>
      </c>
      <c r="Q978" s="8"/>
      <c r="R978" s="8"/>
      <c r="S978" s="8">
        <v>0</v>
      </c>
      <c r="T978" s="8">
        <v>0</v>
      </c>
      <c r="U978" s="8"/>
      <c r="V978" s="8"/>
      <c r="Z978" s="8"/>
      <c r="AA978" s="8"/>
    </row>
    <row r="979" spans="1:27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>
        <v>0</v>
      </c>
      <c r="Q979" s="8"/>
      <c r="R979" s="8"/>
      <c r="S979" s="8">
        <v>0</v>
      </c>
      <c r="T979" s="8">
        <v>0</v>
      </c>
      <c r="U979" s="8"/>
      <c r="V979" s="8"/>
      <c r="Z979" s="8"/>
      <c r="AA979" s="8"/>
    </row>
    <row r="980" spans="1:27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>
        <v>0</v>
      </c>
      <c r="Q980" s="8"/>
      <c r="R980" s="8"/>
      <c r="S980" s="8">
        <v>0</v>
      </c>
      <c r="T980" s="8">
        <v>0</v>
      </c>
      <c r="U980" s="8"/>
      <c r="V980" s="8"/>
      <c r="Z980" s="8"/>
      <c r="AA980" s="8"/>
    </row>
    <row r="981" spans="1:27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>
        <v>0</v>
      </c>
      <c r="Q981" s="8"/>
      <c r="R981" s="8"/>
      <c r="S981" s="8">
        <v>0</v>
      </c>
      <c r="T981" s="8">
        <v>0</v>
      </c>
      <c r="U981" s="8"/>
      <c r="V981" s="8"/>
      <c r="Z981" s="8"/>
      <c r="AA981" s="8"/>
    </row>
    <row r="982" spans="1:27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>
        <v>0</v>
      </c>
      <c r="Q982" s="8"/>
      <c r="R982" s="8"/>
      <c r="S982" s="8">
        <v>0</v>
      </c>
      <c r="T982" s="8">
        <v>0</v>
      </c>
      <c r="U982" s="8"/>
      <c r="V982" s="8"/>
      <c r="Z982" s="8"/>
      <c r="AA982" s="8"/>
    </row>
    <row r="983" spans="1:27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>
        <v>0</v>
      </c>
      <c r="Q983" s="8"/>
      <c r="R983" s="8"/>
      <c r="S983" s="8">
        <v>0</v>
      </c>
      <c r="T983" s="8">
        <v>0</v>
      </c>
      <c r="U983" s="8"/>
      <c r="V983" s="8"/>
      <c r="Z983" s="8"/>
      <c r="AA983" s="8"/>
    </row>
    <row r="984" spans="1:27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>
        <v>0</v>
      </c>
      <c r="Q984" s="8"/>
      <c r="R984" s="8"/>
      <c r="S984" s="8">
        <v>0</v>
      </c>
      <c r="T984" s="8">
        <v>0</v>
      </c>
      <c r="U984" s="8"/>
      <c r="V984" s="8"/>
      <c r="Z984" s="8"/>
      <c r="AA984" s="8"/>
    </row>
    <row r="985" spans="1:27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>
        <v>0</v>
      </c>
      <c r="Q985" s="8"/>
      <c r="R985" s="8"/>
      <c r="S985" s="8">
        <v>0</v>
      </c>
      <c r="T985" s="8">
        <v>0</v>
      </c>
      <c r="U985" s="8"/>
      <c r="V985" s="8"/>
      <c r="Z985" s="8"/>
      <c r="AA985" s="8"/>
    </row>
    <row r="986" spans="1:27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>
        <v>0</v>
      </c>
      <c r="Q986" s="8"/>
      <c r="R986" s="8"/>
      <c r="S986" s="8">
        <v>0</v>
      </c>
      <c r="T986" s="8">
        <v>0</v>
      </c>
      <c r="U986" s="8"/>
      <c r="V986" s="8"/>
      <c r="Z986" s="8"/>
      <c r="AA986" s="8"/>
    </row>
    <row r="987" spans="1:2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>
        <v>0</v>
      </c>
      <c r="Q987" s="8"/>
      <c r="R987" s="8"/>
      <c r="S987" s="8">
        <v>0</v>
      </c>
      <c r="T987" s="8">
        <v>0</v>
      </c>
      <c r="U987" s="8"/>
      <c r="V987" s="8"/>
      <c r="Z987" s="8"/>
      <c r="AA987" s="8"/>
    </row>
    <row r="988" spans="1:27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>
        <v>0</v>
      </c>
      <c r="Q988" s="8"/>
      <c r="R988" s="8"/>
      <c r="S988" s="8">
        <v>0</v>
      </c>
      <c r="T988" s="8">
        <v>0</v>
      </c>
      <c r="U988" s="8"/>
      <c r="V988" s="8"/>
      <c r="Z988" s="8"/>
      <c r="AA988" s="8"/>
    </row>
    <row r="989" spans="1:27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>
        <v>0</v>
      </c>
      <c r="Q989" s="8"/>
      <c r="R989" s="8"/>
      <c r="S989" s="8">
        <v>0</v>
      </c>
      <c r="T989" s="8">
        <v>0</v>
      </c>
      <c r="U989" s="8"/>
      <c r="V989" s="8"/>
      <c r="Z989" s="8"/>
      <c r="AA989" s="8"/>
    </row>
    <row r="990" spans="1:27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>
        <v>0</v>
      </c>
      <c r="Q990" s="8"/>
      <c r="R990" s="8"/>
      <c r="S990" s="8">
        <v>0</v>
      </c>
      <c r="T990" s="8">
        <v>0</v>
      </c>
      <c r="U990" s="8"/>
      <c r="V990" s="8"/>
      <c r="Z990" s="8"/>
      <c r="AA990" s="8"/>
    </row>
    <row r="991" spans="1:27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>
        <v>0</v>
      </c>
      <c r="Q991" s="8"/>
      <c r="R991" s="8"/>
      <c r="S991" s="8">
        <v>0</v>
      </c>
      <c r="T991" s="8">
        <v>0</v>
      </c>
      <c r="U991" s="8"/>
      <c r="V991" s="8"/>
      <c r="Z991" s="8"/>
      <c r="AA991" s="8"/>
    </row>
    <row r="992" spans="1:27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>
        <v>0</v>
      </c>
      <c r="Q992" s="8"/>
      <c r="R992" s="8"/>
      <c r="S992" s="8">
        <v>0</v>
      </c>
      <c r="T992" s="8">
        <v>0</v>
      </c>
      <c r="U992" s="8"/>
      <c r="V992" s="8"/>
      <c r="Z992" s="8"/>
      <c r="AA992" s="8"/>
    </row>
    <row r="993" spans="1:27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>
        <v>0</v>
      </c>
      <c r="Q993" s="8"/>
      <c r="R993" s="8"/>
      <c r="S993" s="8">
        <v>0</v>
      </c>
      <c r="T993" s="8">
        <v>0</v>
      </c>
      <c r="U993" s="8"/>
      <c r="V993" s="8"/>
      <c r="Z993" s="8"/>
      <c r="AA993" s="8"/>
    </row>
    <row r="994" spans="1:27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>
        <v>0</v>
      </c>
      <c r="Q994" s="8"/>
      <c r="R994" s="8"/>
      <c r="S994" s="8">
        <v>0</v>
      </c>
      <c r="T994" s="8">
        <v>0</v>
      </c>
      <c r="U994" s="8"/>
      <c r="V994" s="8"/>
      <c r="Z994" s="8"/>
      <c r="AA994" s="8"/>
    </row>
    <row r="995" spans="1:27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>
        <v>0</v>
      </c>
      <c r="Q995" s="8"/>
      <c r="R995" s="8"/>
      <c r="S995" s="8">
        <v>0</v>
      </c>
      <c r="T995" s="8">
        <v>0</v>
      </c>
      <c r="U995" s="8"/>
      <c r="V995" s="8"/>
      <c r="Z995" s="8"/>
      <c r="AA995" s="8"/>
    </row>
    <row r="996" spans="1:27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>
        <v>0</v>
      </c>
      <c r="Q996" s="8"/>
      <c r="R996" s="8"/>
      <c r="S996" s="8">
        <v>0</v>
      </c>
      <c r="T996" s="8">
        <v>0</v>
      </c>
      <c r="U996" s="8"/>
      <c r="V996" s="8"/>
      <c r="Z996" s="8"/>
      <c r="AA996" s="8"/>
    </row>
    <row r="997" spans="1:2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>
        <v>0</v>
      </c>
      <c r="Q997" s="8"/>
      <c r="R997" s="8"/>
      <c r="S997" s="8">
        <v>0</v>
      </c>
      <c r="T997" s="8">
        <v>0</v>
      </c>
      <c r="U997" s="8"/>
      <c r="V997" s="8"/>
      <c r="Z997" s="8"/>
      <c r="AA997" s="8"/>
    </row>
    <row r="998" spans="1:27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>
        <v>0</v>
      </c>
      <c r="Q998" s="8"/>
      <c r="R998" s="8"/>
      <c r="S998" s="8">
        <v>0</v>
      </c>
      <c r="T998" s="8">
        <v>0</v>
      </c>
      <c r="U998" s="8"/>
      <c r="V998" s="8"/>
      <c r="Z998" s="8"/>
      <c r="AA998" s="8"/>
    </row>
    <row r="999" spans="1:27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>
        <v>0</v>
      </c>
      <c r="Q999" s="8"/>
      <c r="R999" s="8"/>
      <c r="S999" s="8">
        <v>0</v>
      </c>
      <c r="T999" s="8">
        <v>0</v>
      </c>
      <c r="U999" s="8"/>
      <c r="V999" s="8"/>
      <c r="Z999" s="8"/>
      <c r="AA999" s="8"/>
    </row>
    <row r="1000" spans="1:27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>
        <v>0</v>
      </c>
      <c r="Q1000" s="8"/>
      <c r="R1000" s="8"/>
      <c r="S1000" s="8">
        <v>0</v>
      </c>
      <c r="T1000" s="8">
        <v>0</v>
      </c>
      <c r="U1000" s="8"/>
      <c r="V1000" s="8"/>
      <c r="Z1000" s="8"/>
      <c r="AA1000" s="8"/>
    </row>
    <row r="1001" spans="1:27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>
        <v>0</v>
      </c>
      <c r="Q1001" s="8"/>
      <c r="R1001" s="8"/>
      <c r="S1001" s="8">
        <v>0</v>
      </c>
      <c r="T1001" s="8">
        <v>0</v>
      </c>
      <c r="U1001" s="8"/>
      <c r="V1001" s="8"/>
      <c r="Z1001" s="8"/>
      <c r="AA1001" s="8"/>
    </row>
    <row r="1002" spans="1:27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>
        <v>0</v>
      </c>
      <c r="Q1002" s="8"/>
      <c r="R1002" s="8"/>
      <c r="S1002" s="8">
        <v>0</v>
      </c>
      <c r="T1002" s="8">
        <v>0</v>
      </c>
      <c r="U1002" s="8"/>
      <c r="V1002" s="8"/>
      <c r="Z1002" s="8"/>
      <c r="AA1002" s="8"/>
    </row>
    <row r="1003" spans="1:27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>
        <v>0</v>
      </c>
      <c r="Q1003" s="8"/>
      <c r="R1003" s="8"/>
      <c r="S1003" s="8">
        <v>0</v>
      </c>
      <c r="T1003" s="8">
        <v>0</v>
      </c>
      <c r="U1003" s="8"/>
      <c r="V1003" s="8"/>
      <c r="Z1003" s="8"/>
      <c r="AA1003" s="8"/>
    </row>
    <row r="1004" spans="1:27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>
        <v>0</v>
      </c>
      <c r="Q1004" s="8"/>
      <c r="R1004" s="8"/>
      <c r="S1004" s="8">
        <v>0</v>
      </c>
      <c r="T1004" s="8">
        <v>0</v>
      </c>
      <c r="U1004" s="8"/>
      <c r="V1004" s="8"/>
      <c r="Z1004" s="8"/>
      <c r="AA1004" s="8"/>
    </row>
    <row r="1005" spans="1:27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>
        <v>0</v>
      </c>
      <c r="Q1005" s="8"/>
      <c r="R1005" s="8"/>
      <c r="S1005" s="8">
        <v>0</v>
      </c>
      <c r="T1005" s="8">
        <v>0</v>
      </c>
      <c r="U1005" s="8"/>
      <c r="V1005" s="8"/>
      <c r="Z1005" s="8"/>
      <c r="AA1005" s="8"/>
    </row>
    <row r="1006" spans="1:27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>
        <v>0</v>
      </c>
      <c r="Q1006" s="8"/>
      <c r="R1006" s="8"/>
      <c r="S1006" s="8">
        <v>0</v>
      </c>
      <c r="T1006" s="8">
        <v>0</v>
      </c>
      <c r="U1006" s="8"/>
      <c r="V1006" s="8"/>
      <c r="Z1006" s="8"/>
      <c r="AA1006" s="8"/>
    </row>
    <row r="1007" spans="1:2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>
        <v>0</v>
      </c>
      <c r="Q1007" s="8"/>
      <c r="R1007" s="8"/>
      <c r="S1007" s="8">
        <v>0</v>
      </c>
      <c r="T1007" s="8">
        <v>0</v>
      </c>
      <c r="U1007" s="8"/>
      <c r="V1007" s="8"/>
      <c r="Z1007" s="8"/>
      <c r="AA1007" s="8"/>
    </row>
    <row r="1008" spans="1:27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>
        <v>0</v>
      </c>
      <c r="Q1008" s="8"/>
      <c r="R1008" s="8"/>
      <c r="S1008" s="8">
        <v>0</v>
      </c>
      <c r="T1008" s="8">
        <v>0</v>
      </c>
      <c r="U1008" s="8"/>
      <c r="V1008" s="8"/>
      <c r="Z1008" s="8"/>
      <c r="AA1008" s="8"/>
    </row>
    <row r="1009" spans="1:27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>
        <v>0</v>
      </c>
      <c r="Q1009" s="8"/>
      <c r="R1009" s="8"/>
      <c r="S1009" s="8">
        <v>0</v>
      </c>
      <c r="T1009" s="8">
        <v>0</v>
      </c>
      <c r="U1009" s="8"/>
      <c r="V1009" s="8"/>
      <c r="Z1009" s="8"/>
      <c r="AA1009" s="8"/>
    </row>
    <row r="1010" spans="1:27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>
        <v>0</v>
      </c>
      <c r="Q1010" s="8"/>
      <c r="R1010" s="8"/>
      <c r="S1010" s="8">
        <v>0</v>
      </c>
      <c r="T1010" s="8">
        <v>0</v>
      </c>
      <c r="U1010" s="8"/>
      <c r="V1010" s="8"/>
      <c r="Z1010" s="8"/>
      <c r="AA1010" s="8"/>
    </row>
    <row r="1011" spans="1:27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>
        <v>0</v>
      </c>
      <c r="Q1011" s="8"/>
      <c r="R1011" s="8"/>
      <c r="S1011" s="8">
        <v>0</v>
      </c>
      <c r="T1011" s="8">
        <v>0</v>
      </c>
      <c r="U1011" s="8"/>
      <c r="V1011" s="8"/>
      <c r="Z1011" s="8"/>
      <c r="AA1011" s="8"/>
    </row>
    <row r="1012" spans="1:27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>
        <v>0</v>
      </c>
      <c r="Q1012" s="8"/>
      <c r="R1012" s="8"/>
      <c r="S1012" s="8">
        <v>0</v>
      </c>
      <c r="T1012" s="8">
        <v>0</v>
      </c>
      <c r="U1012" s="8"/>
      <c r="V1012" s="8"/>
      <c r="Z1012" s="8"/>
      <c r="AA1012" s="8"/>
    </row>
    <row r="1013" spans="1:27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>
        <v>0</v>
      </c>
      <c r="Q1013" s="8"/>
      <c r="R1013" s="8"/>
      <c r="S1013" s="8">
        <v>0</v>
      </c>
      <c r="T1013" s="8">
        <v>0</v>
      </c>
      <c r="U1013" s="8"/>
      <c r="V1013" s="8"/>
      <c r="Z1013" s="8"/>
      <c r="AA1013" s="8"/>
    </row>
    <row r="1014" spans="1:27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>
        <v>0</v>
      </c>
      <c r="Q1014" s="8"/>
      <c r="R1014" s="8"/>
      <c r="S1014" s="8">
        <v>0</v>
      </c>
      <c r="T1014" s="8">
        <v>0</v>
      </c>
      <c r="U1014" s="8"/>
      <c r="V1014" s="8"/>
      <c r="Z1014" s="8"/>
      <c r="AA1014" s="8"/>
    </row>
    <row r="1015" spans="1:27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>
        <v>0</v>
      </c>
      <c r="Q1015" s="8"/>
      <c r="R1015" s="8"/>
      <c r="S1015" s="8">
        <v>0</v>
      </c>
      <c r="T1015" s="8">
        <v>0</v>
      </c>
      <c r="U1015" s="8"/>
      <c r="V1015" s="8"/>
      <c r="Z1015" s="8"/>
      <c r="AA1015" s="8"/>
    </row>
    <row r="1016" spans="1:27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>
        <v>0</v>
      </c>
      <c r="Q1016" s="8"/>
      <c r="R1016" s="8"/>
      <c r="S1016" s="8">
        <v>0</v>
      </c>
      <c r="T1016" s="8">
        <v>0</v>
      </c>
      <c r="U1016" s="8"/>
      <c r="V1016" s="8"/>
      <c r="Z1016" s="8"/>
      <c r="AA1016" s="8"/>
    </row>
    <row r="1017" spans="1:2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>
        <v>0</v>
      </c>
      <c r="Q1017" s="8"/>
      <c r="R1017" s="8"/>
      <c r="S1017" s="8">
        <v>0</v>
      </c>
      <c r="T1017" s="8">
        <v>0</v>
      </c>
      <c r="U1017" s="8"/>
      <c r="V1017" s="8"/>
      <c r="Z1017" s="8"/>
      <c r="AA1017" s="8"/>
    </row>
    <row r="1018" spans="1:27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>
        <v>0</v>
      </c>
      <c r="Q1018" s="8"/>
      <c r="R1018" s="8"/>
      <c r="S1018" s="8">
        <v>0</v>
      </c>
      <c r="T1018" s="8">
        <v>0</v>
      </c>
      <c r="U1018" s="8"/>
      <c r="V1018" s="8"/>
      <c r="Z1018" s="8"/>
      <c r="AA1018" s="8"/>
    </row>
    <row r="1019" spans="1:27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>
        <v>0</v>
      </c>
      <c r="Q1019" s="8"/>
      <c r="R1019" s="8"/>
      <c r="S1019" s="8">
        <v>0</v>
      </c>
      <c r="T1019" s="8">
        <v>0</v>
      </c>
      <c r="U1019" s="8"/>
      <c r="V1019" s="8"/>
      <c r="Z1019" s="8"/>
      <c r="AA1019" s="8"/>
    </row>
    <row r="1020" spans="1:27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Q1020" s="8"/>
      <c r="R1020" s="8"/>
      <c r="S1020" s="8"/>
      <c r="T1020" s="8">
        <v>0</v>
      </c>
      <c r="U1020" s="8"/>
      <c r="V1020" s="8"/>
      <c r="Z1020" s="8"/>
      <c r="AA1020" s="8"/>
    </row>
    <row r="1021" spans="1:27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Q1021" s="8"/>
      <c r="R1021" s="8"/>
      <c r="S1021" s="8"/>
      <c r="T1021" s="8">
        <v>0</v>
      </c>
      <c r="U1021" s="8"/>
      <c r="V1021" s="8"/>
      <c r="Z1021" s="8"/>
      <c r="AA1021" s="8"/>
    </row>
    <row r="1022" spans="1:27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Q1022" s="8"/>
      <c r="R1022" s="8"/>
      <c r="S1022" s="8"/>
      <c r="T1022" s="8">
        <v>0</v>
      </c>
      <c r="U1022" s="8"/>
      <c r="V1022" s="8"/>
      <c r="Z1022" s="8"/>
      <c r="AA1022" s="8"/>
    </row>
    <row r="1023" spans="1:27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Q1023" s="8"/>
      <c r="R1023" s="8"/>
      <c r="S1023" s="8"/>
      <c r="T1023" s="8">
        <v>0</v>
      </c>
      <c r="U1023" s="8"/>
      <c r="V1023" s="8"/>
      <c r="Z1023" s="8"/>
      <c r="AA1023" s="8"/>
    </row>
    <row r="1024" spans="1:27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Q1024" s="8"/>
      <c r="R1024" s="8"/>
      <c r="S1024" s="8"/>
      <c r="T1024" s="8">
        <v>0</v>
      </c>
      <c r="U1024" s="8"/>
      <c r="V1024" s="8"/>
      <c r="Z1024" s="8"/>
      <c r="AA1024" s="8"/>
    </row>
    <row r="1025" spans="1:27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Q1025" s="8"/>
      <c r="R1025" s="8"/>
      <c r="S1025" s="8"/>
      <c r="T1025" s="8">
        <v>0</v>
      </c>
      <c r="U1025" s="8"/>
      <c r="V1025" s="8"/>
      <c r="Z1025" s="8"/>
      <c r="AA1025" s="8"/>
    </row>
    <row r="1026" spans="1:27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Q1026" s="8"/>
      <c r="R1026" s="8"/>
      <c r="S1026" s="8"/>
      <c r="T1026" s="8">
        <v>0</v>
      </c>
      <c r="U1026" s="8"/>
      <c r="V1026" s="8"/>
      <c r="Z1026" s="8"/>
      <c r="AA1026" s="8"/>
    </row>
    <row r="1027" spans="1: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Q1027" s="8"/>
      <c r="R1027" s="8"/>
      <c r="S1027" s="8"/>
      <c r="T1027" s="8">
        <v>0</v>
      </c>
      <c r="U1027" s="8"/>
      <c r="V1027" s="8"/>
      <c r="Z1027" s="8"/>
      <c r="AA1027" s="8"/>
    </row>
    <row r="1028" spans="1:27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Q1028" s="8"/>
      <c r="R1028" s="8"/>
      <c r="S1028" s="8"/>
      <c r="T1028" s="8">
        <v>0</v>
      </c>
      <c r="U1028" s="8"/>
      <c r="V1028" s="8"/>
      <c r="Z1028" s="8"/>
      <c r="AA1028" s="8"/>
    </row>
    <row r="1029" spans="1:27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Q1029" s="8"/>
      <c r="R1029" s="8"/>
      <c r="S1029" s="8"/>
      <c r="T1029" s="8"/>
      <c r="U1029" s="8"/>
      <c r="V1029" s="8"/>
      <c r="Z1029" s="8"/>
      <c r="AA1029" s="8"/>
    </row>
    <row r="1030" spans="1:27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Q1030" s="8"/>
      <c r="R1030" s="8"/>
      <c r="S1030" s="8"/>
      <c r="T1030" s="8"/>
      <c r="U1030" s="8"/>
      <c r="V1030" s="8"/>
      <c r="Z1030" s="8"/>
      <c r="AA1030" s="8"/>
    </row>
    <row r="1031" spans="1:27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Q1031" s="8"/>
      <c r="R1031" s="8"/>
      <c r="S1031" s="8"/>
      <c r="T1031" s="8"/>
      <c r="U1031" s="8"/>
      <c r="V1031" s="8"/>
      <c r="Z1031" s="8"/>
      <c r="AA1031" s="8"/>
    </row>
    <row r="1032" spans="1:27" ht="15.75" customHeight="1">
      <c r="G1032" s="8"/>
      <c r="H1032" s="8"/>
      <c r="I1032" s="8"/>
      <c r="J1032" s="8"/>
      <c r="K1032" s="8"/>
      <c r="L1032" s="8"/>
      <c r="M1032" s="8"/>
      <c r="N1032" s="8"/>
      <c r="O1032" s="8"/>
      <c r="Q1032" s="8"/>
      <c r="R1032" s="8"/>
      <c r="S1032" s="8"/>
      <c r="T1032" s="8"/>
      <c r="U1032" s="8"/>
      <c r="V1032" s="8"/>
      <c r="Z1032" s="8"/>
      <c r="AA1032" s="8"/>
    </row>
    <row r="1033" spans="1:27" ht="15.75" customHeight="1">
      <c r="G1033" s="8"/>
      <c r="H1033" s="8"/>
      <c r="I1033" s="8"/>
      <c r="J1033" s="8"/>
      <c r="K1033" s="8"/>
      <c r="L1033" s="8"/>
      <c r="M1033" s="8"/>
      <c r="N1033" s="8"/>
      <c r="O1033" s="8"/>
      <c r="Q1033" s="8"/>
      <c r="R1033" s="8"/>
      <c r="S1033" s="8"/>
      <c r="T1033" s="8"/>
      <c r="U1033" s="8"/>
      <c r="V1033" s="8"/>
      <c r="Z1033" s="8"/>
      <c r="AA1033" s="8"/>
    </row>
    <row r="1034" spans="1:27" ht="15.75" customHeight="1">
      <c r="G1034" s="8"/>
      <c r="H1034" s="8"/>
      <c r="I1034" s="8"/>
      <c r="J1034" s="8"/>
      <c r="K1034" s="8"/>
      <c r="L1034" s="8"/>
      <c r="M1034" s="8"/>
      <c r="N1034" s="8"/>
      <c r="O1034" s="8"/>
      <c r="Q1034" s="8"/>
      <c r="R1034" s="8"/>
      <c r="S1034" s="8"/>
      <c r="T1034" s="8"/>
      <c r="U1034" s="8"/>
      <c r="V1034" s="8"/>
      <c r="Z1034" s="8"/>
      <c r="AA1034" s="8"/>
    </row>
    <row r="1035" spans="1:27" ht="15.75" customHeight="1">
      <c r="G1035" s="8"/>
      <c r="H1035" s="8"/>
      <c r="I1035" s="8"/>
      <c r="J1035" s="8"/>
      <c r="K1035" s="8"/>
      <c r="L1035" s="8"/>
      <c r="M1035" s="8"/>
      <c r="N1035" s="8"/>
      <c r="O1035" s="8"/>
      <c r="Q1035" s="8"/>
      <c r="R1035" s="8"/>
      <c r="S1035" s="8"/>
      <c r="T1035" s="8"/>
      <c r="U1035" s="8"/>
      <c r="V1035" s="8"/>
      <c r="Z1035" s="8"/>
      <c r="AA1035" s="8"/>
    </row>
    <row r="1036" spans="1:27" ht="15.75" customHeight="1">
      <c r="G1036" s="8"/>
      <c r="H1036" s="8"/>
      <c r="I1036" s="8"/>
      <c r="J1036" s="8"/>
      <c r="K1036" s="8"/>
      <c r="L1036" s="8"/>
      <c r="M1036" s="8"/>
      <c r="N1036" s="8"/>
      <c r="O1036" s="8"/>
      <c r="Q1036" s="8"/>
      <c r="R1036" s="8"/>
      <c r="S1036" s="8"/>
      <c r="T1036" s="8"/>
      <c r="U1036" s="8"/>
      <c r="V1036" s="8"/>
      <c r="Z1036" s="8"/>
      <c r="AA1036" s="8"/>
    </row>
  </sheetData>
  <mergeCells count="6">
    <mergeCell ref="Z1:AA1"/>
    <mergeCell ref="A1:F1"/>
    <mergeCell ref="G1:H1"/>
    <mergeCell ref="I1:K1"/>
    <mergeCell ref="L1:O1"/>
    <mergeCell ref="P1:T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pane ySplit="1" topLeftCell="B3" activePane="bottomLeft" state="frozen"/>
      <selection pane="bottomLeft" activeCell="B3" sqref="B3"/>
    </sheetView>
  </sheetViews>
  <sheetFormatPr defaultColWidth="12.625" defaultRowHeight="15" customHeight="1"/>
  <cols>
    <col min="1" max="1" width="17.625" style="8" customWidth="1"/>
    <col min="2" max="2" width="28.625" style="8" customWidth="1"/>
    <col min="3" max="6" width="12.625" customWidth="1"/>
  </cols>
  <sheetData>
    <row r="1" spans="1:26">
      <c r="A1" s="33" t="s">
        <v>244</v>
      </c>
      <c r="B1" s="33" t="s">
        <v>245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>
      <c r="A2" s="35">
        <v>1</v>
      </c>
      <c r="B2" s="35">
        <v>1.5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35">
        <v>2</v>
      </c>
      <c r="B3" s="35">
        <v>1.3995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35">
        <v>3</v>
      </c>
      <c r="B4" s="35">
        <v>1.3439000000000001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5">
        <v>5</v>
      </c>
      <c r="B5" s="35">
        <v>1.2769999999999999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35">
        <v>8</v>
      </c>
      <c r="B6" s="35">
        <v>1.2157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35">
        <v>13</v>
      </c>
      <c r="B7" s="35">
        <v>1.1465000000000001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35">
        <v>21</v>
      </c>
      <c r="B8" s="35">
        <v>1.0883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35">
        <v>34</v>
      </c>
      <c r="B9" s="35">
        <v>1.0370999999999999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35">
        <v>55</v>
      </c>
      <c r="B10" s="35">
        <v>0.99670000000000003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35">
        <v>89</v>
      </c>
      <c r="B11" s="35">
        <v>0.95469999999999999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5">
        <v>144</v>
      </c>
      <c r="B12" s="35">
        <v>0.91859999999999997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5">
        <v>233</v>
      </c>
      <c r="B13" s="35">
        <v>0.88539999999999996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35">
        <v>377</v>
      </c>
      <c r="B14" s="35">
        <v>0.85640000000000005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5">
        <v>610</v>
      </c>
      <c r="B15" s="35">
        <v>0.82909999999999995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35">
        <v>987</v>
      </c>
      <c r="B16" s="35">
        <v>0.80359999999999998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35">
        <v>1597</v>
      </c>
      <c r="B17" s="35">
        <v>0.78069999999999995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35">
        <v>2584</v>
      </c>
      <c r="B18" s="35">
        <v>0.75970000000000004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35">
        <v>4181</v>
      </c>
      <c r="B19" s="35">
        <v>0.74070000000000003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35">
        <v>6765</v>
      </c>
      <c r="B20" s="35">
        <v>0.72260000000000002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35">
        <v>10946</v>
      </c>
      <c r="B21" s="35">
        <v>0.70589999999999997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3:26" ht="15.75" customHeight="1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3:26" ht="15.75" customHeight="1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3:26" ht="15.75" customHeight="1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3:26" ht="15.75" customHeight="1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3:26" ht="15.75" customHeight="1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3:26" ht="15.75" customHeight="1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3:26" ht="15.75" customHeight="1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3:26" ht="15.75" customHeight="1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3:26" ht="15.75" customHeight="1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3:26" ht="15.75" customHeight="1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3:26" ht="15.75" customHeight="1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3:26" ht="15.75" customHeight="1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3:26" ht="15.75" customHeight="1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3:26" ht="15.75" customHeight="1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3:26" ht="15.75" customHeight="1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3:26" ht="15.75" customHeight="1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3:26" ht="15.75" customHeight="1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3:26" ht="15.75" customHeight="1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3:26" ht="15.75" customHeight="1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3:26" ht="15.75" customHeight="1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3:26" ht="15.75" customHeight="1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3:26" ht="15.75" customHeight="1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3:26" ht="15.75" customHeight="1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3:26" ht="15.75" customHeight="1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3:26" ht="15.75" customHeight="1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3:26" ht="15.75" customHeight="1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3:26" ht="15.75" customHeight="1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3:26" ht="15.75" customHeight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3:26" ht="15.75" customHeight="1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3:26" ht="15.75" customHeight="1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3:26" ht="15.75" customHeight="1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3:26" ht="15.75" customHeight="1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3:26" ht="15.75" customHeight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3:26" ht="15.75" customHeight="1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3:26" ht="15.75" customHeight="1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3:26" ht="15.75" customHeight="1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3:26" ht="15.75" customHeight="1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3:26" ht="15.75" customHeight="1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3:26" ht="15.75" customHeight="1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3:26" ht="15.75" customHeight="1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3:26" ht="15.75" customHeight="1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3:26" ht="15.75" customHeight="1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3:26" ht="15.75" customHeight="1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3:26" ht="15.75" customHeight="1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3:26" ht="15.75" customHeight="1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3:26" ht="15.75" customHeight="1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3:26" ht="15.75" customHeight="1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3:26" ht="15.75" customHeight="1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3:26" ht="15.75" customHeight="1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3:26" ht="15.75" customHeight="1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3:26" ht="15.75" customHeight="1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3:26" ht="15.75" customHeight="1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3:26" ht="15.75" customHeight="1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3:26" ht="15.75" customHeight="1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3:26" ht="15.75" customHeight="1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3:26" ht="15.75" customHeight="1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3:26" ht="15.75" customHeight="1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3:26" ht="15.75" customHeight="1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3:26" ht="15.75" customHeight="1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3:26" ht="15.75" customHeight="1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3:26" ht="15.75" customHeight="1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3:26" ht="15.75" customHeight="1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3:26" ht="15.75" customHeight="1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3:26" ht="15.75" customHeight="1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3:26" ht="15.75" customHeight="1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3:26" ht="15.75" customHeight="1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3:26" ht="15.75" customHeight="1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3:26" ht="15.75" customHeight="1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3:26" ht="15.75" customHeight="1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3:26" ht="15.75" customHeight="1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3:26" ht="15.75" customHeight="1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3:26" ht="15.75" customHeight="1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3:26" ht="15.75" customHeight="1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3:26" ht="15.75" customHeight="1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3:26" ht="15.75" customHeight="1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3:26" ht="15.75" customHeight="1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3:26" ht="15.75" customHeight="1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3:26" ht="15.75" customHeight="1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3:26" ht="15.75" customHeight="1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3:26" ht="15.75" customHeight="1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3:26" ht="15.75" customHeight="1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3:26" ht="15.75" customHeight="1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3:26" ht="15.75" customHeight="1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3:26" ht="15.75" customHeight="1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3:26" ht="15.75" customHeight="1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3:26" ht="15.75" customHeight="1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3:26" ht="15.75" customHeight="1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3:26" ht="15.75" customHeight="1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3:26" ht="15.75" customHeight="1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3:26" ht="15.75" customHeight="1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3:26" ht="15.75" customHeight="1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3:26" ht="15.75" customHeight="1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3:26" ht="15.75" customHeight="1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3:26" ht="15.75" customHeight="1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3:26" ht="15.75" customHeight="1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3:26" ht="15.75" customHeight="1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3:26" ht="15.75" customHeight="1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3:26" ht="15.75" customHeight="1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3:26" ht="15.75" customHeight="1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3:26" ht="15.75" customHeight="1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3:26" ht="15.75" customHeight="1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3:26" ht="15.75" customHeight="1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3:26" ht="15.75" customHeight="1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3:26" ht="15.75" customHeight="1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3:26" ht="15.75" customHeight="1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3:26" ht="15.75" customHeight="1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3:26" ht="15.75" customHeight="1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3:26" ht="15.75" customHeight="1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3:26" ht="15.75" customHeight="1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3:26" ht="15.75" customHeight="1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3:26" ht="15.75" customHeight="1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3:26" ht="15.75" customHeight="1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3:26" ht="15.75" customHeight="1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3:26" ht="15.75" customHeight="1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3:26" ht="15.75" customHeight="1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3:26" ht="15.75" customHeight="1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3:26" ht="15.75" customHeight="1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3:26" ht="15.75" customHeight="1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3:26" ht="15.75" customHeight="1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3:26" ht="15.75" customHeight="1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3:26" ht="15.75" customHeight="1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3:26" ht="15.75" customHeight="1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3:26" ht="15.75" customHeight="1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3:26" ht="15.75" customHeight="1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3:26" ht="15.75" customHeight="1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3:26" ht="15.75" customHeight="1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3:26" ht="15.75" customHeight="1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3:26" ht="15.75" customHeight="1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3:26" ht="15.75" customHeight="1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3:26" ht="15.75" customHeight="1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3:26" ht="15.75" customHeight="1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3:26" ht="15.75" customHeight="1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3:26" ht="15.75" customHeight="1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3:26" ht="15.75" customHeight="1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3:26" ht="15.75" customHeight="1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3:26" ht="15.75" customHeight="1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3:26" ht="15.75" customHeight="1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3:26" ht="15.75" customHeight="1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3:26" ht="15.75" customHeight="1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3:26" ht="15.75" customHeight="1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3:26" ht="15.75" customHeight="1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3:26" ht="15.75" customHeight="1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3:26" ht="15.75" customHeight="1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3:26" ht="15.75" customHeight="1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3:26" ht="15.75" customHeight="1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3:26" ht="15.75" customHeight="1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3:26" ht="15.75" customHeight="1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3:26" ht="15.75" customHeight="1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3:26" ht="15.75" customHeight="1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3:26" ht="15.75" customHeight="1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3:26" ht="15.75" customHeight="1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3:26" ht="15.75" customHeight="1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3:26" ht="15.75" customHeight="1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3:26" ht="15.75" customHeight="1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3:26" ht="15.75" customHeight="1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3:26" ht="15.75" customHeight="1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3:26" ht="15.75" customHeight="1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3:26" ht="15.75" customHeight="1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3:26" ht="15.75" customHeight="1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3:26" ht="15.75" customHeight="1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3:26" ht="15.75" customHeight="1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3:26" ht="15.75" customHeight="1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3:26" ht="15.75" customHeight="1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3:26" ht="15.75" customHeight="1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3:26" ht="15.75" customHeight="1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3:26" ht="15.75" customHeight="1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3:26" ht="15.75" customHeight="1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3:26" ht="15.75" customHeight="1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3:26" ht="15.75" customHeight="1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3:26" ht="15.75" customHeight="1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3:26" ht="15.75" customHeight="1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3:26" ht="15.75" customHeight="1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3:26" ht="15.75" customHeight="1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3:26" ht="15.75" customHeight="1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3:26" ht="15.75" customHeight="1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3:26" ht="15.75" customHeight="1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3:26" ht="15.75" customHeight="1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3:26" ht="15.75" customHeight="1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3:26" ht="15.75" customHeight="1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3:26" ht="15.75" customHeight="1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3:26" ht="15.75" customHeight="1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3:26" ht="15.75" customHeight="1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3:26" ht="15.75" customHeight="1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3:26" ht="15.75" customHeight="1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3:26" ht="15.75" customHeight="1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3:26" ht="15.75" customHeight="1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3:26" ht="15.75" customHeight="1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3:26" ht="15.75" customHeight="1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3:26" ht="15.75" customHeight="1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3:26" ht="15.75" customHeight="1"/>
    <row r="223" spans="3:26" ht="15.75" customHeight="1"/>
    <row r="224" spans="3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defaultColWidth="12.625" defaultRowHeight="15" customHeight="1"/>
  <cols>
    <col min="1" max="5" width="12.625" customWidth="1"/>
    <col min="6" max="6" width="27.375" style="8" customWidth="1"/>
    <col min="7" max="7" width="27.75" style="8" customWidth="1"/>
  </cols>
  <sheetData>
    <row r="1" spans="1:7">
      <c r="A1" s="43" t="s">
        <v>246</v>
      </c>
      <c r="B1" s="43" t="s">
        <v>247</v>
      </c>
      <c r="C1" s="43" t="s">
        <v>248</v>
      </c>
      <c r="D1" s="43" t="s">
        <v>249</v>
      </c>
      <c r="E1" s="43" t="s">
        <v>250</v>
      </c>
      <c r="F1" s="43" t="s">
        <v>251</v>
      </c>
      <c r="G1" s="33" t="s">
        <v>252</v>
      </c>
    </row>
    <row r="2" spans="1:7">
      <c r="A2" s="44" t="s">
        <v>253</v>
      </c>
      <c r="B2" s="44" t="s">
        <v>254</v>
      </c>
      <c r="C2" s="44" t="s">
        <v>255</v>
      </c>
      <c r="D2" s="36" t="s">
        <v>256</v>
      </c>
      <c r="E2" s="44" t="s">
        <v>257</v>
      </c>
      <c r="F2" s="36" t="s">
        <v>258</v>
      </c>
      <c r="G2" s="44">
        <v>30</v>
      </c>
    </row>
    <row r="3" spans="1:7">
      <c r="A3" s="44" t="s">
        <v>259</v>
      </c>
      <c r="B3" s="44" t="s">
        <v>260</v>
      </c>
      <c r="C3" s="44" t="s">
        <v>261</v>
      </c>
      <c r="D3" s="36" t="s">
        <v>262</v>
      </c>
      <c r="E3" s="44" t="s">
        <v>263</v>
      </c>
      <c r="F3" s="36" t="s">
        <v>264</v>
      </c>
      <c r="G3" s="44">
        <v>11</v>
      </c>
    </row>
    <row r="4" spans="1:7">
      <c r="A4" s="44" t="s">
        <v>265</v>
      </c>
      <c r="B4" s="44" t="s">
        <v>266</v>
      </c>
      <c r="C4" s="44" t="s">
        <v>267</v>
      </c>
      <c r="D4" s="36" t="s">
        <v>268</v>
      </c>
      <c r="E4" s="44" t="s">
        <v>269</v>
      </c>
      <c r="F4" s="36" t="s">
        <v>270</v>
      </c>
      <c r="G4" s="44">
        <v>170</v>
      </c>
    </row>
    <row r="5" spans="1:7"/>
    <row r="6" spans="1:7"/>
    <row r="7" spans="1:7"/>
    <row r="8" spans="1:7"/>
    <row r="9" spans="1:7"/>
    <row r="10" spans="1:7"/>
    <row r="11" spans="1:7"/>
    <row r="12" spans="1:7"/>
    <row r="13" spans="1:7"/>
    <row r="14" spans="1:7"/>
    <row r="15" spans="1:7"/>
    <row r="16" spans="1:7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00000000-0004-0000-0700-000000000000}"/>
    <hyperlink ref="F2" r:id="rId2" xr:uid="{00000000-0004-0000-0700-000001000000}"/>
    <hyperlink ref="D3" r:id="rId3" xr:uid="{00000000-0004-0000-0700-000002000000}"/>
    <hyperlink ref="F3" r:id="rId4" xr:uid="{00000000-0004-0000-0700-000003000000}"/>
    <hyperlink ref="D4" r:id="rId5" xr:uid="{00000000-0004-0000-0700-000004000000}"/>
    <hyperlink ref="F4" r:id="rId6" xr:uid="{00000000-0004-0000-0700-000005000000}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625" defaultRowHeight="15" customHeight="1"/>
  <cols>
    <col min="1" max="1" width="24.25" style="8" customWidth="1"/>
    <col min="2" max="2" width="27.625" style="8" customWidth="1"/>
    <col min="3" max="6" width="12.625" customWidth="1"/>
  </cols>
  <sheetData>
    <row r="1" spans="1:4">
      <c r="A1" s="43" t="s">
        <v>271</v>
      </c>
      <c r="B1" s="43" t="s">
        <v>56</v>
      </c>
      <c r="C1" s="43" t="s">
        <v>58</v>
      </c>
      <c r="D1" s="43" t="s">
        <v>57</v>
      </c>
    </row>
    <row r="2" spans="1:4">
      <c r="A2" s="44" t="s">
        <v>272</v>
      </c>
      <c r="B2" s="44" t="s">
        <v>273</v>
      </c>
      <c r="C2" s="44">
        <v>10</v>
      </c>
      <c r="D2" s="44" t="s">
        <v>274</v>
      </c>
    </row>
    <row r="3" spans="1:4">
      <c r="B3" s="44" t="s">
        <v>275</v>
      </c>
      <c r="C3" s="44">
        <v>8760</v>
      </c>
      <c r="D3" s="44" t="s">
        <v>276</v>
      </c>
    </row>
    <row r="4" spans="1:4">
      <c r="B4" s="44" t="s">
        <v>277</v>
      </c>
      <c r="C4" s="44">
        <v>87600</v>
      </c>
      <c r="D4" s="44" t="s">
        <v>278</v>
      </c>
    </row>
    <row r="5" spans="1:4">
      <c r="A5" s="44" t="s">
        <v>279</v>
      </c>
      <c r="B5" s="44" t="s">
        <v>280</v>
      </c>
      <c r="C5" s="44">
        <v>0.4</v>
      </c>
      <c r="D5" s="44" t="s">
        <v>281</v>
      </c>
    </row>
    <row r="6" spans="1:4">
      <c r="B6" s="44" t="s">
        <v>282</v>
      </c>
      <c r="C6" s="44">
        <v>219000</v>
      </c>
      <c r="D6" s="44" t="s">
        <v>278</v>
      </c>
    </row>
    <row r="7" spans="1:4">
      <c r="B7" s="44" t="s">
        <v>283</v>
      </c>
      <c r="C7" s="44">
        <v>10</v>
      </c>
      <c r="D7" s="44" t="s">
        <v>284</v>
      </c>
    </row>
    <row r="8" spans="1:4">
      <c r="B8" s="44" t="s">
        <v>285</v>
      </c>
      <c r="C8" s="44">
        <v>2190000</v>
      </c>
      <c r="D8" s="44" t="s">
        <v>286</v>
      </c>
    </row>
    <row r="9" spans="1:4">
      <c r="A9" s="44" t="s">
        <v>287</v>
      </c>
      <c r="B9" s="44" t="s">
        <v>288</v>
      </c>
      <c r="C9" s="44">
        <v>1.3</v>
      </c>
      <c r="D9" s="44" t="s">
        <v>289</v>
      </c>
    </row>
    <row r="10" spans="1:4">
      <c r="B10" s="44" t="s">
        <v>290</v>
      </c>
      <c r="C10" s="44">
        <v>28470000</v>
      </c>
      <c r="D10" s="44" t="s">
        <v>291</v>
      </c>
    </row>
    <row r="11" spans="1:4">
      <c r="A11" s="44" t="s">
        <v>292</v>
      </c>
      <c r="B11" s="44" t="s">
        <v>293</v>
      </c>
      <c r="C11" s="44">
        <v>1500000</v>
      </c>
      <c r="D11" s="44" t="s">
        <v>291</v>
      </c>
    </row>
    <row r="12" spans="1:4">
      <c r="B12" s="44" t="s">
        <v>294</v>
      </c>
      <c r="C12" s="44">
        <v>2000000</v>
      </c>
      <c r="D12" s="44" t="s">
        <v>291</v>
      </c>
    </row>
    <row r="13" spans="1:4">
      <c r="B13" s="44" t="s">
        <v>295</v>
      </c>
      <c r="C13" s="44">
        <v>3500000</v>
      </c>
      <c r="D13" s="44" t="s">
        <v>291</v>
      </c>
    </row>
    <row r="14" spans="1:4">
      <c r="A14" s="44" t="s">
        <v>296</v>
      </c>
      <c r="B14" s="44" t="s">
        <v>297</v>
      </c>
      <c r="C14" s="44">
        <v>31970000</v>
      </c>
      <c r="D14" s="44" t="s">
        <v>291</v>
      </c>
    </row>
    <row r="15" spans="1:4">
      <c r="A15" s="44" t="s">
        <v>298</v>
      </c>
      <c r="B15" s="44" t="s">
        <v>299</v>
      </c>
      <c r="C15" s="44">
        <v>0.36499999999999999</v>
      </c>
      <c r="D15" s="44" t="s">
        <v>114</v>
      </c>
    </row>
    <row r="16" spans="1:4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73"/>
  <sheetViews>
    <sheetView workbookViewId="0">
      <pane ySplit="1" topLeftCell="B3" activePane="bottomLeft" state="frozen"/>
      <selection pane="bottomLeft" activeCell="B3" sqref="B3"/>
    </sheetView>
  </sheetViews>
  <sheetFormatPr defaultColWidth="12.625" defaultRowHeight="15" customHeight="1"/>
  <sheetData>
    <row r="1" spans="1:26">
      <c r="A1" s="37" t="s">
        <v>56</v>
      </c>
      <c r="B1" s="37" t="s">
        <v>300</v>
      </c>
      <c r="C1" s="37" t="s">
        <v>12</v>
      </c>
      <c r="D1" s="37" t="s">
        <v>15</v>
      </c>
      <c r="E1" s="37" t="s">
        <v>18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8" t="s">
        <v>0</v>
      </c>
      <c r="B2" s="38">
        <v>2</v>
      </c>
      <c r="C2" s="39">
        <v>13420632.688000001</v>
      </c>
      <c r="D2" s="39">
        <v>9749886.8716000002</v>
      </c>
      <c r="E2" s="39">
        <v>9491668.3724000007</v>
      </c>
    </row>
    <row r="3" spans="1:26">
      <c r="A3" s="38" t="s">
        <v>1</v>
      </c>
      <c r="B3" s="38">
        <v>2</v>
      </c>
      <c r="C3" s="39">
        <v>4910200.7967184298</v>
      </c>
      <c r="D3" s="39">
        <v>3928160.6373747438</v>
      </c>
      <c r="E3" s="39">
        <v>2455100.3983592149</v>
      </c>
    </row>
    <row r="4" spans="1:26">
      <c r="A4" s="38" t="s">
        <v>2</v>
      </c>
      <c r="B4" s="38">
        <v>2</v>
      </c>
      <c r="C4" s="39">
        <v>35290118.821505249</v>
      </c>
      <c r="D4" s="39">
        <v>37867705.588421836</v>
      </c>
      <c r="E4" s="39">
        <v>54374044.714727856</v>
      </c>
    </row>
    <row r="5" spans="1:26">
      <c r="A5" s="40" t="s">
        <v>3</v>
      </c>
      <c r="B5" s="38">
        <v>2</v>
      </c>
      <c r="C5" s="40">
        <v>6.233189605544056E-2</v>
      </c>
      <c r="D5" s="40">
        <v>4.3344735984712571E-2</v>
      </c>
      <c r="E5" s="40">
        <v>2.6365746010114176E-2</v>
      </c>
    </row>
    <row r="6" spans="1:26">
      <c r="A6" s="38" t="s">
        <v>4</v>
      </c>
      <c r="B6" s="38">
        <v>2</v>
      </c>
      <c r="C6" s="39">
        <v>12137413.623471849</v>
      </c>
      <c r="D6" s="39">
        <v>20258427.891518202</v>
      </c>
      <c r="E6" s="39">
        <v>38637389.265048563</v>
      </c>
    </row>
    <row r="7" spans="1:26">
      <c r="A7" s="38" t="s">
        <v>5</v>
      </c>
      <c r="B7" s="38">
        <v>2</v>
      </c>
      <c r="C7" s="41">
        <v>0.90438460731620074</v>
      </c>
      <c r="D7" s="41">
        <v>2.0778115847198237</v>
      </c>
      <c r="E7" s="41">
        <v>4.0706636335292616</v>
      </c>
    </row>
    <row r="8" spans="1:26">
      <c r="A8" s="38" t="s">
        <v>6</v>
      </c>
      <c r="B8" s="38">
        <v>2</v>
      </c>
      <c r="C8" s="42">
        <v>16</v>
      </c>
      <c r="D8" s="42">
        <v>10</v>
      </c>
      <c r="E8" s="42">
        <v>6</v>
      </c>
    </row>
    <row r="9" spans="1:26">
      <c r="A9" s="38" t="s">
        <v>7</v>
      </c>
      <c r="B9" s="38">
        <v>2</v>
      </c>
      <c r="C9" s="41">
        <v>3.7682759854142191E-2</v>
      </c>
      <c r="D9" s="41">
        <v>9.4748974754277127E-2</v>
      </c>
      <c r="E9" s="41">
        <v>0.18555680854896212</v>
      </c>
    </row>
    <row r="10" spans="1:26">
      <c r="A10" s="38" t="s">
        <v>0</v>
      </c>
      <c r="B10" s="38">
        <v>3</v>
      </c>
      <c r="C10" s="39">
        <v>13420632.688000001</v>
      </c>
      <c r="D10" s="39">
        <v>9749886.8716000002</v>
      </c>
      <c r="E10" s="39">
        <v>9491668.3724000007</v>
      </c>
    </row>
    <row r="11" spans="1:26">
      <c r="A11" s="38" t="s">
        <v>1</v>
      </c>
      <c r="B11" s="38">
        <v>3</v>
      </c>
      <c r="C11" s="39">
        <v>4017456.4148371806</v>
      </c>
      <c r="D11" s="39">
        <v>3213965.1318697431</v>
      </c>
      <c r="E11" s="39">
        <v>2008728.2074185903</v>
      </c>
    </row>
    <row r="12" spans="1:26">
      <c r="A12" s="38" t="s">
        <v>2</v>
      </c>
      <c r="B12" s="38">
        <v>3</v>
      </c>
      <c r="C12" s="39">
        <v>28953701.53162143</v>
      </c>
      <c r="D12" s="39">
        <v>31024441.512049928</v>
      </c>
      <c r="E12" s="39">
        <v>44517538.3555969</v>
      </c>
    </row>
    <row r="13" spans="1:26">
      <c r="A13" s="40" t="s">
        <v>3</v>
      </c>
      <c r="B13" s="38">
        <v>3</v>
      </c>
      <c r="C13" s="40">
        <v>7.2272993836559593E-2</v>
      </c>
      <c r="D13" s="40">
        <v>5.0143118283439474E-2</v>
      </c>
      <c r="E13" s="40">
        <v>3.1000087618383024E-2</v>
      </c>
    </row>
    <row r="14" spans="1:26">
      <c r="A14" s="38" t="s">
        <v>4</v>
      </c>
      <c r="B14" s="38">
        <v>3</v>
      </c>
      <c r="C14" s="39">
        <v>7822412.8731271662</v>
      </c>
      <c r="D14" s="39">
        <v>15049555.941852793</v>
      </c>
      <c r="E14" s="39">
        <v>30114366.954970039</v>
      </c>
    </row>
    <row r="15" spans="1:26">
      <c r="A15" s="38" t="s">
        <v>5</v>
      </c>
      <c r="B15" s="38">
        <v>3</v>
      </c>
      <c r="C15" s="41">
        <v>0.58286468715603412</v>
      </c>
      <c r="D15" s="41">
        <v>1.5435621089809726</v>
      </c>
      <c r="E15" s="41">
        <v>3.1727158781207523</v>
      </c>
    </row>
    <row r="16" spans="1:26">
      <c r="A16" s="38" t="s">
        <v>6</v>
      </c>
      <c r="B16" s="38">
        <v>3</v>
      </c>
      <c r="C16" s="42">
        <v>18</v>
      </c>
      <c r="D16" s="42">
        <v>11</v>
      </c>
      <c r="E16" s="42">
        <v>7</v>
      </c>
    </row>
    <row r="17" spans="1:5">
      <c r="A17" s="38" t="s">
        <v>7</v>
      </c>
      <c r="B17" s="38">
        <v>3</v>
      </c>
      <c r="C17" s="41">
        <v>2.7094160269642543E-2</v>
      </c>
      <c r="D17" s="41">
        <v>8.3578066848786034E-2</v>
      </c>
      <c r="E17" s="41">
        <v>0.17345929009438202</v>
      </c>
    </row>
    <row r="18" spans="1:5">
      <c r="A18" s="38" t="s">
        <v>0</v>
      </c>
      <c r="B18" s="38">
        <v>4</v>
      </c>
      <c r="C18" s="39">
        <v>13420632.688000001</v>
      </c>
      <c r="D18" s="39">
        <v>9749886.8716000002</v>
      </c>
      <c r="E18" s="39">
        <v>9491668.3724000007</v>
      </c>
    </row>
    <row r="19" spans="1:5">
      <c r="A19" s="38" t="s">
        <v>1</v>
      </c>
      <c r="B19" s="38">
        <v>4</v>
      </c>
      <c r="C19" s="39">
        <v>3349337.3416948961</v>
      </c>
      <c r="D19" s="39">
        <v>2679469.8733559167</v>
      </c>
      <c r="E19" s="39">
        <v>1674668.6708474481</v>
      </c>
    </row>
    <row r="20" spans="1:5">
      <c r="A20" s="38" t="s">
        <v>2</v>
      </c>
      <c r="B20" s="38">
        <v>4</v>
      </c>
      <c r="C20" s="39">
        <v>24204540.775523242</v>
      </c>
      <c r="D20" s="39">
        <v>25899342.956962958</v>
      </c>
      <c r="E20" s="39">
        <v>37138441.217425674</v>
      </c>
    </row>
    <row r="21" spans="1:5">
      <c r="A21" s="40" t="s">
        <v>3</v>
      </c>
      <c r="B21" s="38">
        <v>4</v>
      </c>
      <c r="C21" s="40">
        <v>8.3141275937712325E-2</v>
      </c>
      <c r="D21" s="40">
        <v>5.7589214207988959E-2</v>
      </c>
      <c r="E21" s="40">
        <v>3.6080147719311735E-2</v>
      </c>
    </row>
    <row r="22" spans="1:5">
      <c r="A22" s="38" t="s">
        <v>4</v>
      </c>
      <c r="B22" s="38">
        <v>4</v>
      </c>
      <c r="C22" s="39">
        <v>4613657.4178643487</v>
      </c>
      <c r="D22" s="39">
        <v>11170120.041407695</v>
      </c>
      <c r="E22" s="39">
        <v>23754927.426294781</v>
      </c>
    </row>
    <row r="23" spans="1:5">
      <c r="A23" s="38" t="s">
        <v>5</v>
      </c>
      <c r="B23" s="38">
        <v>4</v>
      </c>
      <c r="C23" s="41">
        <v>0.343773466208462</v>
      </c>
      <c r="D23" s="41">
        <v>1.1456666306503132</v>
      </c>
      <c r="E23" s="41">
        <v>2.5027135898858073</v>
      </c>
    </row>
    <row r="24" spans="1:5">
      <c r="A24" s="38" t="s">
        <v>6</v>
      </c>
      <c r="B24" s="38">
        <v>4</v>
      </c>
      <c r="C24" s="42">
        <v>20</v>
      </c>
      <c r="D24" s="42">
        <v>11</v>
      </c>
      <c r="E24" s="42">
        <v>7</v>
      </c>
    </row>
    <row r="25" spans="1:5">
      <c r="A25" s="38" t="s">
        <v>7</v>
      </c>
      <c r="B25" s="38">
        <v>4</v>
      </c>
      <c r="C25" s="41">
        <v>1.6505560676930753E-2</v>
      </c>
      <c r="D25" s="41">
        <v>7.2407158943031028E-2</v>
      </c>
      <c r="E25" s="41">
        <v>0.16136177163980081</v>
      </c>
    </row>
    <row r="26" spans="1:5">
      <c r="A26" s="38" t="s">
        <v>0</v>
      </c>
      <c r="B26" s="38">
        <v>5</v>
      </c>
      <c r="C26" s="39">
        <v>13420632.688000001</v>
      </c>
      <c r="D26" s="39">
        <v>9749886.8716000002</v>
      </c>
      <c r="E26" s="39">
        <v>9491668.3724000007</v>
      </c>
    </row>
    <row r="27" spans="1:5">
      <c r="A27" s="38" t="s">
        <v>1</v>
      </c>
      <c r="B27" s="38">
        <v>5</v>
      </c>
      <c r="C27" s="39">
        <v>2841748.8355503534</v>
      </c>
      <c r="D27" s="39">
        <v>2273399.0684402827</v>
      </c>
      <c r="E27" s="39">
        <v>1420874.4177751767</v>
      </c>
    </row>
    <row r="28" spans="1:5">
      <c r="A28" s="38" t="s">
        <v>2</v>
      </c>
      <c r="B28" s="38">
        <v>5</v>
      </c>
      <c r="C28" s="39">
        <v>20591473.636445142</v>
      </c>
      <c r="D28" s="39">
        <v>22003057.749693178</v>
      </c>
      <c r="E28" s="39">
        <v>31530492.155749392</v>
      </c>
    </row>
    <row r="29" spans="1:5">
      <c r="A29" s="40" t="s">
        <v>3</v>
      </c>
      <c r="B29" s="38">
        <v>5</v>
      </c>
      <c r="C29" s="40">
        <v>9.4771545605754043E-2</v>
      </c>
      <c r="D29" s="40">
        <v>6.5572445849029923E-2</v>
      </c>
      <c r="E29" s="40">
        <v>4.1531388991726884E-2</v>
      </c>
    </row>
    <row r="30" spans="1:5">
      <c r="A30" s="38" t="s">
        <v>4</v>
      </c>
      <c r="B30" s="38">
        <v>5</v>
      </c>
      <c r="C30" s="39">
        <v>2180512.6450796947</v>
      </c>
      <c r="D30" s="39">
        <v>8228053.6041032095</v>
      </c>
      <c r="E30" s="39">
        <v>18929212.46260184</v>
      </c>
    </row>
    <row r="31" spans="1:5">
      <c r="A31" s="38" t="s">
        <v>5</v>
      </c>
      <c r="B31" s="38">
        <v>5</v>
      </c>
      <c r="C31" s="41">
        <v>0.16247465345127807</v>
      </c>
      <c r="D31" s="41">
        <v>0.84391272559995856</v>
      </c>
      <c r="E31" s="41">
        <v>1.9942977061487372</v>
      </c>
    </row>
    <row r="32" spans="1:5">
      <c r="A32" s="38" t="s">
        <v>6</v>
      </c>
      <c r="B32" s="38">
        <v>5</v>
      </c>
      <c r="C32" s="42">
        <v>23</v>
      </c>
      <c r="D32" s="42">
        <v>12</v>
      </c>
      <c r="E32" s="42">
        <v>7</v>
      </c>
    </row>
    <row r="33" spans="1:5">
      <c r="A33" s="38" t="s">
        <v>7</v>
      </c>
      <c r="B33" s="38">
        <v>5</v>
      </c>
      <c r="C33" s="41">
        <v>5.916961088773643E-3</v>
      </c>
      <c r="D33" s="41">
        <v>6.1236251037470664E-2</v>
      </c>
      <c r="E33" s="41">
        <v>0.14926425318521963</v>
      </c>
    </row>
    <row r="34" spans="1:5">
      <c r="A34" s="38" t="s">
        <v>0</v>
      </c>
      <c r="B34" s="38">
        <v>6</v>
      </c>
      <c r="C34" s="39">
        <v>13420632.688000001</v>
      </c>
      <c r="D34" s="39">
        <v>9749886.8716000002</v>
      </c>
      <c r="E34" s="39">
        <v>9491668.3724000007</v>
      </c>
    </row>
    <row r="35" spans="1:5">
      <c r="A35" s="38" t="s">
        <v>1</v>
      </c>
      <c r="B35" s="38">
        <v>6</v>
      </c>
      <c r="C35" s="39">
        <v>2450037.2053178791</v>
      </c>
      <c r="D35" s="39">
        <v>1960029.7642543034</v>
      </c>
      <c r="E35" s="39">
        <v>1225018.6026589395</v>
      </c>
    </row>
    <row r="36" spans="1:5">
      <c r="A36" s="38" t="s">
        <v>2</v>
      </c>
      <c r="B36" s="38">
        <v>6</v>
      </c>
      <c r="C36" s="39">
        <v>17799599.252704207</v>
      </c>
      <c r="D36" s="39">
        <v>18994358.497630108</v>
      </c>
      <c r="E36" s="39">
        <v>27201435.919764735</v>
      </c>
    </row>
    <row r="37" spans="1:5">
      <c r="A37" s="40" t="s">
        <v>3</v>
      </c>
      <c r="B37" s="38">
        <v>6</v>
      </c>
      <c r="C37" s="40">
        <v>0.10699568906916863</v>
      </c>
      <c r="D37" s="40">
        <v>7.3979334257476478E-2</v>
      </c>
      <c r="E37" s="40">
        <v>4.7277005552219961E-2</v>
      </c>
    </row>
    <row r="38" spans="1:5">
      <c r="A38" s="38" t="s">
        <v>4</v>
      </c>
      <c r="B38" s="38">
        <v>6</v>
      </c>
      <c r="C38" s="39">
        <v>297148.33952155337</v>
      </c>
      <c r="D38" s="39">
        <v>5954064.9486638587</v>
      </c>
      <c r="E38" s="39">
        <v>15202204.423037356</v>
      </c>
    </row>
    <row r="39" spans="1:5">
      <c r="A39" s="38" t="s">
        <v>5</v>
      </c>
      <c r="B39" s="38">
        <v>6</v>
      </c>
      <c r="C39" s="41">
        <v>2.21411573082726E-2</v>
      </c>
      <c r="D39" s="41">
        <v>0.61068041373968984</v>
      </c>
      <c r="E39" s="41">
        <v>1.6016367014299118</v>
      </c>
    </row>
    <row r="40" spans="1:5">
      <c r="A40" s="38" t="s">
        <v>6</v>
      </c>
      <c r="B40" s="38">
        <v>6</v>
      </c>
      <c r="C40" s="42" t="s">
        <v>301</v>
      </c>
      <c r="D40" s="42">
        <v>13</v>
      </c>
      <c r="E40" s="42">
        <v>7</v>
      </c>
    </row>
    <row r="41" spans="1:5">
      <c r="A41" s="38" t="s">
        <v>7</v>
      </c>
      <c r="B41" s="38">
        <v>6</v>
      </c>
      <c r="C41" s="41">
        <v>-4.6716385015840335E-3</v>
      </c>
      <c r="D41" s="41">
        <v>5.0065343131813052E-2</v>
      </c>
      <c r="E41" s="41">
        <v>0.13716673473056021</v>
      </c>
    </row>
    <row r="42" spans="1:5">
      <c r="A42" s="38" t="s">
        <v>0</v>
      </c>
      <c r="B42" s="38">
        <v>7</v>
      </c>
      <c r="C42" s="39">
        <v>13420632.688000001</v>
      </c>
      <c r="D42" s="39">
        <v>9749886.8716000002</v>
      </c>
      <c r="E42" s="39">
        <v>9491668.3724000007</v>
      </c>
    </row>
    <row r="43" spans="1:5">
      <c r="A43" s="38" t="s">
        <v>1</v>
      </c>
      <c r="B43" s="38">
        <v>7</v>
      </c>
      <c r="C43" s="39">
        <v>2142899.5149638792</v>
      </c>
      <c r="D43" s="39">
        <v>1714319.6119711022</v>
      </c>
      <c r="E43" s="39">
        <v>1071449.7574819396</v>
      </c>
    </row>
    <row r="44" spans="1:5">
      <c r="A44" s="38" t="s">
        <v>2</v>
      </c>
      <c r="B44" s="38">
        <v>7</v>
      </c>
      <c r="C44" s="39">
        <v>15607781.25386841</v>
      </c>
      <c r="D44" s="39">
        <v>16633838.225827292</v>
      </c>
      <c r="E44" s="39">
        <v>23806051.407543786</v>
      </c>
    </row>
    <row r="45" spans="1:5">
      <c r="A45" s="40" t="s">
        <v>3</v>
      </c>
      <c r="B45" s="38">
        <v>7</v>
      </c>
      <c r="C45" s="40">
        <v>0.11965979238034058</v>
      </c>
      <c r="D45" s="40">
        <v>8.2705191631146271E-2</v>
      </c>
      <c r="E45" s="40">
        <v>5.3245880800885666E-2</v>
      </c>
    </row>
    <row r="46" spans="1:5">
      <c r="A46" s="38" t="s">
        <v>4</v>
      </c>
      <c r="B46" s="38">
        <v>7</v>
      </c>
      <c r="C46" s="39">
        <v>-1191397.7414577473</v>
      </c>
      <c r="D46" s="39">
        <v>4162219.6291677319</v>
      </c>
      <c r="E46" s="39">
        <v>12271741.674763588</v>
      </c>
    </row>
    <row r="47" spans="1:5">
      <c r="A47" s="38" t="s">
        <v>5</v>
      </c>
      <c r="B47" s="38">
        <v>7</v>
      </c>
      <c r="C47" s="41">
        <v>-8.8773589826583232E-2</v>
      </c>
      <c r="D47" s="41">
        <v>0.42689927421534202</v>
      </c>
      <c r="E47" s="41">
        <v>1.2928961688597889</v>
      </c>
    </row>
    <row r="48" spans="1:5">
      <c r="A48" s="38" t="s">
        <v>6</v>
      </c>
      <c r="B48" s="38">
        <v>7</v>
      </c>
      <c r="C48" s="42" t="s">
        <v>301</v>
      </c>
      <c r="D48" s="42">
        <v>14</v>
      </c>
      <c r="E48" s="42">
        <v>8</v>
      </c>
    </row>
    <row r="49" spans="1:5">
      <c r="A49" s="38" t="s">
        <v>7</v>
      </c>
      <c r="B49" s="38">
        <v>7</v>
      </c>
      <c r="C49" s="41">
        <v>-1.5260238091992217E-2</v>
      </c>
      <c r="D49" s="41">
        <v>3.8894435226130286E-2</v>
      </c>
      <c r="E49" s="41">
        <v>0.12506921627605674</v>
      </c>
    </row>
    <row r="50" spans="1:5">
      <c r="A50" s="38" t="s">
        <v>0</v>
      </c>
      <c r="B50" s="38">
        <v>8</v>
      </c>
      <c r="C50" s="39">
        <v>13420632.688000001</v>
      </c>
      <c r="D50" s="39">
        <v>9749886.8716000002</v>
      </c>
      <c r="E50" s="39">
        <v>9491668.3724000007</v>
      </c>
    </row>
    <row r="51" spans="1:5">
      <c r="A51" s="38" t="s">
        <v>1</v>
      </c>
      <c r="B51" s="38">
        <v>8</v>
      </c>
      <c r="C51" s="39">
        <v>1898234.2374246235</v>
      </c>
      <c r="D51" s="39">
        <v>1518587.3899396991</v>
      </c>
      <c r="E51" s="39">
        <v>949117.11871231173</v>
      </c>
    </row>
    <row r="52" spans="1:5">
      <c r="A52" s="38" t="s">
        <v>2</v>
      </c>
      <c r="B52" s="38">
        <v>8</v>
      </c>
      <c r="C52" s="39">
        <v>13859635.969739746</v>
      </c>
      <c r="D52" s="39">
        <v>14752332.757899856</v>
      </c>
      <c r="E52" s="39">
        <v>21100502.098300379</v>
      </c>
    </row>
    <row r="53" spans="1:5">
      <c r="A53" s="40" t="s">
        <v>3</v>
      </c>
      <c r="B53" s="38">
        <v>8</v>
      </c>
      <c r="C53" s="40">
        <v>0.1326343660875729</v>
      </c>
      <c r="D53" s="40">
        <v>9.1661226300677995E-2</v>
      </c>
      <c r="E53" s="40">
        <v>5.9377461877288526E-2</v>
      </c>
    </row>
    <row r="54" spans="1:5">
      <c r="A54" s="38" t="s">
        <v>4</v>
      </c>
      <c r="B54" s="38">
        <v>8</v>
      </c>
      <c r="C54" s="39">
        <v>-2392101.1013147291</v>
      </c>
      <c r="D54" s="39">
        <v>2723297.5573806241</v>
      </c>
      <c r="E54" s="39">
        <v>9926500.8875906225</v>
      </c>
    </row>
    <row r="55" spans="1:5">
      <c r="A55" s="38" t="s">
        <v>5</v>
      </c>
      <c r="B55" s="38">
        <v>8</v>
      </c>
      <c r="C55" s="41">
        <v>-0.17824056115130962</v>
      </c>
      <c r="D55" s="41">
        <v>0.27931581086475915</v>
      </c>
      <c r="E55" s="41">
        <v>1.0458120214624262</v>
      </c>
    </row>
    <row r="56" spans="1:5">
      <c r="A56" s="38" t="s">
        <v>6</v>
      </c>
      <c r="B56" s="38">
        <v>8</v>
      </c>
      <c r="C56" s="42" t="s">
        <v>301</v>
      </c>
      <c r="D56" s="42">
        <v>15</v>
      </c>
      <c r="E56" s="42">
        <v>8</v>
      </c>
    </row>
    <row r="57" spans="1:5">
      <c r="A57" s="38" t="s">
        <v>7</v>
      </c>
      <c r="B57" s="38">
        <v>8</v>
      </c>
      <c r="C57" s="41">
        <v>-2.5848837682400774E-2</v>
      </c>
      <c r="D57" s="41">
        <v>2.7723527319314004E-2</v>
      </c>
      <c r="E57" s="41">
        <v>0.11297169782147597</v>
      </c>
    </row>
    <row r="58" spans="1:5">
      <c r="A58" s="38" t="s">
        <v>0</v>
      </c>
      <c r="B58" s="38">
        <v>9</v>
      </c>
      <c r="C58" s="39">
        <v>13420632.688000001</v>
      </c>
      <c r="D58" s="39">
        <v>9749886.8716000002</v>
      </c>
      <c r="E58" s="39">
        <v>9491668.3724000007</v>
      </c>
    </row>
    <row r="59" spans="1:5">
      <c r="A59" s="38" t="s">
        <v>1</v>
      </c>
      <c r="B59" s="38">
        <v>9</v>
      </c>
      <c r="C59" s="39">
        <v>1700309.1409335996</v>
      </c>
      <c r="D59" s="39">
        <v>1360247.3127468796</v>
      </c>
      <c r="E59" s="39">
        <v>850154.57046679978</v>
      </c>
    </row>
    <row r="60" spans="1:5">
      <c r="A60" s="38" t="s">
        <v>2</v>
      </c>
      <c r="B60" s="38">
        <v>9</v>
      </c>
      <c r="C60" s="39">
        <v>12443689.872741019</v>
      </c>
      <c r="D60" s="39">
        <v>13229346.352929026</v>
      </c>
      <c r="E60" s="39">
        <v>18911163.156730212</v>
      </c>
    </row>
    <row r="61" spans="1:5">
      <c r="A61" s="40" t="s">
        <v>3</v>
      </c>
      <c r="B61" s="38">
        <v>9</v>
      </c>
      <c r="C61" s="40">
        <v>0.14581792362463805</v>
      </c>
      <c r="D61" s="40">
        <v>0.10077717118854072</v>
      </c>
      <c r="E61" s="40">
        <v>6.5623607752670426E-2</v>
      </c>
    </row>
    <row r="62" spans="1:5">
      <c r="A62" s="38" t="s">
        <v>4</v>
      </c>
      <c r="B62" s="38">
        <v>9</v>
      </c>
      <c r="C62" s="39">
        <v>-3379376.0624457542</v>
      </c>
      <c r="D62" s="39">
        <v>1546776.4742535111</v>
      </c>
      <c r="E62" s="39">
        <v>8017485.8810553346</v>
      </c>
    </row>
    <row r="63" spans="1:5">
      <c r="A63" s="38" t="s">
        <v>5</v>
      </c>
      <c r="B63" s="38">
        <v>9</v>
      </c>
      <c r="C63" s="41">
        <v>-0.25180452673199294</v>
      </c>
      <c r="D63" s="41">
        <v>0.15864558169993187</v>
      </c>
      <c r="E63" s="41">
        <v>0.84468668378350498</v>
      </c>
    </row>
    <row r="64" spans="1:5">
      <c r="A64" s="38" t="s">
        <v>6</v>
      </c>
      <c r="B64" s="38">
        <v>9</v>
      </c>
      <c r="C64" s="42" t="s">
        <v>301</v>
      </c>
      <c r="D64" s="42">
        <v>18</v>
      </c>
      <c r="E64" s="42">
        <v>8</v>
      </c>
    </row>
    <row r="65" spans="1:5">
      <c r="A65" s="38" t="s">
        <v>7</v>
      </c>
      <c r="B65" s="38">
        <v>9</v>
      </c>
      <c r="C65" s="41">
        <v>-3.643743727337511E-2</v>
      </c>
      <c r="D65" s="41">
        <v>1.6552619414813889E-2</v>
      </c>
      <c r="E65" s="41">
        <v>0.10087417936689468</v>
      </c>
    </row>
    <row r="66" spans="1:5">
      <c r="A66" s="38" t="s">
        <v>0</v>
      </c>
      <c r="B66" s="38">
        <v>10</v>
      </c>
      <c r="C66" s="39">
        <v>13420632.688000001</v>
      </c>
      <c r="D66" s="39">
        <v>9749886.8716000002</v>
      </c>
      <c r="E66" s="39">
        <v>9491668.3724000007</v>
      </c>
    </row>
    <row r="67" spans="1:5">
      <c r="A67" s="38" t="s">
        <v>1</v>
      </c>
      <c r="B67" s="38">
        <v>10</v>
      </c>
      <c r="C67" s="39">
        <v>1537823.6315923855</v>
      </c>
      <c r="D67" s="39">
        <v>1230258.9052739085</v>
      </c>
      <c r="E67" s="39">
        <v>768911.81579619274</v>
      </c>
    </row>
    <row r="68" spans="1:5">
      <c r="A68" s="38" t="s">
        <v>2</v>
      </c>
      <c r="B68" s="38">
        <v>10</v>
      </c>
      <c r="C68" s="39">
        <v>11279775.474183418</v>
      </c>
      <c r="D68" s="39">
        <v>11978276.313805532</v>
      </c>
      <c r="E68" s="39">
        <v>17113283.295279279</v>
      </c>
    </row>
    <row r="69" spans="1:5">
      <c r="A69" s="40" t="s">
        <v>3</v>
      </c>
      <c r="B69" s="38">
        <v>10</v>
      </c>
      <c r="C69" s="40">
        <v>0.15913568159751279</v>
      </c>
      <c r="D69" s="40">
        <v>0.11000059263170046</v>
      </c>
      <c r="E69" s="40">
        <v>7.1948182083983292E-2</v>
      </c>
    </row>
    <row r="70" spans="1:5">
      <c r="A70" s="38" t="s">
        <v>4</v>
      </c>
      <c r="B70" s="38">
        <v>10</v>
      </c>
      <c r="C70" s="39">
        <v>-4205477.4039487988</v>
      </c>
      <c r="D70" s="39">
        <v>568637.87164354697</v>
      </c>
      <c r="E70" s="39">
        <v>6438652.4275102615</v>
      </c>
    </row>
    <row r="71" spans="1:5">
      <c r="A71" s="38" t="s">
        <v>5</v>
      </c>
      <c r="B71" s="38">
        <v>10</v>
      </c>
      <c r="C71" s="41">
        <v>-0.31335910174407111</v>
      </c>
      <c r="D71" s="41">
        <v>5.8322509700077262E-2</v>
      </c>
      <c r="E71" s="41">
        <v>0.67834780724457888</v>
      </c>
    </row>
    <row r="72" spans="1:5">
      <c r="A72" s="38" t="s">
        <v>6</v>
      </c>
      <c r="B72" s="38">
        <v>10</v>
      </c>
      <c r="C72" s="42" t="s">
        <v>301</v>
      </c>
      <c r="D72" s="42">
        <v>22</v>
      </c>
      <c r="E72" s="42">
        <v>9</v>
      </c>
    </row>
    <row r="73" spans="1:5">
      <c r="A73" s="38" t="s">
        <v>7</v>
      </c>
      <c r="B73" s="38">
        <v>10</v>
      </c>
      <c r="C73" s="41">
        <v>-4.7026036863223E-2</v>
      </c>
      <c r="D73" s="41">
        <v>5.3817115091825008E-3</v>
      </c>
      <c r="E73" s="41">
        <v>8.8776660912313246E-2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sheetData>
    <row r="1" spans="1:26">
      <c r="A1" s="37" t="s">
        <v>56</v>
      </c>
      <c r="B1" s="37" t="s">
        <v>302</v>
      </c>
      <c r="C1" s="37" t="s">
        <v>12</v>
      </c>
      <c r="D1" s="37" t="s">
        <v>15</v>
      </c>
      <c r="E1" s="37" t="s">
        <v>18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8" t="s">
        <v>0</v>
      </c>
      <c r="B2" s="38" t="s">
        <v>303</v>
      </c>
      <c r="C2" s="39">
        <v>47392132.688000001</v>
      </c>
      <c r="D2" s="39">
        <v>15721386.8716</v>
      </c>
      <c r="E2" s="39">
        <v>11663168.372400001</v>
      </c>
    </row>
    <row r="3" spans="1:26">
      <c r="A3" s="38" t="s">
        <v>1</v>
      </c>
      <c r="B3" s="38" t="s">
        <v>303</v>
      </c>
      <c r="C3" s="39">
        <v>1794221.3232484406</v>
      </c>
      <c r="D3" s="39">
        <v>1435377.0585987533</v>
      </c>
      <c r="E3" s="39">
        <v>897110.66162422032</v>
      </c>
    </row>
    <row r="4" spans="1:26">
      <c r="A4" s="38" t="s">
        <v>2</v>
      </c>
      <c r="B4" s="38" t="s">
        <v>303</v>
      </c>
      <c r="C4" s="39">
        <v>13115755.700028913</v>
      </c>
      <c r="D4" s="39">
        <v>13952094.386331247</v>
      </c>
      <c r="E4" s="39">
        <v>19950050.509233333</v>
      </c>
    </row>
    <row r="5" spans="1:26">
      <c r="A5" s="40" t="s">
        <v>3</v>
      </c>
      <c r="B5" s="38" t="s">
        <v>303</v>
      </c>
      <c r="C5" s="40">
        <v>0.45002077015941988</v>
      </c>
      <c r="D5" s="40">
        <v>0.14756291167588798</v>
      </c>
      <c r="E5" s="40">
        <v>7.5550359302866174E-2</v>
      </c>
    </row>
    <row r="6" spans="1:26">
      <c r="A6" s="38" t="s">
        <v>4</v>
      </c>
      <c r="B6" s="38" t="s">
        <v>303</v>
      </c>
      <c r="C6" s="39">
        <v>-36880227.448666453</v>
      </c>
      <c r="D6" s="39">
        <v>-3864753.1577407625</v>
      </c>
      <c r="E6" s="39">
        <v>6753420.5174673982</v>
      </c>
    </row>
    <row r="7" spans="1:26">
      <c r="A7" s="38" t="s">
        <v>5</v>
      </c>
      <c r="B7" s="38" t="s">
        <v>303</v>
      </c>
      <c r="C7" s="41">
        <v>-0.77819303240608895</v>
      </c>
      <c r="D7" s="41">
        <v>-0.24582774975929575</v>
      </c>
      <c r="E7" s="41">
        <v>0.5790382425969991</v>
      </c>
    </row>
    <row r="8" spans="1:26">
      <c r="A8" s="38" t="s">
        <v>6</v>
      </c>
      <c r="B8" s="38" t="s">
        <v>303</v>
      </c>
      <c r="C8" s="42" t="s">
        <v>301</v>
      </c>
      <c r="D8" s="42" t="s">
        <v>301</v>
      </c>
      <c r="E8" s="42">
        <v>11</v>
      </c>
    </row>
    <row r="9" spans="1:26">
      <c r="A9" s="38" t="s">
        <v>7</v>
      </c>
      <c r="B9" s="38" t="s">
        <v>303</v>
      </c>
      <c r="C9" s="41">
        <v>-0.1310575419185413</v>
      </c>
      <c r="D9" s="41">
        <v>-3.7266573375729035E-2</v>
      </c>
      <c r="E9" s="41">
        <v>6.239402194659821E-2</v>
      </c>
    </row>
    <row r="10" spans="1:26">
      <c r="A10" s="38" t="s">
        <v>0</v>
      </c>
      <c r="B10" s="38" t="s">
        <v>304</v>
      </c>
      <c r="C10" s="39">
        <v>13420632.688000001</v>
      </c>
      <c r="D10" s="39">
        <v>9749886.8716000002</v>
      </c>
      <c r="E10" s="39">
        <v>9491668.3724000007</v>
      </c>
    </row>
    <row r="11" spans="1:26">
      <c r="A11" s="38" t="s">
        <v>1</v>
      </c>
      <c r="B11" s="38" t="s">
        <v>304</v>
      </c>
      <c r="C11" s="39">
        <v>1794221.3232484406</v>
      </c>
      <c r="D11" s="39">
        <v>1435377.0585987533</v>
      </c>
      <c r="E11" s="39">
        <v>897110.66162422032</v>
      </c>
    </row>
    <row r="12" spans="1:26">
      <c r="A12" s="38" t="s">
        <v>2</v>
      </c>
      <c r="B12" s="38" t="s">
        <v>304</v>
      </c>
      <c r="C12" s="39">
        <v>13115755.700028913</v>
      </c>
      <c r="D12" s="39">
        <v>13952094.386331247</v>
      </c>
      <c r="E12" s="39">
        <v>19950050.509233333</v>
      </c>
    </row>
    <row r="13" spans="1:26">
      <c r="A13" s="40" t="s">
        <v>3</v>
      </c>
      <c r="B13" s="38" t="s">
        <v>304</v>
      </c>
      <c r="C13" s="40">
        <v>0.13920528279935773</v>
      </c>
      <c r="D13" s="40">
        <v>9.6202880690000478E-2</v>
      </c>
      <c r="E13" s="40">
        <v>6.2488738236824375E-2</v>
      </c>
    </row>
    <row r="14" spans="1:26">
      <c r="A14" s="38" t="s">
        <v>4</v>
      </c>
      <c r="B14" s="38" t="s">
        <v>304</v>
      </c>
      <c r="C14" s="39">
        <v>-2908727.4486664534</v>
      </c>
      <c r="D14" s="39">
        <v>2106746.8422592357</v>
      </c>
      <c r="E14" s="39">
        <v>8924920.5174673982</v>
      </c>
    </row>
    <row r="15" spans="1:26">
      <c r="A15" s="38" t="s">
        <v>5</v>
      </c>
      <c r="B15" s="38" t="s">
        <v>304</v>
      </c>
      <c r="C15" s="41">
        <v>-0.21673549349631474</v>
      </c>
      <c r="D15" s="41">
        <v>0.21607910635310881</v>
      </c>
      <c r="E15" s="41">
        <v>0.94028996455664215</v>
      </c>
    </row>
    <row r="16" spans="1:26">
      <c r="A16" s="38" t="s">
        <v>6</v>
      </c>
      <c r="B16" s="38" t="s">
        <v>304</v>
      </c>
      <c r="C16" s="42" t="s">
        <v>301</v>
      </c>
      <c r="D16" s="42">
        <v>16</v>
      </c>
      <c r="E16" s="42">
        <v>8</v>
      </c>
    </row>
    <row r="17" spans="1:5">
      <c r="A17" s="38" t="s">
        <v>7</v>
      </c>
      <c r="B17" s="38" t="s">
        <v>304</v>
      </c>
      <c r="C17" s="41">
        <v>-3.1143137481869917E-2</v>
      </c>
      <c r="D17" s="41">
        <v>2.2138073367478459E-2</v>
      </c>
      <c r="E17" s="41">
        <v>0.10692293859393169</v>
      </c>
    </row>
    <row r="18" spans="1:5">
      <c r="A18" s="38"/>
    </row>
    <row r="19" spans="1:5">
      <c r="A19" s="38"/>
      <c r="C19" s="39"/>
      <c r="D19" s="39"/>
      <c r="E19" s="39"/>
    </row>
    <row r="20" spans="1:5">
      <c r="A20" s="38"/>
      <c r="C20" s="39"/>
      <c r="D20" s="39"/>
      <c r="E20" s="39"/>
    </row>
    <row r="21" spans="1:5">
      <c r="A21" s="40"/>
      <c r="C21" s="40"/>
      <c r="D21" s="40"/>
      <c r="E21" s="40"/>
    </row>
    <row r="22" spans="1:5">
      <c r="A22" s="38"/>
      <c r="C22" s="39"/>
      <c r="D22" s="39"/>
      <c r="E22" s="39"/>
    </row>
    <row r="23" spans="1:5">
      <c r="A23" s="38"/>
      <c r="C23" s="41"/>
      <c r="D23" s="41"/>
      <c r="E23" s="41"/>
    </row>
    <row r="24" spans="1:5">
      <c r="A24" s="38"/>
      <c r="C24" s="42"/>
      <c r="D24" s="42"/>
      <c r="E24" s="42"/>
    </row>
    <row r="25" spans="1:5">
      <c r="A25" s="38"/>
      <c r="C25" s="41"/>
      <c r="D25" s="41"/>
      <c r="E25" s="41"/>
    </row>
    <row r="26" spans="1:5">
      <c r="A26" s="38"/>
      <c r="C26" s="39"/>
      <c r="D26" s="39"/>
      <c r="E26" s="39"/>
    </row>
    <row r="27" spans="1:5">
      <c r="A27" s="38"/>
      <c r="C27" s="39"/>
      <c r="D27" s="39"/>
      <c r="E27" s="39"/>
    </row>
    <row r="28" spans="1:5">
      <c r="A28" s="38"/>
      <c r="C28" s="39"/>
      <c r="D28" s="39"/>
      <c r="E28" s="39"/>
    </row>
    <row r="29" spans="1:5">
      <c r="A29" s="40"/>
      <c r="C29" s="40"/>
      <c r="D29" s="40"/>
      <c r="E29" s="40"/>
    </row>
    <row r="30" spans="1:5">
      <c r="A30" s="38"/>
      <c r="C30" s="39"/>
      <c r="D30" s="39"/>
      <c r="E30" s="39"/>
    </row>
    <row r="31" spans="1:5">
      <c r="A31" s="38"/>
      <c r="C31" s="41"/>
      <c r="D31" s="41"/>
      <c r="E31" s="41"/>
    </row>
    <row r="32" spans="1:5">
      <c r="A32" s="38"/>
      <c r="C32" s="42"/>
      <c r="D32" s="42"/>
      <c r="E32" s="42"/>
    </row>
    <row r="33" spans="1:5">
      <c r="A33" s="38"/>
      <c r="C33" s="41"/>
      <c r="D33" s="41"/>
      <c r="E33" s="41"/>
    </row>
    <row r="34" spans="1:5">
      <c r="A34" s="38"/>
      <c r="C34" s="39"/>
      <c r="D34" s="39"/>
      <c r="E34" s="39"/>
    </row>
    <row r="35" spans="1:5">
      <c r="A35" s="38"/>
      <c r="C35" s="39"/>
      <c r="D35" s="39"/>
      <c r="E35" s="39"/>
    </row>
    <row r="36" spans="1:5">
      <c r="A36" s="38"/>
      <c r="C36" s="39"/>
      <c r="D36" s="39"/>
      <c r="E36" s="39"/>
    </row>
    <row r="37" spans="1:5">
      <c r="A37" s="40"/>
      <c r="C37" s="40"/>
      <c r="D37" s="40"/>
      <c r="E37" s="40"/>
    </row>
    <row r="38" spans="1:5">
      <c r="A38" s="38"/>
      <c r="C38" s="39"/>
      <c r="D38" s="39"/>
      <c r="E38" s="39"/>
    </row>
    <row r="39" spans="1:5">
      <c r="A39" s="38"/>
      <c r="C39" s="41"/>
      <c r="D39" s="41"/>
      <c r="E39" s="41"/>
    </row>
    <row r="40" spans="1:5">
      <c r="A40" s="38"/>
      <c r="C40" s="42"/>
      <c r="D40" s="42"/>
      <c r="E40" s="42"/>
    </row>
    <row r="41" spans="1:5">
      <c r="A41" s="38"/>
      <c r="C41" s="41"/>
      <c r="D41" s="41"/>
      <c r="E41" s="41"/>
    </row>
    <row r="42" spans="1:5">
      <c r="A42" s="38"/>
      <c r="C42" s="39"/>
      <c r="D42" s="39"/>
      <c r="E42" s="39"/>
    </row>
    <row r="43" spans="1:5">
      <c r="A43" s="38"/>
      <c r="C43" s="39"/>
      <c r="D43" s="39"/>
      <c r="E43" s="39"/>
    </row>
    <row r="44" spans="1:5">
      <c r="A44" s="38"/>
      <c r="C44" s="39"/>
      <c r="D44" s="39"/>
      <c r="E44" s="39"/>
    </row>
    <row r="45" spans="1:5">
      <c r="A45" s="40"/>
      <c r="C45" s="40"/>
      <c r="D45" s="40"/>
      <c r="E45" s="40"/>
    </row>
    <row r="46" spans="1:5">
      <c r="A46" s="38"/>
      <c r="C46" s="39"/>
      <c r="D46" s="39"/>
      <c r="E46" s="39"/>
    </row>
    <row r="47" spans="1:5">
      <c r="A47" s="38"/>
      <c r="C47" s="41"/>
      <c r="D47" s="41"/>
      <c r="E47" s="41"/>
    </row>
    <row r="48" spans="1:5">
      <c r="A48" s="38"/>
      <c r="C48" s="42"/>
      <c r="D48" s="42"/>
      <c r="E48" s="42"/>
    </row>
    <row r="49" spans="1:5">
      <c r="A49" s="38"/>
      <c r="C49" s="41"/>
      <c r="D49" s="41"/>
      <c r="E49" s="41"/>
    </row>
    <row r="50" spans="1:5">
      <c r="A50" s="38"/>
      <c r="C50" s="39"/>
      <c r="D50" s="39"/>
      <c r="E50" s="39"/>
    </row>
    <row r="51" spans="1:5">
      <c r="A51" s="38"/>
      <c r="C51" s="39"/>
      <c r="D51" s="39"/>
      <c r="E51" s="39"/>
    </row>
    <row r="52" spans="1:5">
      <c r="A52" s="38"/>
      <c r="C52" s="39"/>
      <c r="D52" s="39"/>
      <c r="E52" s="39"/>
    </row>
    <row r="53" spans="1:5">
      <c r="A53" s="40"/>
      <c r="C53" s="40"/>
      <c r="D53" s="40"/>
      <c r="E53" s="40"/>
    </row>
    <row r="54" spans="1:5">
      <c r="A54" s="38"/>
      <c r="C54" s="39"/>
      <c r="D54" s="39"/>
      <c r="E54" s="39"/>
    </row>
    <row r="55" spans="1:5">
      <c r="A55" s="38"/>
      <c r="C55" s="41"/>
      <c r="D55" s="41"/>
      <c r="E55" s="41"/>
    </row>
    <row r="56" spans="1:5">
      <c r="A56" s="38"/>
      <c r="C56" s="42"/>
      <c r="D56" s="42"/>
      <c r="E56" s="42"/>
    </row>
    <row r="57" spans="1:5">
      <c r="A57" s="38"/>
      <c r="C57" s="41"/>
      <c r="D57" s="41"/>
      <c r="E57" s="41"/>
    </row>
    <row r="58" spans="1:5">
      <c r="A58" s="38"/>
      <c r="C58" s="39"/>
      <c r="D58" s="39"/>
      <c r="E58" s="39"/>
    </row>
    <row r="59" spans="1:5">
      <c r="A59" s="38"/>
      <c r="C59" s="39"/>
      <c r="D59" s="39"/>
      <c r="E59" s="39"/>
    </row>
    <row r="60" spans="1:5">
      <c r="A60" s="38"/>
      <c r="C60" s="39"/>
      <c r="D60" s="39"/>
      <c r="E60" s="39"/>
    </row>
    <row r="61" spans="1:5">
      <c r="A61" s="40"/>
      <c r="C61" s="40"/>
      <c r="D61" s="40"/>
      <c r="E61" s="40"/>
    </row>
    <row r="62" spans="1:5">
      <c r="A62" s="38"/>
      <c r="C62" s="39"/>
      <c r="D62" s="39"/>
      <c r="E62" s="39"/>
    </row>
    <row r="63" spans="1:5">
      <c r="A63" s="38"/>
      <c r="C63" s="41"/>
      <c r="D63" s="41"/>
      <c r="E63" s="41"/>
    </row>
    <row r="64" spans="1:5">
      <c r="A64" s="38"/>
      <c r="C64" s="42"/>
      <c r="D64" s="42"/>
      <c r="E64" s="42"/>
    </row>
    <row r="65" spans="1:5">
      <c r="A65" s="38"/>
      <c r="C65" s="41"/>
      <c r="D65" s="41"/>
      <c r="E65" s="41"/>
    </row>
    <row r="66" spans="1:5">
      <c r="A66" s="38"/>
      <c r="C66" s="39"/>
      <c r="D66" s="39"/>
      <c r="E66" s="39"/>
    </row>
    <row r="67" spans="1:5">
      <c r="A67" s="38"/>
      <c r="C67" s="39"/>
      <c r="D67" s="39"/>
      <c r="E67" s="39"/>
    </row>
    <row r="68" spans="1:5">
      <c r="A68" s="38"/>
      <c r="C68" s="39"/>
      <c r="D68" s="39"/>
      <c r="E68" s="39"/>
    </row>
    <row r="69" spans="1:5">
      <c r="A69" s="40"/>
      <c r="C69" s="40"/>
      <c r="D69" s="40"/>
      <c r="E69" s="40"/>
    </row>
    <row r="70" spans="1:5">
      <c r="A70" s="38"/>
      <c r="C70" s="39"/>
      <c r="D70" s="39"/>
      <c r="E70" s="39"/>
    </row>
    <row r="71" spans="1:5">
      <c r="A71" s="38"/>
      <c r="C71" s="41"/>
      <c r="D71" s="41"/>
      <c r="E71" s="41"/>
    </row>
    <row r="72" spans="1:5">
      <c r="A72" s="38"/>
      <c r="C72" s="42"/>
      <c r="D72" s="42"/>
      <c r="E72" s="42"/>
    </row>
    <row r="73" spans="1:5">
      <c r="A73" s="38"/>
      <c r="C73" s="41"/>
      <c r="D73" s="41"/>
      <c r="E73" s="41"/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2" max="2" width="15" customWidth="1"/>
  </cols>
  <sheetData>
    <row r="1" spans="1:26">
      <c r="A1" s="37" t="s">
        <v>56</v>
      </c>
      <c r="B1" s="37" t="s">
        <v>305</v>
      </c>
      <c r="C1" s="37" t="s">
        <v>12</v>
      </c>
      <c r="D1" s="37" t="s">
        <v>15</v>
      </c>
      <c r="E1" s="37" t="s">
        <v>18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8" t="s">
        <v>0</v>
      </c>
      <c r="B2" s="38" t="s">
        <v>306</v>
      </c>
      <c r="C2" s="39">
        <v>13420632.688000001</v>
      </c>
      <c r="D2" s="39">
        <v>9749886.8716000002</v>
      </c>
      <c r="E2" s="39">
        <v>9491668.3724000007</v>
      </c>
    </row>
    <row r="3" spans="1:26">
      <c r="A3" s="38" t="s">
        <v>1</v>
      </c>
      <c r="B3" s="38" t="s">
        <v>306</v>
      </c>
      <c r="C3" s="39">
        <v>1794221.3232484406</v>
      </c>
      <c r="D3" s="39">
        <v>1435377.0585987533</v>
      </c>
      <c r="E3" s="39">
        <v>897110.66162422032</v>
      </c>
    </row>
    <row r="4" spans="1:26">
      <c r="A4" s="38" t="s">
        <v>2</v>
      </c>
      <c r="B4" s="38" t="s">
        <v>306</v>
      </c>
      <c r="C4" s="39">
        <v>13115755.700028913</v>
      </c>
      <c r="D4" s="39">
        <v>13952094.386331247</v>
      </c>
      <c r="E4" s="39">
        <v>19950050.509233333</v>
      </c>
    </row>
    <row r="5" spans="1:26">
      <c r="A5" s="40" t="s">
        <v>3</v>
      </c>
      <c r="B5" s="38" t="s">
        <v>306</v>
      </c>
      <c r="C5" s="40">
        <v>0.13920528279935773</v>
      </c>
      <c r="D5" s="40">
        <v>9.6202880690000478E-2</v>
      </c>
      <c r="E5" s="40">
        <v>6.2488738236824375E-2</v>
      </c>
    </row>
    <row r="6" spans="1:26">
      <c r="A6" s="38" t="s">
        <v>4</v>
      </c>
      <c r="B6" s="38" t="s">
        <v>306</v>
      </c>
      <c r="C6" s="39">
        <v>-2908727.4486664534</v>
      </c>
      <c r="D6" s="39">
        <v>2106746.8422592357</v>
      </c>
      <c r="E6" s="39">
        <v>8924920.5174673982</v>
      </c>
    </row>
    <row r="7" spans="1:26">
      <c r="A7" s="38" t="s">
        <v>5</v>
      </c>
      <c r="B7" s="38" t="s">
        <v>306</v>
      </c>
      <c r="C7" s="41">
        <v>-0.21673549349631474</v>
      </c>
      <c r="D7" s="41">
        <v>0.21607910635310881</v>
      </c>
      <c r="E7" s="41">
        <v>0.94028996455664215</v>
      </c>
    </row>
    <row r="8" spans="1:26">
      <c r="A8" s="38" t="s">
        <v>6</v>
      </c>
      <c r="B8" s="38" t="s">
        <v>306</v>
      </c>
      <c r="C8" s="42" t="s">
        <v>301</v>
      </c>
      <c r="D8" s="42">
        <v>16</v>
      </c>
      <c r="E8" s="42">
        <v>8</v>
      </c>
    </row>
    <row r="9" spans="1:26">
      <c r="A9" s="38" t="s">
        <v>7</v>
      </c>
      <c r="B9" s="38" t="s">
        <v>306</v>
      </c>
      <c r="C9" s="41">
        <v>-3.1143137481869917E-2</v>
      </c>
      <c r="D9" s="41">
        <v>2.2138073367478459E-2</v>
      </c>
      <c r="E9" s="41">
        <v>0.10692293859393169</v>
      </c>
    </row>
    <row r="10" spans="1:26">
      <c r="A10" s="38" t="s">
        <v>0</v>
      </c>
      <c r="B10" s="38" t="s">
        <v>307</v>
      </c>
      <c r="C10" s="39">
        <v>13521894.688000001</v>
      </c>
      <c r="D10" s="39">
        <v>9851148.8716000002</v>
      </c>
      <c r="E10" s="39">
        <v>9592930.3724000007</v>
      </c>
    </row>
    <row r="11" spans="1:26">
      <c r="A11" s="38" t="s">
        <v>1</v>
      </c>
      <c r="B11" s="38" t="s">
        <v>307</v>
      </c>
      <c r="C11" s="39">
        <v>1794221.3232484406</v>
      </c>
      <c r="D11" s="39">
        <v>1435377.0585987533</v>
      </c>
      <c r="E11" s="39">
        <v>897110.66162422032</v>
      </c>
    </row>
    <row r="12" spans="1:26">
      <c r="A12" s="38" t="s">
        <v>2</v>
      </c>
      <c r="B12" s="38" t="s">
        <v>307</v>
      </c>
      <c r="C12" s="39">
        <v>13115755.700028913</v>
      </c>
      <c r="D12" s="39">
        <v>13952094.386331247</v>
      </c>
      <c r="E12" s="39">
        <v>19950050.509233333</v>
      </c>
    </row>
    <row r="13" spans="1:26">
      <c r="A13" s="40" t="s">
        <v>3</v>
      </c>
      <c r="B13" s="38" t="s">
        <v>307</v>
      </c>
      <c r="C13" s="40">
        <v>0.14013175934237335</v>
      </c>
      <c r="D13" s="40">
        <v>9.7073820898941773E-2</v>
      </c>
      <c r="E13" s="40">
        <v>6.3097831431569718E-2</v>
      </c>
    </row>
    <row r="14" spans="1:26">
      <c r="A14" s="38" t="s">
        <v>4</v>
      </c>
      <c r="B14" s="38" t="s">
        <v>307</v>
      </c>
      <c r="C14" s="39">
        <v>-3009989.4486664534</v>
      </c>
      <c r="D14" s="39">
        <v>2005484.8422592357</v>
      </c>
      <c r="E14" s="39">
        <v>8823658.5174673982</v>
      </c>
    </row>
    <row r="15" spans="1:26">
      <c r="A15" s="38" t="s">
        <v>5</v>
      </c>
      <c r="B15" s="38" t="s">
        <v>307</v>
      </c>
      <c r="C15" s="41">
        <v>-0.22260116042300396</v>
      </c>
      <c r="D15" s="41">
        <v>0.203578777297831</v>
      </c>
      <c r="E15" s="41">
        <v>0.919808460494419</v>
      </c>
    </row>
    <row r="16" spans="1:26">
      <c r="A16" s="38" t="s">
        <v>6</v>
      </c>
      <c r="B16" s="38" t="s">
        <v>307</v>
      </c>
      <c r="C16" s="42" t="s">
        <v>301</v>
      </c>
      <c r="D16" s="42">
        <v>17</v>
      </c>
      <c r="E16" s="42">
        <v>8</v>
      </c>
    </row>
    <row r="17" spans="1:5">
      <c r="A17" s="38" t="s">
        <v>7</v>
      </c>
      <c r="B17" s="38" t="s">
        <v>307</v>
      </c>
      <c r="C17" s="41">
        <v>-3.1961485984120956E-2</v>
      </c>
      <c r="D17" s="41">
        <v>2.0586117829438713E-2</v>
      </c>
      <c r="E17" s="41">
        <v>0.10434400037787002</v>
      </c>
    </row>
    <row r="18" spans="1:5">
      <c r="A18" s="38" t="s">
        <v>0</v>
      </c>
      <c r="B18" s="38" t="s">
        <v>230</v>
      </c>
      <c r="C18" s="39">
        <v>13702694.688000001</v>
      </c>
      <c r="D18" s="39">
        <v>10031948.8716</v>
      </c>
      <c r="E18" s="39">
        <v>9773730.3724000007</v>
      </c>
    </row>
    <row r="19" spans="1:5">
      <c r="A19" s="38" t="s">
        <v>1</v>
      </c>
      <c r="B19" s="38" t="s">
        <v>230</v>
      </c>
      <c r="C19" s="39">
        <v>1794221.3232484406</v>
      </c>
      <c r="D19" s="39">
        <v>1435377.0585987533</v>
      </c>
      <c r="E19" s="39">
        <v>897110.66162422032</v>
      </c>
    </row>
    <row r="20" spans="1:5">
      <c r="A20" s="38" t="s">
        <v>2</v>
      </c>
      <c r="B20" s="38" t="s">
        <v>230</v>
      </c>
      <c r="C20" s="39">
        <v>13115755.700028913</v>
      </c>
      <c r="D20" s="39">
        <v>13952094.386331247</v>
      </c>
      <c r="E20" s="39">
        <v>19950050.509233333</v>
      </c>
    </row>
    <row r="21" spans="1:5">
      <c r="A21" s="40" t="s">
        <v>3</v>
      </c>
      <c r="B21" s="38" t="s">
        <v>230</v>
      </c>
      <c r="C21" s="40">
        <v>0.14178595300808428</v>
      </c>
      <c r="D21" s="40">
        <v>9.8628856250570079E-2</v>
      </c>
      <c r="E21" s="40">
        <v>6.4185347475198717E-2</v>
      </c>
    </row>
    <row r="22" spans="1:5">
      <c r="A22" s="38" t="s">
        <v>4</v>
      </c>
      <c r="B22" s="38" t="s">
        <v>230</v>
      </c>
      <c r="C22" s="39">
        <v>-3190789.4486664534</v>
      </c>
      <c r="D22" s="39">
        <v>1824684.8422592357</v>
      </c>
      <c r="E22" s="39">
        <v>8642858.5174673982</v>
      </c>
    </row>
    <row r="23" spans="1:5">
      <c r="A23" s="38" t="s">
        <v>5</v>
      </c>
      <c r="B23" s="38" t="s">
        <v>230</v>
      </c>
      <c r="C23" s="41">
        <v>-0.23285853777802956</v>
      </c>
      <c r="D23" s="41">
        <v>0.18188737458828533</v>
      </c>
      <c r="E23" s="41">
        <v>0.88429475626562537</v>
      </c>
    </row>
    <row r="24" spans="1:5">
      <c r="A24" s="38" t="s">
        <v>6</v>
      </c>
      <c r="B24" s="38" t="s">
        <v>230</v>
      </c>
      <c r="C24" s="42" t="s">
        <v>301</v>
      </c>
      <c r="D24" s="42">
        <v>18</v>
      </c>
      <c r="E24" s="42">
        <v>8</v>
      </c>
    </row>
    <row r="25" spans="1:5">
      <c r="A25" s="38" t="s">
        <v>7</v>
      </c>
      <c r="B25" s="38" t="s">
        <v>230</v>
      </c>
      <c r="C25" s="41">
        <v>-3.3397100504812982E-2</v>
      </c>
      <c r="D25" s="41">
        <v>1.7890360072425511E-2</v>
      </c>
      <c r="E25" s="41">
        <v>9.989037214032187E-2</v>
      </c>
    </row>
    <row r="26" spans="1:5">
      <c r="A26" s="38" t="s">
        <v>0</v>
      </c>
      <c r="B26" s="38" t="s">
        <v>239</v>
      </c>
      <c r="C26" s="39">
        <v>14744387.188000001</v>
      </c>
      <c r="D26" s="39">
        <v>11073641.3716</v>
      </c>
      <c r="E26" s="39">
        <v>10815422.872400001</v>
      </c>
    </row>
    <row r="27" spans="1:5">
      <c r="A27" s="38" t="s">
        <v>1</v>
      </c>
      <c r="B27" s="38" t="s">
        <v>239</v>
      </c>
      <c r="C27" s="39">
        <v>1794221.3232484406</v>
      </c>
      <c r="D27" s="39">
        <v>1435377.0585987533</v>
      </c>
      <c r="E27" s="39">
        <v>897110.66162422032</v>
      </c>
    </row>
    <row r="28" spans="1:5">
      <c r="A28" s="38" t="s">
        <v>2</v>
      </c>
      <c r="B28" s="38" t="s">
        <v>239</v>
      </c>
      <c r="C28" s="39">
        <v>13115755.700028913</v>
      </c>
      <c r="D28" s="39">
        <v>13952094.386331247</v>
      </c>
      <c r="E28" s="39">
        <v>19950050.509233333</v>
      </c>
    </row>
    <row r="29" spans="1:5">
      <c r="A29" s="40" t="s">
        <v>3</v>
      </c>
      <c r="B29" s="38" t="s">
        <v>239</v>
      </c>
      <c r="C29" s="40">
        <v>0.15131671149878448</v>
      </c>
      <c r="D29" s="40">
        <v>0.10758830682040456</v>
      </c>
      <c r="E29" s="40">
        <v>7.0451151160364614E-2</v>
      </c>
    </row>
    <row r="30" spans="1:5">
      <c r="A30" s="38" t="s">
        <v>4</v>
      </c>
      <c r="B30" s="38" t="s">
        <v>239</v>
      </c>
      <c r="C30" s="39">
        <v>-4232481.9486664552</v>
      </c>
      <c r="D30" s="39">
        <v>782992.34225923568</v>
      </c>
      <c r="E30" s="39">
        <v>7601166.0174673982</v>
      </c>
    </row>
    <row r="31" spans="1:5">
      <c r="A31" s="38" t="s">
        <v>5</v>
      </c>
      <c r="B31" s="38" t="s">
        <v>239</v>
      </c>
      <c r="C31" s="41">
        <v>-0.28705716247814905</v>
      </c>
      <c r="D31" s="41">
        <v>7.070775691430066E-2</v>
      </c>
      <c r="E31" s="41">
        <v>0.70280802767914874</v>
      </c>
    </row>
    <row r="32" spans="1:5">
      <c r="A32" s="38" t="s">
        <v>6</v>
      </c>
      <c r="B32" s="38" t="s">
        <v>239</v>
      </c>
      <c r="C32" s="42" t="s">
        <v>301</v>
      </c>
      <c r="D32" s="42">
        <v>23</v>
      </c>
      <c r="E32" s="42">
        <v>10</v>
      </c>
    </row>
    <row r="33" spans="1:5">
      <c r="A33" s="38" t="s">
        <v>7</v>
      </c>
      <c r="B33" s="38" t="s">
        <v>239</v>
      </c>
      <c r="C33" s="41">
        <v>-4.108808922005177E-2</v>
      </c>
      <c r="D33" s="41">
        <v>3.9938877893634052E-3</v>
      </c>
      <c r="E33" s="41">
        <v>7.7450275372570418E-2</v>
      </c>
    </row>
    <row r="34" spans="1:5">
      <c r="A34" s="38"/>
      <c r="C34" s="39"/>
      <c r="D34" s="39"/>
      <c r="E34" s="39"/>
    </row>
    <row r="35" spans="1:5">
      <c r="A35" s="38"/>
      <c r="C35" s="39"/>
      <c r="D35" s="39"/>
      <c r="E35" s="39"/>
    </row>
    <row r="36" spans="1:5">
      <c r="A36" s="38"/>
      <c r="C36" s="39"/>
      <c r="D36" s="39"/>
      <c r="E36" s="39"/>
    </row>
    <row r="37" spans="1:5">
      <c r="A37" s="40"/>
      <c r="C37" s="40"/>
      <c r="D37" s="40"/>
      <c r="E37" s="40"/>
    </row>
    <row r="38" spans="1:5">
      <c r="A38" s="38"/>
      <c r="C38" s="39"/>
      <c r="D38" s="39"/>
      <c r="E38" s="39"/>
    </row>
    <row r="39" spans="1:5">
      <c r="A39" s="38"/>
      <c r="C39" s="41"/>
      <c r="D39" s="41"/>
      <c r="E39" s="41"/>
    </row>
    <row r="40" spans="1:5">
      <c r="A40" s="38"/>
      <c r="C40" s="42"/>
      <c r="D40" s="42"/>
      <c r="E40" s="42"/>
    </row>
    <row r="41" spans="1:5">
      <c r="A41" s="38"/>
      <c r="C41" s="41"/>
      <c r="D41" s="41"/>
      <c r="E41" s="41"/>
    </row>
    <row r="42" spans="1:5">
      <c r="A42" s="38"/>
      <c r="C42" s="39"/>
      <c r="D42" s="39"/>
      <c r="E42" s="39"/>
    </row>
    <row r="43" spans="1:5">
      <c r="A43" s="38"/>
      <c r="C43" s="39"/>
      <c r="D43" s="39"/>
      <c r="E43" s="39"/>
    </row>
    <row r="44" spans="1:5">
      <c r="A44" s="38"/>
      <c r="C44" s="39"/>
      <c r="D44" s="39"/>
      <c r="E44" s="39"/>
    </row>
    <row r="45" spans="1:5">
      <c r="A45" s="40"/>
      <c r="C45" s="40"/>
      <c r="D45" s="40"/>
      <c r="E45" s="40"/>
    </row>
    <row r="46" spans="1:5">
      <c r="A46" s="38"/>
      <c r="C46" s="39"/>
      <c r="D46" s="39"/>
      <c r="E46" s="39"/>
    </row>
    <row r="47" spans="1:5">
      <c r="A47" s="38"/>
      <c r="C47" s="41"/>
      <c r="D47" s="41"/>
      <c r="E47" s="41"/>
    </row>
    <row r="48" spans="1:5">
      <c r="A48" s="38"/>
      <c r="C48" s="42"/>
      <c r="D48" s="42"/>
      <c r="E48" s="42"/>
    </row>
    <row r="49" spans="1:5">
      <c r="A49" s="38"/>
      <c r="C49" s="41"/>
      <c r="D49" s="41"/>
      <c r="E49" s="41"/>
    </row>
    <row r="50" spans="1:5">
      <c r="A50" s="38"/>
      <c r="C50" s="39"/>
      <c r="D50" s="39"/>
      <c r="E50" s="39"/>
    </row>
    <row r="51" spans="1:5">
      <c r="A51" s="38"/>
      <c r="C51" s="39"/>
      <c r="D51" s="39"/>
      <c r="E51" s="39"/>
    </row>
    <row r="52" spans="1:5">
      <c r="A52" s="38"/>
      <c r="C52" s="39"/>
      <c r="D52" s="39"/>
      <c r="E52" s="39"/>
    </row>
    <row r="53" spans="1:5">
      <c r="A53" s="40"/>
      <c r="C53" s="40"/>
      <c r="D53" s="40"/>
      <c r="E53" s="40"/>
    </row>
    <row r="54" spans="1:5">
      <c r="A54" s="38"/>
      <c r="C54" s="39"/>
      <c r="D54" s="39"/>
      <c r="E54" s="39"/>
    </row>
    <row r="55" spans="1:5">
      <c r="A55" s="38"/>
      <c r="C55" s="41"/>
      <c r="D55" s="41"/>
      <c r="E55" s="41"/>
    </row>
    <row r="56" spans="1:5">
      <c r="A56" s="38"/>
      <c r="C56" s="42"/>
      <c r="D56" s="42"/>
      <c r="E56" s="42"/>
    </row>
    <row r="57" spans="1:5">
      <c r="A57" s="38"/>
      <c r="C57" s="41"/>
      <c r="D57" s="41"/>
      <c r="E57" s="41"/>
    </row>
    <row r="58" spans="1:5">
      <c r="A58" s="38"/>
      <c r="C58" s="39"/>
      <c r="D58" s="39"/>
      <c r="E58" s="39"/>
    </row>
    <row r="59" spans="1:5">
      <c r="A59" s="38"/>
      <c r="C59" s="39"/>
      <c r="D59" s="39"/>
      <c r="E59" s="39"/>
    </row>
    <row r="60" spans="1:5">
      <c r="A60" s="38"/>
      <c r="C60" s="39"/>
      <c r="D60" s="39"/>
      <c r="E60" s="39"/>
    </row>
    <row r="61" spans="1:5">
      <c r="A61" s="40"/>
      <c r="C61" s="40"/>
      <c r="D61" s="40"/>
      <c r="E61" s="40"/>
    </row>
    <row r="62" spans="1:5">
      <c r="A62" s="38"/>
      <c r="C62" s="39"/>
      <c r="D62" s="39"/>
      <c r="E62" s="39"/>
    </row>
    <row r="63" spans="1:5">
      <c r="A63" s="38"/>
      <c r="C63" s="41"/>
      <c r="D63" s="41"/>
      <c r="E63" s="41"/>
    </row>
    <row r="64" spans="1:5">
      <c r="A64" s="38"/>
      <c r="C64" s="42"/>
      <c r="D64" s="42"/>
      <c r="E64" s="42"/>
    </row>
    <row r="65" spans="1:5">
      <c r="A65" s="38"/>
      <c r="C65" s="41"/>
      <c r="D65" s="41"/>
      <c r="E65" s="41"/>
    </row>
    <row r="66" spans="1:5">
      <c r="A66" s="38"/>
      <c r="C66" s="39"/>
      <c r="D66" s="39"/>
      <c r="E66" s="39"/>
    </row>
    <row r="67" spans="1:5">
      <c r="A67" s="38"/>
      <c r="C67" s="39"/>
      <c r="D67" s="39"/>
      <c r="E67" s="39"/>
    </row>
    <row r="68" spans="1:5">
      <c r="A68" s="38"/>
      <c r="C68" s="39"/>
      <c r="D68" s="39"/>
      <c r="E68" s="39"/>
    </row>
    <row r="69" spans="1:5">
      <c r="A69" s="40"/>
      <c r="C69" s="40"/>
      <c r="D69" s="40"/>
      <c r="E69" s="40"/>
    </row>
    <row r="70" spans="1:5">
      <c r="A70" s="38"/>
      <c r="C70" s="39"/>
      <c r="D70" s="39"/>
      <c r="E70" s="39"/>
    </row>
    <row r="71" spans="1:5">
      <c r="A71" s="38"/>
      <c r="C71" s="41"/>
      <c r="D71" s="41"/>
      <c r="E71" s="41"/>
    </row>
    <row r="72" spans="1:5">
      <c r="A72" s="38"/>
      <c r="C72" s="42"/>
      <c r="D72" s="42"/>
      <c r="E72" s="42"/>
    </row>
    <row r="73" spans="1:5">
      <c r="A73" s="38"/>
      <c r="C73" s="41"/>
      <c r="D73" s="41"/>
      <c r="E73" s="4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SiteZipContact xmlns="8bbd4995-53b7-43e2-b62f-10947586ac31" xsi:nil="true"/>
    <lcf76f155ced4ddcb4097134ff3c332f xmlns="b13af1b9-b87a-43c5-a5a8-31bd38a79770">
      <Terms xmlns="http://schemas.microsoft.com/office/infopath/2007/PartnerControls"/>
    </lcf76f155ced4ddcb4097134ff3c332f>
    <CorpSiteProjectLeader xmlns="8bbd4995-53b7-43e2-b62f-10947586ac31">
      <UserInfo>
        <DisplayName/>
        <AccountId xsi:nil="true"/>
        <AccountType/>
      </UserInfo>
    </CorpSiteProjectLeader>
    <CorpSiteSubTitle xmlns="8bbd4995-53b7-43e2-b62f-10947586ac31" xsi:nil="true"/>
    <CorpSiteTags xmlns="8bbd4995-53b7-43e2-b62f-10947586ac31" xsi:nil="true"/>
    <CorpSiteISBN xmlns="8bbd4995-53b7-43e2-b62f-10947586ac31" xsi:nil="true"/>
    <CorpDocumentDate xmlns="8bbd4995-53b7-43e2-b62f-10947586ac31" xsi:nil="true"/>
    <CorpSiteAccess xmlns="8bbd4995-53b7-43e2-b62f-10947586ac31">Kun navngitte medlemmer</CorpSiteAccess>
    <CorpWorkflowFeedback xmlns="8bbd4995-53b7-43e2-b62f-10947586ac31" xsi:nil="true"/>
    <CorpSiteRecipientPerson xmlns="8bbd4995-53b7-43e2-b62f-10947586ac31" xsi:nil="true"/>
    <CorpSiteProjectNumber xmlns="8bbd4995-53b7-43e2-b62f-10947586ac31" xsi:nil="true"/>
    <CorpDocInstitute xmlns="8bbd4995-53b7-43e2-b62f-10947586ac31" xsi:nil="true"/>
    <CorpSiteProjectName xmlns="8bbd4995-53b7-43e2-b62f-10947586ac31" xsi:nil="true"/>
    <CorpSiteInstitutePhone xmlns="8bbd4995-53b7-43e2-b62f-10947586ac31" xsi:nil="true"/>
    <CorpDocPageClassificationNbNo xmlns="8bbd4995-53b7-43e2-b62f-10947586ac31">Åpen</CorpDocPageClassificationNbNo>
    <CorpDocClassificationEnUs xmlns="8bbd4995-53b7-43e2-b62f-10947586ac31">Unrestricted</CorpDocClassificationEnUs>
    <CorpDocClassificationNbNo xmlns="8bbd4995-53b7-43e2-b62f-10947586ac31">Åpen</CorpDocClassificationNbNo>
    <CorpSiteProjectOwner xmlns="8bbd4995-53b7-43e2-b62f-10947586ac31">
      <UserInfo>
        <DisplayName/>
        <AccountId xsi:nil="true"/>
        <AccountType/>
      </UserInfo>
    </CorpSiteProjectOwner>
    <CorpSiteClassification xmlns="8bbd4995-53b7-43e2-b62f-10947586ac31">Åpen</CorpSiteClassification>
    <CorpSiteInstituteEmail xmlns="8bbd4995-53b7-43e2-b62f-10947586ac31" xsi:nil="true"/>
    <CorpSiteCoAuthors xmlns="8bbd4995-53b7-43e2-b62f-10947586ac31" xsi:nil="true"/>
    <CorpSiteInstituteEnU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MainAuthor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CorpSiteZipAddress xmlns="8bbd4995-53b7-43e2-b62f-10947586ac31" xsi:nil="true"/>
    <CorpSiteVATNumber xmlns="8bbd4995-53b7-43e2-b62f-10947586ac31" xsi:nil="true"/>
    <CorpSiteProjectQA xmlns="8bbd4995-53b7-43e2-b62f-10947586ac31">
      <UserInfo>
        <DisplayName/>
        <AccountId xsi:nil="true"/>
        <AccountType/>
      </UserInfo>
    </CorpSiteProjectQA>
    <ArchiveStatus xmlns="8bbd4995-53b7-43e2-b62f-10947586ac31" xsi:nil="true"/>
    <CorpSiteReportNumber xmlns="8bbd4995-53b7-43e2-b62f-10947586ac31" xsi:nil="true"/>
    <CorpSiteOurRef xmlns="8bbd4995-53b7-43e2-b62f-10947586ac31" xsi:nil="true"/>
    <CorpDocPageClassificationEnUs xmlns="8bbd4995-53b7-43e2-b62f-10947586ac31">Unrestricted</CorpDocPageClassificationEnUs>
    <TaxCatchAll xmlns="8fa93740-5b30-4e68-9e68-8b5f095310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4F233F94F9456E489DD989E15ACFCF32" ma:contentTypeVersion="51" ma:contentTypeDescription="Create a new document." ma:contentTypeScope="" ma:versionID="39d432df47940bc3b09b253a609ac3e3">
  <xsd:schema xmlns:xsd="http://www.w3.org/2001/XMLSchema" xmlns:xs="http://www.w3.org/2001/XMLSchema" xmlns:p="http://schemas.microsoft.com/office/2006/metadata/properties" xmlns:ns2="8bbd4995-53b7-43e2-b62f-10947586ac31" xmlns:ns3="b13af1b9-b87a-43c5-a5a8-31bd38a79770" xmlns:ns4="8fa93740-5b30-4e68-9e68-8b5f095310d6" targetNamespace="http://schemas.microsoft.com/office/2006/metadata/properties" ma:root="true" ma:fieldsID="3afbd8a98fd9ec10f47b103cf9130d0f" ns2:_="" ns3:_="" ns4:_="">
    <xsd:import namespace="8bbd4995-53b7-43e2-b62f-10947586ac31"/>
    <xsd:import namespace="b13af1b9-b87a-43c5-a5a8-31bd38a79770"/>
    <xsd:import namespace="8fa93740-5b30-4e68-9e68-8b5f095310d6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6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7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af1b9-b87a-43c5-a5a8-31bd38a797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Image Tags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5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5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93740-5b30-4e68-9e68-8b5f095310d6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4eba9218-8b84-4282-b52b-39c9792502bb}" ma:internalName="TaxCatchAll" ma:showField="CatchAllData" ma:web="8fa93740-5b30-4e68-9e68-8b5f095310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B26A1-1264-4775-9941-582EFD8272FC}"/>
</file>

<file path=customXml/itemProps2.xml><?xml version="1.0" encoding="utf-8"?>
<ds:datastoreItem xmlns:ds="http://schemas.openxmlformats.org/officeDocument/2006/customXml" ds:itemID="{F155FD39-435E-4FAA-8BAE-9E67D0EFD7EF}"/>
</file>

<file path=customXml/itemProps3.xml><?xml version="1.0" encoding="utf-8"?>
<ds:datastoreItem xmlns:ds="http://schemas.openxmlformats.org/officeDocument/2006/customXml" ds:itemID="{35A76CC8-5114-4936-9423-2D2B23AF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eirik.larsen</cp:lastModifiedBy>
  <cp:revision/>
  <dcterms:created xsi:type="dcterms:W3CDTF">2025-03-23T09:13:24Z</dcterms:created>
  <dcterms:modified xsi:type="dcterms:W3CDTF">2025-08-25T19:55:40Z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0x01010031B82B69D2361148B4D8F7EC1568021308004F233F94F9456E489DD989E15ACFCF32</vt:lpwstr>
  </property>
  <property fmtid="{D5CDD505-2E9C-101B-9397-08002B2CF9AE}" pid="3" name="MediaServiceImageTags">
    <vt:lpwstr/>
  </property>
</Properties>
</file>
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Function - criteria - Solution" sheetId="2" r:id="rId6"/>
    <sheet state="visible" name="Roadmap" sheetId="3" r:id="rId7"/>
    <sheet state="visible" name="Design" sheetId="4" r:id="rId8"/>
    <sheet state="visible" name="Design considerations" sheetId="5" r:id="rId9"/>
    <sheet state="visible" name="Design Per" sheetId="6" r:id="rId10"/>
    <sheet state="visible" name="Design Guillaume" sheetId="7" r:id="rId11"/>
    <sheet state="visible" name="Design - Eirik" sheetId="8" r:id="rId12"/>
    <sheet state="visible" name="Tasks" sheetId="9" r:id="rId13"/>
    <sheet state="visible" name="FP1" sheetId="10" r:id="rId14"/>
    <sheet state="visible" name="FP2" sheetId="11" r:id="rId15"/>
    <sheet state="visible" name="FC1" sheetId="12" r:id="rId16"/>
    <sheet state="visible" name="FC2" sheetId="13" r:id="rId17"/>
    <sheet state="visible" name="FC3" sheetId="14" r:id="rId18"/>
    <sheet state="visible" name="FC4" sheetId="15" r:id="rId19"/>
    <sheet state="visible" name="FC5" sheetId="16" r:id="rId20"/>
    <sheet state="visible" name="FC6" sheetId="17" r:id="rId21"/>
    <sheet state="visible" name="FC7" sheetId="18" r:id="rId22"/>
    <sheet state="visible" name="FC8" sheetId="19" r:id="rId23"/>
    <sheet state="visible" name="FC9" sheetId="20" r:id="rId24"/>
    <sheet state="visible" name="FC10" sheetId="21" r:id="rId25"/>
    <sheet state="visible" name="FC11" sheetId="22" r:id="rId26"/>
    <sheet state="visible" name="FC12" sheetId="23" r:id="rId27"/>
    <sheet state="visible" name="FS1" sheetId="24" r:id="rId28"/>
    <sheet state="visible" name="FS2" sheetId="25" r:id="rId29"/>
    <sheet state="visible" name="FS3" sheetId="26" r:id="rId30"/>
    <sheet state="visible" name="Roadmap_old" sheetId="27" r:id="rId3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tc={8adb0137-10e9-4820-ae7d-de54b7b7da94}</author>
  </authors>
  <commentList>
    <comment authorId="0" xr:uid="{8adb0137-10e9-4820-ae7d-de54b7b7da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@per@sunlitsea.no Tar gjerne noen kommentarer fra deg på denne siden. Gjerne foreslå funksjoner og alternativer.
Assigned to per@sunlitsea.no
</t>
      </text>
    </comment>
  </commentList>
</comments>
</file>

<file path=xl/sharedStrings.xml><?xml version="1.0" encoding="utf-8"?>
<sst xmlns="http://schemas.openxmlformats.org/spreadsheetml/2006/main" count="3956" uniqueCount="501">
  <si>
    <t>Feature</t>
  </si>
  <si>
    <t>Priority</t>
  </si>
  <si>
    <t>Status</t>
  </si>
  <si>
    <t>Owner</t>
  </si>
  <si>
    <t>Time period</t>
  </si>
  <si>
    <t>Notes</t>
  </si>
  <si>
    <t>FP1: Produces power</t>
  </si>
  <si>
    <t>Prio 3</t>
  </si>
  <si>
    <t>Not started</t>
  </si>
  <si>
    <t>FP2: is certified</t>
  </si>
  <si>
    <t>Prio 2</t>
  </si>
  <si>
    <t>FC1: Floats on water</t>
  </si>
  <si>
    <t>Prio 1</t>
  </si>
  <si>
    <t>FC2: Is water tight</t>
  </si>
  <si>
    <t>FC3: Mechanically attached</t>
  </si>
  <si>
    <t>FC4: Does not go submarining under stream exposure, 3 m/s</t>
  </si>
  <si>
    <t>FC5: Feasible to change panel type, i.e from Chinese to US</t>
  </si>
  <si>
    <t>FC6: Resists high wind</t>
  </si>
  <si>
    <t>FC7: Resists waves up to 1.5 Hs</t>
  </si>
  <si>
    <t>FC8: Cheap to produce, cheaper total cost to install than competitors</t>
  </si>
  <si>
    <t>FC9: Grounding of the FPV unit</t>
  </si>
  <si>
    <t>FS1: Can walk on it</t>
  </si>
  <si>
    <t>FS2: Fast to produce, not necessarily mass producible</t>
  </si>
  <si>
    <t>FS3: Fast to install</t>
  </si>
  <si>
    <t>Column 1</t>
  </si>
  <si>
    <t>Names</t>
  </si>
  <si>
    <t>Functions</t>
  </si>
  <si>
    <t>Prio</t>
  </si>
  <si>
    <t>Criteria</t>
  </si>
  <si>
    <t>Solutions</t>
  </si>
  <si>
    <t>Comment</t>
  </si>
  <si>
    <t>FP1</t>
  </si>
  <si>
    <t>Power production</t>
  </si>
  <si>
    <t>Produces power</t>
  </si>
  <si>
    <t>Performance ratio (how much kWh per kWp), power density (kWp/sqm), soiling degree, cooling effect</t>
  </si>
  <si>
    <t>PV panel</t>
  </si>
  <si>
    <t>FP2</t>
  </si>
  <si>
    <t>Certification</t>
  </si>
  <si>
    <t>is certified</t>
  </si>
  <si>
    <t>Certification not broken by modification/assembly</t>
  </si>
  <si>
    <t>Supplied certified</t>
  </si>
  <si>
    <t>Check certification void conditions</t>
  </si>
  <si>
    <t>FC1</t>
  </si>
  <si>
    <t>Buoyancy</t>
  </si>
  <si>
    <t>Floats on water</t>
  </si>
  <si>
    <t>Sufficient Buoyancy of the float / panel / hinges</t>
  </si>
  <si>
    <t>FC2</t>
  </si>
  <si>
    <t>Water protection</t>
  </si>
  <si>
    <t>Is water tight</t>
  </si>
  <si>
    <t>Float must be water tight. minimize the degradation ratio and fault probability
PV &amp; electronics must be protected</t>
  </si>
  <si>
    <t>FC3</t>
  </si>
  <si>
    <t>Mechnical performance</t>
  </si>
  <si>
    <t>Mechanically attached</t>
  </si>
  <si>
    <t>Tensile strength, shear strength, compression strength, fatigue strength safety value pass. is about the interconnection between floats</t>
  </si>
  <si>
    <t>FC4</t>
  </si>
  <si>
    <t>Submarining</t>
  </si>
  <si>
    <t>Does not go submarining under stream exposure, 3 m/s</t>
  </si>
  <si>
    <t>resist 3m/s stream</t>
  </si>
  <si>
    <t>Outsource the study</t>
  </si>
  <si>
    <t>FC5</t>
  </si>
  <si>
    <t>Interchageability</t>
  </si>
  <si>
    <t>Feasible to change panel type, i.e from Chinese to US</t>
  </si>
  <si>
    <t>Keep design open to different standard size</t>
  </si>
  <si>
    <t>FC6</t>
  </si>
  <si>
    <t>Wind resistance</t>
  </si>
  <si>
    <t>Resists high wind</t>
  </si>
  <si>
    <t>we keep the profile low and no wind traps</t>
  </si>
  <si>
    <t>FC7</t>
  </si>
  <si>
    <t>Wave resistance</t>
  </si>
  <si>
    <t>Resists waves up to 1.5 Hs</t>
  </si>
  <si>
    <t>linked to the hinges and the strucutral integrity of the float</t>
  </si>
  <si>
    <t>Long term goal</t>
  </si>
  <si>
    <t>FC8</t>
  </si>
  <si>
    <t>Cost efficiency</t>
  </si>
  <si>
    <t>Cheap to produce, cheaper total cost to install than competitors</t>
  </si>
  <si>
    <t>As cheap or cheaper than competitors CAPEX wise (now 250€/kWp)</t>
  </si>
  <si>
    <t>FC9</t>
  </si>
  <si>
    <t>Grounding system</t>
  </si>
  <si>
    <t>Grounding of the FPV unit</t>
  </si>
  <si>
    <t>maintainable grouding system of the floating matrix</t>
  </si>
  <si>
    <t>FC10</t>
  </si>
  <si>
    <t>PV attachment</t>
  </si>
  <si>
    <t>The PV needs to stick to the float</t>
  </si>
  <si>
    <t>Must remained attached to the float, must allow for hinge to be attached to the FPV</t>
  </si>
  <si>
    <t>FC11</t>
  </si>
  <si>
    <t xml:space="preserve">Mooring </t>
  </si>
  <si>
    <t>Should be moored safely</t>
  </si>
  <si>
    <t>FC12</t>
  </si>
  <si>
    <t>Internal pressure control</t>
  </si>
  <si>
    <t xml:space="preserve"> No buldging, continious bonding of components</t>
  </si>
  <si>
    <t>FS1</t>
  </si>
  <si>
    <t>Walkability</t>
  </si>
  <si>
    <t>Can walk on it</t>
  </si>
  <si>
    <t>Avoid microcrack when walking on it and float matrix must be stable</t>
  </si>
  <si>
    <t>FS2</t>
  </si>
  <si>
    <t>Manufacturability</t>
  </si>
  <si>
    <t>Fast to produce, not necessarily mass producible</t>
  </si>
  <si>
    <t>Must be possible to assemble in Askim and should be exportable to the US. Objective: 90 to 900 floats per weeks for 2 people</t>
  </si>
  <si>
    <t>FS3</t>
  </si>
  <si>
    <t>Deployability</t>
  </si>
  <si>
    <t>Fast to install</t>
  </si>
  <si>
    <t>plug and play electrically, objective: 20 kW installed per Man/hour, light FPV carried by 2 ppl, no tools</t>
  </si>
  <si>
    <t>REF NUMBER</t>
  </si>
  <si>
    <t>Function</t>
  </si>
  <si>
    <t>Task</t>
  </si>
  <si>
    <t>Duration (person-weeks)</t>
  </si>
  <si>
    <t>Start Week</t>
  </si>
  <si>
    <t>End Week</t>
  </si>
  <si>
    <t>Task owner</t>
  </si>
  <si>
    <t>Single unit buoyancy</t>
  </si>
  <si>
    <t>Team A</t>
  </si>
  <si>
    <t>x</t>
  </si>
  <si>
    <t/>
  </si>
  <si>
    <t>Float</t>
  </si>
  <si>
    <t>Floating hinge</t>
  </si>
  <si>
    <t>Using the PV+frame as a float</t>
  </si>
  <si>
    <t>1 hydroformed trough, 2 HF troughs, with different infills</t>
  </si>
  <si>
    <t>Multiple unit buoyancy</t>
  </si>
  <si>
    <t>Structural integrity of the assembled matrix</t>
  </si>
  <si>
    <t>Fender on the matrix edge</t>
  </si>
  <si>
    <t>Mechanical performance</t>
  </si>
  <si>
    <t>Sketch</t>
  </si>
  <si>
    <t>Team B</t>
  </si>
  <si>
    <t>3D design</t>
  </si>
  <si>
    <t>LS dyna simulation</t>
  </si>
  <si>
    <t>Optimize parameters</t>
  </si>
  <si>
    <t>Model scale test</t>
  </si>
  <si>
    <t>Fatigue</t>
  </si>
  <si>
    <t>Tensile strength</t>
  </si>
  <si>
    <t>Shear strength</t>
  </si>
  <si>
    <t>Compression strength</t>
  </si>
  <si>
    <t>Full scale prototype testing</t>
  </si>
  <si>
    <t>Source a new hinge</t>
  </si>
  <si>
    <t>Investigate glue</t>
  </si>
  <si>
    <t>Team C</t>
  </si>
  <si>
    <t>Investigate weld</t>
  </si>
  <si>
    <t>Investigate roller hemming/seaming</t>
  </si>
  <si>
    <t>Investigate clinching</t>
  </si>
  <si>
    <t>Investigate bolting</t>
  </si>
  <si>
    <t>Final adjustments and review</t>
  </si>
  <si>
    <t>Marine PU foam inside the float itself</t>
  </si>
  <si>
    <t>Heighten the PV above the waterline</t>
  </si>
  <si>
    <t>Protect the backside of the PV and the junction box with Foam</t>
  </si>
  <si>
    <t>Extra protecting box with PM</t>
  </si>
  <si>
    <t>Enhance the protection of the PV edge</t>
  </si>
  <si>
    <t>Protect the cables going in and out of the float</t>
  </si>
  <si>
    <t>MC4 connectors must be protected</t>
  </si>
  <si>
    <t>Choose a glass/glass PV</t>
  </si>
  <si>
    <t>Ensure the PV is supported on its backside</t>
  </si>
  <si>
    <t>Study/test the buoyancy balance of a float</t>
  </si>
  <si>
    <t>Clear out with supplier what is possible to touch before breaking certification</t>
  </si>
  <si>
    <t>Supply a PV panel that is certified</t>
  </si>
  <si>
    <t>Investigate the certification specification (IEC, and UL)</t>
  </si>
  <si>
    <t>Interchangeability</t>
  </si>
  <si>
    <t>Every 3D design should be done with regards to standard size</t>
  </si>
  <si>
    <t>Assess the PV on the market (EU, CN, and US)</t>
  </si>
  <si>
    <t>Find a common denominator to work with</t>
  </si>
  <si>
    <t>Sourcing a high kW output PV panel</t>
  </si>
  <si>
    <t>Sourcing a glass/glass PV panel for easy cleaning</t>
  </si>
  <si>
    <t>Sourcing a PV panel with a high-quality level</t>
  </si>
  <si>
    <t>Decide on an angle towards the sun</t>
  </si>
  <si>
    <t>Design a stream-breaking bow potentially buoyant</t>
  </si>
  <si>
    <t>Simulate</t>
  </si>
  <si>
    <t>Parameter optimization</t>
  </si>
  <si>
    <t>Scale model test</t>
  </si>
  <si>
    <t>This page describe various aspects of the solution that touches one or more functions of the system</t>
  </si>
  <si>
    <t>Each aspect can have multiple options that should be investigated.</t>
  </si>
  <si>
    <t>Each combination of options for each aspect may be an eligible solution and should be assessed.</t>
  </si>
  <si>
    <t>Frame / float relation</t>
  </si>
  <si>
    <t>Sheet shape</t>
  </si>
  <si>
    <t>Dimples joining</t>
  </si>
  <si>
    <t>Infill</t>
  </si>
  <si>
    <t>Infill around junction box</t>
  </si>
  <si>
    <t>Infill or frame air pockets</t>
  </si>
  <si>
    <t>Attachment point to mooring system</t>
  </si>
  <si>
    <t>1 Frame integrated float</t>
  </si>
  <si>
    <t>1 Single alu sheet</t>
  </si>
  <si>
    <t>None</t>
  </si>
  <si>
    <t>Glue</t>
  </si>
  <si>
    <t>1 Polystyrene</t>
  </si>
  <si>
    <t>Infill split in to with gap</t>
  </si>
  <si>
    <t>PU foam</t>
  </si>
  <si>
    <t xml:space="preserve">3 Half hinge </t>
  </si>
  <si>
    <t>2 Separate frame and float</t>
  </si>
  <si>
    <t>2 Double alu sheet</t>
  </si>
  <si>
    <t>1 Through</t>
  </si>
  <si>
    <t>Friction stir welding</t>
  </si>
  <si>
    <t>Honeycomb</t>
  </si>
  <si>
    <t>1 Infill exact cutout</t>
  </si>
  <si>
    <t>Potting</t>
  </si>
  <si>
    <t>Full hinge</t>
  </si>
  <si>
    <t>Plastic</t>
  </si>
  <si>
    <t>Through and dimples</t>
  </si>
  <si>
    <t>Capacitance discharge welding</t>
  </si>
  <si>
    <t>1 Air</t>
  </si>
  <si>
    <t>2 None</t>
  </si>
  <si>
    <t>3 Air</t>
  </si>
  <si>
    <t>intermediate float</t>
  </si>
  <si>
    <t>1 Dimples</t>
  </si>
  <si>
    <t>3 None</t>
  </si>
  <si>
    <t>1 PU foam</t>
  </si>
  <si>
    <t>inflatable buoy thing</t>
  </si>
  <si>
    <t>Panel underside joining</t>
  </si>
  <si>
    <t>Panel tilt</t>
  </si>
  <si>
    <t>MC4 cables</t>
  </si>
  <si>
    <t>Hinge / frame relation</t>
  </si>
  <si>
    <t>Hinge reinforcement</t>
  </si>
  <si>
    <t>Hinge edge coverage</t>
  </si>
  <si>
    <t>Hinge material</t>
  </si>
  <si>
    <t>1 Glue</t>
  </si>
  <si>
    <t>3 Slight tilt</t>
  </si>
  <si>
    <t>1 Through frame</t>
  </si>
  <si>
    <t>Wrap around sheet edge</t>
  </si>
  <si>
    <t>1 Along full edge of float</t>
  </si>
  <si>
    <t>3 PU</t>
  </si>
  <si>
    <t>Heatable laminate</t>
  </si>
  <si>
    <t>Flat</t>
  </si>
  <si>
    <t>2 Under frame</t>
  </si>
  <si>
    <t>1 Wrap around panel frame</t>
  </si>
  <si>
    <t>1 PVC pipe</t>
  </si>
  <si>
    <t>Along partial edge of float</t>
  </si>
  <si>
    <t>PP rope</t>
  </si>
  <si>
    <t>Junction box on top</t>
  </si>
  <si>
    <t>2 Brackets joined to float</t>
  </si>
  <si>
    <t>Corner hinge</t>
  </si>
  <si>
    <t>2 Individual hinges</t>
  </si>
  <si>
    <t>Brackets joined to panel frame</t>
  </si>
  <si>
    <t>1 Rope</t>
  </si>
  <si>
    <t>Hinge buoyancy</t>
  </si>
  <si>
    <t>Grounding type</t>
  </si>
  <si>
    <t>Grounding cabling</t>
  </si>
  <si>
    <t>Stream protection type</t>
  </si>
  <si>
    <t>Stream protection fastening</t>
  </si>
  <si>
    <t>Matrix edge protection</t>
  </si>
  <si>
    <t>Dummy float</t>
  </si>
  <si>
    <t>Water drainage</t>
  </si>
  <si>
    <t>3 Frame connected</t>
  </si>
  <si>
    <t>3 Alongside MC4s</t>
  </si>
  <si>
    <t>Cylindrical width wise buoy</t>
  </si>
  <si>
    <t>1 Via hinge system</t>
  </si>
  <si>
    <t>1 Dummy float</t>
  </si>
  <si>
    <t>Plastic clip</t>
  </si>
  <si>
    <t>1 Some</t>
  </si>
  <si>
    <t>To water</t>
  </si>
  <si>
    <t>Separate path</t>
  </si>
  <si>
    <t>Cylindrical length wise buoy</t>
  </si>
  <si>
    <t>To the float</t>
  </si>
  <si>
    <t>1 Cylindrical</t>
  </si>
  <si>
    <t>3 Same as float but with alu treadplates</t>
  </si>
  <si>
    <t>3 Metal clip</t>
  </si>
  <si>
    <t>3 Bow shaped buoy</t>
  </si>
  <si>
    <t>To the frame</t>
  </si>
  <si>
    <t>1 Same as stream protection</t>
  </si>
  <si>
    <t>Bow shape, non buoyant</t>
  </si>
  <si>
    <t>1 None (part of mooring)</t>
  </si>
  <si>
    <t>1 Barge</t>
  </si>
  <si>
    <t>Stacking</t>
  </si>
  <si>
    <t>Deployment</t>
  </si>
  <si>
    <t>Hinge UV protection</t>
  </si>
  <si>
    <t>Float extends panel area</t>
  </si>
  <si>
    <t>Unassembled PV</t>
  </si>
  <si>
    <t>Accordion</t>
  </si>
  <si>
    <t>Sock around the hinge</t>
  </si>
  <si>
    <t>2 Yes</t>
  </si>
  <si>
    <t>1 Vertical</t>
  </si>
  <si>
    <t>3 One by one</t>
  </si>
  <si>
    <t>3 Built into material</t>
  </si>
  <si>
    <t>1 No</t>
  </si>
  <si>
    <t>1 Horizontal</t>
  </si>
  <si>
    <t>2 row by row</t>
  </si>
  <si>
    <t>tilted</t>
  </si>
  <si>
    <t>2 stories</t>
  </si>
  <si>
    <t>Double float, no dimples, through, slight tilt, infill, float extends panel area</t>
  </si>
  <si>
    <t>Pros</t>
  </si>
  <si>
    <t>Cons</t>
  </si>
  <si>
    <t>Better hydrodynamic</t>
  </si>
  <si>
    <t>more expensive</t>
  </si>
  <si>
    <t>Better electrical protection, less splash</t>
  </si>
  <si>
    <t>possibly more steps</t>
  </si>
  <si>
    <t>Better against freezing water</t>
  </si>
  <si>
    <t>lesser energy density</t>
  </si>
  <si>
    <t>More robust</t>
  </si>
  <si>
    <t>higher energy footprint</t>
  </si>
  <si>
    <t>Easier to exchange solar panels</t>
  </si>
  <si>
    <t>heavier - problem in production</t>
  </si>
  <si>
    <t>Less complex due to separable components</t>
  </si>
  <si>
    <t>heavier - installation/deployement</t>
  </si>
  <si>
    <t>Facilitates edge clamps or alu lift profiles</t>
  </si>
  <si>
    <t>Volumous shipping</t>
  </si>
  <si>
    <t>Easier to make a water and air-tight construction, ex FSW first then inflate</t>
  </si>
  <si>
    <t>Worse heat conductivity</t>
  </si>
  <si>
    <t>More design freedom to shape and reshape</t>
  </si>
  <si>
    <t>More space on the float</t>
  </si>
  <si>
    <t>Higher buoyancy</t>
  </si>
  <si>
    <t>Single float, dimples, no through, slight tilt, no infill, float does not extend</t>
  </si>
  <si>
    <t>Very little material usage</t>
  </si>
  <si>
    <t>Hetreogenous heat conduction (?)</t>
  </si>
  <si>
    <t>Lightweight- better for production</t>
  </si>
  <si>
    <t>Harder to protect against electrical faults</t>
  </si>
  <si>
    <t>lightweight - installation/deployment</t>
  </si>
  <si>
    <t>Less robust</t>
  </si>
  <si>
    <t>More heat conductive</t>
  </si>
  <si>
    <t>Less buoyancy</t>
  </si>
  <si>
    <t>Price</t>
  </si>
  <si>
    <t>Less options for changing panel in the field</t>
  </si>
  <si>
    <t>Less volumous shipping</t>
  </si>
  <si>
    <t>Worse regarding warranty</t>
  </si>
  <si>
    <t>Enables bespoke frame/hinge integration</t>
  </si>
  <si>
    <t>Hinge attached to float, single hinge, brackety, no reinforcement, PU</t>
  </si>
  <si>
    <t>Based on current experience and work</t>
  </si>
  <si>
    <t>Single point of force distribution</t>
  </si>
  <si>
    <t>Simple hinge - no reinforcement</t>
  </si>
  <si>
    <t>Many different components - stuff lost at site, stuff that can break, logistics, production time</t>
  </si>
  <si>
    <t>Flexibility, can change hinges easily</t>
  </si>
  <si>
    <t>Might allow whipping actions</t>
  </si>
  <si>
    <t>Low UV exposure</t>
  </si>
  <si>
    <t>More challenging to withstand compression</t>
  </si>
  <si>
    <t>Cheap (casting, metal brackets)</t>
  </si>
  <si>
    <t>Fastened on a thin part of the floating unit rather than a thick part</t>
  </si>
  <si>
    <t>Brackets enable force distribution on the float</t>
  </si>
  <si>
    <t>Many or few - flexible</t>
  </si>
  <si>
    <t>Can avoid force on the float</t>
  </si>
  <si>
    <t>Hinge attached to panel, full side of float hinge, no brackets, reinforced, PU</t>
  </si>
  <si>
    <t>Homogenous distribution of force</t>
  </si>
  <si>
    <t>Challenging tooling x2</t>
  </si>
  <si>
    <t>Disallows splashing</t>
  </si>
  <si>
    <t>Force goes directly into the panel</t>
  </si>
  <si>
    <t>Offers buoyancy</t>
  </si>
  <si>
    <t>Does not handle twisting well</t>
  </si>
  <si>
    <t>Prevents compression effectively</t>
  </si>
  <si>
    <t>Impossible to change a float or PV</t>
  </si>
  <si>
    <t>Skip fastening of alu sheet to panel frame (potentially)</t>
  </si>
  <si>
    <t xml:space="preserve">Protects from water intgress via the MC4 cable </t>
  </si>
  <si>
    <t xml:space="preserve">Half hinge </t>
  </si>
  <si>
    <t>Separate frame and float</t>
  </si>
  <si>
    <t>Double alu sheet</t>
  </si>
  <si>
    <t>Through</t>
  </si>
  <si>
    <t>Air</t>
  </si>
  <si>
    <t>Roped hinges</t>
  </si>
  <si>
    <t>Slight tilt</t>
  </si>
  <si>
    <t>Rope</t>
  </si>
  <si>
    <t>PU</t>
  </si>
  <si>
    <t>Under frame</t>
  </si>
  <si>
    <t>No rope</t>
  </si>
  <si>
    <t>Individual hinges</t>
  </si>
  <si>
    <t>Brackets joined to frame</t>
  </si>
  <si>
    <t>Frame connected</t>
  </si>
  <si>
    <t>Alongside MC4s</t>
  </si>
  <si>
    <t>Cylindrical buoy</t>
  </si>
  <si>
    <t>Via hinge system</t>
  </si>
  <si>
    <t>Bow shaped buoy</t>
  </si>
  <si>
    <t>Cylindrical</t>
  </si>
  <si>
    <t>Same as float but with alu treadplates</t>
  </si>
  <si>
    <t>Metal clip</t>
  </si>
  <si>
    <t>Same as stream protection</t>
  </si>
  <si>
    <t>None (part of mooring)</t>
  </si>
  <si>
    <t>Barge</t>
  </si>
  <si>
    <t>One by one</t>
  </si>
  <si>
    <t>Built into material</t>
  </si>
  <si>
    <t>Horizontal</t>
  </si>
  <si>
    <t>Same as rest of FPV</t>
  </si>
  <si>
    <t>Replace with : edge joining = clinch</t>
  </si>
  <si>
    <t>Polystyrene</t>
  </si>
  <si>
    <t>Infill exact cutout</t>
  </si>
  <si>
    <t>Brackets joined to float</t>
  </si>
  <si>
    <t>Frame integrated float</t>
  </si>
  <si>
    <t>Single alu sheet</t>
  </si>
  <si>
    <t>Dimples</t>
  </si>
  <si>
    <t>Through frame</t>
  </si>
  <si>
    <t>Along full edge of float</t>
  </si>
  <si>
    <t>Wrap around panel frame</t>
  </si>
  <si>
    <t>PVC pipe</t>
  </si>
  <si>
    <t>Some</t>
  </si>
  <si>
    <t>Vertical</t>
  </si>
  <si>
    <t xml:space="preserve">Create LS Dyna simulations for hinge. Must be able to take a parameterized cad model (freecad is best) and create a set of output parameters and a score from 0 to 1. </t>
  </si>
  <si>
    <t>Calculate hinge with octopatch for Surewave</t>
  </si>
  <si>
    <t>Calculate hinge with oring design</t>
  </si>
  <si>
    <t>Create fatigue tests for any hinge. LS Dyna? Another tool? IFE?</t>
  </si>
  <si>
    <t>Create hinge sample for physical testing by Sintef in chinese material</t>
  </si>
  <si>
    <t>Create miniature of current octopatch design for wave tank testing</t>
  </si>
  <si>
    <t>Test fluid forming pressing DIY like punch die</t>
  </si>
  <si>
    <t>Fluid forming pressing DIY from tip</t>
  </si>
  <si>
    <t>Double sheet fluid forming pressing DIY</t>
  </si>
  <si>
    <t>Test buoyancy of miniature octopatch with float</t>
  </si>
  <si>
    <t>Decide on how to get cable through frame in a water-tight manner</t>
  </si>
  <si>
    <t>Get quotes for honeycomb and polystyrene</t>
  </si>
  <si>
    <t>Research PU Foam and test design tests for water integrity</t>
  </si>
  <si>
    <t>Research need for "mattress" under glass glass solar panel on different underlying solutions (honeycomb, cups, pu foam, polystyrene, alu sheet)</t>
  </si>
  <si>
    <t>Research connection method for flat aluminum om alu frame</t>
  </si>
  <si>
    <t>HOW</t>
  </si>
  <si>
    <t>Sourcing a PV panel with high quality level</t>
  </si>
  <si>
    <t>Decide of an angle towards the sun</t>
  </si>
  <si>
    <t xml:space="preserve">How </t>
  </si>
  <si>
    <t>Certiication</t>
  </si>
  <si>
    <t>Clear out with supplier what is posible to touch before breaking certification</t>
  </si>
  <si>
    <t>Investagate the certification specification (IEC, and UL) to see if there are voiding conditions</t>
  </si>
  <si>
    <t>How</t>
  </si>
  <si>
    <t xml:space="preserve">floating hinge </t>
  </si>
  <si>
    <t xml:space="preserve">Using the PV+frame as a float </t>
  </si>
  <si>
    <t xml:space="preserve">1 hydroformed trofe, 2 HF trofes, with different infils, </t>
  </si>
  <si>
    <t>Strucutral integraity of the assembled matrix</t>
  </si>
  <si>
    <t>Saussage on the matrix edge</t>
  </si>
  <si>
    <t>Marine PU foam inside the float it self</t>
  </si>
  <si>
    <t>Heighten the PV above the water line</t>
  </si>
  <si>
    <t xml:space="preserve">Extra protecting box with PM </t>
  </si>
  <si>
    <t>Protect the Cables going in and out of the float</t>
  </si>
  <si>
    <t>Is mechanically attached</t>
  </si>
  <si>
    <t>Tensile strength, shear strength, compression strength, fatigue strength safety value pass.</t>
  </si>
  <si>
    <t>LS dyna simu</t>
  </si>
  <si>
    <t>optimze parameters</t>
  </si>
  <si>
    <t>Tensile str</t>
  </si>
  <si>
    <t>Lab testing by SINTEF</t>
  </si>
  <si>
    <t>Shear str</t>
  </si>
  <si>
    <t>compression str</t>
  </si>
  <si>
    <t>Design a stream breaking bow potentially buoyant</t>
  </si>
  <si>
    <t>Simulate "</t>
  </si>
  <si>
    <t>Source a product out of the shelve</t>
  </si>
  <si>
    <r>
      <rPr>
        <rFont val="Arial"/>
        <color rgb="FF000000"/>
      </rPr>
      <t>Keep design open to different standard size</t>
    </r>
  </si>
  <si>
    <t>Assess the PV on the market (EU, CN and US)</t>
  </si>
  <si>
    <t>How / Sub fonction</t>
  </si>
  <si>
    <r>
      <rPr>
        <rFont val="Arial"/>
        <color rgb="FF000000"/>
        <sz val="11.0"/>
      </rPr>
      <t>Resists high wind</t>
    </r>
  </si>
  <si>
    <t>profile low and no wind traps</t>
  </si>
  <si>
    <t>Avoid lift</t>
  </si>
  <si>
    <t>Safety factor for wind induced load</t>
  </si>
  <si>
    <t>CFD wind software</t>
  </si>
  <si>
    <t>Resists waves</t>
  </si>
  <si>
    <r>
      <rPr>
        <rFont val="Arial"/>
        <color rgb="FF000000"/>
      </rPr>
      <t>linked to the hinges and the strucutral integrity of the float</t>
    </r>
  </si>
  <si>
    <t>Work with MARIN (From Surewave) to evaluate the new loads on a matrix of different sizes</t>
  </si>
  <si>
    <t>safety factor for the hinge performances</t>
  </si>
  <si>
    <t>Apply those loads to a simulation and check that our hinge system validates the safety factor</t>
  </si>
  <si>
    <t>Resist wave up to 1.5 Hs</t>
  </si>
  <si>
    <t>Possibly an external consultancy</t>
  </si>
  <si>
    <r>
      <rPr>
        <rFont val="Arial"/>
        <color rgb="FF000000"/>
      </rPr>
      <t>As cheap or cheaper than competitors CAPEX wise (now 250€/kWp)</t>
    </r>
  </si>
  <si>
    <t>Cheap PV compared to kWp output</t>
  </si>
  <si>
    <t>Cheap float</t>
  </si>
  <si>
    <t xml:space="preserve">Simplest assembly </t>
  </si>
  <si>
    <t>Number of components should be low</t>
  </si>
  <si>
    <t>Number of assembly steps should be low</t>
  </si>
  <si>
    <t>Cost of extra component should be low</t>
  </si>
  <si>
    <t>Keep frakt lowest</t>
  </si>
  <si>
    <t>Cheap infrastructure for prod</t>
  </si>
  <si>
    <t>Must resist corrosion and constant movement (fatigue)</t>
  </si>
  <si>
    <t>develop and reinforce the mainnheim system</t>
  </si>
  <si>
    <t xml:space="preserve">Attachment </t>
  </si>
  <si>
    <t>Guide over the FPV</t>
  </si>
  <si>
    <t xml:space="preserve">Function </t>
  </si>
  <si>
    <t>Ease of operation</t>
  </si>
  <si>
    <t>Infrastrucutre costs</t>
  </si>
  <si>
    <t>Components costs</t>
  </si>
  <si>
    <t>Durability</t>
  </si>
  <si>
    <t>water protection</t>
  </si>
  <si>
    <t>Mooring</t>
  </si>
  <si>
    <t>System must remain in place safely</t>
  </si>
  <si>
    <t>Design a mooring system for stream water</t>
  </si>
  <si>
    <t>Design a mooring system for nearshore/offshore water</t>
  </si>
  <si>
    <t>Design a mooring system for still water</t>
  </si>
  <si>
    <t xml:space="preserve">No overpressure </t>
  </si>
  <si>
    <t>Exhaust hole in float</t>
  </si>
  <si>
    <t>No cavity</t>
  </si>
  <si>
    <t>QA on production</t>
  </si>
  <si>
    <r>
      <rPr>
        <rFont val="Arial"/>
        <color rgb="FF1F1F1F"/>
      </rPr>
      <t>Can walk on it</t>
    </r>
  </si>
  <si>
    <r>
      <rPr>
        <rFont val="Arial"/>
        <color rgb="FF1F1F1F"/>
      </rPr>
      <t>Avoid microcrack when walking on it and float matrix must be stable</t>
    </r>
  </si>
  <si>
    <t>Chose a glass/glass PV</t>
  </si>
  <si>
    <t>Must be possible to assemble in Askim</t>
  </si>
  <si>
    <t>Processes compatible with mass production</t>
  </si>
  <si>
    <t>should be exportable to the US. Objective: 90 to 900 floats per weeks for 2 people</t>
  </si>
  <si>
    <t>Processes compatible with organic production</t>
  </si>
  <si>
    <r>
      <rPr>
        <rFont val="Arial"/>
        <color rgb="FF000000"/>
        <sz val="11.0"/>
      </rPr>
      <t>Fast to install</t>
    </r>
  </si>
  <si>
    <t xml:space="preserve">Plug and play electrically,  </t>
  </si>
  <si>
    <t>Use standard connectors</t>
  </si>
  <si>
    <t>Objective: 20 kW installed per Man/hour,</t>
  </si>
  <si>
    <t>Ensure ease of handling</t>
  </si>
  <si>
    <t>Light FPV carried by 2 ppl</t>
  </si>
  <si>
    <t>Ensure personnel safety</t>
  </si>
  <si>
    <t>No tools</t>
  </si>
  <si>
    <t>Ensure equipment safety</t>
  </si>
  <si>
    <t>Product v2 development timeline</t>
  </si>
  <si>
    <t>PROJECT TITLE</t>
  </si>
  <si>
    <t>Product B development</t>
  </si>
  <si>
    <t>COMPANY NAME</t>
  </si>
  <si>
    <t>Sunlit Sea</t>
  </si>
  <si>
    <t>PROJECT MANAGER</t>
  </si>
  <si>
    <t>Eirik Larsen</t>
  </si>
  <si>
    <t>DATE</t>
  </si>
  <si>
    <t>PHASE ONE: Conception</t>
  </si>
  <si>
    <t>PHASE TWO: Simulation</t>
  </si>
  <si>
    <t>PHASE THREE: Prototyping</t>
  </si>
  <si>
    <t>PHASE FOUR: Final test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</si>
  <si>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</si>
  <si>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</si>
  <si>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</si>
  <si>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</si>
  <si>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</si>
  <si>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</si>
  <si>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</si>
  <si>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</si>
  <si>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</si>
  <si>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</si>
  <si>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</si>
  <si>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</si>
  <si>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TASK OWNER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</si>
</sst>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sz val="11.0"/>
      <color theme="1"/>
      <name val="Arial"/>
      <scheme val="minor"/>
    </font>
    <font>
      <sz val="7.0"/>
      <color theme="1"/>
      <name val="Arial"/>
      <scheme val="minor"/>
    </font>
    <font>
      <sz val="7.0"/>
      <color rgb="FFB7E1CD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sz val="10.0"/>
      <color theme="1"/>
      <name val="Arial"/>
      <scheme val="minor"/>
    </font>
    <font>
      <b/>
      <sz val="30.0"/>
      <color rgb="FF0B5394"/>
      <name val="Roboto"/>
    </font>
    <font/>
    <font>
      <b/>
      <color rgb="FF666666"/>
      <name val="Roboto"/>
    </font>
    <font>
      <color rgb="FF999999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9.0"/>
      <color rgb="FF000000"/>
      <name val="Roboto"/>
    </font>
    <font>
      <b/>
      <sz val="11.0"/>
      <color rgb="FF000000"/>
      <name val="Roboto"/>
    </font>
  </fonts>
  <fills count="2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</fills>
  <borders count="17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Font="1"/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0" xfId="0" applyFont="1"/>
    <xf borderId="0" fillId="0" fontId="6" numFmtId="0" xfId="0" applyAlignment="1" applyFont="1">
      <alignment readingOrder="0"/>
    </xf>
    <xf borderId="0" fillId="0" fontId="5" numFmtId="0" xfId="0" applyFont="1"/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quotePrefix="1" borderId="0" fillId="0" fontId="1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2" fontId="7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9" numFmtId="0" xfId="0" applyFont="1"/>
    <xf borderId="1" fillId="3" fontId="10" numFmtId="0" xfId="0" applyAlignment="1" applyBorder="1" applyFill="1" applyFont="1">
      <alignment readingOrder="0"/>
    </xf>
    <xf borderId="1" fillId="0" fontId="11" numFmtId="0" xfId="0" applyBorder="1" applyFont="1"/>
    <xf borderId="1" fillId="3" fontId="3" numFmtId="0" xfId="0" applyBorder="1" applyFont="1"/>
    <xf borderId="0" fillId="3" fontId="3" numFmtId="0" xfId="0" applyFont="1"/>
    <xf borderId="0" fillId="0" fontId="3" numFmtId="0" xfId="0" applyFont="1"/>
    <xf borderId="2" fillId="0" fontId="12" numFmtId="0" xfId="0" applyBorder="1" applyFont="1"/>
    <xf borderId="2" fillId="0" fontId="11" numFmtId="0" xfId="0" applyBorder="1" applyFont="1"/>
    <xf borderId="2" fillId="3" fontId="13" numFmtId="0" xfId="0" applyBorder="1" applyFont="1"/>
    <xf borderId="2" fillId="0" fontId="13" numFmtId="0" xfId="0" applyBorder="1" applyFont="1"/>
    <xf borderId="0" fillId="0" fontId="3" numFmtId="0" xfId="0" applyAlignment="1" applyFont="1">
      <alignment vertical="bottom"/>
    </xf>
    <xf borderId="2" fillId="0" fontId="13" numFmtId="164" xfId="0" applyBorder="1" applyFont="1" applyNumberFormat="1"/>
    <xf borderId="2" fillId="0" fontId="3" numFmtId="0" xfId="0" applyAlignment="1" applyBorder="1" applyFont="1">
      <alignment vertical="bottom"/>
    </xf>
    <xf borderId="0" fillId="4" fontId="14" numFmtId="0" xfId="0" applyAlignment="1" applyFill="1" applyFont="1">
      <alignment horizontal="center" readingOrder="0" shrinkToFit="0" wrapText="1"/>
    </xf>
    <xf borderId="0" fillId="4" fontId="14" numFmtId="0" xfId="0" applyAlignment="1" applyFont="1">
      <alignment horizontal="center" shrinkToFit="0" wrapText="1"/>
    </xf>
    <xf borderId="3" fillId="5" fontId="15" numFmtId="0" xfId="0" applyAlignment="1" applyBorder="1" applyFill="1" applyFont="1">
      <alignment horizontal="center"/>
    </xf>
    <xf borderId="3" fillId="6" fontId="15" numFmtId="0" xfId="0" applyAlignment="1" applyBorder="1" applyFill="1" applyFont="1">
      <alignment horizontal="center"/>
    </xf>
    <xf borderId="3" fillId="7" fontId="15" numFmtId="0" xfId="0" applyAlignment="1" applyBorder="1" applyFill="1" applyFont="1">
      <alignment horizontal="center"/>
    </xf>
    <xf borderId="3" fillId="8" fontId="15" numFmtId="0" xfId="0" applyAlignment="1" applyBorder="1" applyFill="1" applyFont="1">
      <alignment horizontal="center"/>
    </xf>
    <xf borderId="4" fillId="0" fontId="11" numFmtId="0" xfId="0" applyBorder="1" applyFont="1"/>
    <xf borderId="5" fillId="9" fontId="15" numFmtId="0" xfId="0" applyAlignment="1" applyBorder="1" applyFill="1" applyFont="1">
      <alignment horizontal="center"/>
    </xf>
    <xf borderId="6" fillId="0" fontId="11" numFmtId="0" xfId="0" applyBorder="1" applyFont="1"/>
    <xf borderId="7" fillId="0" fontId="11" numFmtId="0" xfId="0" applyBorder="1" applyFont="1"/>
    <xf borderId="5" fillId="10" fontId="15" numFmtId="0" xfId="0" applyAlignment="1" applyBorder="1" applyFill="1" applyFont="1">
      <alignment horizontal="center"/>
    </xf>
    <xf borderId="5" fillId="11" fontId="15" numFmtId="0" xfId="0" applyAlignment="1" applyBorder="1" applyFill="1" applyFont="1">
      <alignment horizontal="center"/>
    </xf>
    <xf borderId="5" fillId="12" fontId="15" numFmtId="0" xfId="0" applyAlignment="1" applyBorder="1" applyFill="1" applyFont="1">
      <alignment horizontal="center"/>
    </xf>
    <xf borderId="8" fillId="13" fontId="16" numFmtId="0" xfId="0" applyAlignment="1" applyBorder="1" applyFill="1" applyFont="1">
      <alignment horizontal="center"/>
    </xf>
    <xf borderId="8" fillId="14" fontId="16" numFmtId="0" xfId="0" applyAlignment="1" applyBorder="1" applyFill="1" applyFont="1">
      <alignment horizontal="center"/>
    </xf>
    <xf borderId="8" fillId="15" fontId="16" numFmtId="0" xfId="0" applyAlignment="1" applyBorder="1" applyFill="1" applyFont="1">
      <alignment horizontal="center"/>
    </xf>
    <xf borderId="8" fillId="16" fontId="16" numFmtId="0" xfId="0" applyAlignment="1" applyBorder="1" applyFill="1" applyFont="1">
      <alignment horizontal="center"/>
    </xf>
    <xf borderId="9" fillId="17" fontId="17" numFmtId="0" xfId="0" applyAlignment="1" applyBorder="1" applyFill="1" applyFont="1">
      <alignment shrinkToFit="0" wrapText="1"/>
    </xf>
    <xf borderId="9" fillId="17" fontId="3" numFmtId="0" xfId="0" applyBorder="1" applyFont="1"/>
    <xf borderId="0" fillId="17" fontId="3" numFmtId="0" xfId="0" applyAlignment="1" applyFont="1">
      <alignment horizontal="center" readingOrder="0" vertical="center"/>
    </xf>
    <xf borderId="0" fillId="17" fontId="3" numFmtId="0" xfId="0" applyFont="1"/>
    <xf borderId="0" fillId="17" fontId="3" numFmtId="165" xfId="0" applyFont="1" applyNumberFormat="1"/>
    <xf borderId="0" fillId="17" fontId="3" numFmtId="3" xfId="0" applyFont="1" applyNumberFormat="1"/>
    <xf borderId="10" fillId="0" fontId="3" numFmtId="0" xfId="0" applyBorder="1" applyFont="1"/>
    <xf borderId="0" fillId="0" fontId="3" numFmtId="0" xfId="0" applyAlignment="1" applyFont="1">
      <alignment horizontal="center" readingOrder="0" vertical="center"/>
    </xf>
    <xf borderId="11" fillId="0" fontId="3" numFmtId="0" xfId="0" applyAlignment="1" applyBorder="1" applyFont="1">
      <alignment readingOrder="0"/>
    </xf>
    <xf borderId="12" fillId="0" fontId="3" numFmtId="165" xfId="0" applyAlignment="1" applyBorder="1" applyFont="1" applyNumberFormat="1">
      <alignment readingOrder="0"/>
    </xf>
    <xf borderId="12" fillId="0" fontId="3" numFmtId="0" xfId="0" applyAlignment="1" applyBorder="1" applyFont="1">
      <alignment readingOrder="0"/>
    </xf>
    <xf borderId="12" fillId="0" fontId="3" numFmtId="0" xfId="0" applyBorder="1" applyFont="1"/>
    <xf borderId="12" fillId="18" fontId="3" numFmtId="0" xfId="0" applyBorder="1" applyFill="1" applyFont="1"/>
    <xf borderId="12" fillId="19" fontId="3" numFmtId="0" xfId="0" applyBorder="1" applyFill="1" applyFont="1"/>
    <xf borderId="13" fillId="0" fontId="3" numFmtId="0" xfId="0" applyBorder="1" applyFont="1"/>
    <xf borderId="14" fillId="0" fontId="3" numFmtId="0" xfId="0" applyAlignment="1" applyBorder="1" applyFont="1">
      <alignment readingOrder="0"/>
    </xf>
    <xf borderId="15" fillId="0" fontId="3" numFmtId="165" xfId="0" applyAlignment="1" applyBorder="1" applyFont="1" applyNumberFormat="1">
      <alignment readingOrder="0"/>
    </xf>
    <xf borderId="15" fillId="0" fontId="3" numFmtId="0" xfId="0" applyBorder="1" applyFont="1"/>
    <xf borderId="15" fillId="18" fontId="3" numFmtId="0" xfId="0" applyBorder="1" applyFont="1"/>
    <xf borderId="15" fillId="19" fontId="3" numFmtId="0" xfId="0" applyBorder="1" applyFont="1"/>
    <xf borderId="16" fillId="0" fontId="3" numFmtId="0" xfId="0" applyBorder="1" applyFont="1"/>
    <xf borderId="14" fillId="0" fontId="3" numFmtId="9" xfId="0" applyBorder="1" applyFont="1" applyNumberFormat="1"/>
    <xf borderId="15" fillId="0" fontId="3" numFmtId="165" xfId="0" applyBorder="1" applyFont="1" applyNumberFormat="1"/>
    <xf borderId="15" fillId="20" fontId="3" numFmtId="0" xfId="0" applyBorder="1" applyFill="1" applyFont="1"/>
    <xf borderId="15" fillId="21" fontId="3" numFmtId="0" xfId="0" applyBorder="1" applyFill="1" applyFont="1"/>
    <xf borderId="0" fillId="0" fontId="3" numFmtId="9" xfId="0" applyFont="1" applyNumberFormat="1"/>
    <xf borderId="0" fillId="0" fontId="3" numFmtId="165" xfId="0" applyFont="1" applyNumberFormat="1"/>
    <xf borderId="0" fillId="21" fontId="3" numFmtId="0" xfId="0" applyFont="1"/>
    <xf borderId="0" fillId="18" fontId="3" numFmtId="0" xfId="0" applyFont="1"/>
    <xf borderId="0" fillId="19" fontId="3" numFmtId="0" xfId="0" applyFont="1"/>
    <xf borderId="9" fillId="17" fontId="3" numFmtId="0" xfId="0" applyAlignment="1" applyBorder="1" applyFont="1">
      <alignment readingOrder="0"/>
    </xf>
    <xf borderId="15" fillId="0" fontId="3" numFmtId="0" xfId="0" applyAlignment="1" applyBorder="1" applyFont="1">
      <alignment readingOrder="0"/>
    </xf>
    <xf borderId="11" fillId="0" fontId="3" numFmtId="9" xfId="0" applyBorder="1" applyFont="1" applyNumberFormat="1"/>
    <xf borderId="12" fillId="0" fontId="3" numFmtId="165" xfId="0" applyBorder="1" applyFont="1" applyNumberFormat="1"/>
    <xf borderId="12" fillId="21" fontId="3" numFmtId="0" xfId="0" applyBorder="1" applyFont="1"/>
    <xf borderId="0" fillId="20" fontId="3" numFmtId="0" xfId="0" applyFont="1"/>
    <xf borderId="12" fillId="20" fontId="3" numFmtId="0" xfId="0" applyBorder="1" applyFont="1"/>
    <xf borderId="0" fillId="17" fontId="3" numFmtId="0" xfId="0" applyAlignment="1" applyFont="1">
      <alignment horizontal="center" vertical="center"/>
    </xf>
    <xf borderId="0" fillId="0" fontId="3" numFmtId="9" xfId="0" applyAlignment="1" applyFont="1" applyNumberFormat="1">
      <alignment horizontal="center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9">
    <tableStyle count="4" pivot="0" name="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nction - criteria - Solutio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P1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P2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C1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C2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C3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C4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C5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C6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C7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C8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C9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C10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C11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C12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S1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S2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S3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>
  <Task id="{4f876c6a-ddd8-47f3-b1af-3cbbebc22f8c}">
    <Anchor>
      <Comment id="{8adb0137-10e9-4820-ae7d-de54b7b7da94}"/>
    </Anchor>
    <History>
      <Event time="2024-09-02T12:18:20.00" id="{7a09282c-7ef6-4bf9-b473-bc32c73de19d}">
        <Attribution userId="placeholder@email.com" userName="Eirik Larsen" userProvider="google-sheets"/>
        <Anchor>
          <Comment id="{8adb0137-10e9-4820-ae7d-de54b7b7da94}"/>
        </Anchor>
        <Create/>
      </Event>
      <Event time="2024-09-02T12:18:20.00" id="{740b1058-8c04-4f25-a48d-e7c10c5e0738}">
        <Attribution userId="placeholder@email.com" userName="Eirik Larsen" userProvider="google-sheets"/>
        <Anchor>
          <Comment id="{8adb0137-10e9-4820-ae7d-de54b7b7da94}"/>
        </Anchor>
        <Assign userId="per@sunlitsea.no" userName="per@sunlitsea.no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irik Larsen" id="{659a41de-721f-4410-a63c-c41da955f697}" providerId="google-sheets"/>
  <x18tc:person displayName="per@sunlitsea.no" id="{8ca53d7f-9af7-48a1-a2de-5b55d5c666c6}" userId="per@sunlitsea.no" providerId="google-sheets"/>
</x18tc:personList>
</file>

<file path=xl/tables/table1.xml><?xml version="1.0" encoding="utf-8"?>
<table xmlns="http://schemas.openxmlformats.org/spreadsheetml/2006/main" ref="A1:F36" displayName="Product_prioritization1" name="Product_prioritization1" id="1">
  <tableColumns count="6">
    <tableColumn name="Feature" id="1"/>
    <tableColumn name="Priority" id="2"/>
    <tableColumn name="Status" id="3"/>
    <tableColumn name="Owner" id="4"/>
    <tableColumn name="Time period" id="5"/>
    <tableColumn name="Notes" id="6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ref="A1:G18" displayName="Table18" name="Table18" id="2">
  <tableColumns count="7">
    <tableColumn name="Column 1" id="1"/>
    <tableColumn name="Names" id="2"/>
    <tableColumn name="Functions" id="3"/>
    <tableColumn name="Prio" id="4"/>
    <tableColumn name="Criteria" id="5"/>
    <tableColumn name="Solutions" id="6"/>
    <tableColumn name="Comment" id="7"/>
  </tableColumns>
  <tableStyleInfo name="Function - criteria - Solution-style" showColumnStripes="0" showFirstColumn="1" showLastColumn="1" showRowStripes="1"/>
</table>
</file>

<file path=xl/tables/table3.xml><?xml version="1.0" encoding="utf-8"?>
<table xmlns="http://schemas.openxmlformats.org/spreadsheetml/2006/main" ref="A1:C5" displayName="Table2" name="Table2" id="3">
  <tableColumns count="3">
    <tableColumn name="Function" id="1"/>
    <tableColumn name="Criteria" id="2"/>
    <tableColumn name="HOW" id="3"/>
  </tableColumns>
  <tableStyleInfo name="FP1-style" showColumnStripes="0" showFirstColumn="1" showLastColumn="1" showRowStripes="1"/>
</table>
</file>

<file path=xl/tables/table4.xml><?xml version="1.0" encoding="utf-8"?>
<table xmlns="http://schemas.openxmlformats.org/spreadsheetml/2006/main" ref="A1:C4" displayName="Table3" name="Table3" id="4">
  <tableColumns count="3">
    <tableColumn name="Function" id="1"/>
    <tableColumn name="Criteria" id="2"/>
    <tableColumn name="How " id="3"/>
  </tableColumns>
  <tableStyleInfo name="FP2-style" showColumnStripes="0" showFirstColumn="1" showLastColumn="1" showRowStripes="1"/>
</table>
</file>

<file path=xl/tables/table5.xml><?xml version="1.0" encoding="utf-8"?>
<table xmlns="http://schemas.openxmlformats.org/spreadsheetml/2006/main" ref="A1:C10" displayName="Table4" name="Table4" id="5">
  <tableColumns count="3">
    <tableColumn name="Function" id="1"/>
    <tableColumn name="Criteria" id="2"/>
    <tableColumn name="How" id="3"/>
  </tableColumns>
  <tableStyleInfo name="FC1-style" showColumnStripes="0" showFirstColumn="1" showLastColumn="1" showRowStripes="1"/>
</table>
</file>

<file path=xl/tables/table6.xml><?xml version="1.0" encoding="utf-8"?>
<table xmlns="http://schemas.openxmlformats.org/spreadsheetml/2006/main" ref="A1:C8" displayName="Table5" name="Table5" id="6">
  <tableColumns count="3">
    <tableColumn name="Function" id="1"/>
    <tableColumn name="Criteria" id="2"/>
    <tableColumn name="How" id="3"/>
  </tableColumns>
  <tableStyleInfo name="FC2-style" showColumnStripes="0" showFirstColumn="1" showLastColumn="1" showRowStripes="1"/>
</table>
</file>

<file path=xl/tables/table7.xml><?xml version="1.0" encoding="utf-8"?>
<table xmlns="http://schemas.openxmlformats.org/spreadsheetml/2006/main" ref="A1:C12" displayName="Table6" name="Table6" id="7">
  <tableColumns count="3">
    <tableColumn name="Function" id="1"/>
    <tableColumn name="Criteria" id="2"/>
    <tableColumn name="How " id="3"/>
  </tableColumns>
  <tableStyleInfo name="FC3-style" showColumnStripes="0" showFirstColumn="1" showLastColumn="1" showRowStripes="1"/>
</table>
</file>

<file path=xl/tables/table8.xml><?xml version="1.0" encoding="utf-8"?>
<table xmlns="http://schemas.openxmlformats.org/spreadsheetml/2006/main" ref="A1:C6" displayName="Table1" name="Table1" id="8">
  <tableColumns count="3">
    <tableColumn name="Function" id="1"/>
    <tableColumn name="Criteria" id="2"/>
    <tableColumn name="How" id="3"/>
  </tableColumns>
  <tableStyleInfo name="FC4-style" showColumnStripes="0" showFirstColumn="1" showLastColumn="1" showRowStripes="1"/>
</table>
</file>

<file path=xl/tables/table9.xml><?xml version="1.0" encoding="utf-8"?>
<table xmlns="http://schemas.openxmlformats.org/spreadsheetml/2006/main" ref="A1:C4" displayName="Table7" name="Table7" id="9">
  <tableColumns count="3">
    <tableColumn name="Function" id="1"/>
    <tableColumn name="Criteria" id="2"/>
    <tableColumn name="How " id="3"/>
  </tableColumns>
  <tableStyleInfo name="FC5-style" showColumnStripes="0" showFirstColumn="1" showLastColumn="1" showRowStripes="1"/>
</table>
</file>

<file path=xl/tables/table10.xml><?xml version="1.0" encoding="utf-8"?>
<table xmlns="http://schemas.openxmlformats.org/spreadsheetml/2006/main" ref="A1:C4" displayName="Table8" name="Table8" id="10">
  <tableColumns count="3">
    <tableColumn name="Function" id="1"/>
    <tableColumn name="Criteria" id="2"/>
    <tableColumn name="How / Sub fonction" id="3"/>
  </tableColumns>
  <tableStyleInfo name="FC6-style" showColumnStripes="0" showFirstColumn="1" showLastColumn="1" showRowStripes="1"/>
</table>
</file>

<file path=xl/tables/table11.xml><?xml version="1.0" encoding="utf-8"?>
<table xmlns="http://schemas.openxmlformats.org/spreadsheetml/2006/main" ref="A1:C5" displayName="Table9" name="Table9" id="11">
  <tableColumns count="3">
    <tableColumn name="Function" id="1"/>
    <tableColumn name="Criteria" id="2"/>
    <tableColumn name="How" id="3"/>
  </tableColumns>
  <tableStyleInfo name="FC7-style" showColumnStripes="0" showFirstColumn="1" showLastColumn="1" showRowStripes="1"/>
</table>
</file>

<file path=xl/tables/table12.xml><?xml version="1.0" encoding="utf-8"?>
<table xmlns="http://schemas.openxmlformats.org/spreadsheetml/2006/main" ref="A1:C9" displayName="Table10" name="Table10" id="12">
  <tableColumns count="3">
    <tableColumn name="Function" id="1"/>
    <tableColumn name="Criteria" id="2"/>
    <tableColumn name="How " id="3"/>
  </tableColumns>
  <tableStyleInfo name="FC8-style" showColumnStripes="0" showFirstColumn="1" showLastColumn="1" showRowStripes="1"/>
</table>
</file>

<file path=xl/tables/table13.xml><?xml version="1.0" encoding="utf-8"?>
<table xmlns="http://schemas.openxmlformats.org/spreadsheetml/2006/main" ref="A1:C4" displayName="Table11" name="Table11" id="13">
  <tableColumns count="3">
    <tableColumn name="Function" id="1"/>
    <tableColumn name="Criteria" id="2"/>
    <tableColumn name="How" id="3"/>
  </tableColumns>
  <tableStyleInfo name="FC9-style" showColumnStripes="0" showFirstColumn="1" showLastColumn="1" showRowStripes="1"/>
</table>
</file>

<file path=xl/tables/table14.xml><?xml version="1.0" encoding="utf-8"?>
<table xmlns="http://schemas.openxmlformats.org/spreadsheetml/2006/main" ref="A1:C6" displayName="Table12" name="Table12" id="14">
  <tableColumns count="3">
    <tableColumn name="Function " id="1"/>
    <tableColumn name="Criteria" id="2"/>
    <tableColumn name="How" id="3"/>
  </tableColumns>
  <tableStyleInfo name="FC10-style" showColumnStripes="0" showFirstColumn="1" showLastColumn="1" showRowStripes="1"/>
</table>
</file>

<file path=xl/tables/table15.xml><?xml version="1.0" encoding="utf-8"?>
<table xmlns="http://schemas.openxmlformats.org/spreadsheetml/2006/main" ref="A1:C4" displayName="Table13" name="Table13" id="15">
  <tableColumns count="3">
    <tableColumn name="Function" id="1"/>
    <tableColumn name="Criteria" id="2"/>
    <tableColumn name="How" id="3"/>
  </tableColumns>
  <tableStyleInfo name="FC11-style" showColumnStripes="0" showFirstColumn="1" showLastColumn="1" showRowStripes="1"/>
</table>
</file>

<file path=xl/tables/table16.xml><?xml version="1.0" encoding="utf-8"?>
<table xmlns="http://schemas.openxmlformats.org/spreadsheetml/2006/main" ref="A1:C3" displayName="Table14" name="Table14" id="16">
  <tableColumns count="3">
    <tableColumn name="Function" id="1"/>
    <tableColumn name="Criteria" id="2"/>
    <tableColumn name="How" id="3"/>
  </tableColumns>
  <tableStyleInfo name="FC12-style" showColumnStripes="0" showFirstColumn="1" showLastColumn="1" showRowStripes="1"/>
</table>
</file>

<file path=xl/tables/table17.xml><?xml version="1.0" encoding="utf-8"?>
<table xmlns="http://schemas.openxmlformats.org/spreadsheetml/2006/main" ref="A1:C4" displayName="Table15" name="Table15" id="17">
  <tableColumns count="3">
    <tableColumn name="Function" id="1"/>
    <tableColumn name="Criteria" id="2"/>
    <tableColumn name="How" id="3"/>
  </tableColumns>
  <tableStyleInfo name="FS1-style" showColumnStripes="0" showFirstColumn="1" showLastColumn="1" showRowStripes="1"/>
</table>
</file>

<file path=xl/tables/table18.xml><?xml version="1.0" encoding="utf-8"?>
<table xmlns="http://schemas.openxmlformats.org/spreadsheetml/2006/main" ref="A1:C3" displayName="Table16" name="Table16" id="18">
  <tableColumns count="3">
    <tableColumn name="Function" id="1"/>
    <tableColumn name="Criteria" id="2"/>
    <tableColumn name="How / Sub fonction" id="3"/>
  </tableColumns>
  <tableStyleInfo name="FS2-style" showColumnStripes="0" showFirstColumn="1" showLastColumn="1" showRowStripes="1"/>
</table>
</file>

<file path=xl/tables/table19.xml><?xml version="1.0" encoding="utf-8"?>
<table xmlns="http://schemas.openxmlformats.org/spreadsheetml/2006/main" ref="A1:C5" displayName="Table17" name="Table17" id="19">
  <tableColumns count="3">
    <tableColumn name="Function" id="1"/>
    <tableColumn name="Criteria" id="2"/>
    <tableColumn name="How" id="3"/>
  </tableColumns>
  <tableStyleInfo name="FS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9-02T12:18:20.00" personId="{659a41de-721f-4410-a63c-c41da955f697}" id="{8adb0137-10e9-4820-ae7d-de54b7b7da94}" done="0">
    <x18tc:text xml:space="preserve">@per@sunlitsea.no Tar gjerne noen kommentarer fra deg på denne siden. Gjerne foreslå funksjoner og alternativer.
Assigned to per@sunlitsea.no</x18tc:text>
    <x18tc:mentions>
      <x18tc:mention mentionpersonId="{8ca53d7f-9af7-48a1-a2de-5b55d5c666c6}" mentionId="{72029084-a3a9-4ed6-91a8-de1d173d036c}" startIndex="0" length="1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9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2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3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4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5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16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17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18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19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17.63"/>
    <col customWidth="1" min="3" max="4" width="15.13"/>
    <col customWidth="1" min="5" max="5" width="17.63"/>
    <col customWidth="1" min="6" max="6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4"/>
      <c r="E2" s="3"/>
      <c r="F2" s="5"/>
    </row>
    <row r="3" ht="22.5" customHeight="1">
      <c r="A3" s="2" t="s">
        <v>9</v>
      </c>
      <c r="B3" s="3" t="s">
        <v>10</v>
      </c>
      <c r="C3" s="3" t="s">
        <v>8</v>
      </c>
      <c r="D3" s="4"/>
      <c r="E3" s="3"/>
      <c r="F3" s="5"/>
    </row>
    <row r="4" ht="22.5" customHeight="1">
      <c r="A4" s="2" t="s">
        <v>11</v>
      </c>
      <c r="B4" s="3" t="s">
        <v>12</v>
      </c>
      <c r="C4" s="3" t="s">
        <v>8</v>
      </c>
      <c r="D4" s="5"/>
      <c r="E4" s="6"/>
      <c r="F4" s="5"/>
    </row>
    <row r="5" ht="22.5" customHeight="1">
      <c r="A5" s="2" t="s">
        <v>13</v>
      </c>
      <c r="B5" s="3" t="s">
        <v>10</v>
      </c>
      <c r="C5" s="3" t="s">
        <v>8</v>
      </c>
      <c r="D5" s="5"/>
      <c r="E5" s="7"/>
      <c r="F5" s="5"/>
    </row>
    <row r="6" ht="22.5" customHeight="1">
      <c r="A6" s="2" t="s">
        <v>14</v>
      </c>
      <c r="B6" s="3" t="s">
        <v>12</v>
      </c>
      <c r="C6" s="3" t="s">
        <v>8</v>
      </c>
      <c r="D6" s="5"/>
      <c r="E6" s="7"/>
      <c r="F6" s="5"/>
    </row>
    <row r="7" ht="22.5" customHeight="1">
      <c r="A7" s="2" t="s">
        <v>15</v>
      </c>
      <c r="B7" s="3" t="s">
        <v>7</v>
      </c>
      <c r="C7" s="3" t="s">
        <v>8</v>
      </c>
      <c r="D7" s="5"/>
      <c r="E7" s="7"/>
      <c r="F7" s="5"/>
    </row>
    <row r="8" ht="22.5" customHeight="1">
      <c r="A8" s="2" t="s">
        <v>16</v>
      </c>
      <c r="B8" s="3" t="s">
        <v>10</v>
      </c>
      <c r="C8" s="3" t="s">
        <v>8</v>
      </c>
      <c r="D8" s="5"/>
      <c r="E8" s="3"/>
      <c r="F8" s="5"/>
    </row>
    <row r="9" ht="22.5" customHeight="1">
      <c r="A9" s="2" t="s">
        <v>17</v>
      </c>
      <c r="B9" s="3" t="s">
        <v>7</v>
      </c>
      <c r="C9" s="3" t="s">
        <v>8</v>
      </c>
      <c r="D9" s="5"/>
      <c r="E9" s="7"/>
      <c r="F9" s="5"/>
    </row>
    <row r="10" ht="22.5" customHeight="1">
      <c r="A10" s="2" t="s">
        <v>18</v>
      </c>
      <c r="B10" s="3" t="s">
        <v>7</v>
      </c>
      <c r="C10" s="3" t="s">
        <v>8</v>
      </c>
      <c r="D10" s="5"/>
      <c r="E10" s="7"/>
      <c r="F10" s="5"/>
    </row>
    <row r="11" ht="22.5" customHeight="1">
      <c r="A11" s="2" t="s">
        <v>19</v>
      </c>
      <c r="B11" s="3" t="s">
        <v>12</v>
      </c>
      <c r="C11" s="3" t="s">
        <v>8</v>
      </c>
      <c r="D11" s="5"/>
      <c r="E11" s="7"/>
      <c r="F11" s="5"/>
    </row>
    <row r="12" ht="22.5" customHeight="1">
      <c r="A12" s="8" t="s">
        <v>20</v>
      </c>
      <c r="B12" s="3" t="s">
        <v>10</v>
      </c>
      <c r="C12" s="3" t="s">
        <v>8</v>
      </c>
      <c r="D12" s="5"/>
      <c r="E12" s="7"/>
      <c r="F12" s="5"/>
    </row>
    <row r="13" ht="22.5" customHeight="1">
      <c r="A13" s="2" t="s">
        <v>21</v>
      </c>
      <c r="B13" s="3" t="s">
        <v>10</v>
      </c>
      <c r="C13" s="3" t="s">
        <v>8</v>
      </c>
      <c r="D13" s="5"/>
      <c r="E13" s="7"/>
      <c r="F13" s="5"/>
    </row>
    <row r="14" ht="22.5" customHeight="1">
      <c r="A14" s="2" t="s">
        <v>22</v>
      </c>
      <c r="B14" s="3" t="s">
        <v>10</v>
      </c>
      <c r="C14" s="3" t="s">
        <v>8</v>
      </c>
      <c r="D14" s="5"/>
      <c r="E14" s="7"/>
      <c r="F14" s="5"/>
    </row>
    <row r="15" ht="22.5" customHeight="1">
      <c r="A15" s="2" t="s">
        <v>23</v>
      </c>
      <c r="B15" s="3" t="s">
        <v>7</v>
      </c>
      <c r="C15" s="3" t="s">
        <v>8</v>
      </c>
      <c r="D15" s="5"/>
      <c r="E15" s="7"/>
      <c r="F15" s="5"/>
    </row>
    <row r="16" ht="22.5" customHeight="1">
      <c r="A16" s="5"/>
      <c r="B16" s="7"/>
      <c r="C16" s="7"/>
      <c r="D16" s="5"/>
      <c r="E16" s="7"/>
      <c r="F16" s="5"/>
    </row>
    <row r="17" ht="22.5" customHeight="1">
      <c r="A17" s="5"/>
      <c r="B17" s="7"/>
      <c r="C17" s="7"/>
      <c r="D17" s="5"/>
      <c r="E17" s="7"/>
      <c r="F17" s="5"/>
    </row>
    <row r="18" ht="22.5" customHeight="1">
      <c r="A18" s="5"/>
      <c r="B18" s="7"/>
      <c r="C18" s="7"/>
      <c r="D18" s="5"/>
      <c r="E18" s="7"/>
      <c r="F18" s="5"/>
    </row>
    <row r="19" ht="22.5" customHeight="1">
      <c r="A19" s="5"/>
      <c r="B19" s="7"/>
      <c r="C19" s="7"/>
      <c r="D19" s="5"/>
      <c r="E19" s="7"/>
      <c r="F19" s="5"/>
    </row>
    <row r="20" ht="22.5" customHeight="1">
      <c r="A20" s="5"/>
      <c r="B20" s="7"/>
      <c r="C20" s="7"/>
      <c r="D20" s="5"/>
      <c r="E20" s="7"/>
      <c r="F20" s="5"/>
    </row>
    <row r="21" ht="22.5" customHeight="1">
      <c r="A21" s="5"/>
      <c r="B21" s="7"/>
      <c r="C21" s="7"/>
      <c r="D21" s="5"/>
      <c r="E21" s="7"/>
      <c r="F21" s="5"/>
    </row>
    <row r="22" ht="22.5" customHeight="1">
      <c r="A22" s="5"/>
      <c r="B22" s="7"/>
      <c r="C22" s="7"/>
      <c r="D22" s="5"/>
      <c r="E22" s="7"/>
      <c r="F22" s="5"/>
    </row>
    <row r="23" ht="22.5" customHeight="1">
      <c r="A23" s="5"/>
      <c r="B23" s="7"/>
      <c r="C23" s="7"/>
      <c r="D23" s="5"/>
      <c r="E23" s="7"/>
      <c r="F23" s="5"/>
    </row>
    <row r="24" ht="22.5" customHeight="1">
      <c r="A24" s="5"/>
      <c r="B24" s="7"/>
      <c r="C24" s="7"/>
      <c r="D24" s="5"/>
      <c r="E24" s="7"/>
      <c r="F24" s="5"/>
    </row>
    <row r="25" ht="22.5" customHeight="1">
      <c r="A25" s="5"/>
      <c r="B25" s="7"/>
      <c r="C25" s="7"/>
      <c r="D25" s="5"/>
      <c r="E25" s="7"/>
      <c r="F25" s="5"/>
    </row>
    <row r="26" ht="22.5" customHeight="1">
      <c r="A26" s="5"/>
      <c r="B26" s="7"/>
      <c r="C26" s="7"/>
      <c r="D26" s="5"/>
      <c r="E26" s="7"/>
      <c r="F26" s="5"/>
    </row>
    <row r="27" ht="22.5" customHeight="1">
      <c r="A27" s="5"/>
      <c r="B27" s="7"/>
      <c r="C27" s="7"/>
      <c r="D27" s="5"/>
      <c r="E27" s="7"/>
      <c r="F27" s="5"/>
    </row>
    <row r="28" ht="22.5" customHeight="1">
      <c r="A28" s="5"/>
      <c r="B28" s="7"/>
      <c r="C28" s="7"/>
      <c r="D28" s="5"/>
      <c r="E28" s="7"/>
      <c r="F28" s="5"/>
    </row>
    <row r="29" ht="22.5" customHeight="1">
      <c r="A29" s="5"/>
      <c r="B29" s="7"/>
      <c r="C29" s="7"/>
      <c r="D29" s="5"/>
      <c r="E29" s="7"/>
      <c r="F29" s="5"/>
    </row>
    <row r="30" ht="22.5" customHeight="1">
      <c r="A30" s="5"/>
      <c r="B30" s="7"/>
      <c r="C30" s="7"/>
      <c r="D30" s="5"/>
      <c r="E30" s="7"/>
      <c r="F30" s="5"/>
    </row>
    <row r="31" ht="22.5" customHeight="1">
      <c r="A31" s="5"/>
      <c r="B31" s="7"/>
      <c r="C31" s="7"/>
      <c r="D31" s="5"/>
      <c r="E31" s="7"/>
      <c r="F31" s="5"/>
    </row>
    <row r="32" ht="22.5" customHeight="1">
      <c r="A32" s="5"/>
      <c r="B32" s="7"/>
      <c r="C32" s="7"/>
      <c r="D32" s="5"/>
      <c r="E32" s="7"/>
      <c r="F32" s="5"/>
    </row>
    <row r="33" ht="22.5" customHeight="1">
      <c r="A33" s="5"/>
      <c r="B33" s="7"/>
      <c r="C33" s="7"/>
      <c r="D33" s="5"/>
      <c r="E33" s="7"/>
      <c r="F33" s="5"/>
    </row>
    <row r="34" ht="22.5" customHeight="1">
      <c r="A34" s="5"/>
      <c r="B34" s="7"/>
      <c r="C34" s="7"/>
      <c r="D34" s="5"/>
      <c r="E34" s="7"/>
      <c r="F34" s="5"/>
    </row>
    <row r="35" ht="22.5" customHeight="1">
      <c r="A35" s="5"/>
      <c r="B35" s="7"/>
      <c r="C35" s="7"/>
      <c r="D35" s="5"/>
      <c r="E35" s="7"/>
      <c r="F35" s="5"/>
    </row>
    <row r="36" ht="22.5" customHeight="1">
      <c r="A36" s="5"/>
      <c r="B36" s="7"/>
      <c r="C36" s="7"/>
      <c r="D36" s="5"/>
      <c r="E36" s="7"/>
      <c r="F36" s="5"/>
    </row>
  </sheetData>
  <dataValidations>
    <dataValidation type="list" allowBlank="1" sqref="E2:E36">
      <formula1>"1 Man/month,2 Man/month,3 Man/month,4 Man/month"</formula1>
    </dataValidation>
    <dataValidation type="list" allowBlank="1" sqref="B2:B36">
      <formula1>"Prio 1,Prio 2,Prio 3,Prio 4"</formula1>
    </dataValidation>
    <dataValidation type="list" allowBlank="1" sqref="C2:C36">
      <formula1>"Not started,In progress,Blocked,Solved"</formula1>
    </dataValidation>
    <dataValidation allowBlank="1" showDropDown="1" sqref="A2:A36 F2:F36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5.63"/>
    <col customWidth="1" min="3" max="3" width="50.0"/>
    <col customWidth="1" min="4" max="4" width="8.5"/>
    <col customWidth="1" min="5" max="5" width="99.0"/>
    <col customWidth="1" min="6" max="6" width="17.13"/>
    <col customWidth="1" min="7" max="7" width="28.63"/>
  </cols>
  <sheetData>
    <row r="1" ht="22.5" customHeight="1">
      <c r="A1" s="9" t="s">
        <v>24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22.5" customHeight="1">
      <c r="A2" s="4" t="s">
        <v>31</v>
      </c>
      <c r="B2" s="4" t="s">
        <v>32</v>
      </c>
      <c r="C2" s="4" t="s">
        <v>33</v>
      </c>
      <c r="D2" s="4">
        <v>3.0</v>
      </c>
      <c r="E2" s="4" t="s">
        <v>34</v>
      </c>
      <c r="F2" s="4" t="s">
        <v>35</v>
      </c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22.5" customHeight="1">
      <c r="A3" s="4" t="s">
        <v>36</v>
      </c>
      <c r="B3" s="4" t="s">
        <v>37</v>
      </c>
      <c r="C3" s="4" t="s">
        <v>38</v>
      </c>
      <c r="D3" s="4">
        <v>2.0</v>
      </c>
      <c r="E3" s="4" t="s">
        <v>39</v>
      </c>
      <c r="F3" s="4" t="s">
        <v>40</v>
      </c>
      <c r="G3" s="4" t="s">
        <v>41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22.5" customHeight="1">
      <c r="A4" s="4" t="s">
        <v>42</v>
      </c>
      <c r="B4" s="4" t="s">
        <v>43</v>
      </c>
      <c r="C4" s="4" t="s">
        <v>44</v>
      </c>
      <c r="D4" s="4">
        <v>1.0</v>
      </c>
      <c r="E4" s="4" t="s">
        <v>45</v>
      </c>
      <c r="F4" s="12"/>
      <c r="G4" s="1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22.5" customHeight="1">
      <c r="A5" s="4" t="s">
        <v>46</v>
      </c>
      <c r="B5" s="4" t="s">
        <v>47</v>
      </c>
      <c r="C5" s="4" t="s">
        <v>48</v>
      </c>
      <c r="D5" s="4">
        <v>2.0</v>
      </c>
      <c r="E5" s="4" t="s">
        <v>49</v>
      </c>
      <c r="F5" s="12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22.5" customHeight="1">
      <c r="A6" s="4" t="s">
        <v>50</v>
      </c>
      <c r="B6" s="4" t="s">
        <v>51</v>
      </c>
      <c r="C6" s="4" t="s">
        <v>52</v>
      </c>
      <c r="D6" s="4">
        <v>1.0</v>
      </c>
      <c r="E6" s="4" t="s">
        <v>53</v>
      </c>
      <c r="F6" s="12"/>
      <c r="G6" s="1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22.5" customHeight="1">
      <c r="A7" s="4" t="s">
        <v>54</v>
      </c>
      <c r="B7" s="4" t="s">
        <v>55</v>
      </c>
      <c r="C7" s="4" t="s">
        <v>56</v>
      </c>
      <c r="D7" s="4">
        <v>3.0</v>
      </c>
      <c r="E7" s="4" t="s">
        <v>57</v>
      </c>
      <c r="F7" s="4" t="s">
        <v>58</v>
      </c>
      <c r="G7" s="12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22.5" customHeight="1">
      <c r="A8" s="4" t="s">
        <v>59</v>
      </c>
      <c r="B8" s="4" t="s">
        <v>60</v>
      </c>
      <c r="C8" s="4" t="s">
        <v>61</v>
      </c>
      <c r="D8" s="4">
        <v>2.0</v>
      </c>
      <c r="E8" s="4" t="s">
        <v>62</v>
      </c>
      <c r="F8" s="12"/>
      <c r="G8" s="12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22.5" customHeight="1">
      <c r="A9" s="4" t="s">
        <v>63</v>
      </c>
      <c r="B9" s="4" t="s">
        <v>64</v>
      </c>
      <c r="C9" s="4" t="s">
        <v>65</v>
      </c>
      <c r="D9" s="4">
        <v>3.0</v>
      </c>
      <c r="E9" s="4" t="s">
        <v>66</v>
      </c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22.5" customHeight="1">
      <c r="A10" s="4" t="s">
        <v>67</v>
      </c>
      <c r="B10" s="4" t="s">
        <v>68</v>
      </c>
      <c r="C10" s="4" t="s">
        <v>69</v>
      </c>
      <c r="D10" s="4">
        <v>3.0</v>
      </c>
      <c r="E10" s="4" t="s">
        <v>70</v>
      </c>
      <c r="F10" s="12"/>
      <c r="G10" s="4" t="s">
        <v>71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22.5" customHeight="1">
      <c r="A11" s="4" t="s">
        <v>72</v>
      </c>
      <c r="B11" s="4" t="s">
        <v>73</v>
      </c>
      <c r="C11" s="4" t="s">
        <v>74</v>
      </c>
      <c r="D11" s="4">
        <v>1.0</v>
      </c>
      <c r="E11" s="4" t="s">
        <v>75</v>
      </c>
      <c r="F11" s="12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22.5" customHeight="1">
      <c r="A12" s="4" t="s">
        <v>76</v>
      </c>
      <c r="B12" s="4" t="s">
        <v>77</v>
      </c>
      <c r="C12" s="4" t="s">
        <v>78</v>
      </c>
      <c r="D12" s="4">
        <v>2.0</v>
      </c>
      <c r="E12" s="4" t="s">
        <v>79</v>
      </c>
      <c r="F12" s="12"/>
      <c r="G12" s="12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22.5" customHeight="1">
      <c r="A13" s="4" t="s">
        <v>80</v>
      </c>
      <c r="B13" s="4" t="s">
        <v>81</v>
      </c>
      <c r="C13" s="4" t="s">
        <v>82</v>
      </c>
      <c r="D13" s="4">
        <v>1.0</v>
      </c>
      <c r="E13" s="4" t="s">
        <v>83</v>
      </c>
      <c r="F13" s="12"/>
      <c r="G13" s="12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22.5" customHeight="1">
      <c r="A14" s="4" t="s">
        <v>84</v>
      </c>
      <c r="B14" s="4" t="s">
        <v>85</v>
      </c>
      <c r="C14" s="4" t="s">
        <v>86</v>
      </c>
      <c r="D14" s="4">
        <v>3.0</v>
      </c>
      <c r="E14" s="4"/>
      <c r="F14" s="12"/>
      <c r="G14" s="12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22.5" customHeight="1">
      <c r="A15" s="4" t="s">
        <v>87</v>
      </c>
      <c r="B15" s="4" t="s">
        <v>88</v>
      </c>
      <c r="C15" s="4" t="s">
        <v>88</v>
      </c>
      <c r="D15" s="4">
        <v>3.0</v>
      </c>
      <c r="E15" s="4" t="s">
        <v>89</v>
      </c>
      <c r="F15" s="12"/>
      <c r="G15" s="12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22.5" customHeight="1">
      <c r="A16" s="4" t="s">
        <v>90</v>
      </c>
      <c r="B16" s="4" t="s">
        <v>91</v>
      </c>
      <c r="C16" s="4" t="s">
        <v>92</v>
      </c>
      <c r="D16" s="4">
        <v>2.0</v>
      </c>
      <c r="E16" s="4" t="s">
        <v>93</v>
      </c>
      <c r="F16" s="12"/>
      <c r="G16" s="12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22.5" customHeight="1">
      <c r="A17" s="4" t="s">
        <v>94</v>
      </c>
      <c r="B17" s="4" t="s">
        <v>95</v>
      </c>
      <c r="C17" s="4" t="s">
        <v>96</v>
      </c>
      <c r="D17" s="4">
        <v>2.0</v>
      </c>
      <c r="E17" s="4" t="s">
        <v>97</v>
      </c>
      <c r="F17" s="12"/>
      <c r="G17" s="12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22.5" customHeight="1">
      <c r="A18" s="4" t="s">
        <v>98</v>
      </c>
      <c r="B18" s="4" t="s">
        <v>99</v>
      </c>
      <c r="C18" s="4" t="s">
        <v>100</v>
      </c>
      <c r="D18" s="4">
        <v>3.0</v>
      </c>
      <c r="E18" s="4" t="s">
        <v>101</v>
      </c>
      <c r="F18" s="12"/>
      <c r="G18" s="12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2.13"/>
    <col customWidth="1" min="3" max="3" width="14.25"/>
    <col customWidth="1" min="4" max="4" width="17.63"/>
    <col customWidth="1" min="5" max="5" width="2.25"/>
    <col customWidth="1" min="6" max="6" width="3.0"/>
    <col customWidth="1" min="7" max="7" width="2.75"/>
    <col customWidth="1" min="8" max="8" width="5.63"/>
    <col customWidth="1" min="9" max="57" width="1.63"/>
  </cols>
  <sheetData>
    <row r="1">
      <c r="A1" s="13" t="s">
        <v>102</v>
      </c>
      <c r="B1" s="13" t="s">
        <v>1</v>
      </c>
      <c r="C1" s="13" t="s">
        <v>103</v>
      </c>
      <c r="D1" s="13" t="s">
        <v>104</v>
      </c>
      <c r="E1" s="13" t="s">
        <v>105</v>
      </c>
      <c r="F1" s="13" t="s">
        <v>106</v>
      </c>
      <c r="G1" s="13" t="s">
        <v>107</v>
      </c>
      <c r="H1" s="13" t="s">
        <v>108</v>
      </c>
      <c r="I1" s="13">
        <v>1.0</v>
      </c>
      <c r="J1" s="13">
        <v>2.0</v>
      </c>
      <c r="K1" s="13">
        <v>3.0</v>
      </c>
      <c r="L1" s="13">
        <v>4.0</v>
      </c>
      <c r="M1" s="13">
        <v>5.0</v>
      </c>
      <c r="N1" s="13">
        <v>6.0</v>
      </c>
      <c r="O1" s="13">
        <v>7.0</v>
      </c>
      <c r="P1" s="13">
        <v>8.0</v>
      </c>
      <c r="Q1" s="13">
        <v>9.0</v>
      </c>
      <c r="R1" s="13">
        <v>10.0</v>
      </c>
      <c r="S1" s="13">
        <v>11.0</v>
      </c>
      <c r="T1" s="13">
        <v>12.0</v>
      </c>
      <c r="U1" s="13">
        <v>13.0</v>
      </c>
      <c r="V1" s="13">
        <v>14.0</v>
      </c>
      <c r="W1" s="13">
        <v>15.0</v>
      </c>
      <c r="X1" s="13">
        <v>16.0</v>
      </c>
      <c r="Y1" s="13">
        <v>17.0</v>
      </c>
      <c r="Z1" s="13">
        <v>18.0</v>
      </c>
      <c r="AA1" s="13">
        <v>19.0</v>
      </c>
      <c r="AB1" s="13">
        <v>20.0</v>
      </c>
      <c r="AC1" s="13">
        <v>21.0</v>
      </c>
      <c r="AD1" s="13">
        <v>22.0</v>
      </c>
      <c r="AE1" s="13">
        <v>23.0</v>
      </c>
      <c r="AF1" s="13">
        <v>24.0</v>
      </c>
      <c r="AG1" s="13">
        <v>25.0</v>
      </c>
      <c r="AH1" s="13">
        <v>26.0</v>
      </c>
      <c r="AI1" s="13">
        <v>27.0</v>
      </c>
      <c r="AJ1" s="13">
        <v>28.0</v>
      </c>
      <c r="AK1" s="13">
        <v>29.0</v>
      </c>
      <c r="AL1" s="13">
        <v>30.0</v>
      </c>
      <c r="AM1" s="13">
        <v>31.0</v>
      </c>
      <c r="AN1" s="13">
        <v>32.0</v>
      </c>
      <c r="AO1" s="13">
        <v>33.0</v>
      </c>
      <c r="AP1" s="13">
        <v>34.0</v>
      </c>
      <c r="AQ1" s="13">
        <v>35.0</v>
      </c>
      <c r="AR1" s="13">
        <v>36.0</v>
      </c>
      <c r="AS1" s="13">
        <v>37.0</v>
      </c>
      <c r="AT1" s="13">
        <v>38.0</v>
      </c>
      <c r="AU1" s="13">
        <v>39.0</v>
      </c>
      <c r="AV1" s="13">
        <v>40.0</v>
      </c>
      <c r="AW1" s="13">
        <v>41.0</v>
      </c>
      <c r="AX1" s="13">
        <v>42.0</v>
      </c>
      <c r="AY1" s="13">
        <v>43.0</v>
      </c>
      <c r="AZ1" s="13">
        <v>44.0</v>
      </c>
      <c r="BA1" s="13">
        <v>45.0</v>
      </c>
      <c r="BB1" s="13">
        <v>46.0</v>
      </c>
      <c r="BC1" s="13">
        <v>47.0</v>
      </c>
      <c r="BD1" s="13">
        <v>48.0</v>
      </c>
      <c r="BE1" s="13">
        <v>49.0</v>
      </c>
    </row>
    <row r="2" ht="11.25" customHeight="1">
      <c r="A2" s="13" t="s">
        <v>42</v>
      </c>
      <c r="B2" s="13">
        <v>1.0</v>
      </c>
      <c r="C2" s="13" t="s">
        <v>43</v>
      </c>
      <c r="D2" s="13" t="s">
        <v>109</v>
      </c>
      <c r="E2" s="13">
        <v>4.0</v>
      </c>
      <c r="F2" s="13">
        <v>1.0</v>
      </c>
      <c r="G2" s="13">
        <v>4.0</v>
      </c>
      <c r="H2" s="13" t="s">
        <v>110</v>
      </c>
      <c r="I2" s="14" t="str">
        <f t="array" ref="I2:BE63">IF((COLUMN(I2:BE2) - COLUMN($I$1) + 1 &gt;= $F2:$F63) * (COLUMN(I2:BE2) - COLUMN($I$1) + 1 &lt;= $G2:$G63), "x", "")
</f>
        <v>x</v>
      </c>
      <c r="J2" s="15" t="s">
        <v>111</v>
      </c>
      <c r="K2" s="15" t="s">
        <v>111</v>
      </c>
      <c r="L2" s="15" t="s">
        <v>111</v>
      </c>
      <c r="M2" s="15" t="s">
        <v>112</v>
      </c>
      <c r="N2" s="15" t="s">
        <v>112</v>
      </c>
      <c r="O2" s="15" t="s">
        <v>112</v>
      </c>
      <c r="P2" s="15" t="s">
        <v>112</v>
      </c>
      <c r="Q2" s="15" t="s">
        <v>112</v>
      </c>
      <c r="R2" s="15" t="s">
        <v>112</v>
      </c>
      <c r="S2" s="15" t="s">
        <v>112</v>
      </c>
      <c r="T2" s="15" t="s">
        <v>112</v>
      </c>
      <c r="U2" s="15" t="s">
        <v>112</v>
      </c>
      <c r="V2" s="15" t="s">
        <v>112</v>
      </c>
      <c r="W2" s="15" t="s">
        <v>112</v>
      </c>
      <c r="X2" s="15" t="s">
        <v>112</v>
      </c>
      <c r="Y2" s="15" t="s">
        <v>112</v>
      </c>
      <c r="Z2" s="15" t="s">
        <v>112</v>
      </c>
      <c r="AA2" s="15" t="s">
        <v>112</v>
      </c>
      <c r="AB2" s="15" t="s">
        <v>112</v>
      </c>
      <c r="AC2" s="15" t="s">
        <v>112</v>
      </c>
      <c r="AD2" s="15" t="s">
        <v>112</v>
      </c>
      <c r="AE2" s="15" t="s">
        <v>112</v>
      </c>
      <c r="AF2" s="15" t="s">
        <v>112</v>
      </c>
      <c r="AG2" s="15" t="s">
        <v>112</v>
      </c>
      <c r="AH2" s="15" t="s">
        <v>112</v>
      </c>
      <c r="AI2" s="15" t="s">
        <v>112</v>
      </c>
      <c r="AJ2" s="15" t="s">
        <v>112</v>
      </c>
      <c r="AK2" s="15" t="s">
        <v>112</v>
      </c>
      <c r="AL2" s="15" t="s">
        <v>112</v>
      </c>
      <c r="AM2" s="15" t="s">
        <v>112</v>
      </c>
      <c r="AN2" s="15" t="s">
        <v>112</v>
      </c>
      <c r="AO2" s="15" t="s">
        <v>112</v>
      </c>
      <c r="AP2" s="15" t="s">
        <v>112</v>
      </c>
      <c r="AQ2" s="15" t="s">
        <v>112</v>
      </c>
      <c r="AR2" s="15" t="s">
        <v>112</v>
      </c>
      <c r="AS2" s="15" t="s">
        <v>112</v>
      </c>
      <c r="AT2" s="15" t="s">
        <v>112</v>
      </c>
      <c r="AU2" s="15" t="s">
        <v>112</v>
      </c>
      <c r="AV2" s="15" t="s">
        <v>112</v>
      </c>
      <c r="AW2" s="15" t="s">
        <v>112</v>
      </c>
      <c r="AX2" s="15" t="s">
        <v>112</v>
      </c>
      <c r="AY2" s="15" t="s">
        <v>112</v>
      </c>
      <c r="AZ2" s="15" t="s">
        <v>112</v>
      </c>
      <c r="BA2" s="15" t="s">
        <v>112</v>
      </c>
      <c r="BB2" s="15" t="s">
        <v>112</v>
      </c>
      <c r="BC2" s="15" t="s">
        <v>112</v>
      </c>
      <c r="BD2" s="15" t="s">
        <v>112</v>
      </c>
      <c r="BE2" s="15" t="s">
        <v>112</v>
      </c>
    </row>
    <row r="3" ht="11.25" customHeight="1">
      <c r="A3" s="13" t="s">
        <v>42</v>
      </c>
      <c r="B3" s="13">
        <v>1.0</v>
      </c>
      <c r="C3" s="13" t="s">
        <v>43</v>
      </c>
      <c r="D3" s="13" t="s">
        <v>113</v>
      </c>
      <c r="E3" s="13">
        <v>4.0</v>
      </c>
      <c r="F3" s="13">
        <v>3.0</v>
      </c>
      <c r="G3" s="13">
        <v>6.0</v>
      </c>
      <c r="H3" s="13" t="s">
        <v>110</v>
      </c>
      <c r="I3" s="16" t="s">
        <v>112</v>
      </c>
      <c r="J3" s="15" t="s">
        <v>112</v>
      </c>
      <c r="K3" s="15" t="s">
        <v>111</v>
      </c>
      <c r="L3" s="15" t="s">
        <v>111</v>
      </c>
      <c r="M3" s="15" t="s">
        <v>111</v>
      </c>
      <c r="N3" s="15" t="s">
        <v>111</v>
      </c>
      <c r="O3" s="15" t="s">
        <v>112</v>
      </c>
      <c r="P3" s="15" t="s">
        <v>112</v>
      </c>
      <c r="Q3" s="15" t="s">
        <v>112</v>
      </c>
      <c r="R3" s="15" t="s">
        <v>112</v>
      </c>
      <c r="S3" s="15" t="s">
        <v>112</v>
      </c>
      <c r="T3" s="15" t="s">
        <v>112</v>
      </c>
      <c r="U3" s="15" t="s">
        <v>112</v>
      </c>
      <c r="V3" s="15" t="s">
        <v>112</v>
      </c>
      <c r="W3" s="15" t="s">
        <v>112</v>
      </c>
      <c r="X3" s="15" t="s">
        <v>112</v>
      </c>
      <c r="Y3" s="15" t="s">
        <v>112</v>
      </c>
      <c r="Z3" s="15" t="s">
        <v>112</v>
      </c>
      <c r="AA3" s="15" t="s">
        <v>112</v>
      </c>
      <c r="AB3" s="15" t="s">
        <v>112</v>
      </c>
      <c r="AC3" s="15" t="s">
        <v>112</v>
      </c>
      <c r="AD3" s="15" t="s">
        <v>112</v>
      </c>
      <c r="AE3" s="15" t="s">
        <v>112</v>
      </c>
      <c r="AF3" s="15" t="s">
        <v>112</v>
      </c>
      <c r="AG3" s="15" t="s">
        <v>112</v>
      </c>
      <c r="AH3" s="15" t="s">
        <v>112</v>
      </c>
      <c r="AI3" s="15" t="s">
        <v>112</v>
      </c>
      <c r="AJ3" s="15" t="s">
        <v>112</v>
      </c>
      <c r="AK3" s="15" t="s">
        <v>112</v>
      </c>
      <c r="AL3" s="15" t="s">
        <v>112</v>
      </c>
      <c r="AM3" s="15" t="s">
        <v>112</v>
      </c>
      <c r="AN3" s="15" t="s">
        <v>112</v>
      </c>
      <c r="AO3" s="15" t="s">
        <v>112</v>
      </c>
      <c r="AP3" s="15" t="s">
        <v>112</v>
      </c>
      <c r="AQ3" s="15" t="s">
        <v>112</v>
      </c>
      <c r="AR3" s="15" t="s">
        <v>112</v>
      </c>
      <c r="AS3" s="15" t="s">
        <v>112</v>
      </c>
      <c r="AT3" s="15" t="s">
        <v>112</v>
      </c>
      <c r="AU3" s="15" t="s">
        <v>112</v>
      </c>
      <c r="AV3" s="15" t="s">
        <v>112</v>
      </c>
      <c r="AW3" s="15" t="s">
        <v>112</v>
      </c>
      <c r="AX3" s="15" t="s">
        <v>112</v>
      </c>
      <c r="AY3" s="15" t="s">
        <v>112</v>
      </c>
      <c r="AZ3" s="15" t="s">
        <v>112</v>
      </c>
      <c r="BA3" s="15" t="s">
        <v>112</v>
      </c>
      <c r="BB3" s="15" t="s">
        <v>112</v>
      </c>
      <c r="BC3" s="15" t="s">
        <v>112</v>
      </c>
      <c r="BD3" s="15" t="s">
        <v>112</v>
      </c>
      <c r="BE3" s="15" t="s">
        <v>112</v>
      </c>
    </row>
    <row r="4" ht="11.25" customHeight="1">
      <c r="A4" s="13" t="s">
        <v>42</v>
      </c>
      <c r="B4" s="13">
        <v>1.0</v>
      </c>
      <c r="C4" s="13" t="s">
        <v>43</v>
      </c>
      <c r="D4" s="13" t="s">
        <v>114</v>
      </c>
      <c r="E4" s="13">
        <v>3.0</v>
      </c>
      <c r="F4" s="13">
        <v>5.0</v>
      </c>
      <c r="G4" s="13">
        <v>7.0</v>
      </c>
      <c r="H4" s="13" t="s">
        <v>110</v>
      </c>
      <c r="I4" s="16" t="s">
        <v>112</v>
      </c>
      <c r="J4" s="15" t="s">
        <v>112</v>
      </c>
      <c r="K4" s="15" t="s">
        <v>112</v>
      </c>
      <c r="L4" s="15" t="s">
        <v>112</v>
      </c>
      <c r="M4" s="15" t="s">
        <v>111</v>
      </c>
      <c r="N4" s="15" t="s">
        <v>111</v>
      </c>
      <c r="O4" s="15" t="s">
        <v>111</v>
      </c>
      <c r="P4" s="15" t="s">
        <v>112</v>
      </c>
      <c r="Q4" s="15" t="s">
        <v>112</v>
      </c>
      <c r="R4" s="15" t="s">
        <v>112</v>
      </c>
      <c r="S4" s="15" t="s">
        <v>112</v>
      </c>
      <c r="T4" s="15" t="s">
        <v>112</v>
      </c>
      <c r="U4" s="15" t="s">
        <v>112</v>
      </c>
      <c r="V4" s="15" t="s">
        <v>112</v>
      </c>
      <c r="W4" s="15" t="s">
        <v>112</v>
      </c>
      <c r="X4" s="15" t="s">
        <v>112</v>
      </c>
      <c r="Y4" s="15" t="s">
        <v>112</v>
      </c>
      <c r="Z4" s="15" t="s">
        <v>112</v>
      </c>
      <c r="AA4" s="15" t="s">
        <v>112</v>
      </c>
      <c r="AB4" s="15" t="s">
        <v>112</v>
      </c>
      <c r="AC4" s="15" t="s">
        <v>112</v>
      </c>
      <c r="AD4" s="15" t="s">
        <v>112</v>
      </c>
      <c r="AE4" s="15" t="s">
        <v>112</v>
      </c>
      <c r="AF4" s="15" t="s">
        <v>112</v>
      </c>
      <c r="AG4" s="15" t="s">
        <v>112</v>
      </c>
      <c r="AH4" s="15" t="s">
        <v>112</v>
      </c>
      <c r="AI4" s="15" t="s">
        <v>112</v>
      </c>
      <c r="AJ4" s="15" t="s">
        <v>112</v>
      </c>
      <c r="AK4" s="15" t="s">
        <v>112</v>
      </c>
      <c r="AL4" s="15" t="s">
        <v>112</v>
      </c>
      <c r="AM4" s="15" t="s">
        <v>112</v>
      </c>
      <c r="AN4" s="15" t="s">
        <v>112</v>
      </c>
      <c r="AO4" s="15" t="s">
        <v>112</v>
      </c>
      <c r="AP4" s="15" t="s">
        <v>112</v>
      </c>
      <c r="AQ4" s="15" t="s">
        <v>112</v>
      </c>
      <c r="AR4" s="15" t="s">
        <v>112</v>
      </c>
      <c r="AS4" s="15" t="s">
        <v>112</v>
      </c>
      <c r="AT4" s="15" t="s">
        <v>112</v>
      </c>
      <c r="AU4" s="15" t="s">
        <v>112</v>
      </c>
      <c r="AV4" s="15" t="s">
        <v>112</v>
      </c>
      <c r="AW4" s="15" t="s">
        <v>112</v>
      </c>
      <c r="AX4" s="15" t="s">
        <v>112</v>
      </c>
      <c r="AY4" s="15" t="s">
        <v>112</v>
      </c>
      <c r="AZ4" s="15" t="s">
        <v>112</v>
      </c>
      <c r="BA4" s="15" t="s">
        <v>112</v>
      </c>
      <c r="BB4" s="15" t="s">
        <v>112</v>
      </c>
      <c r="BC4" s="15" t="s">
        <v>112</v>
      </c>
      <c r="BD4" s="15" t="s">
        <v>112</v>
      </c>
      <c r="BE4" s="15" t="s">
        <v>112</v>
      </c>
    </row>
    <row r="5" ht="11.25" customHeight="1">
      <c r="A5" s="13" t="s">
        <v>42</v>
      </c>
      <c r="B5" s="13">
        <v>1.0</v>
      </c>
      <c r="C5" s="13" t="s">
        <v>43</v>
      </c>
      <c r="D5" s="13" t="s">
        <v>115</v>
      </c>
      <c r="E5" s="13">
        <v>3.0</v>
      </c>
      <c r="F5" s="13">
        <v>6.0</v>
      </c>
      <c r="G5" s="13">
        <v>8.0</v>
      </c>
      <c r="H5" s="13" t="s">
        <v>110</v>
      </c>
      <c r="I5" s="16" t="s">
        <v>112</v>
      </c>
      <c r="J5" s="15" t="s">
        <v>112</v>
      </c>
      <c r="K5" s="15" t="s">
        <v>112</v>
      </c>
      <c r="L5" s="15" t="s">
        <v>112</v>
      </c>
      <c r="M5" s="15" t="s">
        <v>112</v>
      </c>
      <c r="N5" s="15" t="s">
        <v>111</v>
      </c>
      <c r="O5" s="15" t="s">
        <v>111</v>
      </c>
      <c r="P5" s="15" t="s">
        <v>111</v>
      </c>
      <c r="Q5" s="15" t="s">
        <v>112</v>
      </c>
      <c r="R5" s="15" t="s">
        <v>112</v>
      </c>
      <c r="S5" s="15" t="s">
        <v>112</v>
      </c>
      <c r="T5" s="15" t="s">
        <v>112</v>
      </c>
      <c r="U5" s="15" t="s">
        <v>112</v>
      </c>
      <c r="V5" s="15" t="s">
        <v>112</v>
      </c>
      <c r="W5" s="15" t="s">
        <v>112</v>
      </c>
      <c r="X5" s="15" t="s">
        <v>112</v>
      </c>
      <c r="Y5" s="15" t="s">
        <v>112</v>
      </c>
      <c r="Z5" s="15" t="s">
        <v>112</v>
      </c>
      <c r="AA5" s="15" t="s">
        <v>112</v>
      </c>
      <c r="AB5" s="15" t="s">
        <v>112</v>
      </c>
      <c r="AC5" s="15" t="s">
        <v>112</v>
      </c>
      <c r="AD5" s="15" t="s">
        <v>112</v>
      </c>
      <c r="AE5" s="15" t="s">
        <v>112</v>
      </c>
      <c r="AF5" s="15" t="s">
        <v>112</v>
      </c>
      <c r="AG5" s="15" t="s">
        <v>112</v>
      </c>
      <c r="AH5" s="15" t="s">
        <v>112</v>
      </c>
      <c r="AI5" s="15" t="s">
        <v>112</v>
      </c>
      <c r="AJ5" s="15" t="s">
        <v>112</v>
      </c>
      <c r="AK5" s="15" t="s">
        <v>112</v>
      </c>
      <c r="AL5" s="15" t="s">
        <v>112</v>
      </c>
      <c r="AM5" s="15" t="s">
        <v>112</v>
      </c>
      <c r="AN5" s="15" t="s">
        <v>112</v>
      </c>
      <c r="AO5" s="15" t="s">
        <v>112</v>
      </c>
      <c r="AP5" s="15" t="s">
        <v>112</v>
      </c>
      <c r="AQ5" s="15" t="s">
        <v>112</v>
      </c>
      <c r="AR5" s="15" t="s">
        <v>112</v>
      </c>
      <c r="AS5" s="15" t="s">
        <v>112</v>
      </c>
      <c r="AT5" s="15" t="s">
        <v>112</v>
      </c>
      <c r="AU5" s="15" t="s">
        <v>112</v>
      </c>
      <c r="AV5" s="15" t="s">
        <v>112</v>
      </c>
      <c r="AW5" s="15" t="s">
        <v>112</v>
      </c>
      <c r="AX5" s="15" t="s">
        <v>112</v>
      </c>
      <c r="AY5" s="15" t="s">
        <v>112</v>
      </c>
      <c r="AZ5" s="15" t="s">
        <v>112</v>
      </c>
      <c r="BA5" s="15" t="s">
        <v>112</v>
      </c>
      <c r="BB5" s="15" t="s">
        <v>112</v>
      </c>
      <c r="BC5" s="15" t="s">
        <v>112</v>
      </c>
      <c r="BD5" s="15" t="s">
        <v>112</v>
      </c>
      <c r="BE5" s="15" t="s">
        <v>112</v>
      </c>
    </row>
    <row r="6" ht="11.25" customHeight="1">
      <c r="A6" s="13" t="s">
        <v>42</v>
      </c>
      <c r="B6" s="13">
        <v>1.0</v>
      </c>
      <c r="C6" s="13" t="s">
        <v>43</v>
      </c>
      <c r="D6" s="13" t="s">
        <v>116</v>
      </c>
      <c r="E6" s="13">
        <v>3.0</v>
      </c>
      <c r="F6" s="13">
        <v>7.0</v>
      </c>
      <c r="G6" s="13">
        <v>9.0</v>
      </c>
      <c r="H6" s="13" t="s">
        <v>110</v>
      </c>
      <c r="I6" s="16" t="s">
        <v>112</v>
      </c>
      <c r="J6" s="16" t="s">
        <v>112</v>
      </c>
      <c r="K6" s="16" t="s">
        <v>112</v>
      </c>
      <c r="L6" s="15" t="s">
        <v>112</v>
      </c>
      <c r="M6" s="15" t="s">
        <v>112</v>
      </c>
      <c r="N6" s="15" t="s">
        <v>112</v>
      </c>
      <c r="O6" s="15" t="s">
        <v>111</v>
      </c>
      <c r="P6" s="15" t="s">
        <v>111</v>
      </c>
      <c r="Q6" s="15" t="s">
        <v>111</v>
      </c>
      <c r="R6" s="15" t="s">
        <v>112</v>
      </c>
      <c r="S6" s="15" t="s">
        <v>112</v>
      </c>
      <c r="T6" s="15" t="s">
        <v>112</v>
      </c>
      <c r="U6" s="15" t="s">
        <v>112</v>
      </c>
      <c r="V6" s="15" t="s">
        <v>112</v>
      </c>
      <c r="W6" s="15" t="s">
        <v>112</v>
      </c>
      <c r="X6" s="15" t="s">
        <v>112</v>
      </c>
      <c r="Y6" s="15" t="s">
        <v>112</v>
      </c>
      <c r="Z6" s="15" t="s">
        <v>112</v>
      </c>
      <c r="AA6" s="15" t="s">
        <v>112</v>
      </c>
      <c r="AB6" s="15" t="s">
        <v>112</v>
      </c>
      <c r="AC6" s="15" t="s">
        <v>112</v>
      </c>
      <c r="AD6" s="15" t="s">
        <v>112</v>
      </c>
      <c r="AE6" s="15" t="s">
        <v>112</v>
      </c>
      <c r="AF6" s="15" t="s">
        <v>112</v>
      </c>
      <c r="AG6" s="15" t="s">
        <v>112</v>
      </c>
      <c r="AH6" s="15" t="s">
        <v>112</v>
      </c>
      <c r="AI6" s="15" t="s">
        <v>112</v>
      </c>
      <c r="AJ6" s="15" t="s">
        <v>112</v>
      </c>
      <c r="AK6" s="15" t="s">
        <v>112</v>
      </c>
      <c r="AL6" s="15" t="s">
        <v>112</v>
      </c>
      <c r="AM6" s="15" t="s">
        <v>112</v>
      </c>
      <c r="AN6" s="15" t="s">
        <v>112</v>
      </c>
      <c r="AO6" s="15" t="s">
        <v>112</v>
      </c>
      <c r="AP6" s="15" t="s">
        <v>112</v>
      </c>
      <c r="AQ6" s="15" t="s">
        <v>112</v>
      </c>
      <c r="AR6" s="15" t="s">
        <v>112</v>
      </c>
      <c r="AS6" s="15" t="s">
        <v>112</v>
      </c>
      <c r="AT6" s="15" t="s">
        <v>112</v>
      </c>
      <c r="AU6" s="15" t="s">
        <v>112</v>
      </c>
      <c r="AV6" s="15" t="s">
        <v>112</v>
      </c>
      <c r="AW6" s="15" t="s">
        <v>112</v>
      </c>
      <c r="AX6" s="15" t="s">
        <v>112</v>
      </c>
      <c r="AY6" s="15" t="s">
        <v>112</v>
      </c>
      <c r="AZ6" s="15" t="s">
        <v>112</v>
      </c>
      <c r="BA6" s="15" t="s">
        <v>112</v>
      </c>
      <c r="BB6" s="15" t="s">
        <v>112</v>
      </c>
      <c r="BC6" s="15" t="s">
        <v>112</v>
      </c>
      <c r="BD6" s="15" t="s">
        <v>112</v>
      </c>
      <c r="BE6" s="15" t="s">
        <v>112</v>
      </c>
    </row>
    <row r="7" ht="11.25" customHeight="1">
      <c r="A7" s="13" t="s">
        <v>42</v>
      </c>
      <c r="B7" s="13">
        <v>1.0</v>
      </c>
      <c r="C7" s="13" t="s">
        <v>43</v>
      </c>
      <c r="D7" s="13" t="s">
        <v>117</v>
      </c>
      <c r="E7" s="13">
        <v>3.0</v>
      </c>
      <c r="F7" s="13">
        <v>8.0</v>
      </c>
      <c r="G7" s="13">
        <v>10.0</v>
      </c>
      <c r="H7" s="13" t="s">
        <v>110</v>
      </c>
      <c r="I7" s="16" t="s">
        <v>112</v>
      </c>
      <c r="J7" s="15" t="s">
        <v>112</v>
      </c>
      <c r="K7" s="15" t="s">
        <v>112</v>
      </c>
      <c r="L7" s="15" t="s">
        <v>112</v>
      </c>
      <c r="M7" s="15" t="s">
        <v>112</v>
      </c>
      <c r="N7" s="15" t="s">
        <v>112</v>
      </c>
      <c r="O7" s="15" t="s">
        <v>112</v>
      </c>
      <c r="P7" s="15" t="s">
        <v>111</v>
      </c>
      <c r="Q7" s="15" t="s">
        <v>111</v>
      </c>
      <c r="R7" s="15" t="s">
        <v>111</v>
      </c>
      <c r="S7" s="15" t="s">
        <v>112</v>
      </c>
      <c r="T7" s="15" t="s">
        <v>112</v>
      </c>
      <c r="U7" s="15" t="s">
        <v>112</v>
      </c>
      <c r="V7" s="15" t="s">
        <v>112</v>
      </c>
      <c r="W7" s="15" t="s">
        <v>112</v>
      </c>
      <c r="X7" s="15" t="s">
        <v>112</v>
      </c>
      <c r="Y7" s="15" t="s">
        <v>112</v>
      </c>
      <c r="Z7" s="15" t="s">
        <v>112</v>
      </c>
      <c r="AA7" s="15" t="s">
        <v>112</v>
      </c>
      <c r="AB7" s="15" t="s">
        <v>112</v>
      </c>
      <c r="AC7" s="15" t="s">
        <v>112</v>
      </c>
      <c r="AD7" s="15" t="s">
        <v>112</v>
      </c>
      <c r="AE7" s="15" t="s">
        <v>112</v>
      </c>
      <c r="AF7" s="15" t="s">
        <v>112</v>
      </c>
      <c r="AG7" s="15" t="s">
        <v>112</v>
      </c>
      <c r="AH7" s="15" t="s">
        <v>112</v>
      </c>
      <c r="AI7" s="15" t="s">
        <v>112</v>
      </c>
      <c r="AJ7" s="15" t="s">
        <v>112</v>
      </c>
      <c r="AK7" s="15" t="s">
        <v>112</v>
      </c>
      <c r="AL7" s="15" t="s">
        <v>112</v>
      </c>
      <c r="AM7" s="15" t="s">
        <v>112</v>
      </c>
      <c r="AN7" s="15" t="s">
        <v>112</v>
      </c>
      <c r="AO7" s="15" t="s">
        <v>112</v>
      </c>
      <c r="AP7" s="15" t="s">
        <v>112</v>
      </c>
      <c r="AQ7" s="15" t="s">
        <v>112</v>
      </c>
      <c r="AR7" s="15" t="s">
        <v>112</v>
      </c>
      <c r="AS7" s="15" t="s">
        <v>112</v>
      </c>
      <c r="AT7" s="15" t="s">
        <v>112</v>
      </c>
      <c r="AU7" s="15" t="s">
        <v>112</v>
      </c>
      <c r="AV7" s="15" t="s">
        <v>112</v>
      </c>
      <c r="AW7" s="15" t="s">
        <v>112</v>
      </c>
      <c r="AX7" s="15" t="s">
        <v>112</v>
      </c>
      <c r="AY7" s="15" t="s">
        <v>112</v>
      </c>
      <c r="AZ7" s="15" t="s">
        <v>112</v>
      </c>
      <c r="BA7" s="15" t="s">
        <v>112</v>
      </c>
      <c r="BB7" s="15" t="s">
        <v>112</v>
      </c>
      <c r="BC7" s="15" t="s">
        <v>112</v>
      </c>
      <c r="BD7" s="15" t="s">
        <v>112</v>
      </c>
      <c r="BE7" s="15" t="s">
        <v>112</v>
      </c>
    </row>
    <row r="8" ht="11.25" customHeight="1">
      <c r="A8" s="13" t="s">
        <v>42</v>
      </c>
      <c r="B8" s="13">
        <v>1.0</v>
      </c>
      <c r="C8" s="13" t="s">
        <v>43</v>
      </c>
      <c r="D8" s="13" t="s">
        <v>118</v>
      </c>
      <c r="E8" s="13">
        <v>2.0</v>
      </c>
      <c r="F8" s="13">
        <v>10.0</v>
      </c>
      <c r="G8" s="13">
        <v>11.0</v>
      </c>
      <c r="H8" s="13" t="s">
        <v>110</v>
      </c>
      <c r="I8" s="16" t="s">
        <v>112</v>
      </c>
      <c r="J8" s="15" t="s">
        <v>112</v>
      </c>
      <c r="K8" s="15" t="s">
        <v>112</v>
      </c>
      <c r="L8" s="15" t="s">
        <v>112</v>
      </c>
      <c r="M8" s="15" t="s">
        <v>112</v>
      </c>
      <c r="N8" s="15" t="s">
        <v>112</v>
      </c>
      <c r="O8" s="15" t="s">
        <v>112</v>
      </c>
      <c r="P8" s="15" t="s">
        <v>112</v>
      </c>
      <c r="Q8" s="15" t="s">
        <v>112</v>
      </c>
      <c r="R8" s="15" t="s">
        <v>111</v>
      </c>
      <c r="S8" s="15" t="s">
        <v>111</v>
      </c>
      <c r="T8" s="15" t="s">
        <v>112</v>
      </c>
      <c r="U8" s="15" t="s">
        <v>112</v>
      </c>
      <c r="V8" s="15" t="s">
        <v>112</v>
      </c>
      <c r="W8" s="15" t="s">
        <v>112</v>
      </c>
      <c r="X8" s="15" t="s">
        <v>112</v>
      </c>
      <c r="Y8" s="15" t="s">
        <v>112</v>
      </c>
      <c r="Z8" s="15" t="s">
        <v>112</v>
      </c>
      <c r="AA8" s="15" t="s">
        <v>112</v>
      </c>
      <c r="AB8" s="15" t="s">
        <v>112</v>
      </c>
      <c r="AC8" s="15" t="s">
        <v>112</v>
      </c>
      <c r="AD8" s="15" t="s">
        <v>112</v>
      </c>
      <c r="AE8" s="15" t="s">
        <v>112</v>
      </c>
      <c r="AF8" s="15" t="s">
        <v>112</v>
      </c>
      <c r="AG8" s="15" t="s">
        <v>112</v>
      </c>
      <c r="AH8" s="15" t="s">
        <v>112</v>
      </c>
      <c r="AI8" s="15" t="s">
        <v>112</v>
      </c>
      <c r="AJ8" s="15" t="s">
        <v>112</v>
      </c>
      <c r="AK8" s="15" t="s">
        <v>112</v>
      </c>
      <c r="AL8" s="15" t="s">
        <v>112</v>
      </c>
      <c r="AM8" s="15" t="s">
        <v>112</v>
      </c>
      <c r="AN8" s="15" t="s">
        <v>112</v>
      </c>
      <c r="AO8" s="15" t="s">
        <v>112</v>
      </c>
      <c r="AP8" s="15" t="s">
        <v>112</v>
      </c>
      <c r="AQ8" s="15" t="s">
        <v>112</v>
      </c>
      <c r="AR8" s="15" t="s">
        <v>112</v>
      </c>
      <c r="AS8" s="15" t="s">
        <v>112</v>
      </c>
      <c r="AT8" s="15" t="s">
        <v>112</v>
      </c>
      <c r="AU8" s="15" t="s">
        <v>112</v>
      </c>
      <c r="AV8" s="15" t="s">
        <v>112</v>
      </c>
      <c r="AW8" s="15" t="s">
        <v>112</v>
      </c>
      <c r="AX8" s="15" t="s">
        <v>112</v>
      </c>
      <c r="AY8" s="15" t="s">
        <v>112</v>
      </c>
      <c r="AZ8" s="15" t="s">
        <v>112</v>
      </c>
      <c r="BA8" s="15" t="s">
        <v>112</v>
      </c>
      <c r="BB8" s="15" t="s">
        <v>112</v>
      </c>
      <c r="BC8" s="15" t="s">
        <v>112</v>
      </c>
      <c r="BD8" s="15" t="s">
        <v>112</v>
      </c>
      <c r="BE8" s="15" t="s">
        <v>112</v>
      </c>
    </row>
    <row r="9" ht="11.25" customHeight="1">
      <c r="A9" s="13" t="s">
        <v>42</v>
      </c>
      <c r="B9" s="13">
        <v>1.0</v>
      </c>
      <c r="C9" s="13" t="s">
        <v>43</v>
      </c>
      <c r="D9" s="13" t="s">
        <v>119</v>
      </c>
      <c r="E9" s="13">
        <v>1.0</v>
      </c>
      <c r="F9" s="13">
        <v>11.0</v>
      </c>
      <c r="G9" s="13">
        <v>12.0</v>
      </c>
      <c r="H9" s="13" t="s">
        <v>110</v>
      </c>
      <c r="I9" s="16" t="s">
        <v>112</v>
      </c>
      <c r="J9" s="15" t="s">
        <v>112</v>
      </c>
      <c r="K9" s="15" t="s">
        <v>112</v>
      </c>
      <c r="L9" s="15" t="s">
        <v>112</v>
      </c>
      <c r="M9" s="15" t="s">
        <v>112</v>
      </c>
      <c r="N9" s="15" t="s">
        <v>112</v>
      </c>
      <c r="O9" s="15" t="s">
        <v>112</v>
      </c>
      <c r="P9" s="15" t="s">
        <v>112</v>
      </c>
      <c r="Q9" s="15" t="s">
        <v>112</v>
      </c>
      <c r="R9" s="15" t="s">
        <v>112</v>
      </c>
      <c r="S9" s="15" t="s">
        <v>111</v>
      </c>
      <c r="T9" s="15" t="s">
        <v>111</v>
      </c>
      <c r="U9" s="15" t="s">
        <v>112</v>
      </c>
      <c r="V9" s="15" t="s">
        <v>112</v>
      </c>
      <c r="W9" s="15" t="s">
        <v>112</v>
      </c>
      <c r="X9" s="15" t="s">
        <v>112</v>
      </c>
      <c r="Y9" s="15" t="s">
        <v>112</v>
      </c>
      <c r="Z9" s="15" t="s">
        <v>112</v>
      </c>
      <c r="AA9" s="15" t="s">
        <v>112</v>
      </c>
      <c r="AB9" s="15" t="s">
        <v>112</v>
      </c>
      <c r="AC9" s="15" t="s">
        <v>112</v>
      </c>
      <c r="AD9" s="15" t="s">
        <v>112</v>
      </c>
      <c r="AE9" s="15" t="s">
        <v>112</v>
      </c>
      <c r="AF9" s="15" t="s">
        <v>112</v>
      </c>
      <c r="AG9" s="15" t="s">
        <v>112</v>
      </c>
      <c r="AH9" s="15" t="s">
        <v>112</v>
      </c>
      <c r="AI9" s="15" t="s">
        <v>112</v>
      </c>
      <c r="AJ9" s="15" t="s">
        <v>112</v>
      </c>
      <c r="AK9" s="15" t="s">
        <v>112</v>
      </c>
      <c r="AL9" s="15" t="s">
        <v>112</v>
      </c>
      <c r="AM9" s="15" t="s">
        <v>112</v>
      </c>
      <c r="AN9" s="15" t="s">
        <v>112</v>
      </c>
      <c r="AO9" s="15" t="s">
        <v>112</v>
      </c>
      <c r="AP9" s="15" t="s">
        <v>112</v>
      </c>
      <c r="AQ9" s="15" t="s">
        <v>112</v>
      </c>
      <c r="AR9" s="15" t="s">
        <v>112</v>
      </c>
      <c r="AS9" s="15" t="s">
        <v>112</v>
      </c>
      <c r="AT9" s="15" t="s">
        <v>112</v>
      </c>
      <c r="AU9" s="15" t="s">
        <v>112</v>
      </c>
      <c r="AV9" s="15" t="s">
        <v>112</v>
      </c>
      <c r="AW9" s="15" t="s">
        <v>112</v>
      </c>
      <c r="AX9" s="15" t="s">
        <v>112</v>
      </c>
      <c r="AY9" s="15" t="s">
        <v>112</v>
      </c>
      <c r="AZ9" s="15" t="s">
        <v>112</v>
      </c>
      <c r="BA9" s="15" t="s">
        <v>112</v>
      </c>
      <c r="BB9" s="15" t="s">
        <v>112</v>
      </c>
      <c r="BC9" s="15" t="s">
        <v>112</v>
      </c>
      <c r="BD9" s="15" t="s">
        <v>112</v>
      </c>
      <c r="BE9" s="15" t="s">
        <v>112</v>
      </c>
    </row>
    <row r="10" ht="11.25" customHeight="1">
      <c r="A10" s="13"/>
      <c r="B10" s="13"/>
      <c r="C10" s="13"/>
      <c r="D10" s="13"/>
      <c r="E10" s="13"/>
      <c r="F10" s="13"/>
      <c r="G10" s="13"/>
      <c r="H10" s="13"/>
      <c r="I10" s="16" t="s">
        <v>112</v>
      </c>
      <c r="J10" s="15" t="s">
        <v>112</v>
      </c>
      <c r="K10" s="15" t="s">
        <v>112</v>
      </c>
      <c r="L10" s="15" t="s">
        <v>112</v>
      </c>
      <c r="M10" s="15" t="s">
        <v>112</v>
      </c>
      <c r="N10" s="15" t="s">
        <v>112</v>
      </c>
      <c r="O10" s="15" t="s">
        <v>112</v>
      </c>
      <c r="P10" s="15" t="s">
        <v>112</v>
      </c>
      <c r="Q10" s="15" t="s">
        <v>112</v>
      </c>
      <c r="R10" s="15" t="s">
        <v>112</v>
      </c>
      <c r="S10" s="15" t="s">
        <v>112</v>
      </c>
      <c r="T10" s="15" t="s">
        <v>112</v>
      </c>
      <c r="U10" s="15" t="s">
        <v>112</v>
      </c>
      <c r="V10" s="15" t="s">
        <v>112</v>
      </c>
      <c r="W10" s="15" t="s">
        <v>112</v>
      </c>
      <c r="X10" s="15" t="s">
        <v>112</v>
      </c>
      <c r="Y10" s="15" t="s">
        <v>112</v>
      </c>
      <c r="Z10" s="15" t="s">
        <v>112</v>
      </c>
      <c r="AA10" s="15" t="s">
        <v>112</v>
      </c>
      <c r="AB10" s="15" t="s">
        <v>112</v>
      </c>
      <c r="AC10" s="15" t="s">
        <v>112</v>
      </c>
      <c r="AD10" s="15" t="s">
        <v>112</v>
      </c>
      <c r="AE10" s="15" t="s">
        <v>112</v>
      </c>
      <c r="AF10" s="15" t="s">
        <v>112</v>
      </c>
      <c r="AG10" s="15" t="s">
        <v>112</v>
      </c>
      <c r="AH10" s="15" t="s">
        <v>112</v>
      </c>
      <c r="AI10" s="15" t="s">
        <v>112</v>
      </c>
      <c r="AJ10" s="15" t="s">
        <v>112</v>
      </c>
      <c r="AK10" s="15" t="s">
        <v>112</v>
      </c>
      <c r="AL10" s="15" t="s">
        <v>112</v>
      </c>
      <c r="AM10" s="15" t="s">
        <v>112</v>
      </c>
      <c r="AN10" s="15" t="s">
        <v>112</v>
      </c>
      <c r="AO10" s="15" t="s">
        <v>112</v>
      </c>
      <c r="AP10" s="15" t="s">
        <v>112</v>
      </c>
      <c r="AQ10" s="15" t="s">
        <v>112</v>
      </c>
      <c r="AR10" s="15" t="s">
        <v>112</v>
      </c>
      <c r="AS10" s="15" t="s">
        <v>112</v>
      </c>
      <c r="AT10" s="15" t="s">
        <v>112</v>
      </c>
      <c r="AU10" s="15" t="s">
        <v>112</v>
      </c>
      <c r="AV10" s="15" t="s">
        <v>112</v>
      </c>
      <c r="AW10" s="15" t="s">
        <v>112</v>
      </c>
      <c r="AX10" s="15" t="s">
        <v>112</v>
      </c>
      <c r="AY10" s="15" t="s">
        <v>112</v>
      </c>
      <c r="AZ10" s="15" t="s">
        <v>112</v>
      </c>
      <c r="BA10" s="15" t="s">
        <v>112</v>
      </c>
      <c r="BB10" s="15" t="s">
        <v>112</v>
      </c>
      <c r="BC10" s="15" t="s">
        <v>112</v>
      </c>
      <c r="BD10" s="15" t="s">
        <v>112</v>
      </c>
      <c r="BE10" s="15" t="s">
        <v>112</v>
      </c>
    </row>
    <row r="11" ht="11.25" customHeight="1">
      <c r="A11" s="13" t="s">
        <v>50</v>
      </c>
      <c r="B11" s="13">
        <v>1.0</v>
      </c>
      <c r="C11" s="13" t="s">
        <v>120</v>
      </c>
      <c r="D11" s="13" t="s">
        <v>121</v>
      </c>
      <c r="E11" s="13">
        <v>4.0</v>
      </c>
      <c r="F11" s="13">
        <v>1.0</v>
      </c>
      <c r="G11" s="13">
        <v>4.0</v>
      </c>
      <c r="H11" s="13" t="s">
        <v>122</v>
      </c>
      <c r="I11" s="16" t="s">
        <v>111</v>
      </c>
      <c r="J11" s="15" t="s">
        <v>111</v>
      </c>
      <c r="K11" s="15" t="s">
        <v>111</v>
      </c>
      <c r="L11" s="15" t="s">
        <v>111</v>
      </c>
      <c r="M11" s="15" t="s">
        <v>112</v>
      </c>
      <c r="N11" s="15" t="s">
        <v>112</v>
      </c>
      <c r="O11" s="15" t="s">
        <v>112</v>
      </c>
      <c r="P11" s="15" t="s">
        <v>112</v>
      </c>
      <c r="Q11" s="15" t="s">
        <v>112</v>
      </c>
      <c r="R11" s="15" t="s">
        <v>112</v>
      </c>
      <c r="S11" s="15" t="s">
        <v>112</v>
      </c>
      <c r="T11" s="15" t="s">
        <v>112</v>
      </c>
      <c r="U11" s="15" t="s">
        <v>112</v>
      </c>
      <c r="V11" s="15" t="s">
        <v>112</v>
      </c>
      <c r="W11" s="15" t="s">
        <v>112</v>
      </c>
      <c r="X11" s="15" t="s">
        <v>112</v>
      </c>
      <c r="Y11" s="15" t="s">
        <v>112</v>
      </c>
      <c r="Z11" s="15" t="s">
        <v>112</v>
      </c>
      <c r="AA11" s="15" t="s">
        <v>112</v>
      </c>
      <c r="AB11" s="15" t="s">
        <v>112</v>
      </c>
      <c r="AC11" s="15" t="s">
        <v>112</v>
      </c>
      <c r="AD11" s="15" t="s">
        <v>112</v>
      </c>
      <c r="AE11" s="15" t="s">
        <v>112</v>
      </c>
      <c r="AF11" s="15" t="s">
        <v>112</v>
      </c>
      <c r="AG11" s="15" t="s">
        <v>112</v>
      </c>
      <c r="AH11" s="15" t="s">
        <v>112</v>
      </c>
      <c r="AI11" s="15" t="s">
        <v>112</v>
      </c>
      <c r="AJ11" s="15" t="s">
        <v>112</v>
      </c>
      <c r="AK11" s="15" t="s">
        <v>112</v>
      </c>
      <c r="AL11" s="15" t="s">
        <v>112</v>
      </c>
      <c r="AM11" s="15" t="s">
        <v>112</v>
      </c>
      <c r="AN11" s="15" t="s">
        <v>112</v>
      </c>
      <c r="AO11" s="15" t="s">
        <v>112</v>
      </c>
      <c r="AP11" s="15" t="s">
        <v>112</v>
      </c>
      <c r="AQ11" s="15" t="s">
        <v>112</v>
      </c>
      <c r="AR11" s="15" t="s">
        <v>112</v>
      </c>
      <c r="AS11" s="15" t="s">
        <v>112</v>
      </c>
      <c r="AT11" s="15" t="s">
        <v>112</v>
      </c>
      <c r="AU11" s="15" t="s">
        <v>112</v>
      </c>
      <c r="AV11" s="15" t="s">
        <v>112</v>
      </c>
      <c r="AW11" s="15" t="s">
        <v>112</v>
      </c>
      <c r="AX11" s="15" t="s">
        <v>112</v>
      </c>
      <c r="AY11" s="15" t="s">
        <v>112</v>
      </c>
      <c r="AZ11" s="15" t="s">
        <v>112</v>
      </c>
      <c r="BA11" s="15" t="s">
        <v>112</v>
      </c>
      <c r="BB11" s="15" t="s">
        <v>112</v>
      </c>
      <c r="BC11" s="15" t="s">
        <v>112</v>
      </c>
      <c r="BD11" s="15" t="s">
        <v>112</v>
      </c>
      <c r="BE11" s="15" t="s">
        <v>112</v>
      </c>
    </row>
    <row r="12" ht="11.25" customHeight="1">
      <c r="A12" s="13" t="s">
        <v>50</v>
      </c>
      <c r="B12" s="13">
        <v>1.0</v>
      </c>
      <c r="C12" s="13" t="s">
        <v>120</v>
      </c>
      <c r="D12" s="13" t="s">
        <v>123</v>
      </c>
      <c r="E12" s="13">
        <v>4.0</v>
      </c>
      <c r="F12" s="13">
        <v>3.0</v>
      </c>
      <c r="G12" s="13">
        <v>6.0</v>
      </c>
      <c r="H12" s="13" t="s">
        <v>122</v>
      </c>
      <c r="I12" s="16" t="s">
        <v>112</v>
      </c>
      <c r="J12" s="15" t="s">
        <v>112</v>
      </c>
      <c r="K12" s="15" t="s">
        <v>111</v>
      </c>
      <c r="L12" s="15" t="s">
        <v>111</v>
      </c>
      <c r="M12" s="15" t="s">
        <v>111</v>
      </c>
      <c r="N12" s="15" t="s">
        <v>111</v>
      </c>
      <c r="O12" s="15" t="s">
        <v>112</v>
      </c>
      <c r="P12" s="15" t="s">
        <v>112</v>
      </c>
      <c r="Q12" s="15" t="s">
        <v>112</v>
      </c>
      <c r="R12" s="15" t="s">
        <v>112</v>
      </c>
      <c r="S12" s="15" t="s">
        <v>112</v>
      </c>
      <c r="T12" s="15" t="s">
        <v>112</v>
      </c>
      <c r="U12" s="15" t="s">
        <v>112</v>
      </c>
      <c r="V12" s="15" t="s">
        <v>112</v>
      </c>
      <c r="W12" s="15" t="s">
        <v>112</v>
      </c>
      <c r="X12" s="15" t="s">
        <v>112</v>
      </c>
      <c r="Y12" s="15" t="s">
        <v>112</v>
      </c>
      <c r="Z12" s="15" t="s">
        <v>112</v>
      </c>
      <c r="AA12" s="15" t="s">
        <v>112</v>
      </c>
      <c r="AB12" s="15" t="s">
        <v>112</v>
      </c>
      <c r="AC12" s="15" t="s">
        <v>112</v>
      </c>
      <c r="AD12" s="15" t="s">
        <v>112</v>
      </c>
      <c r="AE12" s="15" t="s">
        <v>112</v>
      </c>
      <c r="AF12" s="15" t="s">
        <v>112</v>
      </c>
      <c r="AG12" s="15" t="s">
        <v>112</v>
      </c>
      <c r="AH12" s="15" t="s">
        <v>112</v>
      </c>
      <c r="AI12" s="15" t="s">
        <v>112</v>
      </c>
      <c r="AJ12" s="15" t="s">
        <v>112</v>
      </c>
      <c r="AK12" s="15" t="s">
        <v>112</v>
      </c>
      <c r="AL12" s="15" t="s">
        <v>112</v>
      </c>
      <c r="AM12" s="15" t="s">
        <v>112</v>
      </c>
      <c r="AN12" s="15" t="s">
        <v>112</v>
      </c>
      <c r="AO12" s="15" t="s">
        <v>112</v>
      </c>
      <c r="AP12" s="15" t="s">
        <v>112</v>
      </c>
      <c r="AQ12" s="15" t="s">
        <v>112</v>
      </c>
      <c r="AR12" s="15" t="s">
        <v>112</v>
      </c>
      <c r="AS12" s="15" t="s">
        <v>112</v>
      </c>
      <c r="AT12" s="15" t="s">
        <v>112</v>
      </c>
      <c r="AU12" s="15" t="s">
        <v>112</v>
      </c>
      <c r="AV12" s="15" t="s">
        <v>112</v>
      </c>
      <c r="AW12" s="15" t="s">
        <v>112</v>
      </c>
      <c r="AX12" s="15" t="s">
        <v>112</v>
      </c>
      <c r="AY12" s="15" t="s">
        <v>112</v>
      </c>
      <c r="AZ12" s="15" t="s">
        <v>112</v>
      </c>
      <c r="BA12" s="15" t="s">
        <v>112</v>
      </c>
      <c r="BB12" s="15" t="s">
        <v>112</v>
      </c>
      <c r="BC12" s="15" t="s">
        <v>112</v>
      </c>
      <c r="BD12" s="15" t="s">
        <v>112</v>
      </c>
      <c r="BE12" s="15" t="s">
        <v>112</v>
      </c>
    </row>
    <row r="13" ht="11.25" customHeight="1">
      <c r="A13" s="13" t="s">
        <v>50</v>
      </c>
      <c r="B13" s="13">
        <v>1.0</v>
      </c>
      <c r="C13" s="13" t="s">
        <v>120</v>
      </c>
      <c r="D13" s="13" t="s">
        <v>124</v>
      </c>
      <c r="E13" s="13">
        <v>5.0</v>
      </c>
      <c r="F13" s="13">
        <v>5.0</v>
      </c>
      <c r="G13" s="13">
        <v>9.0</v>
      </c>
      <c r="H13" s="13" t="s">
        <v>122</v>
      </c>
      <c r="I13" s="16" t="s">
        <v>112</v>
      </c>
      <c r="J13" s="15" t="s">
        <v>112</v>
      </c>
      <c r="K13" s="15" t="s">
        <v>112</v>
      </c>
      <c r="L13" s="15" t="s">
        <v>112</v>
      </c>
      <c r="M13" s="15" t="s">
        <v>111</v>
      </c>
      <c r="N13" s="15" t="s">
        <v>111</v>
      </c>
      <c r="O13" s="15" t="s">
        <v>111</v>
      </c>
      <c r="P13" s="15" t="s">
        <v>111</v>
      </c>
      <c r="Q13" s="15" t="s">
        <v>111</v>
      </c>
      <c r="R13" s="15" t="s">
        <v>112</v>
      </c>
      <c r="S13" s="15" t="s">
        <v>112</v>
      </c>
      <c r="T13" s="15" t="s">
        <v>112</v>
      </c>
      <c r="U13" s="15" t="s">
        <v>112</v>
      </c>
      <c r="V13" s="15" t="s">
        <v>112</v>
      </c>
      <c r="W13" s="15" t="s">
        <v>112</v>
      </c>
      <c r="X13" s="15" t="s">
        <v>112</v>
      </c>
      <c r="Y13" s="15" t="s">
        <v>112</v>
      </c>
      <c r="Z13" s="15" t="s">
        <v>112</v>
      </c>
      <c r="AA13" s="15" t="s">
        <v>112</v>
      </c>
      <c r="AB13" s="15" t="s">
        <v>112</v>
      </c>
      <c r="AC13" s="15" t="s">
        <v>112</v>
      </c>
      <c r="AD13" s="15" t="s">
        <v>112</v>
      </c>
      <c r="AE13" s="15" t="s">
        <v>112</v>
      </c>
      <c r="AF13" s="15" t="s">
        <v>112</v>
      </c>
      <c r="AG13" s="15" t="s">
        <v>112</v>
      </c>
      <c r="AH13" s="15" t="s">
        <v>112</v>
      </c>
      <c r="AI13" s="15" t="s">
        <v>112</v>
      </c>
      <c r="AJ13" s="15" t="s">
        <v>112</v>
      </c>
      <c r="AK13" s="15" t="s">
        <v>112</v>
      </c>
      <c r="AL13" s="15" t="s">
        <v>112</v>
      </c>
      <c r="AM13" s="15" t="s">
        <v>112</v>
      </c>
      <c r="AN13" s="15" t="s">
        <v>112</v>
      </c>
      <c r="AO13" s="15" t="s">
        <v>112</v>
      </c>
      <c r="AP13" s="15" t="s">
        <v>112</v>
      </c>
      <c r="AQ13" s="15" t="s">
        <v>112</v>
      </c>
      <c r="AR13" s="15" t="s">
        <v>112</v>
      </c>
      <c r="AS13" s="15" t="s">
        <v>112</v>
      </c>
      <c r="AT13" s="15" t="s">
        <v>112</v>
      </c>
      <c r="AU13" s="15" t="s">
        <v>112</v>
      </c>
      <c r="AV13" s="15" t="s">
        <v>112</v>
      </c>
      <c r="AW13" s="15" t="s">
        <v>112</v>
      </c>
      <c r="AX13" s="15" t="s">
        <v>112</v>
      </c>
      <c r="AY13" s="15" t="s">
        <v>112</v>
      </c>
      <c r="AZ13" s="15" t="s">
        <v>112</v>
      </c>
      <c r="BA13" s="15" t="s">
        <v>112</v>
      </c>
      <c r="BB13" s="15" t="s">
        <v>112</v>
      </c>
      <c r="BC13" s="15" t="s">
        <v>112</v>
      </c>
      <c r="BD13" s="15" t="s">
        <v>112</v>
      </c>
      <c r="BE13" s="15" t="s">
        <v>112</v>
      </c>
    </row>
    <row r="14" ht="11.25" customHeight="1">
      <c r="A14" s="13" t="s">
        <v>50</v>
      </c>
      <c r="B14" s="13">
        <v>1.0</v>
      </c>
      <c r="C14" s="13" t="s">
        <v>120</v>
      </c>
      <c r="D14" s="13" t="s">
        <v>125</v>
      </c>
      <c r="E14" s="13">
        <v>4.0</v>
      </c>
      <c r="F14" s="13">
        <v>8.0</v>
      </c>
      <c r="G14" s="13">
        <v>11.0</v>
      </c>
      <c r="H14" s="13" t="s">
        <v>122</v>
      </c>
      <c r="I14" s="16" t="s">
        <v>112</v>
      </c>
      <c r="J14" s="15" t="s">
        <v>112</v>
      </c>
      <c r="K14" s="15" t="s">
        <v>112</v>
      </c>
      <c r="L14" s="15" t="s">
        <v>112</v>
      </c>
      <c r="M14" s="15" t="s">
        <v>112</v>
      </c>
      <c r="N14" s="15" t="s">
        <v>112</v>
      </c>
      <c r="O14" s="15" t="s">
        <v>112</v>
      </c>
      <c r="P14" s="15" t="s">
        <v>111</v>
      </c>
      <c r="Q14" s="15" t="s">
        <v>111</v>
      </c>
      <c r="R14" s="15" t="s">
        <v>111</v>
      </c>
      <c r="S14" s="15" t="s">
        <v>111</v>
      </c>
      <c r="T14" s="15" t="s">
        <v>112</v>
      </c>
      <c r="U14" s="15" t="s">
        <v>112</v>
      </c>
      <c r="V14" s="15" t="s">
        <v>112</v>
      </c>
      <c r="W14" s="15" t="s">
        <v>112</v>
      </c>
      <c r="X14" s="15" t="s">
        <v>112</v>
      </c>
      <c r="Y14" s="15" t="s">
        <v>112</v>
      </c>
      <c r="Z14" s="15" t="s">
        <v>112</v>
      </c>
      <c r="AA14" s="15" t="s">
        <v>112</v>
      </c>
      <c r="AB14" s="15" t="s">
        <v>112</v>
      </c>
      <c r="AC14" s="15" t="s">
        <v>112</v>
      </c>
      <c r="AD14" s="15" t="s">
        <v>112</v>
      </c>
      <c r="AE14" s="15" t="s">
        <v>112</v>
      </c>
      <c r="AF14" s="15" t="s">
        <v>112</v>
      </c>
      <c r="AG14" s="15" t="s">
        <v>112</v>
      </c>
      <c r="AH14" s="15" t="s">
        <v>112</v>
      </c>
      <c r="AI14" s="15" t="s">
        <v>112</v>
      </c>
      <c r="AJ14" s="15" t="s">
        <v>112</v>
      </c>
      <c r="AK14" s="15" t="s">
        <v>112</v>
      </c>
      <c r="AL14" s="15" t="s">
        <v>112</v>
      </c>
      <c r="AM14" s="15" t="s">
        <v>112</v>
      </c>
      <c r="AN14" s="15" t="s">
        <v>112</v>
      </c>
      <c r="AO14" s="15" t="s">
        <v>112</v>
      </c>
      <c r="AP14" s="15" t="s">
        <v>112</v>
      </c>
      <c r="AQ14" s="15" t="s">
        <v>112</v>
      </c>
      <c r="AR14" s="15" t="s">
        <v>112</v>
      </c>
      <c r="AS14" s="15" t="s">
        <v>112</v>
      </c>
      <c r="AT14" s="15" t="s">
        <v>112</v>
      </c>
      <c r="AU14" s="15" t="s">
        <v>112</v>
      </c>
      <c r="AV14" s="15" t="s">
        <v>112</v>
      </c>
      <c r="AW14" s="15" t="s">
        <v>112</v>
      </c>
      <c r="AX14" s="15" t="s">
        <v>112</v>
      </c>
      <c r="AY14" s="15" t="s">
        <v>112</v>
      </c>
      <c r="AZ14" s="15" t="s">
        <v>112</v>
      </c>
      <c r="BA14" s="15" t="s">
        <v>112</v>
      </c>
      <c r="BB14" s="15" t="s">
        <v>112</v>
      </c>
      <c r="BC14" s="15" t="s">
        <v>112</v>
      </c>
      <c r="BD14" s="15" t="s">
        <v>112</v>
      </c>
      <c r="BE14" s="15" t="s">
        <v>112</v>
      </c>
    </row>
    <row r="15" ht="11.25" customHeight="1">
      <c r="A15" s="13" t="s">
        <v>50</v>
      </c>
      <c r="B15" s="13">
        <v>1.0</v>
      </c>
      <c r="C15" s="13" t="s">
        <v>120</v>
      </c>
      <c r="D15" s="13" t="s">
        <v>126</v>
      </c>
      <c r="E15" s="13">
        <v>3.0</v>
      </c>
      <c r="F15" s="13">
        <v>10.0</v>
      </c>
      <c r="G15" s="13">
        <v>12.0</v>
      </c>
      <c r="H15" s="13" t="s">
        <v>122</v>
      </c>
      <c r="I15" s="16" t="s">
        <v>112</v>
      </c>
      <c r="J15" s="15" t="s">
        <v>112</v>
      </c>
      <c r="K15" s="15" t="s">
        <v>112</v>
      </c>
      <c r="L15" s="15" t="s">
        <v>112</v>
      </c>
      <c r="M15" s="15" t="s">
        <v>112</v>
      </c>
      <c r="N15" s="15" t="s">
        <v>112</v>
      </c>
      <c r="O15" s="15" t="s">
        <v>112</v>
      </c>
      <c r="P15" s="15" t="s">
        <v>112</v>
      </c>
      <c r="Q15" s="15" t="s">
        <v>112</v>
      </c>
      <c r="R15" s="15" t="s">
        <v>111</v>
      </c>
      <c r="S15" s="15" t="s">
        <v>111</v>
      </c>
      <c r="T15" s="15" t="s">
        <v>111</v>
      </c>
      <c r="U15" s="15" t="s">
        <v>112</v>
      </c>
      <c r="V15" s="15" t="s">
        <v>112</v>
      </c>
      <c r="W15" s="15" t="s">
        <v>112</v>
      </c>
      <c r="X15" s="15" t="s">
        <v>112</v>
      </c>
      <c r="Y15" s="15" t="s">
        <v>112</v>
      </c>
      <c r="Z15" s="15" t="s">
        <v>112</v>
      </c>
      <c r="AA15" s="15" t="s">
        <v>112</v>
      </c>
      <c r="AB15" s="15" t="s">
        <v>112</v>
      </c>
      <c r="AC15" s="15" t="s">
        <v>112</v>
      </c>
      <c r="AD15" s="15" t="s">
        <v>112</v>
      </c>
      <c r="AE15" s="15" t="s">
        <v>112</v>
      </c>
      <c r="AF15" s="15" t="s">
        <v>112</v>
      </c>
      <c r="AG15" s="15" t="s">
        <v>112</v>
      </c>
      <c r="AH15" s="15" t="s">
        <v>112</v>
      </c>
      <c r="AI15" s="15" t="s">
        <v>112</v>
      </c>
      <c r="AJ15" s="15" t="s">
        <v>112</v>
      </c>
      <c r="AK15" s="15" t="s">
        <v>112</v>
      </c>
      <c r="AL15" s="15" t="s">
        <v>112</v>
      </c>
      <c r="AM15" s="15" t="s">
        <v>112</v>
      </c>
      <c r="AN15" s="15" t="s">
        <v>112</v>
      </c>
      <c r="AO15" s="15" t="s">
        <v>112</v>
      </c>
      <c r="AP15" s="15" t="s">
        <v>112</v>
      </c>
      <c r="AQ15" s="15" t="s">
        <v>112</v>
      </c>
      <c r="AR15" s="15" t="s">
        <v>112</v>
      </c>
      <c r="AS15" s="15" t="s">
        <v>112</v>
      </c>
      <c r="AT15" s="15" t="s">
        <v>112</v>
      </c>
      <c r="AU15" s="15" t="s">
        <v>112</v>
      </c>
      <c r="AV15" s="15" t="s">
        <v>112</v>
      </c>
      <c r="AW15" s="15" t="s">
        <v>112</v>
      </c>
      <c r="AX15" s="15" t="s">
        <v>112</v>
      </c>
      <c r="AY15" s="15" t="s">
        <v>112</v>
      </c>
      <c r="AZ15" s="15" t="s">
        <v>112</v>
      </c>
      <c r="BA15" s="15" t="s">
        <v>112</v>
      </c>
      <c r="BB15" s="15" t="s">
        <v>112</v>
      </c>
      <c r="BC15" s="15" t="s">
        <v>112</v>
      </c>
      <c r="BD15" s="15" t="s">
        <v>112</v>
      </c>
      <c r="BE15" s="15" t="s">
        <v>112</v>
      </c>
    </row>
    <row r="16" ht="11.25" customHeight="1">
      <c r="A16" s="13" t="s">
        <v>50</v>
      </c>
      <c r="B16" s="13">
        <v>1.0</v>
      </c>
      <c r="C16" s="13" t="s">
        <v>120</v>
      </c>
      <c r="D16" s="13" t="s">
        <v>127</v>
      </c>
      <c r="E16" s="13">
        <f t="shared" ref="E16:E58" si="1">IF(ISBLANK(F16),,G16-F16+1)</f>
        <v>3</v>
      </c>
      <c r="F16" s="13">
        <v>11.0</v>
      </c>
      <c r="G16" s="13">
        <v>13.0</v>
      </c>
      <c r="H16" s="13" t="s">
        <v>122</v>
      </c>
      <c r="I16" s="16" t="s">
        <v>112</v>
      </c>
      <c r="J16" s="15" t="s">
        <v>112</v>
      </c>
      <c r="K16" s="15" t="s">
        <v>112</v>
      </c>
      <c r="L16" s="15" t="s">
        <v>112</v>
      </c>
      <c r="M16" s="15" t="s">
        <v>112</v>
      </c>
      <c r="N16" s="15" t="s">
        <v>112</v>
      </c>
      <c r="O16" s="15" t="s">
        <v>112</v>
      </c>
      <c r="P16" s="15" t="s">
        <v>112</v>
      </c>
      <c r="Q16" s="15" t="s">
        <v>112</v>
      </c>
      <c r="R16" s="15" t="s">
        <v>112</v>
      </c>
      <c r="S16" s="15" t="s">
        <v>111</v>
      </c>
      <c r="T16" s="15" t="s">
        <v>111</v>
      </c>
      <c r="U16" s="15" t="s">
        <v>111</v>
      </c>
      <c r="V16" s="15" t="s">
        <v>112</v>
      </c>
      <c r="W16" s="15" t="s">
        <v>112</v>
      </c>
      <c r="X16" s="15" t="s">
        <v>112</v>
      </c>
      <c r="Y16" s="15" t="s">
        <v>112</v>
      </c>
      <c r="Z16" s="15" t="s">
        <v>112</v>
      </c>
      <c r="AA16" s="15" t="s">
        <v>112</v>
      </c>
      <c r="AB16" s="15" t="s">
        <v>112</v>
      </c>
      <c r="AC16" s="15" t="s">
        <v>112</v>
      </c>
      <c r="AD16" s="15" t="s">
        <v>112</v>
      </c>
      <c r="AE16" s="15" t="s">
        <v>112</v>
      </c>
      <c r="AF16" s="15" t="s">
        <v>112</v>
      </c>
      <c r="AG16" s="15" t="s">
        <v>112</v>
      </c>
      <c r="AH16" s="15" t="s">
        <v>112</v>
      </c>
      <c r="AI16" s="15" t="s">
        <v>112</v>
      </c>
      <c r="AJ16" s="15" t="s">
        <v>112</v>
      </c>
      <c r="AK16" s="15" t="s">
        <v>112</v>
      </c>
      <c r="AL16" s="15" t="s">
        <v>112</v>
      </c>
      <c r="AM16" s="15" t="s">
        <v>112</v>
      </c>
      <c r="AN16" s="15" t="s">
        <v>112</v>
      </c>
      <c r="AO16" s="15" t="s">
        <v>112</v>
      </c>
      <c r="AP16" s="15" t="s">
        <v>112</v>
      </c>
      <c r="AQ16" s="15" t="s">
        <v>112</v>
      </c>
      <c r="AR16" s="15" t="s">
        <v>112</v>
      </c>
      <c r="AS16" s="15" t="s">
        <v>112</v>
      </c>
      <c r="AT16" s="15" t="s">
        <v>112</v>
      </c>
      <c r="AU16" s="15" t="s">
        <v>112</v>
      </c>
      <c r="AV16" s="15" t="s">
        <v>112</v>
      </c>
      <c r="AW16" s="15" t="s">
        <v>112</v>
      </c>
      <c r="AX16" s="15" t="s">
        <v>112</v>
      </c>
      <c r="AY16" s="15" t="s">
        <v>112</v>
      </c>
      <c r="AZ16" s="15" t="s">
        <v>112</v>
      </c>
      <c r="BA16" s="15" t="s">
        <v>112</v>
      </c>
      <c r="BB16" s="15" t="s">
        <v>112</v>
      </c>
      <c r="BC16" s="15" t="s">
        <v>112</v>
      </c>
      <c r="BD16" s="15" t="s">
        <v>112</v>
      </c>
      <c r="BE16" s="15" t="s">
        <v>112</v>
      </c>
    </row>
    <row r="17" ht="11.25" customHeight="1">
      <c r="A17" s="13" t="s">
        <v>50</v>
      </c>
      <c r="B17" s="13">
        <v>1.0</v>
      </c>
      <c r="C17" s="13" t="s">
        <v>120</v>
      </c>
      <c r="D17" s="13" t="s">
        <v>128</v>
      </c>
      <c r="E17" s="13">
        <f t="shared" si="1"/>
        <v>2</v>
      </c>
      <c r="F17" s="13">
        <v>12.0</v>
      </c>
      <c r="G17" s="13">
        <v>13.0</v>
      </c>
      <c r="H17" s="13" t="s">
        <v>122</v>
      </c>
      <c r="I17" s="16" t="s">
        <v>112</v>
      </c>
      <c r="J17" s="15" t="s">
        <v>112</v>
      </c>
      <c r="K17" s="15" t="s">
        <v>112</v>
      </c>
      <c r="L17" s="15" t="s">
        <v>112</v>
      </c>
      <c r="M17" s="15" t="s">
        <v>112</v>
      </c>
      <c r="N17" s="15" t="s">
        <v>112</v>
      </c>
      <c r="O17" s="15" t="s">
        <v>112</v>
      </c>
      <c r="P17" s="15" t="s">
        <v>112</v>
      </c>
      <c r="Q17" s="15" t="s">
        <v>112</v>
      </c>
      <c r="R17" s="15" t="s">
        <v>112</v>
      </c>
      <c r="S17" s="15" t="s">
        <v>112</v>
      </c>
      <c r="T17" s="15" t="s">
        <v>111</v>
      </c>
      <c r="U17" s="15" t="s">
        <v>111</v>
      </c>
      <c r="V17" s="15" t="s">
        <v>112</v>
      </c>
      <c r="W17" s="15" t="s">
        <v>112</v>
      </c>
      <c r="X17" s="15" t="s">
        <v>112</v>
      </c>
      <c r="Y17" s="15" t="s">
        <v>112</v>
      </c>
      <c r="Z17" s="15" t="s">
        <v>112</v>
      </c>
      <c r="AA17" s="15" t="s">
        <v>112</v>
      </c>
      <c r="AB17" s="15" t="s">
        <v>112</v>
      </c>
      <c r="AC17" s="15" t="s">
        <v>112</v>
      </c>
      <c r="AD17" s="15" t="s">
        <v>112</v>
      </c>
      <c r="AE17" s="15" t="s">
        <v>112</v>
      </c>
      <c r="AF17" s="15" t="s">
        <v>112</v>
      </c>
      <c r="AG17" s="15" t="s">
        <v>112</v>
      </c>
      <c r="AH17" s="15" t="s">
        <v>112</v>
      </c>
      <c r="AI17" s="15" t="s">
        <v>112</v>
      </c>
      <c r="AJ17" s="15" t="s">
        <v>112</v>
      </c>
      <c r="AK17" s="15" t="s">
        <v>112</v>
      </c>
      <c r="AL17" s="15" t="s">
        <v>112</v>
      </c>
      <c r="AM17" s="15" t="s">
        <v>112</v>
      </c>
      <c r="AN17" s="15" t="s">
        <v>112</v>
      </c>
      <c r="AO17" s="15" t="s">
        <v>112</v>
      </c>
      <c r="AP17" s="15" t="s">
        <v>112</v>
      </c>
      <c r="AQ17" s="15" t="s">
        <v>112</v>
      </c>
      <c r="AR17" s="15" t="s">
        <v>112</v>
      </c>
      <c r="AS17" s="15" t="s">
        <v>112</v>
      </c>
      <c r="AT17" s="15" t="s">
        <v>112</v>
      </c>
      <c r="AU17" s="15" t="s">
        <v>112</v>
      </c>
      <c r="AV17" s="15" t="s">
        <v>112</v>
      </c>
      <c r="AW17" s="15" t="s">
        <v>112</v>
      </c>
      <c r="AX17" s="15" t="s">
        <v>112</v>
      </c>
      <c r="AY17" s="15" t="s">
        <v>112</v>
      </c>
      <c r="AZ17" s="15" t="s">
        <v>112</v>
      </c>
      <c r="BA17" s="15" t="s">
        <v>112</v>
      </c>
      <c r="BB17" s="15" t="s">
        <v>112</v>
      </c>
      <c r="BC17" s="15" t="s">
        <v>112</v>
      </c>
      <c r="BD17" s="15" t="s">
        <v>112</v>
      </c>
      <c r="BE17" s="15" t="s">
        <v>112</v>
      </c>
    </row>
    <row r="18" ht="11.25" customHeight="1">
      <c r="A18" s="13" t="s">
        <v>50</v>
      </c>
      <c r="B18" s="13">
        <v>1.0</v>
      </c>
      <c r="C18" s="13" t="s">
        <v>120</v>
      </c>
      <c r="D18" s="13" t="s">
        <v>129</v>
      </c>
      <c r="E18" s="13">
        <f t="shared" si="1"/>
        <v>2</v>
      </c>
      <c r="F18" s="13">
        <v>13.0</v>
      </c>
      <c r="G18" s="13">
        <v>14.0</v>
      </c>
      <c r="H18" s="13" t="s">
        <v>122</v>
      </c>
      <c r="I18" s="16" t="s">
        <v>112</v>
      </c>
      <c r="J18" s="15" t="s">
        <v>112</v>
      </c>
      <c r="K18" s="15" t="s">
        <v>112</v>
      </c>
      <c r="L18" s="15" t="s">
        <v>112</v>
      </c>
      <c r="M18" s="15" t="s">
        <v>112</v>
      </c>
      <c r="N18" s="15" t="s">
        <v>112</v>
      </c>
      <c r="O18" s="15" t="s">
        <v>112</v>
      </c>
      <c r="P18" s="15" t="s">
        <v>112</v>
      </c>
      <c r="Q18" s="15" t="s">
        <v>112</v>
      </c>
      <c r="R18" s="15" t="s">
        <v>112</v>
      </c>
      <c r="S18" s="15" t="s">
        <v>112</v>
      </c>
      <c r="T18" s="15" t="s">
        <v>112</v>
      </c>
      <c r="U18" s="15" t="s">
        <v>111</v>
      </c>
      <c r="V18" s="15" t="s">
        <v>111</v>
      </c>
      <c r="W18" s="15" t="s">
        <v>112</v>
      </c>
      <c r="X18" s="15" t="s">
        <v>112</v>
      </c>
      <c r="Y18" s="15" t="s">
        <v>112</v>
      </c>
      <c r="Z18" s="15" t="s">
        <v>112</v>
      </c>
      <c r="AA18" s="15" t="s">
        <v>112</v>
      </c>
      <c r="AB18" s="15" t="s">
        <v>112</v>
      </c>
      <c r="AC18" s="15" t="s">
        <v>112</v>
      </c>
      <c r="AD18" s="15" t="s">
        <v>112</v>
      </c>
      <c r="AE18" s="15" t="s">
        <v>112</v>
      </c>
      <c r="AF18" s="15" t="s">
        <v>112</v>
      </c>
      <c r="AG18" s="15" t="s">
        <v>112</v>
      </c>
      <c r="AH18" s="15" t="s">
        <v>112</v>
      </c>
      <c r="AI18" s="15" t="s">
        <v>112</v>
      </c>
      <c r="AJ18" s="15" t="s">
        <v>112</v>
      </c>
      <c r="AK18" s="15" t="s">
        <v>112</v>
      </c>
      <c r="AL18" s="15" t="s">
        <v>112</v>
      </c>
      <c r="AM18" s="15" t="s">
        <v>112</v>
      </c>
      <c r="AN18" s="15" t="s">
        <v>112</v>
      </c>
      <c r="AO18" s="15" t="s">
        <v>112</v>
      </c>
      <c r="AP18" s="15" t="s">
        <v>112</v>
      </c>
      <c r="AQ18" s="15" t="s">
        <v>112</v>
      </c>
      <c r="AR18" s="15" t="s">
        <v>112</v>
      </c>
      <c r="AS18" s="15" t="s">
        <v>112</v>
      </c>
      <c r="AT18" s="15" t="s">
        <v>112</v>
      </c>
      <c r="AU18" s="15" t="s">
        <v>112</v>
      </c>
      <c r="AV18" s="15" t="s">
        <v>112</v>
      </c>
      <c r="AW18" s="15" t="s">
        <v>112</v>
      </c>
      <c r="AX18" s="15" t="s">
        <v>112</v>
      </c>
      <c r="AY18" s="15" t="s">
        <v>112</v>
      </c>
      <c r="AZ18" s="15" t="s">
        <v>112</v>
      </c>
      <c r="BA18" s="15" t="s">
        <v>112</v>
      </c>
      <c r="BB18" s="15" t="s">
        <v>112</v>
      </c>
      <c r="BC18" s="15" t="s">
        <v>112</v>
      </c>
      <c r="BD18" s="15" t="s">
        <v>112</v>
      </c>
      <c r="BE18" s="15" t="s">
        <v>112</v>
      </c>
    </row>
    <row r="19" ht="11.25" customHeight="1">
      <c r="A19" s="13" t="s">
        <v>50</v>
      </c>
      <c r="B19" s="13">
        <v>1.0</v>
      </c>
      <c r="C19" s="13" t="s">
        <v>120</v>
      </c>
      <c r="D19" s="13" t="s">
        <v>130</v>
      </c>
      <c r="E19" s="13">
        <f t="shared" si="1"/>
        <v>2</v>
      </c>
      <c r="F19" s="13">
        <v>14.0</v>
      </c>
      <c r="G19" s="13">
        <v>15.0</v>
      </c>
      <c r="H19" s="13" t="s">
        <v>122</v>
      </c>
      <c r="I19" s="16" t="s">
        <v>112</v>
      </c>
      <c r="J19" s="15" t="s">
        <v>112</v>
      </c>
      <c r="K19" s="15" t="s">
        <v>112</v>
      </c>
      <c r="L19" s="15" t="s">
        <v>112</v>
      </c>
      <c r="M19" s="15" t="s">
        <v>112</v>
      </c>
      <c r="N19" s="15" t="s">
        <v>112</v>
      </c>
      <c r="O19" s="15" t="s">
        <v>112</v>
      </c>
      <c r="P19" s="15" t="s">
        <v>112</v>
      </c>
      <c r="Q19" s="15" t="s">
        <v>112</v>
      </c>
      <c r="R19" s="15" t="s">
        <v>112</v>
      </c>
      <c r="S19" s="15" t="s">
        <v>112</v>
      </c>
      <c r="T19" s="15" t="s">
        <v>112</v>
      </c>
      <c r="U19" s="15" t="s">
        <v>112</v>
      </c>
      <c r="V19" s="15" t="s">
        <v>111</v>
      </c>
      <c r="W19" s="15" t="s">
        <v>111</v>
      </c>
      <c r="X19" s="15" t="s">
        <v>112</v>
      </c>
      <c r="Y19" s="15" t="s">
        <v>112</v>
      </c>
      <c r="Z19" s="15" t="s">
        <v>112</v>
      </c>
      <c r="AA19" s="15" t="s">
        <v>112</v>
      </c>
      <c r="AB19" s="15" t="s">
        <v>112</v>
      </c>
      <c r="AC19" s="15" t="s">
        <v>112</v>
      </c>
      <c r="AD19" s="15" t="s">
        <v>112</v>
      </c>
      <c r="AE19" s="15" t="s">
        <v>112</v>
      </c>
      <c r="AF19" s="15" t="s">
        <v>112</v>
      </c>
      <c r="AG19" s="15" t="s">
        <v>112</v>
      </c>
      <c r="AH19" s="15" t="s">
        <v>112</v>
      </c>
      <c r="AI19" s="15" t="s">
        <v>112</v>
      </c>
      <c r="AJ19" s="15" t="s">
        <v>112</v>
      </c>
      <c r="AK19" s="15" t="s">
        <v>112</v>
      </c>
      <c r="AL19" s="15" t="s">
        <v>112</v>
      </c>
      <c r="AM19" s="15" t="s">
        <v>112</v>
      </c>
      <c r="AN19" s="15" t="s">
        <v>112</v>
      </c>
      <c r="AO19" s="15" t="s">
        <v>112</v>
      </c>
      <c r="AP19" s="15" t="s">
        <v>112</v>
      </c>
      <c r="AQ19" s="15" t="s">
        <v>112</v>
      </c>
      <c r="AR19" s="15" t="s">
        <v>112</v>
      </c>
      <c r="AS19" s="15" t="s">
        <v>112</v>
      </c>
      <c r="AT19" s="15" t="s">
        <v>112</v>
      </c>
      <c r="AU19" s="15" t="s">
        <v>112</v>
      </c>
      <c r="AV19" s="15" t="s">
        <v>112</v>
      </c>
      <c r="AW19" s="15" t="s">
        <v>112</v>
      </c>
      <c r="AX19" s="15" t="s">
        <v>112</v>
      </c>
      <c r="AY19" s="15" t="s">
        <v>112</v>
      </c>
      <c r="AZ19" s="15" t="s">
        <v>112</v>
      </c>
      <c r="BA19" s="15" t="s">
        <v>112</v>
      </c>
      <c r="BB19" s="15" t="s">
        <v>112</v>
      </c>
      <c r="BC19" s="15" t="s">
        <v>112</v>
      </c>
      <c r="BD19" s="15" t="s">
        <v>112</v>
      </c>
      <c r="BE19" s="15" t="s">
        <v>112</v>
      </c>
    </row>
    <row r="20" ht="11.25" customHeight="1">
      <c r="A20" s="13" t="s">
        <v>50</v>
      </c>
      <c r="B20" s="13">
        <v>1.0</v>
      </c>
      <c r="C20" s="13" t="s">
        <v>120</v>
      </c>
      <c r="D20" s="13" t="s">
        <v>131</v>
      </c>
      <c r="E20" s="13">
        <f t="shared" si="1"/>
        <v>4</v>
      </c>
      <c r="F20" s="13">
        <v>15.0</v>
      </c>
      <c r="G20" s="13">
        <v>18.0</v>
      </c>
      <c r="H20" s="13" t="s">
        <v>122</v>
      </c>
      <c r="I20" s="16" t="s">
        <v>112</v>
      </c>
      <c r="J20" s="15" t="s">
        <v>112</v>
      </c>
      <c r="K20" s="15" t="s">
        <v>112</v>
      </c>
      <c r="L20" s="15" t="s">
        <v>112</v>
      </c>
      <c r="M20" s="15" t="s">
        <v>112</v>
      </c>
      <c r="N20" s="15" t="s">
        <v>112</v>
      </c>
      <c r="O20" s="15" t="s">
        <v>112</v>
      </c>
      <c r="P20" s="15" t="s">
        <v>112</v>
      </c>
      <c r="Q20" s="15" t="s">
        <v>112</v>
      </c>
      <c r="R20" s="15" t="s">
        <v>112</v>
      </c>
      <c r="S20" s="15" t="s">
        <v>112</v>
      </c>
      <c r="T20" s="15" t="s">
        <v>112</v>
      </c>
      <c r="U20" s="15" t="s">
        <v>112</v>
      </c>
      <c r="V20" s="15" t="s">
        <v>112</v>
      </c>
      <c r="W20" s="15" t="s">
        <v>111</v>
      </c>
      <c r="X20" s="15" t="s">
        <v>111</v>
      </c>
      <c r="Y20" s="15" t="s">
        <v>111</v>
      </c>
      <c r="Z20" s="15" t="s">
        <v>111</v>
      </c>
      <c r="AA20" s="15" t="s">
        <v>112</v>
      </c>
      <c r="AB20" s="15" t="s">
        <v>112</v>
      </c>
      <c r="AC20" s="15" t="s">
        <v>112</v>
      </c>
      <c r="AD20" s="15" t="s">
        <v>112</v>
      </c>
      <c r="AE20" s="15" t="s">
        <v>112</v>
      </c>
      <c r="AF20" s="15" t="s">
        <v>112</v>
      </c>
      <c r="AG20" s="15" t="s">
        <v>112</v>
      </c>
      <c r="AH20" s="15" t="s">
        <v>112</v>
      </c>
      <c r="AI20" s="15" t="s">
        <v>112</v>
      </c>
      <c r="AJ20" s="15" t="s">
        <v>112</v>
      </c>
      <c r="AK20" s="15" t="s">
        <v>112</v>
      </c>
      <c r="AL20" s="15" t="s">
        <v>112</v>
      </c>
      <c r="AM20" s="15" t="s">
        <v>112</v>
      </c>
      <c r="AN20" s="15" t="s">
        <v>112</v>
      </c>
      <c r="AO20" s="15" t="s">
        <v>112</v>
      </c>
      <c r="AP20" s="15" t="s">
        <v>112</v>
      </c>
      <c r="AQ20" s="15" t="s">
        <v>112</v>
      </c>
      <c r="AR20" s="15" t="s">
        <v>112</v>
      </c>
      <c r="AS20" s="15" t="s">
        <v>112</v>
      </c>
      <c r="AT20" s="15" t="s">
        <v>112</v>
      </c>
      <c r="AU20" s="15" t="s">
        <v>112</v>
      </c>
      <c r="AV20" s="15" t="s">
        <v>112</v>
      </c>
      <c r="AW20" s="15" t="s">
        <v>112</v>
      </c>
      <c r="AX20" s="15" t="s">
        <v>112</v>
      </c>
      <c r="AY20" s="15" t="s">
        <v>112</v>
      </c>
      <c r="AZ20" s="15" t="s">
        <v>112</v>
      </c>
      <c r="BA20" s="15" t="s">
        <v>112</v>
      </c>
      <c r="BB20" s="15" t="s">
        <v>112</v>
      </c>
      <c r="BC20" s="15" t="s">
        <v>112</v>
      </c>
      <c r="BD20" s="15" t="s">
        <v>112</v>
      </c>
      <c r="BE20" s="15" t="s">
        <v>112</v>
      </c>
    </row>
    <row r="21" ht="11.25" customHeight="1">
      <c r="A21" s="13" t="s">
        <v>50</v>
      </c>
      <c r="B21" s="13">
        <v>1.0</v>
      </c>
      <c r="C21" s="13" t="s">
        <v>120</v>
      </c>
      <c r="D21" s="13" t="s">
        <v>132</v>
      </c>
      <c r="E21" s="13">
        <f t="shared" si="1"/>
        <v>1</v>
      </c>
      <c r="F21" s="13">
        <v>18.0</v>
      </c>
      <c r="G21" s="13">
        <v>18.0</v>
      </c>
      <c r="H21" s="13" t="s">
        <v>122</v>
      </c>
      <c r="I21" s="16" t="s">
        <v>112</v>
      </c>
      <c r="J21" s="15" t="s">
        <v>112</v>
      </c>
      <c r="K21" s="15" t="s">
        <v>112</v>
      </c>
      <c r="L21" s="15" t="s">
        <v>112</v>
      </c>
      <c r="M21" s="15" t="s">
        <v>112</v>
      </c>
      <c r="N21" s="15" t="s">
        <v>112</v>
      </c>
      <c r="O21" s="15" t="s">
        <v>112</v>
      </c>
      <c r="P21" s="15" t="s">
        <v>112</v>
      </c>
      <c r="Q21" s="15" t="s">
        <v>112</v>
      </c>
      <c r="R21" s="15" t="s">
        <v>112</v>
      </c>
      <c r="S21" s="15" t="s">
        <v>112</v>
      </c>
      <c r="T21" s="15" t="s">
        <v>112</v>
      </c>
      <c r="U21" s="15" t="s">
        <v>112</v>
      </c>
      <c r="V21" s="15" t="s">
        <v>112</v>
      </c>
      <c r="W21" s="15" t="s">
        <v>112</v>
      </c>
      <c r="X21" s="15" t="s">
        <v>112</v>
      </c>
      <c r="Y21" s="15" t="s">
        <v>112</v>
      </c>
      <c r="Z21" s="15" t="s">
        <v>111</v>
      </c>
      <c r="AA21" s="15" t="s">
        <v>112</v>
      </c>
      <c r="AB21" s="15" t="s">
        <v>112</v>
      </c>
      <c r="AC21" s="15" t="s">
        <v>112</v>
      </c>
      <c r="AD21" s="15" t="s">
        <v>112</v>
      </c>
      <c r="AE21" s="15" t="s">
        <v>112</v>
      </c>
      <c r="AF21" s="15" t="s">
        <v>112</v>
      </c>
      <c r="AG21" s="15" t="s">
        <v>112</v>
      </c>
      <c r="AH21" s="15" t="s">
        <v>112</v>
      </c>
      <c r="AI21" s="15" t="s">
        <v>112</v>
      </c>
      <c r="AJ21" s="15" t="s">
        <v>112</v>
      </c>
      <c r="AK21" s="15" t="s">
        <v>112</v>
      </c>
      <c r="AL21" s="15" t="s">
        <v>112</v>
      </c>
      <c r="AM21" s="15" t="s">
        <v>112</v>
      </c>
      <c r="AN21" s="15" t="s">
        <v>112</v>
      </c>
      <c r="AO21" s="15" t="s">
        <v>112</v>
      </c>
      <c r="AP21" s="15" t="s">
        <v>112</v>
      </c>
      <c r="AQ21" s="15" t="s">
        <v>112</v>
      </c>
      <c r="AR21" s="15" t="s">
        <v>112</v>
      </c>
      <c r="AS21" s="15" t="s">
        <v>112</v>
      </c>
      <c r="AT21" s="15" t="s">
        <v>112</v>
      </c>
      <c r="AU21" s="15" t="s">
        <v>112</v>
      </c>
      <c r="AV21" s="15" t="s">
        <v>112</v>
      </c>
      <c r="AW21" s="15" t="s">
        <v>112</v>
      </c>
      <c r="AX21" s="15" t="s">
        <v>112</v>
      </c>
      <c r="AY21" s="15" t="s">
        <v>112</v>
      </c>
      <c r="AZ21" s="15" t="s">
        <v>112</v>
      </c>
      <c r="BA21" s="15" t="s">
        <v>112</v>
      </c>
      <c r="BB21" s="15" t="s">
        <v>112</v>
      </c>
      <c r="BC21" s="15" t="s">
        <v>112</v>
      </c>
      <c r="BD21" s="15" t="s">
        <v>112</v>
      </c>
      <c r="BE21" s="15" t="s">
        <v>112</v>
      </c>
    </row>
    <row r="22" ht="11.25" customHeight="1">
      <c r="A22" s="13"/>
      <c r="B22" s="13"/>
      <c r="C22" s="13"/>
      <c r="D22" s="13"/>
      <c r="E22" s="13" t="str">
        <f t="shared" si="1"/>
        <v/>
      </c>
      <c r="F22" s="13"/>
      <c r="G22" s="13"/>
      <c r="H22" s="13"/>
      <c r="I22" s="16" t="s">
        <v>112</v>
      </c>
      <c r="J22" s="15" t="s">
        <v>112</v>
      </c>
      <c r="K22" s="15" t="s">
        <v>112</v>
      </c>
      <c r="L22" s="15" t="s">
        <v>112</v>
      </c>
      <c r="M22" s="15" t="s">
        <v>112</v>
      </c>
      <c r="N22" s="15" t="s">
        <v>112</v>
      </c>
      <c r="O22" s="15" t="s">
        <v>112</v>
      </c>
      <c r="P22" s="15" t="s">
        <v>112</v>
      </c>
      <c r="Q22" s="15" t="s">
        <v>112</v>
      </c>
      <c r="R22" s="15" t="s">
        <v>112</v>
      </c>
      <c r="S22" s="15" t="s">
        <v>112</v>
      </c>
      <c r="T22" s="15" t="s">
        <v>112</v>
      </c>
      <c r="U22" s="15" t="s">
        <v>112</v>
      </c>
      <c r="V22" s="15" t="s">
        <v>112</v>
      </c>
      <c r="W22" s="15" t="s">
        <v>112</v>
      </c>
      <c r="X22" s="15" t="s">
        <v>112</v>
      </c>
      <c r="Y22" s="15" t="s">
        <v>112</v>
      </c>
      <c r="Z22" s="15" t="s">
        <v>112</v>
      </c>
      <c r="AA22" s="15" t="s">
        <v>112</v>
      </c>
      <c r="AB22" s="15" t="s">
        <v>112</v>
      </c>
      <c r="AC22" s="15" t="s">
        <v>112</v>
      </c>
      <c r="AD22" s="15" t="s">
        <v>112</v>
      </c>
      <c r="AE22" s="15" t="s">
        <v>112</v>
      </c>
      <c r="AF22" s="15" t="s">
        <v>112</v>
      </c>
      <c r="AG22" s="15" t="s">
        <v>112</v>
      </c>
      <c r="AH22" s="15" t="s">
        <v>112</v>
      </c>
      <c r="AI22" s="15" t="s">
        <v>112</v>
      </c>
      <c r="AJ22" s="15" t="s">
        <v>112</v>
      </c>
      <c r="AK22" s="15" t="s">
        <v>112</v>
      </c>
      <c r="AL22" s="15" t="s">
        <v>112</v>
      </c>
      <c r="AM22" s="15" t="s">
        <v>112</v>
      </c>
      <c r="AN22" s="15" t="s">
        <v>112</v>
      </c>
      <c r="AO22" s="15" t="s">
        <v>112</v>
      </c>
      <c r="AP22" s="15" t="s">
        <v>112</v>
      </c>
      <c r="AQ22" s="15" t="s">
        <v>112</v>
      </c>
      <c r="AR22" s="15" t="s">
        <v>112</v>
      </c>
      <c r="AS22" s="15" t="s">
        <v>112</v>
      </c>
      <c r="AT22" s="15" t="s">
        <v>112</v>
      </c>
      <c r="AU22" s="15" t="s">
        <v>112</v>
      </c>
      <c r="AV22" s="15" t="s">
        <v>112</v>
      </c>
      <c r="AW22" s="15" t="s">
        <v>112</v>
      </c>
      <c r="AX22" s="15" t="s">
        <v>112</v>
      </c>
      <c r="AY22" s="15" t="s">
        <v>112</v>
      </c>
      <c r="AZ22" s="15" t="s">
        <v>112</v>
      </c>
      <c r="BA22" s="15" t="s">
        <v>112</v>
      </c>
      <c r="BB22" s="15" t="s">
        <v>112</v>
      </c>
      <c r="BC22" s="15" t="s">
        <v>112</v>
      </c>
      <c r="BD22" s="15" t="s">
        <v>112</v>
      </c>
      <c r="BE22" s="15" t="s">
        <v>112</v>
      </c>
    </row>
    <row r="23" ht="11.25" customHeight="1">
      <c r="A23" s="13" t="s">
        <v>80</v>
      </c>
      <c r="B23" s="13">
        <v>1.0</v>
      </c>
      <c r="C23" s="13" t="s">
        <v>81</v>
      </c>
      <c r="D23" s="13" t="s">
        <v>133</v>
      </c>
      <c r="E23" s="13">
        <f t="shared" si="1"/>
        <v>4</v>
      </c>
      <c r="F23" s="13">
        <v>1.0</v>
      </c>
      <c r="G23" s="13">
        <v>4.0</v>
      </c>
      <c r="H23" s="13" t="s">
        <v>134</v>
      </c>
      <c r="I23" s="16" t="s">
        <v>111</v>
      </c>
      <c r="J23" s="15" t="s">
        <v>111</v>
      </c>
      <c r="K23" s="15" t="s">
        <v>111</v>
      </c>
      <c r="L23" s="15" t="s">
        <v>111</v>
      </c>
      <c r="M23" s="15" t="s">
        <v>112</v>
      </c>
      <c r="N23" s="15" t="s">
        <v>112</v>
      </c>
      <c r="O23" s="15" t="s">
        <v>112</v>
      </c>
      <c r="P23" s="15" t="s">
        <v>112</v>
      </c>
      <c r="Q23" s="15" t="s">
        <v>112</v>
      </c>
      <c r="R23" s="15" t="s">
        <v>112</v>
      </c>
      <c r="S23" s="15" t="s">
        <v>112</v>
      </c>
      <c r="T23" s="15" t="s">
        <v>112</v>
      </c>
      <c r="U23" s="15" t="s">
        <v>112</v>
      </c>
      <c r="V23" s="15" t="s">
        <v>112</v>
      </c>
      <c r="W23" s="15" t="s">
        <v>112</v>
      </c>
      <c r="X23" s="15" t="s">
        <v>112</v>
      </c>
      <c r="Y23" s="15" t="s">
        <v>112</v>
      </c>
      <c r="Z23" s="15" t="s">
        <v>112</v>
      </c>
      <c r="AA23" s="15" t="s">
        <v>112</v>
      </c>
      <c r="AB23" s="15" t="s">
        <v>112</v>
      </c>
      <c r="AC23" s="15" t="s">
        <v>112</v>
      </c>
      <c r="AD23" s="15" t="s">
        <v>112</v>
      </c>
      <c r="AE23" s="15" t="s">
        <v>112</v>
      </c>
      <c r="AF23" s="15" t="s">
        <v>112</v>
      </c>
      <c r="AG23" s="15" t="s">
        <v>112</v>
      </c>
      <c r="AH23" s="15" t="s">
        <v>112</v>
      </c>
      <c r="AI23" s="15" t="s">
        <v>112</v>
      </c>
      <c r="AJ23" s="15" t="s">
        <v>112</v>
      </c>
      <c r="AK23" s="15" t="s">
        <v>112</v>
      </c>
      <c r="AL23" s="15" t="s">
        <v>112</v>
      </c>
      <c r="AM23" s="15" t="s">
        <v>112</v>
      </c>
      <c r="AN23" s="15" t="s">
        <v>112</v>
      </c>
      <c r="AO23" s="15" t="s">
        <v>112</v>
      </c>
      <c r="AP23" s="15" t="s">
        <v>112</v>
      </c>
      <c r="AQ23" s="15" t="s">
        <v>112</v>
      </c>
      <c r="AR23" s="15" t="s">
        <v>112</v>
      </c>
      <c r="AS23" s="15" t="s">
        <v>112</v>
      </c>
      <c r="AT23" s="15" t="s">
        <v>112</v>
      </c>
      <c r="AU23" s="15" t="s">
        <v>112</v>
      </c>
      <c r="AV23" s="15" t="s">
        <v>112</v>
      </c>
      <c r="AW23" s="15" t="s">
        <v>112</v>
      </c>
      <c r="AX23" s="15" t="s">
        <v>112</v>
      </c>
      <c r="AY23" s="15" t="s">
        <v>112</v>
      </c>
      <c r="AZ23" s="15" t="s">
        <v>112</v>
      </c>
      <c r="BA23" s="15" t="s">
        <v>112</v>
      </c>
      <c r="BB23" s="15" t="s">
        <v>112</v>
      </c>
      <c r="BC23" s="15" t="s">
        <v>112</v>
      </c>
      <c r="BD23" s="15" t="s">
        <v>112</v>
      </c>
      <c r="BE23" s="15" t="s">
        <v>112</v>
      </c>
    </row>
    <row r="24" ht="11.25" customHeight="1">
      <c r="A24" s="13" t="s">
        <v>80</v>
      </c>
      <c r="B24" s="13">
        <v>1.0</v>
      </c>
      <c r="C24" s="13" t="s">
        <v>81</v>
      </c>
      <c r="D24" s="13" t="s">
        <v>135</v>
      </c>
      <c r="E24" s="13">
        <f t="shared" si="1"/>
        <v>4</v>
      </c>
      <c r="F24" s="13">
        <v>4.0</v>
      </c>
      <c r="G24" s="13">
        <v>7.0</v>
      </c>
      <c r="H24" s="13" t="s">
        <v>134</v>
      </c>
      <c r="I24" s="16" t="s">
        <v>112</v>
      </c>
      <c r="J24" s="15" t="s">
        <v>112</v>
      </c>
      <c r="K24" s="15" t="s">
        <v>112</v>
      </c>
      <c r="L24" s="15" t="s">
        <v>111</v>
      </c>
      <c r="M24" s="15" t="s">
        <v>111</v>
      </c>
      <c r="N24" s="15" t="s">
        <v>111</v>
      </c>
      <c r="O24" s="15" t="s">
        <v>111</v>
      </c>
      <c r="P24" s="15" t="s">
        <v>112</v>
      </c>
      <c r="Q24" s="15" t="s">
        <v>112</v>
      </c>
      <c r="R24" s="15" t="s">
        <v>112</v>
      </c>
      <c r="S24" s="15" t="s">
        <v>112</v>
      </c>
      <c r="T24" s="15" t="s">
        <v>112</v>
      </c>
      <c r="U24" s="15" t="s">
        <v>112</v>
      </c>
      <c r="V24" s="15" t="s">
        <v>112</v>
      </c>
      <c r="W24" s="15" t="s">
        <v>112</v>
      </c>
      <c r="X24" s="15" t="s">
        <v>112</v>
      </c>
      <c r="Y24" s="15" t="s">
        <v>112</v>
      </c>
      <c r="Z24" s="15" t="s">
        <v>112</v>
      </c>
      <c r="AA24" s="15" t="s">
        <v>112</v>
      </c>
      <c r="AB24" s="15" t="s">
        <v>112</v>
      </c>
      <c r="AC24" s="15" t="s">
        <v>112</v>
      </c>
      <c r="AD24" s="15" t="s">
        <v>112</v>
      </c>
      <c r="AE24" s="15" t="s">
        <v>112</v>
      </c>
      <c r="AF24" s="15" t="s">
        <v>112</v>
      </c>
      <c r="AG24" s="15" t="s">
        <v>112</v>
      </c>
      <c r="AH24" s="15" t="s">
        <v>112</v>
      </c>
      <c r="AI24" s="15" t="s">
        <v>112</v>
      </c>
      <c r="AJ24" s="15" t="s">
        <v>112</v>
      </c>
      <c r="AK24" s="15" t="s">
        <v>112</v>
      </c>
      <c r="AL24" s="15" t="s">
        <v>112</v>
      </c>
      <c r="AM24" s="15" t="s">
        <v>112</v>
      </c>
      <c r="AN24" s="15" t="s">
        <v>112</v>
      </c>
      <c r="AO24" s="15" t="s">
        <v>112</v>
      </c>
      <c r="AP24" s="15" t="s">
        <v>112</v>
      </c>
      <c r="AQ24" s="15" t="s">
        <v>112</v>
      </c>
      <c r="AR24" s="15" t="s">
        <v>112</v>
      </c>
      <c r="AS24" s="15" t="s">
        <v>112</v>
      </c>
      <c r="AT24" s="15" t="s">
        <v>112</v>
      </c>
      <c r="AU24" s="15" t="s">
        <v>112</v>
      </c>
      <c r="AV24" s="15" t="s">
        <v>112</v>
      </c>
      <c r="AW24" s="15" t="s">
        <v>112</v>
      </c>
      <c r="AX24" s="15" t="s">
        <v>112</v>
      </c>
      <c r="AY24" s="15" t="s">
        <v>112</v>
      </c>
      <c r="AZ24" s="15" t="s">
        <v>112</v>
      </c>
      <c r="BA24" s="15" t="s">
        <v>112</v>
      </c>
      <c r="BB24" s="15" t="s">
        <v>112</v>
      </c>
      <c r="BC24" s="15" t="s">
        <v>112</v>
      </c>
      <c r="BD24" s="15" t="s">
        <v>112</v>
      </c>
      <c r="BE24" s="15" t="s">
        <v>112</v>
      </c>
    </row>
    <row r="25" ht="11.25" customHeight="1">
      <c r="A25" s="13" t="s">
        <v>80</v>
      </c>
      <c r="B25" s="13">
        <v>1.0</v>
      </c>
      <c r="C25" s="13" t="s">
        <v>81</v>
      </c>
      <c r="D25" s="13" t="s">
        <v>136</v>
      </c>
      <c r="E25" s="13">
        <f t="shared" si="1"/>
        <v>4</v>
      </c>
      <c r="F25" s="13">
        <v>7.0</v>
      </c>
      <c r="G25" s="13">
        <v>10.0</v>
      </c>
      <c r="H25" s="13" t="s">
        <v>134</v>
      </c>
      <c r="I25" s="16" t="s">
        <v>112</v>
      </c>
      <c r="J25" s="15" t="s">
        <v>112</v>
      </c>
      <c r="K25" s="15" t="s">
        <v>112</v>
      </c>
      <c r="L25" s="15" t="s">
        <v>112</v>
      </c>
      <c r="M25" s="15" t="s">
        <v>112</v>
      </c>
      <c r="N25" s="15" t="s">
        <v>112</v>
      </c>
      <c r="O25" s="15" t="s">
        <v>111</v>
      </c>
      <c r="P25" s="15" t="s">
        <v>111</v>
      </c>
      <c r="Q25" s="15" t="s">
        <v>111</v>
      </c>
      <c r="R25" s="15" t="s">
        <v>111</v>
      </c>
      <c r="S25" s="15" t="s">
        <v>112</v>
      </c>
      <c r="T25" s="15" t="s">
        <v>112</v>
      </c>
      <c r="U25" s="15" t="s">
        <v>112</v>
      </c>
      <c r="V25" s="15" t="s">
        <v>112</v>
      </c>
      <c r="W25" s="15" t="s">
        <v>112</v>
      </c>
      <c r="X25" s="15" t="s">
        <v>112</v>
      </c>
      <c r="Y25" s="15" t="s">
        <v>112</v>
      </c>
      <c r="Z25" s="15" t="s">
        <v>112</v>
      </c>
      <c r="AA25" s="15" t="s">
        <v>112</v>
      </c>
      <c r="AB25" s="15" t="s">
        <v>112</v>
      </c>
      <c r="AC25" s="15" t="s">
        <v>112</v>
      </c>
      <c r="AD25" s="15" t="s">
        <v>112</v>
      </c>
      <c r="AE25" s="15" t="s">
        <v>112</v>
      </c>
      <c r="AF25" s="15" t="s">
        <v>112</v>
      </c>
      <c r="AG25" s="15" t="s">
        <v>112</v>
      </c>
      <c r="AH25" s="15" t="s">
        <v>112</v>
      </c>
      <c r="AI25" s="15" t="s">
        <v>112</v>
      </c>
      <c r="AJ25" s="15" t="s">
        <v>112</v>
      </c>
      <c r="AK25" s="15" t="s">
        <v>112</v>
      </c>
      <c r="AL25" s="15" t="s">
        <v>112</v>
      </c>
      <c r="AM25" s="15" t="s">
        <v>112</v>
      </c>
      <c r="AN25" s="15" t="s">
        <v>112</v>
      </c>
      <c r="AO25" s="15" t="s">
        <v>112</v>
      </c>
      <c r="AP25" s="15" t="s">
        <v>112</v>
      </c>
      <c r="AQ25" s="15" t="s">
        <v>112</v>
      </c>
      <c r="AR25" s="15" t="s">
        <v>112</v>
      </c>
      <c r="AS25" s="15" t="s">
        <v>112</v>
      </c>
      <c r="AT25" s="15" t="s">
        <v>112</v>
      </c>
      <c r="AU25" s="15" t="s">
        <v>112</v>
      </c>
      <c r="AV25" s="15" t="s">
        <v>112</v>
      </c>
      <c r="AW25" s="15" t="s">
        <v>112</v>
      </c>
      <c r="AX25" s="15" t="s">
        <v>112</v>
      </c>
      <c r="AY25" s="15" t="s">
        <v>112</v>
      </c>
      <c r="AZ25" s="15" t="s">
        <v>112</v>
      </c>
      <c r="BA25" s="15" t="s">
        <v>112</v>
      </c>
      <c r="BB25" s="15" t="s">
        <v>112</v>
      </c>
      <c r="BC25" s="15" t="s">
        <v>112</v>
      </c>
      <c r="BD25" s="15" t="s">
        <v>112</v>
      </c>
      <c r="BE25" s="15" t="s">
        <v>112</v>
      </c>
    </row>
    <row r="26" ht="11.25" customHeight="1">
      <c r="A26" s="13" t="s">
        <v>80</v>
      </c>
      <c r="B26" s="13">
        <v>1.0</v>
      </c>
      <c r="C26" s="13" t="s">
        <v>81</v>
      </c>
      <c r="D26" s="13" t="s">
        <v>137</v>
      </c>
      <c r="E26" s="13">
        <f t="shared" si="1"/>
        <v>4</v>
      </c>
      <c r="F26" s="13">
        <v>10.0</v>
      </c>
      <c r="G26" s="13">
        <v>13.0</v>
      </c>
      <c r="H26" s="13" t="s">
        <v>134</v>
      </c>
      <c r="I26" s="16" t="s">
        <v>112</v>
      </c>
      <c r="J26" s="15" t="s">
        <v>112</v>
      </c>
      <c r="K26" s="15" t="s">
        <v>112</v>
      </c>
      <c r="L26" s="15" t="s">
        <v>112</v>
      </c>
      <c r="M26" s="15" t="s">
        <v>112</v>
      </c>
      <c r="N26" s="15" t="s">
        <v>112</v>
      </c>
      <c r="O26" s="15" t="s">
        <v>112</v>
      </c>
      <c r="P26" s="15" t="s">
        <v>112</v>
      </c>
      <c r="Q26" s="15" t="s">
        <v>112</v>
      </c>
      <c r="R26" s="15" t="s">
        <v>111</v>
      </c>
      <c r="S26" s="15" t="s">
        <v>111</v>
      </c>
      <c r="T26" s="15" t="s">
        <v>111</v>
      </c>
      <c r="U26" s="15" t="s">
        <v>111</v>
      </c>
      <c r="V26" s="15" t="s">
        <v>112</v>
      </c>
      <c r="W26" s="15" t="s">
        <v>112</v>
      </c>
      <c r="X26" s="15" t="s">
        <v>112</v>
      </c>
      <c r="Y26" s="15" t="s">
        <v>112</v>
      </c>
      <c r="Z26" s="15" t="s">
        <v>112</v>
      </c>
      <c r="AA26" s="15" t="s">
        <v>112</v>
      </c>
      <c r="AB26" s="15" t="s">
        <v>112</v>
      </c>
      <c r="AC26" s="15" t="s">
        <v>112</v>
      </c>
      <c r="AD26" s="15" t="s">
        <v>112</v>
      </c>
      <c r="AE26" s="15" t="s">
        <v>112</v>
      </c>
      <c r="AF26" s="15" t="s">
        <v>112</v>
      </c>
      <c r="AG26" s="15" t="s">
        <v>112</v>
      </c>
      <c r="AH26" s="15" t="s">
        <v>112</v>
      </c>
      <c r="AI26" s="15" t="s">
        <v>112</v>
      </c>
      <c r="AJ26" s="15" t="s">
        <v>112</v>
      </c>
      <c r="AK26" s="15" t="s">
        <v>112</v>
      </c>
      <c r="AL26" s="15" t="s">
        <v>112</v>
      </c>
      <c r="AM26" s="15" t="s">
        <v>112</v>
      </c>
      <c r="AN26" s="15" t="s">
        <v>112</v>
      </c>
      <c r="AO26" s="15" t="s">
        <v>112</v>
      </c>
      <c r="AP26" s="15" t="s">
        <v>112</v>
      </c>
      <c r="AQ26" s="15" t="s">
        <v>112</v>
      </c>
      <c r="AR26" s="15" t="s">
        <v>112</v>
      </c>
      <c r="AS26" s="15" t="s">
        <v>112</v>
      </c>
      <c r="AT26" s="15" t="s">
        <v>112</v>
      </c>
      <c r="AU26" s="15" t="s">
        <v>112</v>
      </c>
      <c r="AV26" s="15" t="s">
        <v>112</v>
      </c>
      <c r="AW26" s="15" t="s">
        <v>112</v>
      </c>
      <c r="AX26" s="15" t="s">
        <v>112</v>
      </c>
      <c r="AY26" s="15" t="s">
        <v>112</v>
      </c>
      <c r="AZ26" s="15" t="s">
        <v>112</v>
      </c>
      <c r="BA26" s="15" t="s">
        <v>112</v>
      </c>
      <c r="BB26" s="15" t="s">
        <v>112</v>
      </c>
      <c r="BC26" s="15" t="s">
        <v>112</v>
      </c>
      <c r="BD26" s="15" t="s">
        <v>112</v>
      </c>
      <c r="BE26" s="15" t="s">
        <v>112</v>
      </c>
    </row>
    <row r="27" ht="11.25" customHeight="1">
      <c r="A27" s="13" t="s">
        <v>80</v>
      </c>
      <c r="B27" s="13">
        <v>1.0</v>
      </c>
      <c r="C27" s="13" t="s">
        <v>81</v>
      </c>
      <c r="D27" s="13" t="s">
        <v>138</v>
      </c>
      <c r="E27" s="13">
        <f t="shared" si="1"/>
        <v>4</v>
      </c>
      <c r="F27" s="13">
        <v>13.0</v>
      </c>
      <c r="G27" s="13">
        <v>16.0</v>
      </c>
      <c r="H27" s="13" t="s">
        <v>134</v>
      </c>
      <c r="I27" s="16" t="s">
        <v>112</v>
      </c>
      <c r="J27" s="15" t="s">
        <v>112</v>
      </c>
      <c r="K27" s="15" t="s">
        <v>112</v>
      </c>
      <c r="L27" s="15" t="s">
        <v>112</v>
      </c>
      <c r="M27" s="15" t="s">
        <v>112</v>
      </c>
      <c r="N27" s="15" t="s">
        <v>112</v>
      </c>
      <c r="O27" s="15" t="s">
        <v>112</v>
      </c>
      <c r="P27" s="15" t="s">
        <v>112</v>
      </c>
      <c r="Q27" s="15" t="s">
        <v>112</v>
      </c>
      <c r="R27" s="15" t="s">
        <v>112</v>
      </c>
      <c r="S27" s="15" t="s">
        <v>112</v>
      </c>
      <c r="T27" s="15" t="s">
        <v>112</v>
      </c>
      <c r="U27" s="15" t="s">
        <v>111</v>
      </c>
      <c r="V27" s="15" t="s">
        <v>111</v>
      </c>
      <c r="W27" s="15" t="s">
        <v>111</v>
      </c>
      <c r="X27" s="15" t="s">
        <v>111</v>
      </c>
      <c r="Y27" s="15" t="s">
        <v>112</v>
      </c>
      <c r="Z27" s="15" t="s">
        <v>112</v>
      </c>
      <c r="AA27" s="15" t="s">
        <v>112</v>
      </c>
      <c r="AB27" s="15" t="s">
        <v>112</v>
      </c>
      <c r="AC27" s="15" t="s">
        <v>112</v>
      </c>
      <c r="AD27" s="15" t="s">
        <v>112</v>
      </c>
      <c r="AE27" s="15" t="s">
        <v>112</v>
      </c>
      <c r="AF27" s="15" t="s">
        <v>112</v>
      </c>
      <c r="AG27" s="15" t="s">
        <v>112</v>
      </c>
      <c r="AH27" s="15" t="s">
        <v>112</v>
      </c>
      <c r="AI27" s="15" t="s">
        <v>112</v>
      </c>
      <c r="AJ27" s="15" t="s">
        <v>112</v>
      </c>
      <c r="AK27" s="15" t="s">
        <v>112</v>
      </c>
      <c r="AL27" s="15" t="s">
        <v>112</v>
      </c>
      <c r="AM27" s="15" t="s">
        <v>112</v>
      </c>
      <c r="AN27" s="15" t="s">
        <v>112</v>
      </c>
      <c r="AO27" s="15" t="s">
        <v>112</v>
      </c>
      <c r="AP27" s="15" t="s">
        <v>112</v>
      </c>
      <c r="AQ27" s="15" t="s">
        <v>112</v>
      </c>
      <c r="AR27" s="15" t="s">
        <v>112</v>
      </c>
      <c r="AS27" s="15" t="s">
        <v>112</v>
      </c>
      <c r="AT27" s="15" t="s">
        <v>112</v>
      </c>
      <c r="AU27" s="15" t="s">
        <v>112</v>
      </c>
      <c r="AV27" s="15" t="s">
        <v>112</v>
      </c>
      <c r="AW27" s="15" t="s">
        <v>112</v>
      </c>
      <c r="AX27" s="15" t="s">
        <v>112</v>
      </c>
      <c r="AY27" s="15" t="s">
        <v>112</v>
      </c>
      <c r="AZ27" s="15" t="s">
        <v>112</v>
      </c>
      <c r="BA27" s="15" t="s">
        <v>112</v>
      </c>
      <c r="BB27" s="15" t="s">
        <v>112</v>
      </c>
      <c r="BC27" s="15" t="s">
        <v>112</v>
      </c>
      <c r="BD27" s="15" t="s">
        <v>112</v>
      </c>
      <c r="BE27" s="15" t="s">
        <v>112</v>
      </c>
    </row>
    <row r="28" ht="11.25" customHeight="1">
      <c r="A28" s="13" t="s">
        <v>80</v>
      </c>
      <c r="B28" s="13">
        <v>1.0</v>
      </c>
      <c r="C28" s="13" t="s">
        <v>81</v>
      </c>
      <c r="D28" s="13" t="s">
        <v>139</v>
      </c>
      <c r="E28" s="13">
        <f t="shared" si="1"/>
        <v>4</v>
      </c>
      <c r="F28" s="13">
        <v>16.0</v>
      </c>
      <c r="G28" s="13">
        <v>19.0</v>
      </c>
      <c r="H28" s="13" t="s">
        <v>134</v>
      </c>
      <c r="I28" s="16" t="s">
        <v>112</v>
      </c>
      <c r="J28" s="15" t="s">
        <v>112</v>
      </c>
      <c r="K28" s="15" t="s">
        <v>112</v>
      </c>
      <c r="L28" s="15" t="s">
        <v>112</v>
      </c>
      <c r="M28" s="15" t="s">
        <v>112</v>
      </c>
      <c r="N28" s="15" t="s">
        <v>112</v>
      </c>
      <c r="O28" s="15" t="s">
        <v>112</v>
      </c>
      <c r="P28" s="15" t="s">
        <v>112</v>
      </c>
      <c r="Q28" s="15" t="s">
        <v>112</v>
      </c>
      <c r="R28" s="15" t="s">
        <v>112</v>
      </c>
      <c r="S28" s="15" t="s">
        <v>112</v>
      </c>
      <c r="T28" s="15" t="s">
        <v>112</v>
      </c>
      <c r="U28" s="15" t="s">
        <v>112</v>
      </c>
      <c r="V28" s="15" t="s">
        <v>112</v>
      </c>
      <c r="W28" s="15" t="s">
        <v>112</v>
      </c>
      <c r="X28" s="15" t="s">
        <v>111</v>
      </c>
      <c r="Y28" s="15" t="s">
        <v>111</v>
      </c>
      <c r="Z28" s="15" t="s">
        <v>111</v>
      </c>
      <c r="AA28" s="15" t="s">
        <v>111</v>
      </c>
      <c r="AB28" s="15" t="s">
        <v>112</v>
      </c>
      <c r="AC28" s="15" t="s">
        <v>112</v>
      </c>
      <c r="AD28" s="15" t="s">
        <v>112</v>
      </c>
      <c r="AE28" s="15" t="s">
        <v>112</v>
      </c>
      <c r="AF28" s="15" t="s">
        <v>112</v>
      </c>
      <c r="AG28" s="15" t="s">
        <v>112</v>
      </c>
      <c r="AH28" s="15" t="s">
        <v>112</v>
      </c>
      <c r="AI28" s="15" t="s">
        <v>112</v>
      </c>
      <c r="AJ28" s="15" t="s">
        <v>112</v>
      </c>
      <c r="AK28" s="15" t="s">
        <v>112</v>
      </c>
      <c r="AL28" s="15" t="s">
        <v>112</v>
      </c>
      <c r="AM28" s="15" t="s">
        <v>112</v>
      </c>
      <c r="AN28" s="15" t="s">
        <v>112</v>
      </c>
      <c r="AO28" s="15" t="s">
        <v>112</v>
      </c>
      <c r="AP28" s="15" t="s">
        <v>112</v>
      </c>
      <c r="AQ28" s="15" t="s">
        <v>112</v>
      </c>
      <c r="AR28" s="15" t="s">
        <v>112</v>
      </c>
      <c r="AS28" s="15" t="s">
        <v>112</v>
      </c>
      <c r="AT28" s="15" t="s">
        <v>112</v>
      </c>
      <c r="AU28" s="15" t="s">
        <v>112</v>
      </c>
      <c r="AV28" s="15" t="s">
        <v>112</v>
      </c>
      <c r="AW28" s="15" t="s">
        <v>112</v>
      </c>
      <c r="AX28" s="15" t="s">
        <v>112</v>
      </c>
      <c r="AY28" s="15" t="s">
        <v>112</v>
      </c>
      <c r="AZ28" s="15" t="s">
        <v>112</v>
      </c>
      <c r="BA28" s="15" t="s">
        <v>112</v>
      </c>
      <c r="BB28" s="15" t="s">
        <v>112</v>
      </c>
      <c r="BC28" s="15" t="s">
        <v>112</v>
      </c>
      <c r="BD28" s="15" t="s">
        <v>112</v>
      </c>
      <c r="BE28" s="15" t="s">
        <v>112</v>
      </c>
    </row>
    <row r="29" ht="11.25" customHeight="1">
      <c r="A29" s="13"/>
      <c r="B29" s="13"/>
      <c r="C29" s="13"/>
      <c r="D29" s="13"/>
      <c r="E29" s="13" t="str">
        <f t="shared" si="1"/>
        <v/>
      </c>
      <c r="F29" s="13"/>
      <c r="G29" s="13"/>
      <c r="H29" s="13"/>
      <c r="I29" s="16" t="s">
        <v>112</v>
      </c>
      <c r="J29" s="15" t="s">
        <v>112</v>
      </c>
      <c r="K29" s="15" t="s">
        <v>112</v>
      </c>
      <c r="L29" s="15" t="s">
        <v>112</v>
      </c>
      <c r="M29" s="15" t="s">
        <v>112</v>
      </c>
      <c r="N29" s="15" t="s">
        <v>112</v>
      </c>
      <c r="O29" s="15" t="s">
        <v>112</v>
      </c>
      <c r="P29" s="15" t="s">
        <v>112</v>
      </c>
      <c r="Q29" s="15" t="s">
        <v>112</v>
      </c>
      <c r="R29" s="15" t="s">
        <v>112</v>
      </c>
      <c r="S29" s="15" t="s">
        <v>112</v>
      </c>
      <c r="T29" s="15" t="s">
        <v>112</v>
      </c>
      <c r="U29" s="15" t="s">
        <v>112</v>
      </c>
      <c r="V29" s="15" t="s">
        <v>112</v>
      </c>
      <c r="W29" s="15" t="s">
        <v>112</v>
      </c>
      <c r="X29" s="15" t="s">
        <v>112</v>
      </c>
      <c r="Y29" s="15" t="s">
        <v>112</v>
      </c>
      <c r="Z29" s="15" t="s">
        <v>112</v>
      </c>
      <c r="AA29" s="15" t="s">
        <v>112</v>
      </c>
      <c r="AB29" s="15" t="s">
        <v>112</v>
      </c>
      <c r="AC29" s="15" t="s">
        <v>112</v>
      </c>
      <c r="AD29" s="15" t="s">
        <v>112</v>
      </c>
      <c r="AE29" s="15" t="s">
        <v>112</v>
      </c>
      <c r="AF29" s="15" t="s">
        <v>112</v>
      </c>
      <c r="AG29" s="15" t="s">
        <v>112</v>
      </c>
      <c r="AH29" s="15" t="s">
        <v>112</v>
      </c>
      <c r="AI29" s="15" t="s">
        <v>112</v>
      </c>
      <c r="AJ29" s="15" t="s">
        <v>112</v>
      </c>
      <c r="AK29" s="15" t="s">
        <v>112</v>
      </c>
      <c r="AL29" s="15" t="s">
        <v>112</v>
      </c>
      <c r="AM29" s="15" t="s">
        <v>112</v>
      </c>
      <c r="AN29" s="15" t="s">
        <v>112</v>
      </c>
      <c r="AO29" s="15" t="s">
        <v>112</v>
      </c>
      <c r="AP29" s="15" t="s">
        <v>112</v>
      </c>
      <c r="AQ29" s="15" t="s">
        <v>112</v>
      </c>
      <c r="AR29" s="15" t="s">
        <v>112</v>
      </c>
      <c r="AS29" s="15" t="s">
        <v>112</v>
      </c>
      <c r="AT29" s="15" t="s">
        <v>112</v>
      </c>
      <c r="AU29" s="15" t="s">
        <v>112</v>
      </c>
      <c r="AV29" s="15" t="s">
        <v>112</v>
      </c>
      <c r="AW29" s="15" t="s">
        <v>112</v>
      </c>
      <c r="AX29" s="15" t="s">
        <v>112</v>
      </c>
      <c r="AY29" s="15" t="s">
        <v>112</v>
      </c>
      <c r="AZ29" s="15" t="s">
        <v>112</v>
      </c>
      <c r="BA29" s="15" t="s">
        <v>112</v>
      </c>
      <c r="BB29" s="15" t="s">
        <v>112</v>
      </c>
      <c r="BC29" s="15" t="s">
        <v>112</v>
      </c>
      <c r="BD29" s="15" t="s">
        <v>112</v>
      </c>
      <c r="BE29" s="15" t="s">
        <v>112</v>
      </c>
    </row>
    <row r="30" ht="11.25" customHeight="1">
      <c r="A30" s="13" t="s">
        <v>46</v>
      </c>
      <c r="B30" s="13">
        <v>2.0</v>
      </c>
      <c r="C30" s="13" t="s">
        <v>47</v>
      </c>
      <c r="D30" s="13" t="s">
        <v>140</v>
      </c>
      <c r="E30" s="13">
        <f t="shared" si="1"/>
        <v>3</v>
      </c>
      <c r="F30" s="17">
        <v>16.0</v>
      </c>
      <c r="G30" s="17">
        <v>18.0</v>
      </c>
      <c r="H30" s="13" t="s">
        <v>110</v>
      </c>
      <c r="I30" s="16" t="s">
        <v>112</v>
      </c>
      <c r="J30" s="15" t="s">
        <v>112</v>
      </c>
      <c r="K30" s="15" t="s">
        <v>112</v>
      </c>
      <c r="L30" s="15" t="s">
        <v>112</v>
      </c>
      <c r="M30" s="15" t="s">
        <v>112</v>
      </c>
      <c r="N30" s="15" t="s">
        <v>112</v>
      </c>
      <c r="O30" s="15" t="s">
        <v>112</v>
      </c>
      <c r="P30" s="15" t="s">
        <v>112</v>
      </c>
      <c r="Q30" s="15" t="s">
        <v>112</v>
      </c>
      <c r="R30" s="15" t="s">
        <v>112</v>
      </c>
      <c r="S30" s="15" t="s">
        <v>112</v>
      </c>
      <c r="T30" s="15" t="s">
        <v>112</v>
      </c>
      <c r="U30" s="15" t="s">
        <v>112</v>
      </c>
      <c r="V30" s="15" t="s">
        <v>112</v>
      </c>
      <c r="W30" s="15" t="s">
        <v>112</v>
      </c>
      <c r="X30" s="15" t="s">
        <v>111</v>
      </c>
      <c r="Y30" s="15" t="s">
        <v>111</v>
      </c>
      <c r="Z30" s="15" t="s">
        <v>111</v>
      </c>
      <c r="AA30" s="15" t="s">
        <v>112</v>
      </c>
      <c r="AB30" s="15" t="s">
        <v>112</v>
      </c>
      <c r="AC30" s="15" t="s">
        <v>112</v>
      </c>
      <c r="AD30" s="15" t="s">
        <v>112</v>
      </c>
      <c r="AE30" s="15" t="s">
        <v>112</v>
      </c>
      <c r="AF30" s="15" t="s">
        <v>112</v>
      </c>
      <c r="AG30" s="15" t="s">
        <v>112</v>
      </c>
      <c r="AH30" s="15" t="s">
        <v>112</v>
      </c>
      <c r="AI30" s="15" t="s">
        <v>112</v>
      </c>
      <c r="AJ30" s="15" t="s">
        <v>112</v>
      </c>
      <c r="AK30" s="15" t="s">
        <v>112</v>
      </c>
      <c r="AL30" s="15" t="s">
        <v>112</v>
      </c>
      <c r="AM30" s="15" t="s">
        <v>112</v>
      </c>
      <c r="AN30" s="15" t="s">
        <v>112</v>
      </c>
      <c r="AO30" s="15" t="s">
        <v>112</v>
      </c>
      <c r="AP30" s="15" t="s">
        <v>112</v>
      </c>
      <c r="AQ30" s="15" t="s">
        <v>112</v>
      </c>
      <c r="AR30" s="15" t="s">
        <v>112</v>
      </c>
      <c r="AS30" s="15" t="s">
        <v>112</v>
      </c>
      <c r="AT30" s="15" t="s">
        <v>112</v>
      </c>
      <c r="AU30" s="15" t="s">
        <v>112</v>
      </c>
      <c r="AV30" s="15" t="s">
        <v>112</v>
      </c>
      <c r="AW30" s="15" t="s">
        <v>112</v>
      </c>
      <c r="AX30" s="15" t="s">
        <v>112</v>
      </c>
      <c r="AY30" s="15" t="s">
        <v>112</v>
      </c>
      <c r="AZ30" s="15" t="s">
        <v>112</v>
      </c>
      <c r="BA30" s="15" t="s">
        <v>112</v>
      </c>
      <c r="BB30" s="15" t="s">
        <v>112</v>
      </c>
      <c r="BC30" s="15" t="s">
        <v>112</v>
      </c>
      <c r="BD30" s="15" t="s">
        <v>112</v>
      </c>
      <c r="BE30" s="15" t="s">
        <v>112</v>
      </c>
    </row>
    <row r="31" ht="11.25" customHeight="1">
      <c r="A31" s="13" t="s">
        <v>46</v>
      </c>
      <c r="B31" s="13">
        <v>2.0</v>
      </c>
      <c r="C31" s="13" t="s">
        <v>47</v>
      </c>
      <c r="D31" s="13" t="s">
        <v>141</v>
      </c>
      <c r="E31" s="13">
        <f t="shared" si="1"/>
        <v>3</v>
      </c>
      <c r="F31" s="17">
        <v>18.0</v>
      </c>
      <c r="G31" s="17">
        <v>20.0</v>
      </c>
      <c r="H31" s="13" t="s">
        <v>110</v>
      </c>
      <c r="I31" s="16" t="s">
        <v>112</v>
      </c>
      <c r="J31" s="16" t="s">
        <v>112</v>
      </c>
      <c r="K31" s="15" t="s">
        <v>112</v>
      </c>
      <c r="L31" s="15" t="s">
        <v>112</v>
      </c>
      <c r="M31" s="15" t="s">
        <v>112</v>
      </c>
      <c r="N31" s="15" t="s">
        <v>112</v>
      </c>
      <c r="O31" s="15" t="s">
        <v>112</v>
      </c>
      <c r="P31" s="15" t="s">
        <v>112</v>
      </c>
      <c r="Q31" s="15" t="s">
        <v>112</v>
      </c>
      <c r="R31" s="15" t="s">
        <v>112</v>
      </c>
      <c r="S31" s="15" t="s">
        <v>112</v>
      </c>
      <c r="T31" s="15" t="s">
        <v>112</v>
      </c>
      <c r="U31" s="15" t="s">
        <v>112</v>
      </c>
      <c r="V31" s="15" t="s">
        <v>112</v>
      </c>
      <c r="W31" s="15" t="s">
        <v>112</v>
      </c>
      <c r="X31" s="15" t="s">
        <v>112</v>
      </c>
      <c r="Y31" s="15" t="s">
        <v>112</v>
      </c>
      <c r="Z31" s="15" t="s">
        <v>111</v>
      </c>
      <c r="AA31" s="15" t="s">
        <v>111</v>
      </c>
      <c r="AB31" s="15" t="s">
        <v>111</v>
      </c>
      <c r="AC31" s="15" t="s">
        <v>112</v>
      </c>
      <c r="AD31" s="15" t="s">
        <v>112</v>
      </c>
      <c r="AE31" s="15" t="s">
        <v>112</v>
      </c>
      <c r="AF31" s="15" t="s">
        <v>112</v>
      </c>
      <c r="AG31" s="15" t="s">
        <v>112</v>
      </c>
      <c r="AH31" s="15" t="s">
        <v>112</v>
      </c>
      <c r="AI31" s="15" t="s">
        <v>112</v>
      </c>
      <c r="AJ31" s="15" t="s">
        <v>112</v>
      </c>
      <c r="AK31" s="15" t="s">
        <v>112</v>
      </c>
      <c r="AL31" s="15" t="s">
        <v>112</v>
      </c>
      <c r="AM31" s="15" t="s">
        <v>112</v>
      </c>
      <c r="AN31" s="15" t="s">
        <v>112</v>
      </c>
      <c r="AO31" s="15" t="s">
        <v>112</v>
      </c>
      <c r="AP31" s="15" t="s">
        <v>112</v>
      </c>
      <c r="AQ31" s="15" t="s">
        <v>112</v>
      </c>
      <c r="AR31" s="15" t="s">
        <v>112</v>
      </c>
      <c r="AS31" s="15" t="s">
        <v>112</v>
      </c>
      <c r="AT31" s="15" t="s">
        <v>112</v>
      </c>
      <c r="AU31" s="15" t="s">
        <v>112</v>
      </c>
      <c r="AV31" s="15" t="s">
        <v>112</v>
      </c>
      <c r="AW31" s="15" t="s">
        <v>112</v>
      </c>
      <c r="AX31" s="15" t="s">
        <v>112</v>
      </c>
      <c r="AY31" s="15" t="s">
        <v>112</v>
      </c>
      <c r="AZ31" s="15" t="s">
        <v>112</v>
      </c>
      <c r="BA31" s="15" t="s">
        <v>112</v>
      </c>
      <c r="BB31" s="15" t="s">
        <v>112</v>
      </c>
      <c r="BC31" s="15" t="s">
        <v>112</v>
      </c>
      <c r="BD31" s="15" t="s">
        <v>112</v>
      </c>
      <c r="BE31" s="15" t="s">
        <v>112</v>
      </c>
    </row>
    <row r="32" ht="11.25" customHeight="1">
      <c r="A32" s="13" t="s">
        <v>46</v>
      </c>
      <c r="B32" s="13">
        <v>2.0</v>
      </c>
      <c r="C32" s="13" t="s">
        <v>47</v>
      </c>
      <c r="D32" s="13" t="s">
        <v>142</v>
      </c>
      <c r="E32" s="13">
        <f t="shared" si="1"/>
        <v>2</v>
      </c>
      <c r="F32" s="17">
        <v>20.0</v>
      </c>
      <c r="G32" s="17">
        <v>21.0</v>
      </c>
      <c r="H32" s="13" t="s">
        <v>110</v>
      </c>
      <c r="I32" s="15" t="s">
        <v>112</v>
      </c>
      <c r="J32" s="15" t="s">
        <v>112</v>
      </c>
      <c r="K32" s="15" t="s">
        <v>112</v>
      </c>
      <c r="L32" s="15" t="s">
        <v>112</v>
      </c>
      <c r="M32" s="15" t="s">
        <v>112</v>
      </c>
      <c r="N32" s="15" t="s">
        <v>112</v>
      </c>
      <c r="O32" s="15" t="s">
        <v>112</v>
      </c>
      <c r="P32" s="15" t="s">
        <v>112</v>
      </c>
      <c r="Q32" s="15" t="s">
        <v>112</v>
      </c>
      <c r="R32" s="15" t="s">
        <v>112</v>
      </c>
      <c r="S32" s="15" t="s">
        <v>112</v>
      </c>
      <c r="T32" s="15" t="s">
        <v>112</v>
      </c>
      <c r="U32" s="15" t="s">
        <v>112</v>
      </c>
      <c r="V32" s="15" t="s">
        <v>112</v>
      </c>
      <c r="W32" s="15" t="s">
        <v>112</v>
      </c>
      <c r="X32" s="15" t="s">
        <v>112</v>
      </c>
      <c r="Y32" s="15" t="s">
        <v>112</v>
      </c>
      <c r="Z32" s="15" t="s">
        <v>112</v>
      </c>
      <c r="AA32" s="15" t="s">
        <v>112</v>
      </c>
      <c r="AB32" s="15" t="s">
        <v>111</v>
      </c>
      <c r="AC32" s="15" t="s">
        <v>111</v>
      </c>
      <c r="AD32" s="15" t="s">
        <v>112</v>
      </c>
      <c r="AE32" s="15" t="s">
        <v>112</v>
      </c>
      <c r="AF32" s="15" t="s">
        <v>112</v>
      </c>
      <c r="AG32" s="15" t="s">
        <v>112</v>
      </c>
      <c r="AH32" s="15" t="s">
        <v>112</v>
      </c>
      <c r="AI32" s="15" t="s">
        <v>112</v>
      </c>
      <c r="AJ32" s="15" t="s">
        <v>112</v>
      </c>
      <c r="AK32" s="15" t="s">
        <v>112</v>
      </c>
      <c r="AL32" s="15" t="s">
        <v>112</v>
      </c>
      <c r="AM32" s="15" t="s">
        <v>112</v>
      </c>
      <c r="AN32" s="15" t="s">
        <v>112</v>
      </c>
      <c r="AO32" s="15" t="s">
        <v>112</v>
      </c>
      <c r="AP32" s="15" t="s">
        <v>112</v>
      </c>
      <c r="AQ32" s="15" t="s">
        <v>112</v>
      </c>
      <c r="AR32" s="15" t="s">
        <v>112</v>
      </c>
      <c r="AS32" s="15" t="s">
        <v>112</v>
      </c>
      <c r="AT32" s="15" t="s">
        <v>112</v>
      </c>
      <c r="AU32" s="15" t="s">
        <v>112</v>
      </c>
      <c r="AV32" s="15" t="s">
        <v>112</v>
      </c>
      <c r="AW32" s="15" t="s">
        <v>112</v>
      </c>
      <c r="AX32" s="15" t="s">
        <v>112</v>
      </c>
      <c r="AY32" s="15" t="s">
        <v>112</v>
      </c>
      <c r="AZ32" s="15" t="s">
        <v>112</v>
      </c>
      <c r="BA32" s="15" t="s">
        <v>112</v>
      </c>
      <c r="BB32" s="15" t="s">
        <v>112</v>
      </c>
      <c r="BC32" s="15" t="s">
        <v>112</v>
      </c>
      <c r="BD32" s="15" t="s">
        <v>112</v>
      </c>
      <c r="BE32" s="15" t="s">
        <v>112</v>
      </c>
    </row>
    <row r="33" ht="11.25" customHeight="1">
      <c r="A33" s="13" t="s">
        <v>46</v>
      </c>
      <c r="B33" s="13">
        <v>2.0</v>
      </c>
      <c r="C33" s="13" t="s">
        <v>47</v>
      </c>
      <c r="D33" s="13" t="s">
        <v>143</v>
      </c>
      <c r="E33" s="13">
        <f t="shared" si="1"/>
        <v>2</v>
      </c>
      <c r="F33" s="17">
        <v>21.0</v>
      </c>
      <c r="G33" s="17">
        <v>22.0</v>
      </c>
      <c r="H33" s="13" t="s">
        <v>110</v>
      </c>
      <c r="I33" s="16" t="s">
        <v>112</v>
      </c>
      <c r="J33" s="15" t="s">
        <v>112</v>
      </c>
      <c r="K33" s="15" t="s">
        <v>112</v>
      </c>
      <c r="L33" s="15" t="s">
        <v>112</v>
      </c>
      <c r="M33" s="15" t="s">
        <v>112</v>
      </c>
      <c r="N33" s="15" t="s">
        <v>112</v>
      </c>
      <c r="O33" s="15" t="s">
        <v>112</v>
      </c>
      <c r="P33" s="15" t="s">
        <v>112</v>
      </c>
      <c r="Q33" s="15" t="s">
        <v>112</v>
      </c>
      <c r="R33" s="15" t="s">
        <v>112</v>
      </c>
      <c r="S33" s="15" t="s">
        <v>112</v>
      </c>
      <c r="T33" s="15" t="s">
        <v>112</v>
      </c>
      <c r="U33" s="15" t="s">
        <v>112</v>
      </c>
      <c r="V33" s="15" t="s">
        <v>112</v>
      </c>
      <c r="W33" s="15" t="s">
        <v>112</v>
      </c>
      <c r="X33" s="15" t="s">
        <v>112</v>
      </c>
      <c r="Y33" s="15" t="s">
        <v>112</v>
      </c>
      <c r="Z33" s="15" t="s">
        <v>112</v>
      </c>
      <c r="AA33" s="15" t="s">
        <v>112</v>
      </c>
      <c r="AB33" s="15" t="s">
        <v>112</v>
      </c>
      <c r="AC33" s="15" t="s">
        <v>111</v>
      </c>
      <c r="AD33" s="15" t="s">
        <v>111</v>
      </c>
      <c r="AE33" s="15" t="s">
        <v>112</v>
      </c>
      <c r="AF33" s="15" t="s">
        <v>112</v>
      </c>
      <c r="AG33" s="15" t="s">
        <v>112</v>
      </c>
      <c r="AH33" s="15" t="s">
        <v>112</v>
      </c>
      <c r="AI33" s="15" t="s">
        <v>112</v>
      </c>
      <c r="AJ33" s="15" t="s">
        <v>112</v>
      </c>
      <c r="AK33" s="15" t="s">
        <v>112</v>
      </c>
      <c r="AL33" s="15" t="s">
        <v>112</v>
      </c>
      <c r="AM33" s="15" t="s">
        <v>112</v>
      </c>
      <c r="AN33" s="15" t="s">
        <v>112</v>
      </c>
      <c r="AO33" s="15" t="s">
        <v>112</v>
      </c>
      <c r="AP33" s="15" t="s">
        <v>112</v>
      </c>
      <c r="AQ33" s="15" t="s">
        <v>112</v>
      </c>
      <c r="AR33" s="15" t="s">
        <v>112</v>
      </c>
      <c r="AS33" s="15" t="s">
        <v>112</v>
      </c>
      <c r="AT33" s="15" t="s">
        <v>112</v>
      </c>
      <c r="AU33" s="15" t="s">
        <v>112</v>
      </c>
      <c r="AV33" s="15" t="s">
        <v>112</v>
      </c>
      <c r="AW33" s="15" t="s">
        <v>112</v>
      </c>
      <c r="AX33" s="15" t="s">
        <v>112</v>
      </c>
      <c r="AY33" s="15" t="s">
        <v>112</v>
      </c>
      <c r="AZ33" s="15" t="s">
        <v>112</v>
      </c>
      <c r="BA33" s="15" t="s">
        <v>112</v>
      </c>
      <c r="BB33" s="15" t="s">
        <v>112</v>
      </c>
      <c r="BC33" s="15" t="s">
        <v>112</v>
      </c>
      <c r="BD33" s="15" t="s">
        <v>112</v>
      </c>
      <c r="BE33" s="15" t="s">
        <v>112</v>
      </c>
    </row>
    <row r="34" ht="11.25" customHeight="1">
      <c r="A34" s="13" t="s">
        <v>46</v>
      </c>
      <c r="B34" s="13">
        <v>2.0</v>
      </c>
      <c r="C34" s="13" t="s">
        <v>47</v>
      </c>
      <c r="D34" s="13" t="s">
        <v>144</v>
      </c>
      <c r="E34" s="13">
        <f t="shared" si="1"/>
        <v>2</v>
      </c>
      <c r="F34" s="17">
        <v>22.0</v>
      </c>
      <c r="G34" s="17">
        <v>23.0</v>
      </c>
      <c r="H34" s="13" t="s">
        <v>110</v>
      </c>
      <c r="I34" s="16" t="s">
        <v>112</v>
      </c>
      <c r="J34" s="15" t="s">
        <v>112</v>
      </c>
      <c r="K34" s="15" t="s">
        <v>112</v>
      </c>
      <c r="L34" s="15" t="s">
        <v>112</v>
      </c>
      <c r="M34" s="15" t="s">
        <v>112</v>
      </c>
      <c r="N34" s="15" t="s">
        <v>112</v>
      </c>
      <c r="O34" s="15" t="s">
        <v>112</v>
      </c>
      <c r="P34" s="15" t="s">
        <v>112</v>
      </c>
      <c r="Q34" s="15" t="s">
        <v>112</v>
      </c>
      <c r="R34" s="15" t="s">
        <v>112</v>
      </c>
      <c r="S34" s="15" t="s">
        <v>112</v>
      </c>
      <c r="T34" s="15" t="s">
        <v>112</v>
      </c>
      <c r="U34" s="15" t="s">
        <v>112</v>
      </c>
      <c r="V34" s="15" t="s">
        <v>112</v>
      </c>
      <c r="W34" s="15" t="s">
        <v>112</v>
      </c>
      <c r="X34" s="15" t="s">
        <v>112</v>
      </c>
      <c r="Y34" s="15" t="s">
        <v>112</v>
      </c>
      <c r="Z34" s="15" t="s">
        <v>112</v>
      </c>
      <c r="AA34" s="15" t="s">
        <v>112</v>
      </c>
      <c r="AB34" s="15" t="s">
        <v>112</v>
      </c>
      <c r="AC34" s="15" t="s">
        <v>112</v>
      </c>
      <c r="AD34" s="15" t="s">
        <v>111</v>
      </c>
      <c r="AE34" s="15" t="s">
        <v>111</v>
      </c>
      <c r="AF34" s="15" t="s">
        <v>112</v>
      </c>
      <c r="AG34" s="15" t="s">
        <v>112</v>
      </c>
      <c r="AH34" s="15" t="s">
        <v>112</v>
      </c>
      <c r="AI34" s="15" t="s">
        <v>112</v>
      </c>
      <c r="AJ34" s="15" t="s">
        <v>112</v>
      </c>
      <c r="AK34" s="15" t="s">
        <v>112</v>
      </c>
      <c r="AL34" s="15" t="s">
        <v>112</v>
      </c>
      <c r="AM34" s="15" t="s">
        <v>112</v>
      </c>
      <c r="AN34" s="15" t="s">
        <v>112</v>
      </c>
      <c r="AO34" s="15" t="s">
        <v>112</v>
      </c>
      <c r="AP34" s="15" t="s">
        <v>112</v>
      </c>
      <c r="AQ34" s="15" t="s">
        <v>112</v>
      </c>
      <c r="AR34" s="15" t="s">
        <v>112</v>
      </c>
      <c r="AS34" s="15" t="s">
        <v>112</v>
      </c>
      <c r="AT34" s="15" t="s">
        <v>112</v>
      </c>
      <c r="AU34" s="15" t="s">
        <v>112</v>
      </c>
      <c r="AV34" s="15" t="s">
        <v>112</v>
      </c>
      <c r="AW34" s="15" t="s">
        <v>112</v>
      </c>
      <c r="AX34" s="15" t="s">
        <v>112</v>
      </c>
      <c r="AY34" s="15" t="s">
        <v>112</v>
      </c>
      <c r="AZ34" s="15" t="s">
        <v>112</v>
      </c>
      <c r="BA34" s="15" t="s">
        <v>112</v>
      </c>
      <c r="BB34" s="15" t="s">
        <v>112</v>
      </c>
      <c r="BC34" s="15" t="s">
        <v>112</v>
      </c>
      <c r="BD34" s="15" t="s">
        <v>112</v>
      </c>
      <c r="BE34" s="15" t="s">
        <v>112</v>
      </c>
    </row>
    <row r="35" ht="11.25" customHeight="1">
      <c r="A35" s="13" t="s">
        <v>46</v>
      </c>
      <c r="B35" s="13">
        <v>2.0</v>
      </c>
      <c r="C35" s="13" t="s">
        <v>47</v>
      </c>
      <c r="D35" s="13" t="s">
        <v>145</v>
      </c>
      <c r="E35" s="13">
        <f t="shared" si="1"/>
        <v>2</v>
      </c>
      <c r="F35" s="17">
        <v>23.0</v>
      </c>
      <c r="G35" s="17">
        <v>24.0</v>
      </c>
      <c r="H35" s="13" t="s">
        <v>110</v>
      </c>
      <c r="I35" s="16" t="s">
        <v>112</v>
      </c>
      <c r="J35" s="15" t="s">
        <v>112</v>
      </c>
      <c r="K35" s="15" t="s">
        <v>112</v>
      </c>
      <c r="L35" s="15" t="s">
        <v>112</v>
      </c>
      <c r="M35" s="15" t="s">
        <v>112</v>
      </c>
      <c r="N35" s="15" t="s">
        <v>112</v>
      </c>
      <c r="O35" s="15" t="s">
        <v>112</v>
      </c>
      <c r="P35" s="15" t="s">
        <v>112</v>
      </c>
      <c r="Q35" s="15" t="s">
        <v>112</v>
      </c>
      <c r="R35" s="15" t="s">
        <v>112</v>
      </c>
      <c r="S35" s="15" t="s">
        <v>112</v>
      </c>
      <c r="T35" s="15" t="s">
        <v>112</v>
      </c>
      <c r="U35" s="15" t="s">
        <v>112</v>
      </c>
      <c r="V35" s="15" t="s">
        <v>112</v>
      </c>
      <c r="W35" s="15" t="s">
        <v>112</v>
      </c>
      <c r="X35" s="15" t="s">
        <v>112</v>
      </c>
      <c r="Y35" s="15" t="s">
        <v>112</v>
      </c>
      <c r="Z35" s="15" t="s">
        <v>112</v>
      </c>
      <c r="AA35" s="15" t="s">
        <v>112</v>
      </c>
      <c r="AB35" s="15" t="s">
        <v>112</v>
      </c>
      <c r="AC35" s="15" t="s">
        <v>112</v>
      </c>
      <c r="AD35" s="15" t="s">
        <v>112</v>
      </c>
      <c r="AE35" s="15" t="s">
        <v>111</v>
      </c>
      <c r="AF35" s="15" t="s">
        <v>111</v>
      </c>
      <c r="AG35" s="15" t="s">
        <v>112</v>
      </c>
      <c r="AH35" s="15" t="s">
        <v>112</v>
      </c>
      <c r="AI35" s="15" t="s">
        <v>112</v>
      </c>
      <c r="AJ35" s="15" t="s">
        <v>112</v>
      </c>
      <c r="AK35" s="15" t="s">
        <v>112</v>
      </c>
      <c r="AL35" s="15" t="s">
        <v>112</v>
      </c>
      <c r="AM35" s="15" t="s">
        <v>112</v>
      </c>
      <c r="AN35" s="15" t="s">
        <v>112</v>
      </c>
      <c r="AO35" s="15" t="s">
        <v>112</v>
      </c>
      <c r="AP35" s="15" t="s">
        <v>112</v>
      </c>
      <c r="AQ35" s="15" t="s">
        <v>112</v>
      </c>
      <c r="AR35" s="15" t="s">
        <v>112</v>
      </c>
      <c r="AS35" s="15" t="s">
        <v>112</v>
      </c>
      <c r="AT35" s="15" t="s">
        <v>112</v>
      </c>
      <c r="AU35" s="15" t="s">
        <v>112</v>
      </c>
      <c r="AV35" s="15" t="s">
        <v>112</v>
      </c>
      <c r="AW35" s="15" t="s">
        <v>112</v>
      </c>
      <c r="AX35" s="15" t="s">
        <v>112</v>
      </c>
      <c r="AY35" s="15" t="s">
        <v>112</v>
      </c>
      <c r="AZ35" s="15" t="s">
        <v>112</v>
      </c>
      <c r="BA35" s="15" t="s">
        <v>112</v>
      </c>
      <c r="BB35" s="15" t="s">
        <v>112</v>
      </c>
      <c r="BC35" s="15" t="s">
        <v>112</v>
      </c>
      <c r="BD35" s="15" t="s">
        <v>112</v>
      </c>
      <c r="BE35" s="15" t="s">
        <v>112</v>
      </c>
    </row>
    <row r="36" ht="11.25" customHeight="1">
      <c r="A36" s="13" t="s">
        <v>46</v>
      </c>
      <c r="B36" s="13">
        <v>2.0</v>
      </c>
      <c r="C36" s="13" t="s">
        <v>47</v>
      </c>
      <c r="D36" s="13" t="s">
        <v>146</v>
      </c>
      <c r="E36" s="13">
        <f t="shared" si="1"/>
        <v>3</v>
      </c>
      <c r="F36" s="17">
        <v>24.0</v>
      </c>
      <c r="G36" s="17">
        <v>26.0</v>
      </c>
      <c r="H36" s="13" t="s">
        <v>110</v>
      </c>
      <c r="I36" s="16" t="s">
        <v>112</v>
      </c>
      <c r="J36" s="15" t="s">
        <v>112</v>
      </c>
      <c r="K36" s="15" t="s">
        <v>112</v>
      </c>
      <c r="L36" s="15" t="s">
        <v>112</v>
      </c>
      <c r="M36" s="15" t="s">
        <v>112</v>
      </c>
      <c r="N36" s="15" t="s">
        <v>112</v>
      </c>
      <c r="O36" s="15" t="s">
        <v>112</v>
      </c>
      <c r="P36" s="15" t="s">
        <v>112</v>
      </c>
      <c r="Q36" s="15" t="s">
        <v>112</v>
      </c>
      <c r="R36" s="15" t="s">
        <v>112</v>
      </c>
      <c r="S36" s="15" t="s">
        <v>112</v>
      </c>
      <c r="T36" s="15" t="s">
        <v>112</v>
      </c>
      <c r="U36" s="15" t="s">
        <v>112</v>
      </c>
      <c r="V36" s="15" t="s">
        <v>112</v>
      </c>
      <c r="W36" s="15" t="s">
        <v>112</v>
      </c>
      <c r="X36" s="15" t="s">
        <v>112</v>
      </c>
      <c r="Y36" s="15" t="s">
        <v>112</v>
      </c>
      <c r="Z36" s="15" t="s">
        <v>112</v>
      </c>
      <c r="AA36" s="15" t="s">
        <v>112</v>
      </c>
      <c r="AB36" s="15" t="s">
        <v>112</v>
      </c>
      <c r="AC36" s="15" t="s">
        <v>112</v>
      </c>
      <c r="AD36" s="15" t="s">
        <v>112</v>
      </c>
      <c r="AE36" s="15" t="s">
        <v>112</v>
      </c>
      <c r="AF36" s="15" t="s">
        <v>111</v>
      </c>
      <c r="AG36" s="15" t="s">
        <v>111</v>
      </c>
      <c r="AH36" s="15" t="s">
        <v>111</v>
      </c>
      <c r="AI36" s="15" t="s">
        <v>112</v>
      </c>
      <c r="AJ36" s="15" t="s">
        <v>112</v>
      </c>
      <c r="AK36" s="15" t="s">
        <v>112</v>
      </c>
      <c r="AL36" s="15" t="s">
        <v>112</v>
      </c>
      <c r="AM36" s="15" t="s">
        <v>112</v>
      </c>
      <c r="AN36" s="15" t="s">
        <v>112</v>
      </c>
      <c r="AO36" s="15" t="s">
        <v>112</v>
      </c>
      <c r="AP36" s="15" t="s">
        <v>112</v>
      </c>
      <c r="AQ36" s="15" t="s">
        <v>112</v>
      </c>
      <c r="AR36" s="15" t="s">
        <v>112</v>
      </c>
      <c r="AS36" s="15" t="s">
        <v>112</v>
      </c>
      <c r="AT36" s="15" t="s">
        <v>112</v>
      </c>
      <c r="AU36" s="15" t="s">
        <v>112</v>
      </c>
      <c r="AV36" s="15" t="s">
        <v>112</v>
      </c>
      <c r="AW36" s="15" t="s">
        <v>112</v>
      </c>
      <c r="AX36" s="15" t="s">
        <v>112</v>
      </c>
      <c r="AY36" s="15" t="s">
        <v>112</v>
      </c>
      <c r="AZ36" s="15" t="s">
        <v>112</v>
      </c>
      <c r="BA36" s="15" t="s">
        <v>112</v>
      </c>
      <c r="BB36" s="15" t="s">
        <v>112</v>
      </c>
      <c r="BC36" s="15" t="s">
        <v>112</v>
      </c>
      <c r="BD36" s="15" t="s">
        <v>112</v>
      </c>
      <c r="BE36" s="15" t="s">
        <v>112</v>
      </c>
    </row>
    <row r="37" ht="11.25" customHeight="1">
      <c r="A37" s="13"/>
      <c r="B37" s="13"/>
      <c r="C37" s="13"/>
      <c r="D37" s="13"/>
      <c r="E37" s="13" t="str">
        <f t="shared" si="1"/>
        <v/>
      </c>
      <c r="F37" s="13"/>
      <c r="G37" s="13"/>
      <c r="H37" s="13"/>
      <c r="I37" s="16" t="s">
        <v>112</v>
      </c>
      <c r="J37" s="15" t="s">
        <v>112</v>
      </c>
      <c r="K37" s="15" t="s">
        <v>112</v>
      </c>
      <c r="L37" s="15" t="s">
        <v>112</v>
      </c>
      <c r="M37" s="15" t="s">
        <v>112</v>
      </c>
      <c r="N37" s="15" t="s">
        <v>112</v>
      </c>
      <c r="O37" s="15" t="s">
        <v>112</v>
      </c>
      <c r="P37" s="15" t="s">
        <v>112</v>
      </c>
      <c r="Q37" s="15" t="s">
        <v>112</v>
      </c>
      <c r="R37" s="15" t="s">
        <v>112</v>
      </c>
      <c r="S37" s="15" t="s">
        <v>112</v>
      </c>
      <c r="T37" s="15" t="s">
        <v>112</v>
      </c>
      <c r="U37" s="15" t="s">
        <v>112</v>
      </c>
      <c r="V37" s="15" t="s">
        <v>112</v>
      </c>
      <c r="W37" s="15" t="s">
        <v>112</v>
      </c>
      <c r="X37" s="15" t="s">
        <v>112</v>
      </c>
      <c r="Y37" s="15" t="s">
        <v>112</v>
      </c>
      <c r="Z37" s="15" t="s">
        <v>112</v>
      </c>
      <c r="AA37" s="15" t="s">
        <v>112</v>
      </c>
      <c r="AB37" s="15" t="s">
        <v>112</v>
      </c>
      <c r="AC37" s="15" t="s">
        <v>112</v>
      </c>
      <c r="AD37" s="15" t="s">
        <v>112</v>
      </c>
      <c r="AE37" s="15" t="s">
        <v>112</v>
      </c>
      <c r="AF37" s="15" t="s">
        <v>112</v>
      </c>
      <c r="AG37" s="15" t="s">
        <v>112</v>
      </c>
      <c r="AH37" s="15" t="s">
        <v>112</v>
      </c>
      <c r="AI37" s="15" t="s">
        <v>112</v>
      </c>
      <c r="AJ37" s="15" t="s">
        <v>112</v>
      </c>
      <c r="AK37" s="15" t="s">
        <v>112</v>
      </c>
      <c r="AL37" s="15" t="s">
        <v>112</v>
      </c>
      <c r="AM37" s="15" t="s">
        <v>112</v>
      </c>
      <c r="AN37" s="15" t="s">
        <v>112</v>
      </c>
      <c r="AO37" s="15" t="s">
        <v>112</v>
      </c>
      <c r="AP37" s="15" t="s">
        <v>112</v>
      </c>
      <c r="AQ37" s="15" t="s">
        <v>112</v>
      </c>
      <c r="AR37" s="15" t="s">
        <v>112</v>
      </c>
      <c r="AS37" s="15" t="s">
        <v>112</v>
      </c>
      <c r="AT37" s="15" t="s">
        <v>112</v>
      </c>
      <c r="AU37" s="15" t="s">
        <v>112</v>
      </c>
      <c r="AV37" s="15" t="s">
        <v>112</v>
      </c>
      <c r="AW37" s="15" t="s">
        <v>112</v>
      </c>
      <c r="AX37" s="15" t="s">
        <v>112</v>
      </c>
      <c r="AY37" s="15" t="s">
        <v>112</v>
      </c>
      <c r="AZ37" s="15" t="s">
        <v>112</v>
      </c>
      <c r="BA37" s="15" t="s">
        <v>112</v>
      </c>
      <c r="BB37" s="15" t="s">
        <v>112</v>
      </c>
      <c r="BC37" s="15" t="s">
        <v>112</v>
      </c>
      <c r="BD37" s="15" t="s">
        <v>112</v>
      </c>
      <c r="BE37" s="15" t="s">
        <v>112</v>
      </c>
    </row>
    <row r="38" ht="11.25" customHeight="1">
      <c r="A38" s="13" t="s">
        <v>90</v>
      </c>
      <c r="B38" s="13">
        <v>2.0</v>
      </c>
      <c r="C38" s="13" t="s">
        <v>91</v>
      </c>
      <c r="D38" s="13" t="s">
        <v>147</v>
      </c>
      <c r="E38" s="13">
        <f t="shared" si="1"/>
        <v>1</v>
      </c>
      <c r="F38" s="17">
        <v>13.0</v>
      </c>
      <c r="G38" s="17">
        <v>13.0</v>
      </c>
      <c r="H38" s="13" t="s">
        <v>110</v>
      </c>
      <c r="I38" s="16" t="s">
        <v>112</v>
      </c>
      <c r="J38" s="15" t="s">
        <v>112</v>
      </c>
      <c r="K38" s="15" t="s">
        <v>112</v>
      </c>
      <c r="L38" s="15" t="s">
        <v>112</v>
      </c>
      <c r="M38" s="15" t="s">
        <v>112</v>
      </c>
      <c r="N38" s="15" t="s">
        <v>112</v>
      </c>
      <c r="O38" s="15" t="s">
        <v>112</v>
      </c>
      <c r="P38" s="15" t="s">
        <v>112</v>
      </c>
      <c r="Q38" s="15" t="s">
        <v>112</v>
      </c>
      <c r="R38" s="15" t="s">
        <v>112</v>
      </c>
      <c r="S38" s="15" t="s">
        <v>112</v>
      </c>
      <c r="T38" s="15" t="s">
        <v>112</v>
      </c>
      <c r="U38" s="15" t="s">
        <v>111</v>
      </c>
      <c r="V38" s="15" t="s">
        <v>112</v>
      </c>
      <c r="W38" s="15" t="s">
        <v>112</v>
      </c>
      <c r="X38" s="15" t="s">
        <v>112</v>
      </c>
      <c r="Y38" s="15" t="s">
        <v>112</v>
      </c>
      <c r="Z38" s="15" t="s">
        <v>112</v>
      </c>
      <c r="AA38" s="15" t="s">
        <v>112</v>
      </c>
      <c r="AB38" s="15" t="s">
        <v>112</v>
      </c>
      <c r="AC38" s="15" t="s">
        <v>112</v>
      </c>
      <c r="AD38" s="15" t="s">
        <v>112</v>
      </c>
      <c r="AE38" s="15" t="s">
        <v>112</v>
      </c>
      <c r="AF38" s="15" t="s">
        <v>112</v>
      </c>
      <c r="AG38" s="15" t="s">
        <v>112</v>
      </c>
      <c r="AH38" s="15" t="s">
        <v>112</v>
      </c>
      <c r="AI38" s="15" t="s">
        <v>112</v>
      </c>
      <c r="AJ38" s="15" t="s">
        <v>112</v>
      </c>
      <c r="AK38" s="15" t="s">
        <v>112</v>
      </c>
      <c r="AL38" s="15" t="s">
        <v>112</v>
      </c>
      <c r="AM38" s="15" t="s">
        <v>112</v>
      </c>
      <c r="AN38" s="15" t="s">
        <v>112</v>
      </c>
      <c r="AO38" s="15" t="s">
        <v>112</v>
      </c>
      <c r="AP38" s="15" t="s">
        <v>112</v>
      </c>
      <c r="AQ38" s="15" t="s">
        <v>112</v>
      </c>
      <c r="AR38" s="15" t="s">
        <v>112</v>
      </c>
      <c r="AS38" s="15" t="s">
        <v>112</v>
      </c>
      <c r="AT38" s="15" t="s">
        <v>112</v>
      </c>
      <c r="AU38" s="15" t="s">
        <v>112</v>
      </c>
      <c r="AV38" s="15" t="s">
        <v>112</v>
      </c>
      <c r="AW38" s="15" t="s">
        <v>112</v>
      </c>
      <c r="AX38" s="15" t="s">
        <v>112</v>
      </c>
      <c r="AY38" s="15" t="s">
        <v>112</v>
      </c>
      <c r="AZ38" s="15" t="s">
        <v>112</v>
      </c>
      <c r="BA38" s="15" t="s">
        <v>112</v>
      </c>
      <c r="BB38" s="15" t="s">
        <v>112</v>
      </c>
      <c r="BC38" s="15" t="s">
        <v>112</v>
      </c>
      <c r="BD38" s="15" t="s">
        <v>112</v>
      </c>
      <c r="BE38" s="15" t="s">
        <v>112</v>
      </c>
    </row>
    <row r="39" ht="11.25" customHeight="1">
      <c r="A39" s="13" t="s">
        <v>90</v>
      </c>
      <c r="B39" s="13">
        <v>2.0</v>
      </c>
      <c r="C39" s="13" t="s">
        <v>91</v>
      </c>
      <c r="D39" s="13" t="s">
        <v>148</v>
      </c>
      <c r="E39" s="13">
        <f t="shared" si="1"/>
        <v>2</v>
      </c>
      <c r="F39" s="17">
        <v>13.0</v>
      </c>
      <c r="G39" s="17">
        <v>14.0</v>
      </c>
      <c r="H39" s="13" t="s">
        <v>110</v>
      </c>
      <c r="I39" s="16" t="s">
        <v>112</v>
      </c>
      <c r="J39" s="15" t="s">
        <v>112</v>
      </c>
      <c r="K39" s="15" t="s">
        <v>112</v>
      </c>
      <c r="L39" s="15" t="s">
        <v>112</v>
      </c>
      <c r="M39" s="15" t="s">
        <v>112</v>
      </c>
      <c r="N39" s="15" t="s">
        <v>112</v>
      </c>
      <c r="O39" s="15" t="s">
        <v>112</v>
      </c>
      <c r="P39" s="15" t="s">
        <v>112</v>
      </c>
      <c r="Q39" s="15" t="s">
        <v>112</v>
      </c>
      <c r="R39" s="15" t="s">
        <v>112</v>
      </c>
      <c r="S39" s="15" t="s">
        <v>112</v>
      </c>
      <c r="T39" s="15" t="s">
        <v>112</v>
      </c>
      <c r="U39" s="15" t="s">
        <v>111</v>
      </c>
      <c r="V39" s="15" t="s">
        <v>111</v>
      </c>
      <c r="W39" s="15" t="s">
        <v>112</v>
      </c>
      <c r="X39" s="15" t="s">
        <v>112</v>
      </c>
      <c r="Y39" s="15" t="s">
        <v>112</v>
      </c>
      <c r="Z39" s="15" t="s">
        <v>112</v>
      </c>
      <c r="AA39" s="15" t="s">
        <v>112</v>
      </c>
      <c r="AB39" s="15" t="s">
        <v>112</v>
      </c>
      <c r="AC39" s="15" t="s">
        <v>112</v>
      </c>
      <c r="AD39" s="15" t="s">
        <v>112</v>
      </c>
      <c r="AE39" s="15" t="s">
        <v>112</v>
      </c>
      <c r="AF39" s="15" t="s">
        <v>112</v>
      </c>
      <c r="AG39" s="15" t="s">
        <v>112</v>
      </c>
      <c r="AH39" s="15" t="s">
        <v>112</v>
      </c>
      <c r="AI39" s="15" t="s">
        <v>112</v>
      </c>
      <c r="AJ39" s="15" t="s">
        <v>112</v>
      </c>
      <c r="AK39" s="15" t="s">
        <v>112</v>
      </c>
      <c r="AL39" s="15" t="s">
        <v>112</v>
      </c>
      <c r="AM39" s="15" t="s">
        <v>112</v>
      </c>
      <c r="AN39" s="15" t="s">
        <v>112</v>
      </c>
      <c r="AO39" s="15" t="s">
        <v>112</v>
      </c>
      <c r="AP39" s="15" t="s">
        <v>112</v>
      </c>
      <c r="AQ39" s="15" t="s">
        <v>112</v>
      </c>
      <c r="AR39" s="15" t="s">
        <v>112</v>
      </c>
      <c r="AS39" s="15" t="s">
        <v>112</v>
      </c>
      <c r="AT39" s="15" t="s">
        <v>112</v>
      </c>
      <c r="AU39" s="15" t="s">
        <v>112</v>
      </c>
      <c r="AV39" s="15" t="s">
        <v>112</v>
      </c>
      <c r="AW39" s="15" t="s">
        <v>112</v>
      </c>
      <c r="AX39" s="15" t="s">
        <v>112</v>
      </c>
      <c r="AY39" s="15" t="s">
        <v>112</v>
      </c>
      <c r="AZ39" s="15" t="s">
        <v>112</v>
      </c>
      <c r="BA39" s="15" t="s">
        <v>112</v>
      </c>
      <c r="BB39" s="15" t="s">
        <v>112</v>
      </c>
      <c r="BC39" s="15" t="s">
        <v>112</v>
      </c>
      <c r="BD39" s="15" t="s">
        <v>112</v>
      </c>
      <c r="BE39" s="15" t="s">
        <v>112</v>
      </c>
    </row>
    <row r="40" ht="11.25" customHeight="1">
      <c r="A40" s="13" t="s">
        <v>90</v>
      </c>
      <c r="B40" s="13">
        <v>2.0</v>
      </c>
      <c r="C40" s="13" t="s">
        <v>91</v>
      </c>
      <c r="D40" s="13" t="s">
        <v>149</v>
      </c>
      <c r="E40" s="13">
        <f t="shared" si="1"/>
        <v>2</v>
      </c>
      <c r="F40" s="17">
        <v>14.0</v>
      </c>
      <c r="G40" s="17">
        <v>15.0</v>
      </c>
      <c r="H40" s="13" t="s">
        <v>110</v>
      </c>
      <c r="I40" s="16" t="s">
        <v>112</v>
      </c>
      <c r="J40" s="15" t="s">
        <v>112</v>
      </c>
      <c r="K40" s="15" t="s">
        <v>112</v>
      </c>
      <c r="L40" s="15" t="s">
        <v>112</v>
      </c>
      <c r="M40" s="15" t="s">
        <v>112</v>
      </c>
      <c r="N40" s="15" t="s">
        <v>112</v>
      </c>
      <c r="O40" s="15" t="s">
        <v>112</v>
      </c>
      <c r="P40" s="15" t="s">
        <v>112</v>
      </c>
      <c r="Q40" s="15" t="s">
        <v>112</v>
      </c>
      <c r="R40" s="15" t="s">
        <v>112</v>
      </c>
      <c r="S40" s="15" t="s">
        <v>112</v>
      </c>
      <c r="T40" s="15" t="s">
        <v>112</v>
      </c>
      <c r="U40" s="15" t="s">
        <v>112</v>
      </c>
      <c r="V40" s="15" t="s">
        <v>111</v>
      </c>
      <c r="W40" s="15" t="s">
        <v>111</v>
      </c>
      <c r="X40" s="15" t="s">
        <v>112</v>
      </c>
      <c r="Y40" s="15" t="s">
        <v>112</v>
      </c>
      <c r="Z40" s="15" t="s">
        <v>112</v>
      </c>
      <c r="AA40" s="15" t="s">
        <v>112</v>
      </c>
      <c r="AB40" s="15" t="s">
        <v>112</v>
      </c>
      <c r="AC40" s="15" t="s">
        <v>112</v>
      </c>
      <c r="AD40" s="15" t="s">
        <v>112</v>
      </c>
      <c r="AE40" s="15" t="s">
        <v>112</v>
      </c>
      <c r="AF40" s="15" t="s">
        <v>112</v>
      </c>
      <c r="AG40" s="15" t="s">
        <v>112</v>
      </c>
      <c r="AH40" s="15" t="s">
        <v>112</v>
      </c>
      <c r="AI40" s="15" t="s">
        <v>112</v>
      </c>
      <c r="AJ40" s="15" t="s">
        <v>112</v>
      </c>
      <c r="AK40" s="15" t="s">
        <v>112</v>
      </c>
      <c r="AL40" s="15" t="s">
        <v>112</v>
      </c>
      <c r="AM40" s="15" t="s">
        <v>112</v>
      </c>
      <c r="AN40" s="15" t="s">
        <v>112</v>
      </c>
      <c r="AO40" s="15" t="s">
        <v>112</v>
      </c>
      <c r="AP40" s="15" t="s">
        <v>112</v>
      </c>
      <c r="AQ40" s="15" t="s">
        <v>112</v>
      </c>
      <c r="AR40" s="15" t="s">
        <v>112</v>
      </c>
      <c r="AS40" s="15" t="s">
        <v>112</v>
      </c>
      <c r="AT40" s="15" t="s">
        <v>112</v>
      </c>
      <c r="AU40" s="15" t="s">
        <v>112</v>
      </c>
      <c r="AV40" s="15" t="s">
        <v>112</v>
      </c>
      <c r="AW40" s="15" t="s">
        <v>112</v>
      </c>
      <c r="AX40" s="15" t="s">
        <v>112</v>
      </c>
      <c r="AY40" s="15" t="s">
        <v>112</v>
      </c>
      <c r="AZ40" s="15" t="s">
        <v>112</v>
      </c>
      <c r="BA40" s="15" t="s">
        <v>112</v>
      </c>
      <c r="BB40" s="15" t="s">
        <v>112</v>
      </c>
      <c r="BC40" s="15" t="s">
        <v>112</v>
      </c>
      <c r="BD40" s="15" t="s">
        <v>112</v>
      </c>
      <c r="BE40" s="15" t="s">
        <v>112</v>
      </c>
    </row>
    <row r="41" ht="11.25" customHeight="1">
      <c r="A41" s="13"/>
      <c r="B41" s="13"/>
      <c r="C41" s="13"/>
      <c r="D41" s="13"/>
      <c r="E41" s="13" t="str">
        <f t="shared" si="1"/>
        <v/>
      </c>
      <c r="F41" s="13"/>
      <c r="G41" s="13"/>
      <c r="H41" s="13"/>
      <c r="I41" s="16" t="s">
        <v>112</v>
      </c>
      <c r="J41" s="15" t="s">
        <v>112</v>
      </c>
      <c r="K41" s="15" t="s">
        <v>112</v>
      </c>
      <c r="L41" s="15" t="s">
        <v>112</v>
      </c>
      <c r="M41" s="15" t="s">
        <v>112</v>
      </c>
      <c r="N41" s="15" t="s">
        <v>112</v>
      </c>
      <c r="O41" s="15" t="s">
        <v>112</v>
      </c>
      <c r="P41" s="15" t="s">
        <v>112</v>
      </c>
      <c r="Q41" s="15" t="s">
        <v>112</v>
      </c>
      <c r="R41" s="15" t="s">
        <v>112</v>
      </c>
      <c r="S41" s="15" t="s">
        <v>112</v>
      </c>
      <c r="T41" s="15" t="s">
        <v>112</v>
      </c>
      <c r="U41" s="15" t="s">
        <v>112</v>
      </c>
      <c r="V41" s="15" t="s">
        <v>112</v>
      </c>
      <c r="W41" s="15" t="s">
        <v>112</v>
      </c>
      <c r="X41" s="15" t="s">
        <v>112</v>
      </c>
      <c r="Y41" s="15" t="s">
        <v>112</v>
      </c>
      <c r="Z41" s="15" t="s">
        <v>112</v>
      </c>
      <c r="AA41" s="15" t="s">
        <v>112</v>
      </c>
      <c r="AB41" s="15" t="s">
        <v>112</v>
      </c>
      <c r="AC41" s="15" t="s">
        <v>112</v>
      </c>
      <c r="AD41" s="15" t="s">
        <v>112</v>
      </c>
      <c r="AE41" s="15" t="s">
        <v>112</v>
      </c>
      <c r="AF41" s="15" t="s">
        <v>112</v>
      </c>
      <c r="AG41" s="15" t="s">
        <v>112</v>
      </c>
      <c r="AH41" s="15" t="s">
        <v>112</v>
      </c>
      <c r="AI41" s="15" t="s">
        <v>112</v>
      </c>
      <c r="AJ41" s="15" t="s">
        <v>112</v>
      </c>
      <c r="AK41" s="15" t="s">
        <v>112</v>
      </c>
      <c r="AL41" s="15" t="s">
        <v>112</v>
      </c>
      <c r="AM41" s="15" t="s">
        <v>112</v>
      </c>
      <c r="AN41" s="15" t="s">
        <v>112</v>
      </c>
      <c r="AO41" s="15" t="s">
        <v>112</v>
      </c>
      <c r="AP41" s="15" t="s">
        <v>112</v>
      </c>
      <c r="AQ41" s="15" t="s">
        <v>112</v>
      </c>
      <c r="AR41" s="15" t="s">
        <v>112</v>
      </c>
      <c r="AS41" s="15" t="s">
        <v>112</v>
      </c>
      <c r="AT41" s="15" t="s">
        <v>112</v>
      </c>
      <c r="AU41" s="15" t="s">
        <v>112</v>
      </c>
      <c r="AV41" s="15" t="s">
        <v>112</v>
      </c>
      <c r="AW41" s="15" t="s">
        <v>112</v>
      </c>
      <c r="AX41" s="15" t="s">
        <v>112</v>
      </c>
      <c r="AY41" s="15" t="s">
        <v>112</v>
      </c>
      <c r="AZ41" s="15" t="s">
        <v>112</v>
      </c>
      <c r="BA41" s="15" t="s">
        <v>112</v>
      </c>
      <c r="BB41" s="15" t="s">
        <v>112</v>
      </c>
      <c r="BC41" s="15" t="s">
        <v>112</v>
      </c>
      <c r="BD41" s="15" t="s">
        <v>112</v>
      </c>
      <c r="BE41" s="15" t="s">
        <v>112</v>
      </c>
    </row>
    <row r="42" ht="11.25" customHeight="1">
      <c r="A42" s="13" t="s">
        <v>36</v>
      </c>
      <c r="B42" s="13">
        <v>2.0</v>
      </c>
      <c r="C42" s="13" t="s">
        <v>37</v>
      </c>
      <c r="D42" s="13" t="s">
        <v>150</v>
      </c>
      <c r="E42" s="13">
        <f t="shared" si="1"/>
        <v>1</v>
      </c>
      <c r="F42" s="13">
        <v>20.0</v>
      </c>
      <c r="G42" s="13">
        <v>20.0</v>
      </c>
      <c r="H42" s="13" t="s">
        <v>134</v>
      </c>
      <c r="I42" s="16" t="s">
        <v>112</v>
      </c>
      <c r="J42" s="16" t="s">
        <v>112</v>
      </c>
      <c r="K42" s="16" t="s">
        <v>112</v>
      </c>
      <c r="L42" s="15" t="s">
        <v>112</v>
      </c>
      <c r="M42" s="15" t="s">
        <v>112</v>
      </c>
      <c r="N42" s="15" t="s">
        <v>112</v>
      </c>
      <c r="O42" s="15" t="s">
        <v>112</v>
      </c>
      <c r="P42" s="15" t="s">
        <v>112</v>
      </c>
      <c r="Q42" s="15" t="s">
        <v>112</v>
      </c>
      <c r="R42" s="15" t="s">
        <v>112</v>
      </c>
      <c r="S42" s="15" t="s">
        <v>112</v>
      </c>
      <c r="T42" s="15" t="s">
        <v>112</v>
      </c>
      <c r="U42" s="15" t="s">
        <v>112</v>
      </c>
      <c r="V42" s="15" t="s">
        <v>112</v>
      </c>
      <c r="W42" s="15" t="s">
        <v>112</v>
      </c>
      <c r="X42" s="15" t="s">
        <v>112</v>
      </c>
      <c r="Y42" s="15" t="s">
        <v>112</v>
      </c>
      <c r="Z42" s="15" t="s">
        <v>112</v>
      </c>
      <c r="AA42" s="15" t="s">
        <v>112</v>
      </c>
      <c r="AB42" s="15" t="s">
        <v>111</v>
      </c>
      <c r="AC42" s="15" t="s">
        <v>112</v>
      </c>
      <c r="AD42" s="15" t="s">
        <v>112</v>
      </c>
      <c r="AE42" s="15" t="s">
        <v>112</v>
      </c>
      <c r="AF42" s="15" t="s">
        <v>112</v>
      </c>
      <c r="AG42" s="15" t="s">
        <v>112</v>
      </c>
      <c r="AH42" s="15" t="s">
        <v>112</v>
      </c>
      <c r="AI42" s="15" t="s">
        <v>112</v>
      </c>
      <c r="AJ42" s="15" t="s">
        <v>112</v>
      </c>
      <c r="AK42" s="15" t="s">
        <v>112</v>
      </c>
      <c r="AL42" s="15" t="s">
        <v>112</v>
      </c>
      <c r="AM42" s="15" t="s">
        <v>112</v>
      </c>
      <c r="AN42" s="15" t="s">
        <v>112</v>
      </c>
      <c r="AO42" s="15" t="s">
        <v>112</v>
      </c>
      <c r="AP42" s="15" t="s">
        <v>112</v>
      </c>
      <c r="AQ42" s="15" t="s">
        <v>112</v>
      </c>
      <c r="AR42" s="15" t="s">
        <v>112</v>
      </c>
      <c r="AS42" s="15" t="s">
        <v>112</v>
      </c>
      <c r="AT42" s="15" t="s">
        <v>112</v>
      </c>
      <c r="AU42" s="15" t="s">
        <v>112</v>
      </c>
      <c r="AV42" s="15" t="s">
        <v>112</v>
      </c>
      <c r="AW42" s="15" t="s">
        <v>112</v>
      </c>
      <c r="AX42" s="15" t="s">
        <v>112</v>
      </c>
      <c r="AY42" s="15" t="s">
        <v>112</v>
      </c>
      <c r="AZ42" s="15" t="s">
        <v>112</v>
      </c>
      <c r="BA42" s="15" t="s">
        <v>112</v>
      </c>
      <c r="BB42" s="15" t="s">
        <v>112</v>
      </c>
      <c r="BC42" s="15" t="s">
        <v>112</v>
      </c>
      <c r="BD42" s="15" t="s">
        <v>112</v>
      </c>
      <c r="BE42" s="15" t="s">
        <v>112</v>
      </c>
    </row>
    <row r="43" ht="11.25" customHeight="1">
      <c r="A43" s="13" t="s">
        <v>36</v>
      </c>
      <c r="B43" s="13">
        <v>2.0</v>
      </c>
      <c r="C43" s="13" t="s">
        <v>37</v>
      </c>
      <c r="D43" s="13" t="s">
        <v>151</v>
      </c>
      <c r="E43" s="13">
        <f t="shared" si="1"/>
        <v>2</v>
      </c>
      <c r="F43" s="13">
        <v>20.0</v>
      </c>
      <c r="G43" s="13">
        <v>21.0</v>
      </c>
      <c r="H43" s="13" t="s">
        <v>134</v>
      </c>
      <c r="I43" s="16" t="s">
        <v>112</v>
      </c>
      <c r="J43" s="15" t="s">
        <v>112</v>
      </c>
      <c r="K43" s="15" t="s">
        <v>112</v>
      </c>
      <c r="L43" s="15" t="s">
        <v>112</v>
      </c>
      <c r="M43" s="15" t="s">
        <v>112</v>
      </c>
      <c r="N43" s="15" t="s">
        <v>112</v>
      </c>
      <c r="O43" s="15" t="s">
        <v>112</v>
      </c>
      <c r="P43" s="15" t="s">
        <v>112</v>
      </c>
      <c r="Q43" s="15" t="s">
        <v>112</v>
      </c>
      <c r="R43" s="15" t="s">
        <v>112</v>
      </c>
      <c r="S43" s="15" t="s">
        <v>112</v>
      </c>
      <c r="T43" s="15" t="s">
        <v>112</v>
      </c>
      <c r="U43" s="15" t="s">
        <v>112</v>
      </c>
      <c r="V43" s="15" t="s">
        <v>112</v>
      </c>
      <c r="W43" s="15" t="s">
        <v>112</v>
      </c>
      <c r="X43" s="15" t="s">
        <v>112</v>
      </c>
      <c r="Y43" s="15" t="s">
        <v>112</v>
      </c>
      <c r="Z43" s="15" t="s">
        <v>112</v>
      </c>
      <c r="AA43" s="15" t="s">
        <v>112</v>
      </c>
      <c r="AB43" s="15" t="s">
        <v>111</v>
      </c>
      <c r="AC43" s="15" t="s">
        <v>111</v>
      </c>
      <c r="AD43" s="15" t="s">
        <v>112</v>
      </c>
      <c r="AE43" s="15" t="s">
        <v>112</v>
      </c>
      <c r="AF43" s="15" t="s">
        <v>112</v>
      </c>
      <c r="AG43" s="15" t="s">
        <v>112</v>
      </c>
      <c r="AH43" s="15" t="s">
        <v>112</v>
      </c>
      <c r="AI43" s="15" t="s">
        <v>112</v>
      </c>
      <c r="AJ43" s="15" t="s">
        <v>112</v>
      </c>
      <c r="AK43" s="15" t="s">
        <v>112</v>
      </c>
      <c r="AL43" s="15" t="s">
        <v>112</v>
      </c>
      <c r="AM43" s="15" t="s">
        <v>112</v>
      </c>
      <c r="AN43" s="15" t="s">
        <v>112</v>
      </c>
      <c r="AO43" s="15" t="s">
        <v>112</v>
      </c>
      <c r="AP43" s="15" t="s">
        <v>112</v>
      </c>
      <c r="AQ43" s="15" t="s">
        <v>112</v>
      </c>
      <c r="AR43" s="15" t="s">
        <v>112</v>
      </c>
      <c r="AS43" s="15" t="s">
        <v>112</v>
      </c>
      <c r="AT43" s="15" t="s">
        <v>112</v>
      </c>
      <c r="AU43" s="15" t="s">
        <v>112</v>
      </c>
      <c r="AV43" s="15" t="s">
        <v>112</v>
      </c>
      <c r="AW43" s="15" t="s">
        <v>112</v>
      </c>
      <c r="AX43" s="15" t="s">
        <v>112</v>
      </c>
      <c r="AY43" s="15" t="s">
        <v>112</v>
      </c>
      <c r="AZ43" s="15" t="s">
        <v>112</v>
      </c>
      <c r="BA43" s="15" t="s">
        <v>112</v>
      </c>
      <c r="BB43" s="15" t="s">
        <v>112</v>
      </c>
      <c r="BC43" s="15" t="s">
        <v>112</v>
      </c>
      <c r="BD43" s="15" t="s">
        <v>112</v>
      </c>
      <c r="BE43" s="15" t="s">
        <v>112</v>
      </c>
    </row>
    <row r="44" ht="11.25" customHeight="1">
      <c r="A44" s="13" t="s">
        <v>36</v>
      </c>
      <c r="B44" s="13">
        <v>2.0</v>
      </c>
      <c r="C44" s="13" t="s">
        <v>37</v>
      </c>
      <c r="D44" s="13" t="s">
        <v>152</v>
      </c>
      <c r="E44" s="13">
        <f t="shared" si="1"/>
        <v>2</v>
      </c>
      <c r="F44" s="13">
        <v>21.0</v>
      </c>
      <c r="G44" s="13">
        <v>22.0</v>
      </c>
      <c r="H44" s="13" t="s">
        <v>134</v>
      </c>
      <c r="I44" s="16" t="s">
        <v>112</v>
      </c>
      <c r="J44" s="15" t="s">
        <v>112</v>
      </c>
      <c r="K44" s="15" t="s">
        <v>112</v>
      </c>
      <c r="L44" s="15" t="s">
        <v>112</v>
      </c>
      <c r="M44" s="15" t="s">
        <v>112</v>
      </c>
      <c r="N44" s="15" t="s">
        <v>112</v>
      </c>
      <c r="O44" s="15" t="s">
        <v>112</v>
      </c>
      <c r="P44" s="15" t="s">
        <v>112</v>
      </c>
      <c r="Q44" s="15" t="s">
        <v>112</v>
      </c>
      <c r="R44" s="15" t="s">
        <v>112</v>
      </c>
      <c r="S44" s="15" t="s">
        <v>112</v>
      </c>
      <c r="T44" s="15" t="s">
        <v>112</v>
      </c>
      <c r="U44" s="15" t="s">
        <v>112</v>
      </c>
      <c r="V44" s="15" t="s">
        <v>112</v>
      </c>
      <c r="W44" s="15" t="s">
        <v>112</v>
      </c>
      <c r="X44" s="15" t="s">
        <v>112</v>
      </c>
      <c r="Y44" s="15" t="s">
        <v>112</v>
      </c>
      <c r="Z44" s="15" t="s">
        <v>112</v>
      </c>
      <c r="AA44" s="15" t="s">
        <v>112</v>
      </c>
      <c r="AB44" s="15" t="s">
        <v>112</v>
      </c>
      <c r="AC44" s="15" t="s">
        <v>111</v>
      </c>
      <c r="AD44" s="15" t="s">
        <v>111</v>
      </c>
      <c r="AE44" s="15" t="s">
        <v>112</v>
      </c>
      <c r="AF44" s="15" t="s">
        <v>112</v>
      </c>
      <c r="AG44" s="15" t="s">
        <v>112</v>
      </c>
      <c r="AH44" s="15" t="s">
        <v>112</v>
      </c>
      <c r="AI44" s="15" t="s">
        <v>112</v>
      </c>
      <c r="AJ44" s="15" t="s">
        <v>112</v>
      </c>
      <c r="AK44" s="15" t="s">
        <v>112</v>
      </c>
      <c r="AL44" s="15" t="s">
        <v>112</v>
      </c>
      <c r="AM44" s="15" t="s">
        <v>112</v>
      </c>
      <c r="AN44" s="15" t="s">
        <v>112</v>
      </c>
      <c r="AO44" s="15" t="s">
        <v>112</v>
      </c>
      <c r="AP44" s="15" t="s">
        <v>112</v>
      </c>
      <c r="AQ44" s="15" t="s">
        <v>112</v>
      </c>
      <c r="AR44" s="15" t="s">
        <v>112</v>
      </c>
      <c r="AS44" s="15" t="s">
        <v>112</v>
      </c>
      <c r="AT44" s="15" t="s">
        <v>112</v>
      </c>
      <c r="AU44" s="15" t="s">
        <v>112</v>
      </c>
      <c r="AV44" s="15" t="s">
        <v>112</v>
      </c>
      <c r="AW44" s="15" t="s">
        <v>112</v>
      </c>
      <c r="AX44" s="15" t="s">
        <v>112</v>
      </c>
      <c r="AY44" s="15" t="s">
        <v>112</v>
      </c>
      <c r="AZ44" s="15" t="s">
        <v>112</v>
      </c>
      <c r="BA44" s="15" t="s">
        <v>112</v>
      </c>
      <c r="BB44" s="15" t="s">
        <v>112</v>
      </c>
      <c r="BC44" s="15" t="s">
        <v>112</v>
      </c>
      <c r="BD44" s="15" t="s">
        <v>112</v>
      </c>
      <c r="BE44" s="15" t="s">
        <v>112</v>
      </c>
    </row>
    <row r="45" ht="11.25" customHeight="1">
      <c r="A45" s="13"/>
      <c r="B45" s="13"/>
      <c r="C45" s="13"/>
      <c r="D45" s="13"/>
      <c r="E45" s="13" t="str">
        <f t="shared" si="1"/>
        <v/>
      </c>
      <c r="F45" s="13"/>
      <c r="G45" s="13"/>
      <c r="H45" s="13"/>
      <c r="I45" s="16" t="s">
        <v>112</v>
      </c>
      <c r="J45" s="15" t="s">
        <v>112</v>
      </c>
      <c r="K45" s="15" t="s">
        <v>112</v>
      </c>
      <c r="L45" s="15" t="s">
        <v>112</v>
      </c>
      <c r="M45" s="15" t="s">
        <v>112</v>
      </c>
      <c r="N45" s="15" t="s">
        <v>112</v>
      </c>
      <c r="O45" s="15" t="s">
        <v>112</v>
      </c>
      <c r="P45" s="15" t="s">
        <v>112</v>
      </c>
      <c r="Q45" s="15" t="s">
        <v>112</v>
      </c>
      <c r="R45" s="15" t="s">
        <v>112</v>
      </c>
      <c r="S45" s="15" t="s">
        <v>112</v>
      </c>
      <c r="T45" s="15" t="s">
        <v>112</v>
      </c>
      <c r="U45" s="15" t="s">
        <v>112</v>
      </c>
      <c r="V45" s="15" t="s">
        <v>112</v>
      </c>
      <c r="W45" s="15" t="s">
        <v>112</v>
      </c>
      <c r="X45" s="15" t="s">
        <v>112</v>
      </c>
      <c r="Y45" s="15" t="s">
        <v>112</v>
      </c>
      <c r="Z45" s="15" t="s">
        <v>112</v>
      </c>
      <c r="AA45" s="15" t="s">
        <v>112</v>
      </c>
      <c r="AB45" s="15" t="s">
        <v>112</v>
      </c>
      <c r="AC45" s="15" t="s">
        <v>112</v>
      </c>
      <c r="AD45" s="15" t="s">
        <v>112</v>
      </c>
      <c r="AE45" s="15" t="s">
        <v>112</v>
      </c>
      <c r="AF45" s="15" t="s">
        <v>112</v>
      </c>
      <c r="AG45" s="15" t="s">
        <v>112</v>
      </c>
      <c r="AH45" s="15" t="s">
        <v>112</v>
      </c>
      <c r="AI45" s="15" t="s">
        <v>112</v>
      </c>
      <c r="AJ45" s="15" t="s">
        <v>112</v>
      </c>
      <c r="AK45" s="15" t="s">
        <v>112</v>
      </c>
      <c r="AL45" s="15" t="s">
        <v>112</v>
      </c>
      <c r="AM45" s="15" t="s">
        <v>112</v>
      </c>
      <c r="AN45" s="15" t="s">
        <v>112</v>
      </c>
      <c r="AO45" s="15" t="s">
        <v>112</v>
      </c>
      <c r="AP45" s="15" t="s">
        <v>112</v>
      </c>
      <c r="AQ45" s="15" t="s">
        <v>112</v>
      </c>
      <c r="AR45" s="15" t="s">
        <v>112</v>
      </c>
      <c r="AS45" s="15" t="s">
        <v>112</v>
      </c>
      <c r="AT45" s="15" t="s">
        <v>112</v>
      </c>
      <c r="AU45" s="15" t="s">
        <v>112</v>
      </c>
      <c r="AV45" s="15" t="s">
        <v>112</v>
      </c>
      <c r="AW45" s="15" t="s">
        <v>112</v>
      </c>
      <c r="AX45" s="15" t="s">
        <v>112</v>
      </c>
      <c r="AY45" s="15" t="s">
        <v>112</v>
      </c>
      <c r="AZ45" s="15" t="s">
        <v>112</v>
      </c>
      <c r="BA45" s="15" t="s">
        <v>112</v>
      </c>
      <c r="BB45" s="15" t="s">
        <v>112</v>
      </c>
      <c r="BC45" s="15" t="s">
        <v>112</v>
      </c>
      <c r="BD45" s="15" t="s">
        <v>112</v>
      </c>
      <c r="BE45" s="15" t="s">
        <v>112</v>
      </c>
    </row>
    <row r="46" ht="11.25" customHeight="1">
      <c r="A46" s="13" t="s">
        <v>59</v>
      </c>
      <c r="B46" s="13">
        <v>2.0</v>
      </c>
      <c r="C46" s="13" t="s">
        <v>153</v>
      </c>
      <c r="D46" s="13" t="s">
        <v>154</v>
      </c>
      <c r="E46" s="13">
        <f t="shared" si="1"/>
        <v>1</v>
      </c>
      <c r="F46" s="17">
        <v>19.0</v>
      </c>
      <c r="G46" s="17">
        <v>19.0</v>
      </c>
      <c r="H46" s="13" t="s">
        <v>122</v>
      </c>
      <c r="I46" s="16" t="s">
        <v>112</v>
      </c>
      <c r="J46" s="15" t="s">
        <v>112</v>
      </c>
      <c r="K46" s="15" t="s">
        <v>112</v>
      </c>
      <c r="L46" s="15" t="s">
        <v>112</v>
      </c>
      <c r="M46" s="15" t="s">
        <v>112</v>
      </c>
      <c r="N46" s="15" t="s">
        <v>112</v>
      </c>
      <c r="O46" s="15" t="s">
        <v>112</v>
      </c>
      <c r="P46" s="15" t="s">
        <v>112</v>
      </c>
      <c r="Q46" s="15" t="s">
        <v>112</v>
      </c>
      <c r="R46" s="15" t="s">
        <v>112</v>
      </c>
      <c r="S46" s="15" t="s">
        <v>112</v>
      </c>
      <c r="T46" s="15" t="s">
        <v>112</v>
      </c>
      <c r="U46" s="15" t="s">
        <v>112</v>
      </c>
      <c r="V46" s="15" t="s">
        <v>112</v>
      </c>
      <c r="W46" s="15" t="s">
        <v>112</v>
      </c>
      <c r="X46" s="15" t="s">
        <v>112</v>
      </c>
      <c r="Y46" s="15" t="s">
        <v>112</v>
      </c>
      <c r="Z46" s="15" t="s">
        <v>112</v>
      </c>
      <c r="AA46" s="15" t="s">
        <v>111</v>
      </c>
      <c r="AB46" s="15" t="s">
        <v>112</v>
      </c>
      <c r="AC46" s="15" t="s">
        <v>112</v>
      </c>
      <c r="AD46" s="15" t="s">
        <v>112</v>
      </c>
      <c r="AE46" s="15" t="s">
        <v>112</v>
      </c>
      <c r="AF46" s="15" t="s">
        <v>112</v>
      </c>
      <c r="AG46" s="15" t="s">
        <v>112</v>
      </c>
      <c r="AH46" s="15" t="s">
        <v>112</v>
      </c>
      <c r="AI46" s="15" t="s">
        <v>112</v>
      </c>
      <c r="AJ46" s="15" t="s">
        <v>112</v>
      </c>
      <c r="AK46" s="15" t="s">
        <v>112</v>
      </c>
      <c r="AL46" s="15" t="s">
        <v>112</v>
      </c>
      <c r="AM46" s="15" t="s">
        <v>112</v>
      </c>
      <c r="AN46" s="15" t="s">
        <v>112</v>
      </c>
      <c r="AO46" s="15" t="s">
        <v>112</v>
      </c>
      <c r="AP46" s="15" t="s">
        <v>112</v>
      </c>
      <c r="AQ46" s="15" t="s">
        <v>112</v>
      </c>
      <c r="AR46" s="15" t="s">
        <v>112</v>
      </c>
      <c r="AS46" s="15" t="s">
        <v>112</v>
      </c>
      <c r="AT46" s="15" t="s">
        <v>112</v>
      </c>
      <c r="AU46" s="15" t="s">
        <v>112</v>
      </c>
      <c r="AV46" s="15" t="s">
        <v>112</v>
      </c>
      <c r="AW46" s="15" t="s">
        <v>112</v>
      </c>
      <c r="AX46" s="15" t="s">
        <v>112</v>
      </c>
      <c r="AY46" s="15" t="s">
        <v>112</v>
      </c>
      <c r="AZ46" s="15" t="s">
        <v>112</v>
      </c>
      <c r="BA46" s="15" t="s">
        <v>112</v>
      </c>
      <c r="BB46" s="15" t="s">
        <v>112</v>
      </c>
      <c r="BC46" s="15" t="s">
        <v>112</v>
      </c>
      <c r="BD46" s="15" t="s">
        <v>112</v>
      </c>
      <c r="BE46" s="15" t="s">
        <v>112</v>
      </c>
    </row>
    <row r="47" ht="11.25" customHeight="1">
      <c r="A47" s="13" t="s">
        <v>59</v>
      </c>
      <c r="B47" s="13">
        <v>2.0</v>
      </c>
      <c r="C47" s="13" t="s">
        <v>153</v>
      </c>
      <c r="D47" s="13" t="s">
        <v>155</v>
      </c>
      <c r="E47" s="13">
        <f t="shared" si="1"/>
        <v>2</v>
      </c>
      <c r="F47" s="17">
        <v>19.0</v>
      </c>
      <c r="G47" s="17">
        <v>20.0</v>
      </c>
      <c r="H47" s="13" t="s">
        <v>122</v>
      </c>
      <c r="I47" s="16" t="s">
        <v>112</v>
      </c>
      <c r="J47" s="15" t="s">
        <v>112</v>
      </c>
      <c r="K47" s="15" t="s">
        <v>112</v>
      </c>
      <c r="L47" s="15" t="s">
        <v>112</v>
      </c>
      <c r="M47" s="15" t="s">
        <v>112</v>
      </c>
      <c r="N47" s="15" t="s">
        <v>112</v>
      </c>
      <c r="O47" s="15" t="s">
        <v>112</v>
      </c>
      <c r="P47" s="15" t="s">
        <v>112</v>
      </c>
      <c r="Q47" s="15" t="s">
        <v>112</v>
      </c>
      <c r="R47" s="15" t="s">
        <v>112</v>
      </c>
      <c r="S47" s="15" t="s">
        <v>112</v>
      </c>
      <c r="T47" s="15" t="s">
        <v>112</v>
      </c>
      <c r="U47" s="15" t="s">
        <v>112</v>
      </c>
      <c r="V47" s="15" t="s">
        <v>112</v>
      </c>
      <c r="W47" s="15" t="s">
        <v>112</v>
      </c>
      <c r="X47" s="15" t="s">
        <v>112</v>
      </c>
      <c r="Y47" s="15" t="s">
        <v>112</v>
      </c>
      <c r="Z47" s="15" t="s">
        <v>112</v>
      </c>
      <c r="AA47" s="15" t="s">
        <v>111</v>
      </c>
      <c r="AB47" s="15" t="s">
        <v>111</v>
      </c>
      <c r="AC47" s="15" t="s">
        <v>112</v>
      </c>
      <c r="AD47" s="15" t="s">
        <v>112</v>
      </c>
      <c r="AE47" s="15" t="s">
        <v>112</v>
      </c>
      <c r="AF47" s="15" t="s">
        <v>112</v>
      </c>
      <c r="AG47" s="15" t="s">
        <v>112</v>
      </c>
      <c r="AH47" s="15" t="s">
        <v>112</v>
      </c>
      <c r="AI47" s="15" t="s">
        <v>112</v>
      </c>
      <c r="AJ47" s="15" t="s">
        <v>112</v>
      </c>
      <c r="AK47" s="15" t="s">
        <v>112</v>
      </c>
      <c r="AL47" s="15" t="s">
        <v>112</v>
      </c>
      <c r="AM47" s="15" t="s">
        <v>112</v>
      </c>
      <c r="AN47" s="15" t="s">
        <v>112</v>
      </c>
      <c r="AO47" s="15" t="s">
        <v>112</v>
      </c>
      <c r="AP47" s="15" t="s">
        <v>112</v>
      </c>
      <c r="AQ47" s="15" t="s">
        <v>112</v>
      </c>
      <c r="AR47" s="15" t="s">
        <v>112</v>
      </c>
      <c r="AS47" s="15" t="s">
        <v>112</v>
      </c>
      <c r="AT47" s="15" t="s">
        <v>112</v>
      </c>
      <c r="AU47" s="15" t="s">
        <v>112</v>
      </c>
      <c r="AV47" s="15" t="s">
        <v>112</v>
      </c>
      <c r="AW47" s="15" t="s">
        <v>112</v>
      </c>
      <c r="AX47" s="15" t="s">
        <v>112</v>
      </c>
      <c r="AY47" s="15" t="s">
        <v>112</v>
      </c>
      <c r="AZ47" s="15" t="s">
        <v>112</v>
      </c>
      <c r="BA47" s="15" t="s">
        <v>112</v>
      </c>
      <c r="BB47" s="15" t="s">
        <v>112</v>
      </c>
      <c r="BC47" s="15" t="s">
        <v>112</v>
      </c>
      <c r="BD47" s="15" t="s">
        <v>112</v>
      </c>
      <c r="BE47" s="15" t="s">
        <v>112</v>
      </c>
    </row>
    <row r="48" ht="11.25" customHeight="1">
      <c r="A48" s="13" t="s">
        <v>59</v>
      </c>
      <c r="B48" s="13">
        <v>2.0</v>
      </c>
      <c r="C48" s="13" t="s">
        <v>153</v>
      </c>
      <c r="D48" s="13" t="s">
        <v>156</v>
      </c>
      <c r="E48" s="13">
        <f t="shared" si="1"/>
        <v>2</v>
      </c>
      <c r="F48" s="17">
        <v>20.0</v>
      </c>
      <c r="G48" s="17">
        <v>21.0</v>
      </c>
      <c r="H48" s="13" t="s">
        <v>122</v>
      </c>
      <c r="I48" s="16" t="s">
        <v>112</v>
      </c>
      <c r="J48" s="15" t="s">
        <v>112</v>
      </c>
      <c r="K48" s="15" t="s">
        <v>112</v>
      </c>
      <c r="L48" s="15" t="s">
        <v>112</v>
      </c>
      <c r="M48" s="15" t="s">
        <v>112</v>
      </c>
      <c r="N48" s="15" t="s">
        <v>112</v>
      </c>
      <c r="O48" s="15" t="s">
        <v>112</v>
      </c>
      <c r="P48" s="15" t="s">
        <v>112</v>
      </c>
      <c r="Q48" s="15" t="s">
        <v>112</v>
      </c>
      <c r="R48" s="15" t="s">
        <v>112</v>
      </c>
      <c r="S48" s="15" t="s">
        <v>112</v>
      </c>
      <c r="T48" s="15" t="s">
        <v>112</v>
      </c>
      <c r="U48" s="15" t="s">
        <v>112</v>
      </c>
      <c r="V48" s="15" t="s">
        <v>112</v>
      </c>
      <c r="W48" s="15" t="s">
        <v>112</v>
      </c>
      <c r="X48" s="15" t="s">
        <v>112</v>
      </c>
      <c r="Y48" s="15" t="s">
        <v>112</v>
      </c>
      <c r="Z48" s="15" t="s">
        <v>112</v>
      </c>
      <c r="AA48" s="15" t="s">
        <v>112</v>
      </c>
      <c r="AB48" s="15" t="s">
        <v>111</v>
      </c>
      <c r="AC48" s="15" t="s">
        <v>111</v>
      </c>
      <c r="AD48" s="15" t="s">
        <v>112</v>
      </c>
      <c r="AE48" s="15" t="s">
        <v>112</v>
      </c>
      <c r="AF48" s="15" t="s">
        <v>112</v>
      </c>
      <c r="AG48" s="15" t="s">
        <v>112</v>
      </c>
      <c r="AH48" s="15" t="s">
        <v>112</v>
      </c>
      <c r="AI48" s="15" t="s">
        <v>112</v>
      </c>
      <c r="AJ48" s="15" t="s">
        <v>112</v>
      </c>
      <c r="AK48" s="15" t="s">
        <v>112</v>
      </c>
      <c r="AL48" s="15" t="s">
        <v>112</v>
      </c>
      <c r="AM48" s="15" t="s">
        <v>112</v>
      </c>
      <c r="AN48" s="15" t="s">
        <v>112</v>
      </c>
      <c r="AO48" s="15" t="s">
        <v>112</v>
      </c>
      <c r="AP48" s="15" t="s">
        <v>112</v>
      </c>
      <c r="AQ48" s="15" t="s">
        <v>112</v>
      </c>
      <c r="AR48" s="15" t="s">
        <v>112</v>
      </c>
      <c r="AS48" s="15" t="s">
        <v>112</v>
      </c>
      <c r="AT48" s="15" t="s">
        <v>112</v>
      </c>
      <c r="AU48" s="15" t="s">
        <v>112</v>
      </c>
      <c r="AV48" s="15" t="s">
        <v>112</v>
      </c>
      <c r="AW48" s="15" t="s">
        <v>112</v>
      </c>
      <c r="AX48" s="15" t="s">
        <v>112</v>
      </c>
      <c r="AY48" s="15" t="s">
        <v>112</v>
      </c>
      <c r="AZ48" s="15" t="s">
        <v>112</v>
      </c>
      <c r="BA48" s="15" t="s">
        <v>112</v>
      </c>
      <c r="BB48" s="15" t="s">
        <v>112</v>
      </c>
      <c r="BC48" s="15" t="s">
        <v>112</v>
      </c>
      <c r="BD48" s="15" t="s">
        <v>112</v>
      </c>
      <c r="BE48" s="15" t="s">
        <v>112</v>
      </c>
    </row>
    <row r="49" ht="11.25" customHeight="1">
      <c r="A49" s="13"/>
      <c r="B49" s="13"/>
      <c r="C49" s="13"/>
      <c r="D49" s="13"/>
      <c r="E49" s="13" t="str">
        <f t="shared" si="1"/>
        <v/>
      </c>
      <c r="F49" s="13"/>
      <c r="G49" s="13"/>
      <c r="H49" s="13"/>
      <c r="I49" s="16" t="s">
        <v>112</v>
      </c>
      <c r="J49" s="15" t="s">
        <v>112</v>
      </c>
      <c r="K49" s="15" t="s">
        <v>112</v>
      </c>
      <c r="L49" s="15" t="s">
        <v>112</v>
      </c>
      <c r="M49" s="15" t="s">
        <v>112</v>
      </c>
      <c r="N49" s="15" t="s">
        <v>112</v>
      </c>
      <c r="O49" s="15" t="s">
        <v>112</v>
      </c>
      <c r="P49" s="15" t="s">
        <v>112</v>
      </c>
      <c r="Q49" s="15" t="s">
        <v>112</v>
      </c>
      <c r="R49" s="15" t="s">
        <v>112</v>
      </c>
      <c r="S49" s="15" t="s">
        <v>112</v>
      </c>
      <c r="T49" s="15" t="s">
        <v>112</v>
      </c>
      <c r="U49" s="15" t="s">
        <v>112</v>
      </c>
      <c r="V49" s="15" t="s">
        <v>112</v>
      </c>
      <c r="W49" s="15" t="s">
        <v>112</v>
      </c>
      <c r="X49" s="15" t="s">
        <v>112</v>
      </c>
      <c r="Y49" s="15" t="s">
        <v>112</v>
      </c>
      <c r="Z49" s="15" t="s">
        <v>112</v>
      </c>
      <c r="AA49" s="15" t="s">
        <v>112</v>
      </c>
      <c r="AB49" s="15" t="s">
        <v>112</v>
      </c>
      <c r="AC49" s="15" t="s">
        <v>112</v>
      </c>
      <c r="AD49" s="15" t="s">
        <v>112</v>
      </c>
      <c r="AE49" s="15" t="s">
        <v>112</v>
      </c>
      <c r="AF49" s="15" t="s">
        <v>112</v>
      </c>
      <c r="AG49" s="15" t="s">
        <v>112</v>
      </c>
      <c r="AH49" s="15" t="s">
        <v>112</v>
      </c>
      <c r="AI49" s="15" t="s">
        <v>112</v>
      </c>
      <c r="AJ49" s="15" t="s">
        <v>112</v>
      </c>
      <c r="AK49" s="15" t="s">
        <v>112</v>
      </c>
      <c r="AL49" s="15" t="s">
        <v>112</v>
      </c>
      <c r="AM49" s="15" t="s">
        <v>112</v>
      </c>
      <c r="AN49" s="15" t="s">
        <v>112</v>
      </c>
      <c r="AO49" s="15" t="s">
        <v>112</v>
      </c>
      <c r="AP49" s="15" t="s">
        <v>112</v>
      </c>
      <c r="AQ49" s="15" t="s">
        <v>112</v>
      </c>
      <c r="AR49" s="15" t="s">
        <v>112</v>
      </c>
      <c r="AS49" s="15" t="s">
        <v>112</v>
      </c>
      <c r="AT49" s="15" t="s">
        <v>112</v>
      </c>
      <c r="AU49" s="15" t="s">
        <v>112</v>
      </c>
      <c r="AV49" s="15" t="s">
        <v>112</v>
      </c>
      <c r="AW49" s="15" t="s">
        <v>112</v>
      </c>
      <c r="AX49" s="15" t="s">
        <v>112</v>
      </c>
      <c r="AY49" s="15" t="s">
        <v>112</v>
      </c>
      <c r="AZ49" s="15" t="s">
        <v>112</v>
      </c>
      <c r="BA49" s="15" t="s">
        <v>112</v>
      </c>
      <c r="BB49" s="15" t="s">
        <v>112</v>
      </c>
      <c r="BC49" s="15" t="s">
        <v>112</v>
      </c>
      <c r="BD49" s="15" t="s">
        <v>112</v>
      </c>
      <c r="BE49" s="15" t="s">
        <v>112</v>
      </c>
    </row>
    <row r="50" ht="11.25" customHeight="1">
      <c r="A50" s="13" t="s">
        <v>31</v>
      </c>
      <c r="B50" s="13">
        <v>3.0</v>
      </c>
      <c r="C50" s="13" t="s">
        <v>32</v>
      </c>
      <c r="D50" s="13" t="s">
        <v>157</v>
      </c>
      <c r="E50" s="13">
        <f t="shared" si="1"/>
        <v>2</v>
      </c>
      <c r="F50" s="13">
        <v>23.0</v>
      </c>
      <c r="G50" s="13">
        <v>24.0</v>
      </c>
      <c r="H50" s="13" t="s">
        <v>134</v>
      </c>
      <c r="I50" s="16" t="s">
        <v>112</v>
      </c>
      <c r="J50" s="15" t="s">
        <v>112</v>
      </c>
      <c r="K50" s="15" t="s">
        <v>112</v>
      </c>
      <c r="L50" s="15" t="s">
        <v>112</v>
      </c>
      <c r="M50" s="15" t="s">
        <v>112</v>
      </c>
      <c r="N50" s="15" t="s">
        <v>112</v>
      </c>
      <c r="O50" s="15" t="s">
        <v>112</v>
      </c>
      <c r="P50" s="15" t="s">
        <v>112</v>
      </c>
      <c r="Q50" s="15" t="s">
        <v>112</v>
      </c>
      <c r="R50" s="15" t="s">
        <v>112</v>
      </c>
      <c r="S50" s="15" t="s">
        <v>112</v>
      </c>
      <c r="T50" s="15" t="s">
        <v>112</v>
      </c>
      <c r="U50" s="15" t="s">
        <v>112</v>
      </c>
      <c r="V50" s="15" t="s">
        <v>112</v>
      </c>
      <c r="W50" s="15" t="s">
        <v>112</v>
      </c>
      <c r="X50" s="15" t="s">
        <v>112</v>
      </c>
      <c r="Y50" s="15" t="s">
        <v>112</v>
      </c>
      <c r="Z50" s="15" t="s">
        <v>112</v>
      </c>
      <c r="AA50" s="15" t="s">
        <v>112</v>
      </c>
      <c r="AB50" s="15" t="s">
        <v>112</v>
      </c>
      <c r="AC50" s="15" t="s">
        <v>112</v>
      </c>
      <c r="AD50" s="15" t="s">
        <v>112</v>
      </c>
      <c r="AE50" s="15" t="s">
        <v>111</v>
      </c>
      <c r="AF50" s="15" t="s">
        <v>111</v>
      </c>
      <c r="AG50" s="15" t="s">
        <v>112</v>
      </c>
      <c r="AH50" s="15" t="s">
        <v>112</v>
      </c>
      <c r="AI50" s="15" t="s">
        <v>112</v>
      </c>
      <c r="AJ50" s="15" t="s">
        <v>112</v>
      </c>
      <c r="AK50" s="15" t="s">
        <v>112</v>
      </c>
      <c r="AL50" s="15" t="s">
        <v>112</v>
      </c>
      <c r="AM50" s="15" t="s">
        <v>112</v>
      </c>
      <c r="AN50" s="15" t="s">
        <v>112</v>
      </c>
      <c r="AO50" s="15" t="s">
        <v>112</v>
      </c>
      <c r="AP50" s="15" t="s">
        <v>112</v>
      </c>
      <c r="AQ50" s="15" t="s">
        <v>112</v>
      </c>
      <c r="AR50" s="15" t="s">
        <v>112</v>
      </c>
      <c r="AS50" s="15" t="s">
        <v>112</v>
      </c>
      <c r="AT50" s="15" t="s">
        <v>112</v>
      </c>
      <c r="AU50" s="15" t="s">
        <v>112</v>
      </c>
      <c r="AV50" s="15" t="s">
        <v>112</v>
      </c>
      <c r="AW50" s="15" t="s">
        <v>112</v>
      </c>
      <c r="AX50" s="15" t="s">
        <v>112</v>
      </c>
      <c r="AY50" s="15" t="s">
        <v>112</v>
      </c>
      <c r="AZ50" s="15" t="s">
        <v>112</v>
      </c>
      <c r="BA50" s="15" t="s">
        <v>112</v>
      </c>
      <c r="BB50" s="15" t="s">
        <v>112</v>
      </c>
      <c r="BC50" s="15" t="s">
        <v>112</v>
      </c>
      <c r="BD50" s="15" t="s">
        <v>112</v>
      </c>
      <c r="BE50" s="15" t="s">
        <v>112</v>
      </c>
    </row>
    <row r="51" ht="11.25" customHeight="1">
      <c r="A51" s="13" t="s">
        <v>31</v>
      </c>
      <c r="B51" s="13">
        <v>3.0</v>
      </c>
      <c r="C51" s="13" t="s">
        <v>32</v>
      </c>
      <c r="D51" s="13" t="s">
        <v>158</v>
      </c>
      <c r="E51" s="13">
        <f t="shared" si="1"/>
        <v>2</v>
      </c>
      <c r="F51" s="13">
        <v>24.0</v>
      </c>
      <c r="G51" s="13">
        <v>25.0</v>
      </c>
      <c r="H51" s="13" t="s">
        <v>134</v>
      </c>
      <c r="I51" s="16" t="s">
        <v>112</v>
      </c>
      <c r="J51" s="15" t="s">
        <v>112</v>
      </c>
      <c r="K51" s="15" t="s">
        <v>112</v>
      </c>
      <c r="L51" s="15" t="s">
        <v>112</v>
      </c>
      <c r="M51" s="15" t="s">
        <v>112</v>
      </c>
      <c r="N51" s="15" t="s">
        <v>112</v>
      </c>
      <c r="O51" s="15" t="s">
        <v>112</v>
      </c>
      <c r="P51" s="15" t="s">
        <v>112</v>
      </c>
      <c r="Q51" s="15" t="s">
        <v>112</v>
      </c>
      <c r="R51" s="15" t="s">
        <v>112</v>
      </c>
      <c r="S51" s="15" t="s">
        <v>112</v>
      </c>
      <c r="T51" s="15" t="s">
        <v>112</v>
      </c>
      <c r="U51" s="15" t="s">
        <v>112</v>
      </c>
      <c r="V51" s="15" t="s">
        <v>112</v>
      </c>
      <c r="W51" s="15" t="s">
        <v>112</v>
      </c>
      <c r="X51" s="15" t="s">
        <v>112</v>
      </c>
      <c r="Y51" s="15" t="s">
        <v>112</v>
      </c>
      <c r="Z51" s="15" t="s">
        <v>112</v>
      </c>
      <c r="AA51" s="15" t="s">
        <v>112</v>
      </c>
      <c r="AB51" s="15" t="s">
        <v>112</v>
      </c>
      <c r="AC51" s="15" t="s">
        <v>112</v>
      </c>
      <c r="AD51" s="15" t="s">
        <v>112</v>
      </c>
      <c r="AE51" s="15" t="s">
        <v>112</v>
      </c>
      <c r="AF51" s="15" t="s">
        <v>111</v>
      </c>
      <c r="AG51" s="15" t="s">
        <v>111</v>
      </c>
      <c r="AH51" s="15" t="s">
        <v>112</v>
      </c>
      <c r="AI51" s="15" t="s">
        <v>112</v>
      </c>
      <c r="AJ51" s="15" t="s">
        <v>112</v>
      </c>
      <c r="AK51" s="15" t="s">
        <v>112</v>
      </c>
      <c r="AL51" s="15" t="s">
        <v>112</v>
      </c>
      <c r="AM51" s="15" t="s">
        <v>112</v>
      </c>
      <c r="AN51" s="15" t="s">
        <v>112</v>
      </c>
      <c r="AO51" s="15" t="s">
        <v>112</v>
      </c>
      <c r="AP51" s="15" t="s">
        <v>112</v>
      </c>
      <c r="AQ51" s="15" t="s">
        <v>112</v>
      </c>
      <c r="AR51" s="15" t="s">
        <v>112</v>
      </c>
      <c r="AS51" s="15" t="s">
        <v>112</v>
      </c>
      <c r="AT51" s="15" t="s">
        <v>112</v>
      </c>
      <c r="AU51" s="15" t="s">
        <v>112</v>
      </c>
      <c r="AV51" s="15" t="s">
        <v>112</v>
      </c>
      <c r="AW51" s="15" t="s">
        <v>112</v>
      </c>
      <c r="AX51" s="15" t="s">
        <v>112</v>
      </c>
      <c r="AY51" s="15" t="s">
        <v>112</v>
      </c>
      <c r="AZ51" s="15" t="s">
        <v>112</v>
      </c>
      <c r="BA51" s="15" t="s">
        <v>112</v>
      </c>
      <c r="BB51" s="15" t="s">
        <v>112</v>
      </c>
      <c r="BC51" s="15" t="s">
        <v>112</v>
      </c>
      <c r="BD51" s="15" t="s">
        <v>112</v>
      </c>
      <c r="BE51" s="15" t="s">
        <v>112</v>
      </c>
    </row>
    <row r="52" ht="11.25" customHeight="1">
      <c r="A52" s="13" t="s">
        <v>31</v>
      </c>
      <c r="B52" s="13">
        <v>3.0</v>
      </c>
      <c r="C52" s="13" t="s">
        <v>32</v>
      </c>
      <c r="D52" s="13" t="s">
        <v>159</v>
      </c>
      <c r="E52" s="13">
        <f t="shared" si="1"/>
        <v>2</v>
      </c>
      <c r="F52" s="13">
        <v>25.0</v>
      </c>
      <c r="G52" s="13">
        <v>26.0</v>
      </c>
      <c r="H52" s="13" t="s">
        <v>134</v>
      </c>
      <c r="I52" s="16" t="s">
        <v>112</v>
      </c>
      <c r="J52" s="15" t="s">
        <v>112</v>
      </c>
      <c r="K52" s="15" t="s">
        <v>112</v>
      </c>
      <c r="L52" s="15" t="s">
        <v>112</v>
      </c>
      <c r="M52" s="15" t="s">
        <v>112</v>
      </c>
      <c r="N52" s="15" t="s">
        <v>112</v>
      </c>
      <c r="O52" s="15" t="s">
        <v>112</v>
      </c>
      <c r="P52" s="15" t="s">
        <v>112</v>
      </c>
      <c r="Q52" s="15" t="s">
        <v>112</v>
      </c>
      <c r="R52" s="15" t="s">
        <v>112</v>
      </c>
      <c r="S52" s="15" t="s">
        <v>112</v>
      </c>
      <c r="T52" s="15" t="s">
        <v>112</v>
      </c>
      <c r="U52" s="15" t="s">
        <v>112</v>
      </c>
      <c r="V52" s="15" t="s">
        <v>112</v>
      </c>
      <c r="W52" s="15" t="s">
        <v>112</v>
      </c>
      <c r="X52" s="15" t="s">
        <v>112</v>
      </c>
      <c r="Y52" s="15" t="s">
        <v>112</v>
      </c>
      <c r="Z52" s="15" t="s">
        <v>112</v>
      </c>
      <c r="AA52" s="15" t="s">
        <v>112</v>
      </c>
      <c r="AB52" s="15" t="s">
        <v>112</v>
      </c>
      <c r="AC52" s="15" t="s">
        <v>112</v>
      </c>
      <c r="AD52" s="15" t="s">
        <v>112</v>
      </c>
      <c r="AE52" s="15" t="s">
        <v>112</v>
      </c>
      <c r="AF52" s="15" t="s">
        <v>112</v>
      </c>
      <c r="AG52" s="15" t="s">
        <v>111</v>
      </c>
      <c r="AH52" s="15" t="s">
        <v>111</v>
      </c>
      <c r="AI52" s="15" t="s">
        <v>112</v>
      </c>
      <c r="AJ52" s="15" t="s">
        <v>112</v>
      </c>
      <c r="AK52" s="15" t="s">
        <v>112</v>
      </c>
      <c r="AL52" s="15" t="s">
        <v>112</v>
      </c>
      <c r="AM52" s="15" t="s">
        <v>112</v>
      </c>
      <c r="AN52" s="15" t="s">
        <v>112</v>
      </c>
      <c r="AO52" s="15" t="s">
        <v>112</v>
      </c>
      <c r="AP52" s="15" t="s">
        <v>112</v>
      </c>
      <c r="AQ52" s="15" t="s">
        <v>112</v>
      </c>
      <c r="AR52" s="15" t="s">
        <v>112</v>
      </c>
      <c r="AS52" s="15" t="s">
        <v>112</v>
      </c>
      <c r="AT52" s="15" t="s">
        <v>112</v>
      </c>
      <c r="AU52" s="15" t="s">
        <v>112</v>
      </c>
      <c r="AV52" s="15" t="s">
        <v>112</v>
      </c>
      <c r="AW52" s="15" t="s">
        <v>112</v>
      </c>
      <c r="AX52" s="15" t="s">
        <v>112</v>
      </c>
      <c r="AY52" s="15" t="s">
        <v>112</v>
      </c>
      <c r="AZ52" s="15" t="s">
        <v>112</v>
      </c>
      <c r="BA52" s="15" t="s">
        <v>112</v>
      </c>
      <c r="BB52" s="15" t="s">
        <v>112</v>
      </c>
      <c r="BC52" s="15" t="s">
        <v>112</v>
      </c>
      <c r="BD52" s="15" t="s">
        <v>112</v>
      </c>
      <c r="BE52" s="15" t="s">
        <v>112</v>
      </c>
    </row>
    <row r="53" ht="11.25" customHeight="1">
      <c r="A53" s="13" t="s">
        <v>31</v>
      </c>
      <c r="B53" s="13">
        <v>3.0</v>
      </c>
      <c r="C53" s="13" t="s">
        <v>32</v>
      </c>
      <c r="D53" s="13" t="s">
        <v>160</v>
      </c>
      <c r="E53" s="13">
        <f t="shared" si="1"/>
        <v>2</v>
      </c>
      <c r="F53" s="13">
        <v>26.0</v>
      </c>
      <c r="G53" s="13">
        <v>27.0</v>
      </c>
      <c r="H53" s="13" t="s">
        <v>134</v>
      </c>
      <c r="I53" s="16" t="s">
        <v>112</v>
      </c>
      <c r="J53" s="15" t="s">
        <v>112</v>
      </c>
      <c r="K53" s="15" t="s">
        <v>112</v>
      </c>
      <c r="L53" s="15" t="s">
        <v>112</v>
      </c>
      <c r="M53" s="15" t="s">
        <v>112</v>
      </c>
      <c r="N53" s="15" t="s">
        <v>112</v>
      </c>
      <c r="O53" s="15" t="s">
        <v>112</v>
      </c>
      <c r="P53" s="15" t="s">
        <v>112</v>
      </c>
      <c r="Q53" s="15" t="s">
        <v>112</v>
      </c>
      <c r="R53" s="15" t="s">
        <v>112</v>
      </c>
      <c r="S53" s="15" t="s">
        <v>112</v>
      </c>
      <c r="T53" s="15" t="s">
        <v>112</v>
      </c>
      <c r="U53" s="15" t="s">
        <v>112</v>
      </c>
      <c r="V53" s="15" t="s">
        <v>112</v>
      </c>
      <c r="W53" s="15" t="s">
        <v>112</v>
      </c>
      <c r="X53" s="15" t="s">
        <v>112</v>
      </c>
      <c r="Y53" s="15" t="s">
        <v>112</v>
      </c>
      <c r="Z53" s="15" t="s">
        <v>112</v>
      </c>
      <c r="AA53" s="15" t="s">
        <v>112</v>
      </c>
      <c r="AB53" s="15" t="s">
        <v>112</v>
      </c>
      <c r="AC53" s="15" t="s">
        <v>112</v>
      </c>
      <c r="AD53" s="15" t="s">
        <v>112</v>
      </c>
      <c r="AE53" s="15" t="s">
        <v>112</v>
      </c>
      <c r="AF53" s="15" t="s">
        <v>112</v>
      </c>
      <c r="AG53" s="15" t="s">
        <v>112</v>
      </c>
      <c r="AH53" s="15" t="s">
        <v>111</v>
      </c>
      <c r="AI53" s="15" t="s">
        <v>111</v>
      </c>
      <c r="AJ53" s="15" t="s">
        <v>112</v>
      </c>
      <c r="AK53" s="15" t="s">
        <v>112</v>
      </c>
      <c r="AL53" s="15" t="s">
        <v>112</v>
      </c>
      <c r="AM53" s="15" t="s">
        <v>112</v>
      </c>
      <c r="AN53" s="15" t="s">
        <v>112</v>
      </c>
      <c r="AO53" s="15" t="s">
        <v>112</v>
      </c>
      <c r="AP53" s="15" t="s">
        <v>112</v>
      </c>
      <c r="AQ53" s="15" t="s">
        <v>112</v>
      </c>
      <c r="AR53" s="15" t="s">
        <v>112</v>
      </c>
      <c r="AS53" s="15" t="s">
        <v>112</v>
      </c>
      <c r="AT53" s="15" t="s">
        <v>112</v>
      </c>
      <c r="AU53" s="15" t="s">
        <v>112</v>
      </c>
      <c r="AV53" s="15" t="s">
        <v>112</v>
      </c>
      <c r="AW53" s="15" t="s">
        <v>112</v>
      </c>
      <c r="AX53" s="15" t="s">
        <v>112</v>
      </c>
      <c r="AY53" s="15" t="s">
        <v>112</v>
      </c>
      <c r="AZ53" s="15" t="s">
        <v>112</v>
      </c>
      <c r="BA53" s="15" t="s">
        <v>112</v>
      </c>
      <c r="BB53" s="15" t="s">
        <v>112</v>
      </c>
      <c r="BC53" s="15" t="s">
        <v>112</v>
      </c>
      <c r="BD53" s="15" t="s">
        <v>112</v>
      </c>
      <c r="BE53" s="15" t="s">
        <v>112</v>
      </c>
    </row>
    <row r="54" ht="11.25" customHeight="1">
      <c r="A54" s="13"/>
      <c r="B54" s="13"/>
      <c r="C54" s="13"/>
      <c r="D54" s="13"/>
      <c r="E54" s="13" t="str">
        <f t="shared" si="1"/>
        <v/>
      </c>
      <c r="F54" s="13"/>
      <c r="G54" s="13"/>
      <c r="H54" s="13"/>
      <c r="I54" s="16" t="s">
        <v>112</v>
      </c>
      <c r="J54" s="15" t="s">
        <v>112</v>
      </c>
      <c r="K54" s="15" t="s">
        <v>112</v>
      </c>
      <c r="L54" s="15" t="s">
        <v>112</v>
      </c>
      <c r="M54" s="15" t="s">
        <v>112</v>
      </c>
      <c r="N54" s="15" t="s">
        <v>112</v>
      </c>
      <c r="O54" s="15" t="s">
        <v>112</v>
      </c>
      <c r="P54" s="15" t="s">
        <v>112</v>
      </c>
      <c r="Q54" s="15" t="s">
        <v>112</v>
      </c>
      <c r="R54" s="15" t="s">
        <v>112</v>
      </c>
      <c r="S54" s="15" t="s">
        <v>112</v>
      </c>
      <c r="T54" s="15" t="s">
        <v>112</v>
      </c>
      <c r="U54" s="15" t="s">
        <v>112</v>
      </c>
      <c r="V54" s="15" t="s">
        <v>112</v>
      </c>
      <c r="W54" s="15" t="s">
        <v>112</v>
      </c>
      <c r="X54" s="15" t="s">
        <v>112</v>
      </c>
      <c r="Y54" s="15" t="s">
        <v>112</v>
      </c>
      <c r="Z54" s="15" t="s">
        <v>112</v>
      </c>
      <c r="AA54" s="15" t="s">
        <v>112</v>
      </c>
      <c r="AB54" s="15" t="s">
        <v>112</v>
      </c>
      <c r="AC54" s="15" t="s">
        <v>112</v>
      </c>
      <c r="AD54" s="15" t="s">
        <v>112</v>
      </c>
      <c r="AE54" s="15" t="s">
        <v>112</v>
      </c>
      <c r="AF54" s="15" t="s">
        <v>112</v>
      </c>
      <c r="AG54" s="15" t="s">
        <v>112</v>
      </c>
      <c r="AH54" s="15" t="s">
        <v>112</v>
      </c>
      <c r="AI54" s="15" t="s">
        <v>112</v>
      </c>
      <c r="AJ54" s="15" t="s">
        <v>112</v>
      </c>
      <c r="AK54" s="15" t="s">
        <v>112</v>
      </c>
      <c r="AL54" s="15" t="s">
        <v>112</v>
      </c>
      <c r="AM54" s="15" t="s">
        <v>112</v>
      </c>
      <c r="AN54" s="15" t="s">
        <v>112</v>
      </c>
      <c r="AO54" s="15" t="s">
        <v>112</v>
      </c>
      <c r="AP54" s="15" t="s">
        <v>112</v>
      </c>
      <c r="AQ54" s="15" t="s">
        <v>112</v>
      </c>
      <c r="AR54" s="15" t="s">
        <v>112</v>
      </c>
      <c r="AS54" s="15" t="s">
        <v>112</v>
      </c>
      <c r="AT54" s="15" t="s">
        <v>112</v>
      </c>
      <c r="AU54" s="15" t="s">
        <v>112</v>
      </c>
      <c r="AV54" s="15" t="s">
        <v>112</v>
      </c>
      <c r="AW54" s="15" t="s">
        <v>112</v>
      </c>
      <c r="AX54" s="15" t="s">
        <v>112</v>
      </c>
      <c r="AY54" s="15" t="s">
        <v>112</v>
      </c>
      <c r="AZ54" s="15" t="s">
        <v>112</v>
      </c>
      <c r="BA54" s="15" t="s">
        <v>112</v>
      </c>
      <c r="BB54" s="15" t="s">
        <v>112</v>
      </c>
      <c r="BC54" s="15" t="s">
        <v>112</v>
      </c>
      <c r="BD54" s="15" t="s">
        <v>112</v>
      </c>
      <c r="BE54" s="15" t="s">
        <v>112</v>
      </c>
    </row>
    <row r="55" ht="11.25" customHeight="1">
      <c r="A55" s="13" t="s">
        <v>54</v>
      </c>
      <c r="B55" s="13">
        <v>3.0</v>
      </c>
      <c r="C55" s="13" t="s">
        <v>55</v>
      </c>
      <c r="D55" s="13" t="s">
        <v>161</v>
      </c>
      <c r="E55" s="13">
        <f t="shared" si="1"/>
        <v>2</v>
      </c>
      <c r="F55" s="17">
        <v>22.0</v>
      </c>
      <c r="G55" s="17">
        <v>23.0</v>
      </c>
      <c r="H55" s="13" t="s">
        <v>122</v>
      </c>
      <c r="I55" s="16" t="s">
        <v>112</v>
      </c>
      <c r="J55" s="15" t="s">
        <v>112</v>
      </c>
      <c r="K55" s="15" t="s">
        <v>112</v>
      </c>
      <c r="L55" s="15" t="s">
        <v>112</v>
      </c>
      <c r="M55" s="15" t="s">
        <v>112</v>
      </c>
      <c r="N55" s="15" t="s">
        <v>112</v>
      </c>
      <c r="O55" s="15" t="s">
        <v>112</v>
      </c>
      <c r="P55" s="15" t="s">
        <v>112</v>
      </c>
      <c r="Q55" s="15" t="s">
        <v>112</v>
      </c>
      <c r="R55" s="15" t="s">
        <v>112</v>
      </c>
      <c r="S55" s="15" t="s">
        <v>112</v>
      </c>
      <c r="T55" s="15" t="s">
        <v>112</v>
      </c>
      <c r="U55" s="15" t="s">
        <v>112</v>
      </c>
      <c r="V55" s="15" t="s">
        <v>112</v>
      </c>
      <c r="W55" s="15" t="s">
        <v>112</v>
      </c>
      <c r="X55" s="15" t="s">
        <v>112</v>
      </c>
      <c r="Y55" s="15" t="s">
        <v>112</v>
      </c>
      <c r="Z55" s="15" t="s">
        <v>112</v>
      </c>
      <c r="AA55" s="15" t="s">
        <v>112</v>
      </c>
      <c r="AB55" s="15" t="s">
        <v>112</v>
      </c>
      <c r="AC55" s="15" t="s">
        <v>112</v>
      </c>
      <c r="AD55" s="15" t="s">
        <v>111</v>
      </c>
      <c r="AE55" s="15" t="s">
        <v>111</v>
      </c>
      <c r="AF55" s="15" t="s">
        <v>112</v>
      </c>
      <c r="AG55" s="15" t="s">
        <v>112</v>
      </c>
      <c r="AH55" s="15" t="s">
        <v>112</v>
      </c>
      <c r="AI55" s="15" t="s">
        <v>112</v>
      </c>
      <c r="AJ55" s="15" t="s">
        <v>112</v>
      </c>
      <c r="AK55" s="15" t="s">
        <v>112</v>
      </c>
      <c r="AL55" s="15" t="s">
        <v>112</v>
      </c>
      <c r="AM55" s="15" t="s">
        <v>112</v>
      </c>
      <c r="AN55" s="15" t="s">
        <v>112</v>
      </c>
      <c r="AO55" s="15" t="s">
        <v>112</v>
      </c>
      <c r="AP55" s="15" t="s">
        <v>112</v>
      </c>
      <c r="AQ55" s="15" t="s">
        <v>112</v>
      </c>
      <c r="AR55" s="15" t="s">
        <v>112</v>
      </c>
      <c r="AS55" s="15" t="s">
        <v>112</v>
      </c>
      <c r="AT55" s="15" t="s">
        <v>112</v>
      </c>
      <c r="AU55" s="15" t="s">
        <v>112</v>
      </c>
      <c r="AV55" s="15" t="s">
        <v>112</v>
      </c>
      <c r="AW55" s="15" t="s">
        <v>112</v>
      </c>
      <c r="AX55" s="15" t="s">
        <v>112</v>
      </c>
      <c r="AY55" s="15" t="s">
        <v>112</v>
      </c>
      <c r="AZ55" s="15" t="s">
        <v>112</v>
      </c>
      <c r="BA55" s="15" t="s">
        <v>112</v>
      </c>
      <c r="BB55" s="15" t="s">
        <v>112</v>
      </c>
      <c r="BC55" s="15" t="s">
        <v>112</v>
      </c>
      <c r="BD55" s="15" t="s">
        <v>112</v>
      </c>
      <c r="BE55" s="15" t="s">
        <v>112</v>
      </c>
    </row>
    <row r="56" ht="11.25" customHeight="1">
      <c r="A56" s="13" t="s">
        <v>54</v>
      </c>
      <c r="B56" s="13">
        <v>3.0</v>
      </c>
      <c r="C56" s="13" t="s">
        <v>55</v>
      </c>
      <c r="D56" s="13" t="s">
        <v>162</v>
      </c>
      <c r="E56" s="13">
        <f t="shared" si="1"/>
        <v>2</v>
      </c>
      <c r="F56" s="17">
        <v>23.0</v>
      </c>
      <c r="G56" s="17">
        <v>24.0</v>
      </c>
      <c r="H56" s="13" t="s">
        <v>122</v>
      </c>
      <c r="I56" s="16" t="s">
        <v>112</v>
      </c>
      <c r="J56" s="15" t="s">
        <v>112</v>
      </c>
      <c r="K56" s="15" t="s">
        <v>112</v>
      </c>
      <c r="L56" s="15" t="s">
        <v>112</v>
      </c>
      <c r="M56" s="15" t="s">
        <v>112</v>
      </c>
      <c r="N56" s="15" t="s">
        <v>112</v>
      </c>
      <c r="O56" s="15" t="s">
        <v>112</v>
      </c>
      <c r="P56" s="15" t="s">
        <v>112</v>
      </c>
      <c r="Q56" s="15" t="s">
        <v>112</v>
      </c>
      <c r="R56" s="15" t="s">
        <v>112</v>
      </c>
      <c r="S56" s="15" t="s">
        <v>112</v>
      </c>
      <c r="T56" s="15" t="s">
        <v>112</v>
      </c>
      <c r="U56" s="15" t="s">
        <v>112</v>
      </c>
      <c r="V56" s="15" t="s">
        <v>112</v>
      </c>
      <c r="W56" s="15" t="s">
        <v>112</v>
      </c>
      <c r="X56" s="15" t="s">
        <v>112</v>
      </c>
      <c r="Y56" s="15" t="s">
        <v>112</v>
      </c>
      <c r="Z56" s="15" t="s">
        <v>112</v>
      </c>
      <c r="AA56" s="15" t="s">
        <v>112</v>
      </c>
      <c r="AB56" s="15" t="s">
        <v>112</v>
      </c>
      <c r="AC56" s="15" t="s">
        <v>112</v>
      </c>
      <c r="AD56" s="15" t="s">
        <v>112</v>
      </c>
      <c r="AE56" s="15" t="s">
        <v>111</v>
      </c>
      <c r="AF56" s="15" t="s">
        <v>111</v>
      </c>
      <c r="AG56" s="15" t="s">
        <v>112</v>
      </c>
      <c r="AH56" s="15" t="s">
        <v>112</v>
      </c>
      <c r="AI56" s="15" t="s">
        <v>112</v>
      </c>
      <c r="AJ56" s="15" t="s">
        <v>112</v>
      </c>
      <c r="AK56" s="15" t="s">
        <v>112</v>
      </c>
      <c r="AL56" s="15" t="s">
        <v>112</v>
      </c>
      <c r="AM56" s="15" t="s">
        <v>112</v>
      </c>
      <c r="AN56" s="15" t="s">
        <v>112</v>
      </c>
      <c r="AO56" s="15" t="s">
        <v>112</v>
      </c>
      <c r="AP56" s="15" t="s">
        <v>112</v>
      </c>
      <c r="AQ56" s="15" t="s">
        <v>112</v>
      </c>
      <c r="AR56" s="15" t="s">
        <v>112</v>
      </c>
      <c r="AS56" s="15" t="s">
        <v>112</v>
      </c>
      <c r="AT56" s="15" t="s">
        <v>112</v>
      </c>
      <c r="AU56" s="15" t="s">
        <v>112</v>
      </c>
      <c r="AV56" s="15" t="s">
        <v>112</v>
      </c>
      <c r="AW56" s="15" t="s">
        <v>112</v>
      </c>
      <c r="AX56" s="15" t="s">
        <v>112</v>
      </c>
      <c r="AY56" s="15" t="s">
        <v>112</v>
      </c>
      <c r="AZ56" s="15" t="s">
        <v>112</v>
      </c>
      <c r="BA56" s="15" t="s">
        <v>112</v>
      </c>
      <c r="BB56" s="15" t="s">
        <v>112</v>
      </c>
      <c r="BC56" s="15" t="s">
        <v>112</v>
      </c>
      <c r="BD56" s="15" t="s">
        <v>112</v>
      </c>
      <c r="BE56" s="15" t="s">
        <v>112</v>
      </c>
    </row>
    <row r="57" ht="11.25" customHeight="1">
      <c r="A57" s="13" t="s">
        <v>54</v>
      </c>
      <c r="B57" s="13">
        <v>3.0</v>
      </c>
      <c r="C57" s="13" t="s">
        <v>55</v>
      </c>
      <c r="D57" s="13" t="s">
        <v>163</v>
      </c>
      <c r="E57" s="13">
        <f t="shared" si="1"/>
        <v>2</v>
      </c>
      <c r="F57" s="17">
        <v>24.0</v>
      </c>
      <c r="G57" s="17">
        <v>25.0</v>
      </c>
      <c r="H57" s="13" t="s">
        <v>122</v>
      </c>
      <c r="I57" s="16" t="s">
        <v>112</v>
      </c>
      <c r="J57" s="15" t="s">
        <v>112</v>
      </c>
      <c r="K57" s="15" t="s">
        <v>112</v>
      </c>
      <c r="L57" s="15" t="s">
        <v>112</v>
      </c>
      <c r="M57" s="15" t="s">
        <v>112</v>
      </c>
      <c r="N57" s="15" t="s">
        <v>112</v>
      </c>
      <c r="O57" s="15" t="s">
        <v>112</v>
      </c>
      <c r="P57" s="15" t="s">
        <v>112</v>
      </c>
      <c r="Q57" s="15" t="s">
        <v>112</v>
      </c>
      <c r="R57" s="15" t="s">
        <v>112</v>
      </c>
      <c r="S57" s="15" t="s">
        <v>112</v>
      </c>
      <c r="T57" s="15" t="s">
        <v>112</v>
      </c>
      <c r="U57" s="15" t="s">
        <v>112</v>
      </c>
      <c r="V57" s="15" t="s">
        <v>112</v>
      </c>
      <c r="W57" s="15" t="s">
        <v>112</v>
      </c>
      <c r="X57" s="15" t="s">
        <v>112</v>
      </c>
      <c r="Y57" s="15" t="s">
        <v>112</v>
      </c>
      <c r="Z57" s="15" t="s">
        <v>112</v>
      </c>
      <c r="AA57" s="15" t="s">
        <v>112</v>
      </c>
      <c r="AB57" s="15" t="s">
        <v>112</v>
      </c>
      <c r="AC57" s="15" t="s">
        <v>112</v>
      </c>
      <c r="AD57" s="15" t="s">
        <v>112</v>
      </c>
      <c r="AE57" s="15" t="s">
        <v>112</v>
      </c>
      <c r="AF57" s="15" t="s">
        <v>111</v>
      </c>
      <c r="AG57" s="15" t="s">
        <v>111</v>
      </c>
      <c r="AH57" s="15" t="s">
        <v>112</v>
      </c>
      <c r="AI57" s="15" t="s">
        <v>112</v>
      </c>
      <c r="AJ57" s="15" t="s">
        <v>112</v>
      </c>
      <c r="AK57" s="15" t="s">
        <v>112</v>
      </c>
      <c r="AL57" s="15" t="s">
        <v>112</v>
      </c>
      <c r="AM57" s="15" t="s">
        <v>112</v>
      </c>
      <c r="AN57" s="15" t="s">
        <v>112</v>
      </c>
      <c r="AO57" s="15" t="s">
        <v>112</v>
      </c>
      <c r="AP57" s="15" t="s">
        <v>112</v>
      </c>
      <c r="AQ57" s="15" t="s">
        <v>112</v>
      </c>
      <c r="AR57" s="15" t="s">
        <v>112</v>
      </c>
      <c r="AS57" s="15" t="s">
        <v>112</v>
      </c>
      <c r="AT57" s="15" t="s">
        <v>112</v>
      </c>
      <c r="AU57" s="15" t="s">
        <v>112</v>
      </c>
      <c r="AV57" s="15" t="s">
        <v>112</v>
      </c>
      <c r="AW57" s="15" t="s">
        <v>112</v>
      </c>
      <c r="AX57" s="15" t="s">
        <v>112</v>
      </c>
      <c r="AY57" s="15" t="s">
        <v>112</v>
      </c>
      <c r="AZ57" s="15" t="s">
        <v>112</v>
      </c>
      <c r="BA57" s="15" t="s">
        <v>112</v>
      </c>
      <c r="BB57" s="15" t="s">
        <v>112</v>
      </c>
      <c r="BC57" s="15" t="s">
        <v>112</v>
      </c>
      <c r="BD57" s="15" t="s">
        <v>112</v>
      </c>
      <c r="BE57" s="15" t="s">
        <v>112</v>
      </c>
    </row>
    <row r="58" ht="11.25" customHeight="1">
      <c r="A58" s="13" t="s">
        <v>54</v>
      </c>
      <c r="B58" s="13">
        <v>3.0</v>
      </c>
      <c r="C58" s="13" t="s">
        <v>55</v>
      </c>
      <c r="D58" s="13" t="s">
        <v>164</v>
      </c>
      <c r="E58" s="13">
        <f t="shared" si="1"/>
        <v>2</v>
      </c>
      <c r="F58" s="17">
        <v>25.0</v>
      </c>
      <c r="G58" s="17">
        <v>26.0</v>
      </c>
      <c r="H58" s="13" t="s">
        <v>122</v>
      </c>
      <c r="I58" s="16" t="s">
        <v>112</v>
      </c>
      <c r="J58" s="15" t="s">
        <v>112</v>
      </c>
      <c r="K58" s="15" t="s">
        <v>112</v>
      </c>
      <c r="L58" s="15" t="s">
        <v>112</v>
      </c>
      <c r="M58" s="15" t="s">
        <v>112</v>
      </c>
      <c r="N58" s="15" t="s">
        <v>112</v>
      </c>
      <c r="O58" s="15" t="s">
        <v>112</v>
      </c>
      <c r="P58" s="15" t="s">
        <v>112</v>
      </c>
      <c r="Q58" s="15" t="s">
        <v>112</v>
      </c>
      <c r="R58" s="15" t="s">
        <v>112</v>
      </c>
      <c r="S58" s="15" t="s">
        <v>112</v>
      </c>
      <c r="T58" s="15" t="s">
        <v>112</v>
      </c>
      <c r="U58" s="15" t="s">
        <v>112</v>
      </c>
      <c r="V58" s="15" t="s">
        <v>112</v>
      </c>
      <c r="W58" s="15" t="s">
        <v>112</v>
      </c>
      <c r="X58" s="15" t="s">
        <v>112</v>
      </c>
      <c r="Y58" s="15" t="s">
        <v>112</v>
      </c>
      <c r="Z58" s="15" t="s">
        <v>112</v>
      </c>
      <c r="AA58" s="15" t="s">
        <v>112</v>
      </c>
      <c r="AB58" s="15" t="s">
        <v>112</v>
      </c>
      <c r="AC58" s="15" t="s">
        <v>112</v>
      </c>
      <c r="AD58" s="15" t="s">
        <v>112</v>
      </c>
      <c r="AE58" s="15" t="s">
        <v>112</v>
      </c>
      <c r="AF58" s="15" t="s">
        <v>112</v>
      </c>
      <c r="AG58" s="15" t="s">
        <v>111</v>
      </c>
      <c r="AH58" s="15" t="s">
        <v>111</v>
      </c>
      <c r="AI58" s="15" t="s">
        <v>112</v>
      </c>
      <c r="AJ58" s="15" t="s">
        <v>112</v>
      </c>
      <c r="AK58" s="15" t="s">
        <v>112</v>
      </c>
      <c r="AL58" s="15" t="s">
        <v>112</v>
      </c>
      <c r="AM58" s="15" t="s">
        <v>112</v>
      </c>
      <c r="AN58" s="15" t="s">
        <v>112</v>
      </c>
      <c r="AO58" s="15" t="s">
        <v>112</v>
      </c>
      <c r="AP58" s="15" t="s">
        <v>112</v>
      </c>
      <c r="AQ58" s="15" t="s">
        <v>112</v>
      </c>
      <c r="AR58" s="15" t="s">
        <v>112</v>
      </c>
      <c r="AS58" s="15" t="s">
        <v>112</v>
      </c>
      <c r="AT58" s="15" t="s">
        <v>112</v>
      </c>
      <c r="AU58" s="15" t="s">
        <v>112</v>
      </c>
      <c r="AV58" s="15" t="s">
        <v>112</v>
      </c>
      <c r="AW58" s="15" t="s">
        <v>112</v>
      </c>
      <c r="AX58" s="15" t="s">
        <v>112</v>
      </c>
      <c r="AY58" s="15" t="s">
        <v>112</v>
      </c>
      <c r="AZ58" s="15" t="s">
        <v>112</v>
      </c>
      <c r="BA58" s="15" t="s">
        <v>112</v>
      </c>
      <c r="BB58" s="15" t="s">
        <v>112</v>
      </c>
      <c r="BC58" s="15" t="s">
        <v>112</v>
      </c>
      <c r="BD58" s="15" t="s">
        <v>112</v>
      </c>
      <c r="BE58" s="15" t="s">
        <v>112</v>
      </c>
    </row>
    <row r="59" ht="11.25" customHeight="1">
      <c r="A59" s="17"/>
      <c r="B59" s="17"/>
      <c r="C59" s="17"/>
      <c r="D59" s="17"/>
      <c r="E59" s="17"/>
      <c r="F59" s="17"/>
      <c r="G59" s="17"/>
      <c r="H59" s="17"/>
      <c r="I59" s="16" t="s">
        <v>112</v>
      </c>
      <c r="J59" s="15" t="s">
        <v>112</v>
      </c>
      <c r="K59" s="15" t="s">
        <v>112</v>
      </c>
      <c r="L59" s="15" t="s">
        <v>112</v>
      </c>
      <c r="M59" s="15" t="s">
        <v>112</v>
      </c>
      <c r="N59" s="15" t="s">
        <v>112</v>
      </c>
      <c r="O59" s="15" t="s">
        <v>112</v>
      </c>
      <c r="P59" s="15" t="s">
        <v>112</v>
      </c>
      <c r="Q59" s="15" t="s">
        <v>112</v>
      </c>
      <c r="R59" s="15" t="s">
        <v>112</v>
      </c>
      <c r="S59" s="15" t="s">
        <v>112</v>
      </c>
      <c r="T59" s="15" t="s">
        <v>112</v>
      </c>
      <c r="U59" s="15" t="s">
        <v>112</v>
      </c>
      <c r="V59" s="15" t="s">
        <v>112</v>
      </c>
      <c r="W59" s="15" t="s">
        <v>112</v>
      </c>
      <c r="X59" s="15" t="s">
        <v>112</v>
      </c>
      <c r="Y59" s="15" t="s">
        <v>112</v>
      </c>
      <c r="Z59" s="15" t="s">
        <v>112</v>
      </c>
      <c r="AA59" s="15" t="s">
        <v>112</v>
      </c>
      <c r="AB59" s="15" t="s">
        <v>112</v>
      </c>
      <c r="AC59" s="15" t="s">
        <v>112</v>
      </c>
      <c r="AD59" s="15" t="s">
        <v>112</v>
      </c>
      <c r="AE59" s="15" t="s">
        <v>112</v>
      </c>
      <c r="AF59" s="15" t="s">
        <v>112</v>
      </c>
      <c r="AG59" s="15" t="s">
        <v>112</v>
      </c>
      <c r="AH59" s="15" t="s">
        <v>112</v>
      </c>
      <c r="AI59" s="15" t="s">
        <v>112</v>
      </c>
      <c r="AJ59" s="15" t="s">
        <v>112</v>
      </c>
      <c r="AK59" s="15" t="s">
        <v>112</v>
      </c>
      <c r="AL59" s="15" t="s">
        <v>112</v>
      </c>
      <c r="AM59" s="15" t="s">
        <v>112</v>
      </c>
      <c r="AN59" s="15" t="s">
        <v>112</v>
      </c>
      <c r="AO59" s="15" t="s">
        <v>112</v>
      </c>
      <c r="AP59" s="15" t="s">
        <v>112</v>
      </c>
      <c r="AQ59" s="15" t="s">
        <v>112</v>
      </c>
      <c r="AR59" s="15" t="s">
        <v>112</v>
      </c>
      <c r="AS59" s="15" t="s">
        <v>112</v>
      </c>
      <c r="AT59" s="15" t="s">
        <v>112</v>
      </c>
      <c r="AU59" s="15" t="s">
        <v>112</v>
      </c>
      <c r="AV59" s="15" t="s">
        <v>112</v>
      </c>
      <c r="AW59" s="15" t="s">
        <v>112</v>
      </c>
      <c r="AX59" s="15" t="s">
        <v>112</v>
      </c>
      <c r="AY59" s="15" t="s">
        <v>112</v>
      </c>
      <c r="AZ59" s="15" t="s">
        <v>112</v>
      </c>
      <c r="BA59" s="15" t="s">
        <v>112</v>
      </c>
      <c r="BB59" s="15" t="s">
        <v>112</v>
      </c>
      <c r="BC59" s="15" t="s">
        <v>112</v>
      </c>
      <c r="BD59" s="15" t="s">
        <v>112</v>
      </c>
      <c r="BE59" s="15" t="s">
        <v>112</v>
      </c>
    </row>
    <row r="60" ht="11.25" customHeight="1">
      <c r="A60" s="17"/>
      <c r="B60" s="17"/>
      <c r="C60" s="17"/>
      <c r="D60" s="17"/>
      <c r="E60" s="17"/>
      <c r="F60" s="17"/>
      <c r="G60" s="17"/>
      <c r="H60" s="17"/>
      <c r="I60" s="16" t="s">
        <v>112</v>
      </c>
      <c r="J60" s="15" t="s">
        <v>112</v>
      </c>
      <c r="K60" s="15" t="s">
        <v>112</v>
      </c>
      <c r="L60" s="15" t="s">
        <v>112</v>
      </c>
      <c r="M60" s="15" t="s">
        <v>112</v>
      </c>
      <c r="N60" s="15" t="s">
        <v>112</v>
      </c>
      <c r="O60" s="15" t="s">
        <v>112</v>
      </c>
      <c r="P60" s="15" t="s">
        <v>112</v>
      </c>
      <c r="Q60" s="15" t="s">
        <v>112</v>
      </c>
      <c r="R60" s="15" t="s">
        <v>112</v>
      </c>
      <c r="S60" s="15" t="s">
        <v>112</v>
      </c>
      <c r="T60" s="15" t="s">
        <v>112</v>
      </c>
      <c r="U60" s="15" t="s">
        <v>112</v>
      </c>
      <c r="V60" s="15" t="s">
        <v>112</v>
      </c>
      <c r="W60" s="15" t="s">
        <v>112</v>
      </c>
      <c r="X60" s="15" t="s">
        <v>112</v>
      </c>
      <c r="Y60" s="15" t="s">
        <v>112</v>
      </c>
      <c r="Z60" s="15" t="s">
        <v>112</v>
      </c>
      <c r="AA60" s="15" t="s">
        <v>112</v>
      </c>
      <c r="AB60" s="15" t="s">
        <v>112</v>
      </c>
      <c r="AC60" s="15" t="s">
        <v>112</v>
      </c>
      <c r="AD60" s="15" t="s">
        <v>112</v>
      </c>
      <c r="AE60" s="15" t="s">
        <v>112</v>
      </c>
      <c r="AF60" s="15" t="s">
        <v>112</v>
      </c>
      <c r="AG60" s="15" t="s">
        <v>112</v>
      </c>
      <c r="AH60" s="15" t="s">
        <v>112</v>
      </c>
      <c r="AI60" s="15" t="s">
        <v>112</v>
      </c>
      <c r="AJ60" s="15" t="s">
        <v>112</v>
      </c>
      <c r="AK60" s="15" t="s">
        <v>112</v>
      </c>
      <c r="AL60" s="15" t="s">
        <v>112</v>
      </c>
      <c r="AM60" s="15" t="s">
        <v>112</v>
      </c>
      <c r="AN60" s="15" t="s">
        <v>112</v>
      </c>
      <c r="AO60" s="15" t="s">
        <v>112</v>
      </c>
      <c r="AP60" s="15" t="s">
        <v>112</v>
      </c>
      <c r="AQ60" s="15" t="s">
        <v>112</v>
      </c>
      <c r="AR60" s="15" t="s">
        <v>112</v>
      </c>
      <c r="AS60" s="15" t="s">
        <v>112</v>
      </c>
      <c r="AT60" s="15" t="s">
        <v>112</v>
      </c>
      <c r="AU60" s="15" t="s">
        <v>112</v>
      </c>
      <c r="AV60" s="15" t="s">
        <v>112</v>
      </c>
      <c r="AW60" s="15" t="s">
        <v>112</v>
      </c>
      <c r="AX60" s="15" t="s">
        <v>112</v>
      </c>
      <c r="AY60" s="15" t="s">
        <v>112</v>
      </c>
      <c r="AZ60" s="15" t="s">
        <v>112</v>
      </c>
      <c r="BA60" s="15" t="s">
        <v>112</v>
      </c>
      <c r="BB60" s="15" t="s">
        <v>112</v>
      </c>
      <c r="BC60" s="15" t="s">
        <v>112</v>
      </c>
      <c r="BD60" s="15" t="s">
        <v>112</v>
      </c>
      <c r="BE60" s="15" t="s">
        <v>112</v>
      </c>
    </row>
    <row r="61" ht="11.25" customHeight="1">
      <c r="A61" s="17"/>
      <c r="B61" s="17"/>
      <c r="C61" s="17"/>
      <c r="D61" s="13"/>
      <c r="E61" s="17"/>
      <c r="F61" s="17"/>
      <c r="G61" s="17"/>
      <c r="H61" s="13"/>
      <c r="I61" s="16" t="s">
        <v>112</v>
      </c>
      <c r="J61" s="15" t="s">
        <v>112</v>
      </c>
      <c r="K61" s="15" t="s">
        <v>112</v>
      </c>
      <c r="L61" s="15" t="s">
        <v>112</v>
      </c>
      <c r="M61" s="15" t="s">
        <v>112</v>
      </c>
      <c r="N61" s="15" t="s">
        <v>112</v>
      </c>
      <c r="O61" s="15" t="s">
        <v>112</v>
      </c>
      <c r="P61" s="15" t="s">
        <v>112</v>
      </c>
      <c r="Q61" s="15" t="s">
        <v>112</v>
      </c>
      <c r="R61" s="15" t="s">
        <v>112</v>
      </c>
      <c r="S61" s="15" t="s">
        <v>112</v>
      </c>
      <c r="T61" s="15" t="s">
        <v>112</v>
      </c>
      <c r="U61" s="15" t="s">
        <v>112</v>
      </c>
      <c r="V61" s="15" t="s">
        <v>112</v>
      </c>
      <c r="W61" s="15" t="s">
        <v>112</v>
      </c>
      <c r="X61" s="15" t="s">
        <v>112</v>
      </c>
      <c r="Y61" s="15" t="s">
        <v>112</v>
      </c>
      <c r="Z61" s="15" t="s">
        <v>112</v>
      </c>
      <c r="AA61" s="15" t="s">
        <v>112</v>
      </c>
      <c r="AB61" s="15" t="s">
        <v>112</v>
      </c>
      <c r="AC61" s="15" t="s">
        <v>112</v>
      </c>
      <c r="AD61" s="15" t="s">
        <v>112</v>
      </c>
      <c r="AE61" s="15" t="s">
        <v>112</v>
      </c>
      <c r="AF61" s="15" t="s">
        <v>112</v>
      </c>
      <c r="AG61" s="15" t="s">
        <v>112</v>
      </c>
      <c r="AH61" s="15" t="s">
        <v>112</v>
      </c>
      <c r="AI61" s="15" t="s">
        <v>112</v>
      </c>
      <c r="AJ61" s="15" t="s">
        <v>112</v>
      </c>
      <c r="AK61" s="15" t="s">
        <v>112</v>
      </c>
      <c r="AL61" s="15" t="s">
        <v>112</v>
      </c>
      <c r="AM61" s="15" t="s">
        <v>112</v>
      </c>
      <c r="AN61" s="15" t="s">
        <v>112</v>
      </c>
      <c r="AO61" s="15" t="s">
        <v>112</v>
      </c>
      <c r="AP61" s="15" t="s">
        <v>112</v>
      </c>
      <c r="AQ61" s="15" t="s">
        <v>112</v>
      </c>
      <c r="AR61" s="15" t="s">
        <v>112</v>
      </c>
      <c r="AS61" s="15" t="s">
        <v>112</v>
      </c>
      <c r="AT61" s="15" t="s">
        <v>112</v>
      </c>
      <c r="AU61" s="15" t="s">
        <v>112</v>
      </c>
      <c r="AV61" s="15" t="s">
        <v>112</v>
      </c>
      <c r="AW61" s="15" t="s">
        <v>112</v>
      </c>
      <c r="AX61" s="15" t="s">
        <v>112</v>
      </c>
      <c r="AY61" s="15" t="s">
        <v>112</v>
      </c>
      <c r="AZ61" s="15" t="s">
        <v>112</v>
      </c>
      <c r="BA61" s="15" t="s">
        <v>112</v>
      </c>
      <c r="BB61" s="15" t="s">
        <v>112</v>
      </c>
      <c r="BC61" s="15" t="s">
        <v>112</v>
      </c>
      <c r="BD61" s="15" t="s">
        <v>112</v>
      </c>
      <c r="BE61" s="15" t="s">
        <v>112</v>
      </c>
    </row>
    <row r="62" ht="11.25" customHeight="1">
      <c r="A62" s="17"/>
      <c r="B62" s="17"/>
      <c r="C62" s="17"/>
      <c r="D62" s="17"/>
      <c r="E62" s="17"/>
      <c r="F62" s="17"/>
      <c r="G62" s="17"/>
      <c r="H62" s="17"/>
      <c r="I62" s="15" t="s">
        <v>112</v>
      </c>
      <c r="J62" s="15" t="s">
        <v>112</v>
      </c>
      <c r="K62" s="15" t="s">
        <v>112</v>
      </c>
      <c r="L62" s="15" t="s">
        <v>112</v>
      </c>
      <c r="M62" s="15" t="s">
        <v>112</v>
      </c>
      <c r="N62" s="15" t="s">
        <v>112</v>
      </c>
      <c r="O62" s="15" t="s">
        <v>112</v>
      </c>
      <c r="P62" s="15" t="s">
        <v>112</v>
      </c>
      <c r="Q62" s="15" t="s">
        <v>112</v>
      </c>
      <c r="R62" s="15" t="s">
        <v>112</v>
      </c>
      <c r="S62" s="15" t="s">
        <v>112</v>
      </c>
      <c r="T62" s="15" t="s">
        <v>112</v>
      </c>
      <c r="U62" s="15" t="s">
        <v>112</v>
      </c>
      <c r="V62" s="15" t="s">
        <v>112</v>
      </c>
      <c r="W62" s="15" t="s">
        <v>112</v>
      </c>
      <c r="X62" s="15" t="s">
        <v>112</v>
      </c>
      <c r="Y62" s="15" t="s">
        <v>112</v>
      </c>
      <c r="Z62" s="15" t="s">
        <v>112</v>
      </c>
      <c r="AA62" s="15" t="s">
        <v>112</v>
      </c>
      <c r="AB62" s="15" t="s">
        <v>112</v>
      </c>
      <c r="AC62" s="15" t="s">
        <v>112</v>
      </c>
      <c r="AD62" s="15" t="s">
        <v>112</v>
      </c>
      <c r="AE62" s="15" t="s">
        <v>112</v>
      </c>
      <c r="AF62" s="15" t="s">
        <v>112</v>
      </c>
      <c r="AG62" s="15" t="s">
        <v>112</v>
      </c>
      <c r="AH62" s="15" t="s">
        <v>112</v>
      </c>
      <c r="AI62" s="15" t="s">
        <v>112</v>
      </c>
      <c r="AJ62" s="15" t="s">
        <v>112</v>
      </c>
      <c r="AK62" s="15" t="s">
        <v>112</v>
      </c>
      <c r="AL62" s="15" t="s">
        <v>112</v>
      </c>
      <c r="AM62" s="15" t="s">
        <v>112</v>
      </c>
      <c r="AN62" s="15" t="s">
        <v>112</v>
      </c>
      <c r="AO62" s="15" t="s">
        <v>112</v>
      </c>
      <c r="AP62" s="15" t="s">
        <v>112</v>
      </c>
      <c r="AQ62" s="15" t="s">
        <v>112</v>
      </c>
      <c r="AR62" s="15" t="s">
        <v>112</v>
      </c>
      <c r="AS62" s="15" t="s">
        <v>112</v>
      </c>
      <c r="AT62" s="15" t="s">
        <v>112</v>
      </c>
      <c r="AU62" s="15" t="s">
        <v>112</v>
      </c>
      <c r="AV62" s="15" t="s">
        <v>112</v>
      </c>
      <c r="AW62" s="15" t="s">
        <v>112</v>
      </c>
      <c r="AX62" s="15" t="s">
        <v>112</v>
      </c>
      <c r="AY62" s="15" t="s">
        <v>112</v>
      </c>
      <c r="AZ62" s="15" t="s">
        <v>112</v>
      </c>
      <c r="BA62" s="15" t="s">
        <v>112</v>
      </c>
      <c r="BB62" s="15" t="s">
        <v>112</v>
      </c>
      <c r="BC62" s="15" t="s">
        <v>112</v>
      </c>
      <c r="BD62" s="15" t="s">
        <v>112</v>
      </c>
      <c r="BE62" s="15" t="s">
        <v>112</v>
      </c>
    </row>
    <row r="63" ht="11.25" customHeight="1">
      <c r="A63" s="13"/>
      <c r="B63" s="13"/>
      <c r="C63" s="13"/>
      <c r="D63" s="17"/>
      <c r="E63" s="13"/>
      <c r="F63" s="17"/>
      <c r="G63" s="17"/>
      <c r="H63" s="13"/>
      <c r="I63" s="15" t="s">
        <v>112</v>
      </c>
      <c r="J63" s="15" t="s">
        <v>112</v>
      </c>
      <c r="K63" s="15" t="s">
        <v>112</v>
      </c>
      <c r="L63" s="15" t="s">
        <v>112</v>
      </c>
      <c r="M63" s="15" t="s">
        <v>112</v>
      </c>
      <c r="N63" s="15" t="s">
        <v>112</v>
      </c>
      <c r="O63" s="15" t="s">
        <v>112</v>
      </c>
      <c r="P63" s="15" t="s">
        <v>112</v>
      </c>
      <c r="Q63" s="15" t="s">
        <v>112</v>
      </c>
      <c r="R63" s="15" t="s">
        <v>112</v>
      </c>
      <c r="S63" s="15" t="s">
        <v>112</v>
      </c>
      <c r="T63" s="15" t="s">
        <v>112</v>
      </c>
      <c r="U63" s="15" t="s">
        <v>112</v>
      </c>
      <c r="V63" s="15" t="s">
        <v>112</v>
      </c>
      <c r="W63" s="15" t="s">
        <v>112</v>
      </c>
      <c r="X63" s="15" t="s">
        <v>112</v>
      </c>
      <c r="Y63" s="15" t="s">
        <v>112</v>
      </c>
      <c r="Z63" s="15" t="s">
        <v>112</v>
      </c>
      <c r="AA63" s="15" t="s">
        <v>112</v>
      </c>
      <c r="AB63" s="15" t="s">
        <v>112</v>
      </c>
      <c r="AC63" s="15" t="s">
        <v>112</v>
      </c>
      <c r="AD63" s="15" t="s">
        <v>112</v>
      </c>
      <c r="AE63" s="15" t="s">
        <v>112</v>
      </c>
      <c r="AF63" s="15" t="s">
        <v>112</v>
      </c>
      <c r="AG63" s="15" t="s">
        <v>112</v>
      </c>
      <c r="AH63" s="15" t="s">
        <v>112</v>
      </c>
      <c r="AI63" s="15" t="s">
        <v>112</v>
      </c>
      <c r="AJ63" s="15" t="s">
        <v>112</v>
      </c>
      <c r="AK63" s="15" t="s">
        <v>112</v>
      </c>
      <c r="AL63" s="15" t="s">
        <v>112</v>
      </c>
      <c r="AM63" s="15" t="s">
        <v>112</v>
      </c>
      <c r="AN63" s="15" t="s">
        <v>112</v>
      </c>
      <c r="AO63" s="15" t="s">
        <v>112</v>
      </c>
      <c r="AP63" s="15" t="s">
        <v>112</v>
      </c>
      <c r="AQ63" s="15" t="s">
        <v>112</v>
      </c>
      <c r="AR63" s="15" t="s">
        <v>112</v>
      </c>
      <c r="AS63" s="15" t="s">
        <v>112</v>
      </c>
      <c r="AT63" s="15" t="s">
        <v>112</v>
      </c>
      <c r="AU63" s="15" t="s">
        <v>112</v>
      </c>
      <c r="AV63" s="15" t="s">
        <v>112</v>
      </c>
      <c r="AW63" s="15" t="s">
        <v>112</v>
      </c>
      <c r="AX63" s="15" t="s">
        <v>112</v>
      </c>
      <c r="AY63" s="15" t="s">
        <v>112</v>
      </c>
      <c r="AZ63" s="15" t="s">
        <v>112</v>
      </c>
      <c r="BA63" s="15" t="s">
        <v>112</v>
      </c>
      <c r="BB63" s="15" t="s">
        <v>112</v>
      </c>
      <c r="BC63" s="15" t="s">
        <v>112</v>
      </c>
      <c r="BD63" s="15" t="s">
        <v>112</v>
      </c>
      <c r="BE63" s="15" t="s">
        <v>112</v>
      </c>
    </row>
  </sheetData>
  <conditionalFormatting sqref="I1:BE63">
    <cfRule type="notContainsBlanks" dxfId="6" priority="1">
      <formula>LEN(TRIM(I1))&gt;0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4" width="18.88"/>
    <col customWidth="1" min="5" max="5" width="23.13"/>
    <col customWidth="1" min="6" max="6" width="22.5"/>
    <col customWidth="1" min="7" max="7" width="22.25"/>
    <col customWidth="1" min="8" max="12" width="18.88"/>
  </cols>
  <sheetData>
    <row r="1">
      <c r="A1" s="18" t="s">
        <v>165</v>
      </c>
    </row>
    <row r="2">
      <c r="A2" s="18" t="s">
        <v>166</v>
      </c>
    </row>
    <row r="3">
      <c r="A3" s="18" t="s">
        <v>167</v>
      </c>
    </row>
    <row r="5">
      <c r="A5" s="19" t="s">
        <v>168</v>
      </c>
      <c r="B5" s="19" t="s">
        <v>113</v>
      </c>
      <c r="C5" s="19" t="s">
        <v>169</v>
      </c>
      <c r="D5" s="19" t="s">
        <v>170</v>
      </c>
      <c r="E5" s="19" t="s">
        <v>171</v>
      </c>
      <c r="F5" s="19" t="s">
        <v>172</v>
      </c>
      <c r="G5" s="19" t="s">
        <v>173</v>
      </c>
      <c r="H5" s="19" t="s">
        <v>174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A6" s="18" t="s">
        <v>175</v>
      </c>
      <c r="B6" s="18" t="s">
        <v>176</v>
      </c>
      <c r="C6" s="18" t="s">
        <v>177</v>
      </c>
      <c r="D6" s="18" t="s">
        <v>178</v>
      </c>
      <c r="E6" s="18" t="s">
        <v>179</v>
      </c>
      <c r="F6" s="18" t="s">
        <v>180</v>
      </c>
      <c r="G6" s="18" t="s">
        <v>181</v>
      </c>
      <c r="H6" s="18" t="s">
        <v>182</v>
      </c>
    </row>
    <row r="7">
      <c r="A7" s="18" t="s">
        <v>183</v>
      </c>
      <c r="B7" s="18" t="s">
        <v>184</v>
      </c>
      <c r="C7" s="18" t="s">
        <v>185</v>
      </c>
      <c r="D7" s="18" t="s">
        <v>186</v>
      </c>
      <c r="E7" s="18" t="s">
        <v>187</v>
      </c>
      <c r="F7" s="18" t="s">
        <v>188</v>
      </c>
      <c r="G7" s="18" t="s">
        <v>189</v>
      </c>
      <c r="H7" s="18" t="s">
        <v>190</v>
      </c>
    </row>
    <row r="8">
      <c r="B8" s="18" t="s">
        <v>191</v>
      </c>
      <c r="C8" s="18" t="s">
        <v>192</v>
      </c>
      <c r="D8" s="18" t="s">
        <v>193</v>
      </c>
      <c r="E8" s="18" t="s">
        <v>194</v>
      </c>
      <c r="F8" s="18" t="s">
        <v>195</v>
      </c>
      <c r="G8" s="18" t="s">
        <v>196</v>
      </c>
      <c r="H8" s="18" t="s">
        <v>197</v>
      </c>
    </row>
    <row r="9">
      <c r="C9" s="18" t="s">
        <v>198</v>
      </c>
      <c r="D9" s="18" t="s">
        <v>199</v>
      </c>
      <c r="E9" s="18" t="s">
        <v>200</v>
      </c>
      <c r="F9" s="18"/>
      <c r="G9" s="18" t="s">
        <v>178</v>
      </c>
      <c r="H9" s="18" t="s">
        <v>201</v>
      </c>
    </row>
    <row r="14">
      <c r="A14" s="19" t="s">
        <v>202</v>
      </c>
      <c r="B14" s="19" t="s">
        <v>203</v>
      </c>
      <c r="C14" s="19" t="s">
        <v>204</v>
      </c>
      <c r="D14" s="19" t="s">
        <v>205</v>
      </c>
      <c r="E14" s="19" t="s">
        <v>206</v>
      </c>
      <c r="F14" s="19"/>
      <c r="G14" s="19" t="s">
        <v>207</v>
      </c>
      <c r="H14" s="19" t="s">
        <v>208</v>
      </c>
    </row>
    <row r="15">
      <c r="A15" s="18" t="s">
        <v>209</v>
      </c>
      <c r="B15" s="18" t="s">
        <v>210</v>
      </c>
      <c r="C15" s="18" t="s">
        <v>211</v>
      </c>
      <c r="D15" s="18" t="s">
        <v>212</v>
      </c>
      <c r="E15" s="18" t="s">
        <v>195</v>
      </c>
      <c r="G15" s="18" t="s">
        <v>213</v>
      </c>
      <c r="H15" s="18" t="s">
        <v>214</v>
      </c>
    </row>
    <row r="16">
      <c r="A16" s="18" t="s">
        <v>215</v>
      </c>
      <c r="B16" s="18" t="s">
        <v>216</v>
      </c>
      <c r="C16" s="18" t="s">
        <v>217</v>
      </c>
      <c r="D16" s="18" t="s">
        <v>218</v>
      </c>
      <c r="E16" s="18" t="s">
        <v>219</v>
      </c>
      <c r="G16" s="18" t="s">
        <v>220</v>
      </c>
      <c r="H16" s="18" t="s">
        <v>221</v>
      </c>
    </row>
    <row r="17">
      <c r="A17" s="18" t="s">
        <v>195</v>
      </c>
      <c r="C17" s="18" t="s">
        <v>222</v>
      </c>
      <c r="D17" s="18" t="s">
        <v>223</v>
      </c>
      <c r="E17" s="18" t="s">
        <v>224</v>
      </c>
      <c r="G17" s="18" t="s">
        <v>225</v>
      </c>
    </row>
    <row r="18">
      <c r="D18" s="18" t="s">
        <v>226</v>
      </c>
      <c r="E18" s="18" t="s">
        <v>227</v>
      </c>
    </row>
    <row r="22">
      <c r="A22" s="19" t="s">
        <v>228</v>
      </c>
      <c r="B22" s="19" t="s">
        <v>229</v>
      </c>
      <c r="C22" s="19" t="s">
        <v>230</v>
      </c>
      <c r="D22" s="19" t="s">
        <v>231</v>
      </c>
      <c r="E22" s="19" t="s">
        <v>232</v>
      </c>
      <c r="F22" s="19" t="s">
        <v>233</v>
      </c>
      <c r="G22" s="19" t="s">
        <v>234</v>
      </c>
      <c r="H22" s="19" t="s">
        <v>235</v>
      </c>
    </row>
    <row r="23">
      <c r="A23" s="18" t="s">
        <v>177</v>
      </c>
      <c r="B23" s="18" t="s">
        <v>236</v>
      </c>
      <c r="C23" s="18" t="s">
        <v>237</v>
      </c>
      <c r="D23" s="18" t="s">
        <v>238</v>
      </c>
      <c r="E23" s="18" t="s">
        <v>239</v>
      </c>
      <c r="F23" s="18" t="s">
        <v>240</v>
      </c>
      <c r="G23" s="18" t="s">
        <v>191</v>
      </c>
      <c r="H23" s="18" t="s">
        <v>241</v>
      </c>
    </row>
    <row r="24">
      <c r="A24" s="18" t="s">
        <v>242</v>
      </c>
      <c r="B24" s="18" t="s">
        <v>243</v>
      </c>
      <c r="C24" s="18" t="s">
        <v>244</v>
      </c>
      <c r="D24" s="18" t="s">
        <v>245</v>
      </c>
      <c r="E24" s="18" t="s">
        <v>246</v>
      </c>
      <c r="F24" s="18" t="s">
        <v>247</v>
      </c>
      <c r="G24" s="18" t="s">
        <v>248</v>
      </c>
      <c r="H24" s="18" t="s">
        <v>249</v>
      </c>
    </row>
    <row r="25">
      <c r="C25" s="18" t="s">
        <v>177</v>
      </c>
      <c r="D25" s="18" t="s">
        <v>250</v>
      </c>
      <c r="E25" s="18" t="s">
        <v>251</v>
      </c>
      <c r="F25" s="18" t="s">
        <v>252</v>
      </c>
      <c r="H25" s="18" t="s">
        <v>177</v>
      </c>
    </row>
    <row r="26">
      <c r="D26" s="18" t="s">
        <v>253</v>
      </c>
      <c r="E26" s="18" t="s">
        <v>254</v>
      </c>
      <c r="F26" s="18" t="s">
        <v>255</v>
      </c>
    </row>
    <row r="27">
      <c r="D27" s="18" t="s">
        <v>177</v>
      </c>
      <c r="F27" s="21" t="s">
        <v>112</v>
      </c>
    </row>
    <row r="31">
      <c r="A31" s="19" t="s">
        <v>256</v>
      </c>
      <c r="B31" s="19" t="s">
        <v>257</v>
      </c>
      <c r="C31" s="19" t="s">
        <v>258</v>
      </c>
      <c r="D31" s="19" t="s">
        <v>259</v>
      </c>
    </row>
    <row r="32">
      <c r="A32" s="18" t="s">
        <v>260</v>
      </c>
      <c r="B32" s="18" t="s">
        <v>261</v>
      </c>
      <c r="C32" s="18" t="s">
        <v>262</v>
      </c>
      <c r="D32" s="18" t="s">
        <v>263</v>
      </c>
    </row>
    <row r="33">
      <c r="A33" s="18" t="s">
        <v>264</v>
      </c>
      <c r="B33" s="18" t="s">
        <v>265</v>
      </c>
      <c r="C33" s="18" t="s">
        <v>266</v>
      </c>
      <c r="D33" s="18" t="s">
        <v>267</v>
      </c>
    </row>
    <row r="34">
      <c r="A34" s="18" t="s">
        <v>268</v>
      </c>
      <c r="B34" s="18" t="s">
        <v>269</v>
      </c>
    </row>
    <row r="35">
      <c r="A35" s="18" t="s">
        <v>270</v>
      </c>
    </row>
    <row r="36">
      <c r="A36" s="18" t="s">
        <v>271</v>
      </c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38"/>
  </cols>
  <sheetData>
    <row r="1">
      <c r="A1" s="19" t="s">
        <v>272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2" t="s">
        <v>273</v>
      </c>
      <c r="B2" s="22" t="s">
        <v>274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8" t="s">
        <v>275</v>
      </c>
      <c r="B3" s="18" t="s">
        <v>276</v>
      </c>
    </row>
    <row r="4">
      <c r="A4" s="18" t="s">
        <v>277</v>
      </c>
      <c r="B4" s="18" t="s">
        <v>278</v>
      </c>
    </row>
    <row r="5">
      <c r="A5" s="18" t="s">
        <v>279</v>
      </c>
      <c r="B5" s="18" t="s">
        <v>280</v>
      </c>
    </row>
    <row r="6">
      <c r="A6" s="18" t="s">
        <v>281</v>
      </c>
      <c r="B6" s="18" t="s">
        <v>282</v>
      </c>
    </row>
    <row r="7">
      <c r="A7" s="18" t="s">
        <v>283</v>
      </c>
      <c r="B7" s="18" t="s">
        <v>284</v>
      </c>
    </row>
    <row r="8">
      <c r="A8" s="18" t="s">
        <v>285</v>
      </c>
      <c r="B8" s="18" t="s">
        <v>286</v>
      </c>
    </row>
    <row r="9">
      <c r="A9" s="18" t="s">
        <v>287</v>
      </c>
      <c r="B9" s="18" t="s">
        <v>288</v>
      </c>
    </row>
    <row r="10">
      <c r="A10" s="18" t="s">
        <v>289</v>
      </c>
      <c r="B10" s="18" t="s">
        <v>290</v>
      </c>
    </row>
    <row r="11">
      <c r="A11" s="18" t="s">
        <v>291</v>
      </c>
    </row>
    <row r="12">
      <c r="A12" s="18" t="s">
        <v>292</v>
      </c>
    </row>
    <row r="13">
      <c r="A13" s="18" t="s">
        <v>293</v>
      </c>
    </row>
    <row r="15">
      <c r="A15" s="19" t="s">
        <v>294</v>
      </c>
    </row>
    <row r="16">
      <c r="A16" s="22" t="s">
        <v>273</v>
      </c>
      <c r="B16" s="22" t="s">
        <v>274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8" t="s">
        <v>295</v>
      </c>
      <c r="B17" s="18" t="s">
        <v>296</v>
      </c>
    </row>
    <row r="18">
      <c r="A18" s="18" t="s">
        <v>297</v>
      </c>
      <c r="B18" s="18" t="s">
        <v>298</v>
      </c>
    </row>
    <row r="19">
      <c r="A19" s="18" t="s">
        <v>299</v>
      </c>
      <c r="B19" s="18" t="s">
        <v>300</v>
      </c>
    </row>
    <row r="20">
      <c r="A20" s="18" t="s">
        <v>301</v>
      </c>
      <c r="B20" s="18" t="s">
        <v>302</v>
      </c>
    </row>
    <row r="21">
      <c r="A21" s="18" t="s">
        <v>303</v>
      </c>
      <c r="B21" s="18" t="s">
        <v>304</v>
      </c>
    </row>
    <row r="22">
      <c r="A22" s="18" t="s">
        <v>305</v>
      </c>
      <c r="B22" s="18" t="s">
        <v>306</v>
      </c>
    </row>
    <row r="23">
      <c r="A23" s="18" t="s">
        <v>307</v>
      </c>
    </row>
    <row r="26">
      <c r="A26" s="19" t="s">
        <v>308</v>
      </c>
    </row>
    <row r="27">
      <c r="A27" s="22" t="s">
        <v>273</v>
      </c>
      <c r="B27" s="22" t="s">
        <v>274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8" t="s">
        <v>309</v>
      </c>
      <c r="B28" s="18" t="s">
        <v>310</v>
      </c>
    </row>
    <row r="29">
      <c r="A29" s="18" t="s">
        <v>311</v>
      </c>
      <c r="B29" s="18" t="s">
        <v>312</v>
      </c>
    </row>
    <row r="30">
      <c r="A30" s="18" t="s">
        <v>313</v>
      </c>
      <c r="B30" s="18" t="s">
        <v>314</v>
      </c>
    </row>
    <row r="31">
      <c r="A31" s="18" t="s">
        <v>315</v>
      </c>
      <c r="B31" s="18" t="s">
        <v>316</v>
      </c>
    </row>
    <row r="32">
      <c r="A32" s="18" t="s">
        <v>317</v>
      </c>
      <c r="B32" s="18" t="s">
        <v>318</v>
      </c>
    </row>
    <row r="33">
      <c r="A33" s="18" t="s">
        <v>319</v>
      </c>
    </row>
    <row r="34">
      <c r="A34" s="18" t="s">
        <v>320</v>
      </c>
    </row>
    <row r="35">
      <c r="A35" s="18" t="s">
        <v>321</v>
      </c>
    </row>
    <row r="38">
      <c r="A38" s="19" t="s">
        <v>322</v>
      </c>
    </row>
    <row r="39">
      <c r="A39" s="22" t="s">
        <v>273</v>
      </c>
      <c r="B39" s="22" t="s">
        <v>274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8" t="s">
        <v>323</v>
      </c>
      <c r="B40" s="18" t="s">
        <v>324</v>
      </c>
    </row>
    <row r="41">
      <c r="A41" s="18" t="s">
        <v>325</v>
      </c>
      <c r="B41" s="18" t="s">
        <v>326</v>
      </c>
    </row>
    <row r="42">
      <c r="A42" s="18" t="s">
        <v>327</v>
      </c>
      <c r="B42" s="18" t="s">
        <v>328</v>
      </c>
    </row>
    <row r="43">
      <c r="A43" s="18" t="s">
        <v>329</v>
      </c>
      <c r="B43" s="18" t="s">
        <v>330</v>
      </c>
    </row>
    <row r="44">
      <c r="A44" s="18" t="s">
        <v>331</v>
      </c>
      <c r="B44" s="18" t="s">
        <v>306</v>
      </c>
    </row>
    <row r="45">
      <c r="A45" s="18" t="s">
        <v>332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4" width="18.88"/>
    <col customWidth="1" min="5" max="5" width="23.13"/>
    <col customWidth="1" min="6" max="6" width="22.5"/>
    <col customWidth="1" min="7" max="7" width="22.25"/>
    <col customWidth="1" min="8" max="12" width="18.88"/>
  </cols>
  <sheetData>
    <row r="1">
      <c r="A1" s="24" t="s">
        <v>168</v>
      </c>
      <c r="B1" s="24" t="s">
        <v>113</v>
      </c>
      <c r="C1" s="24" t="s">
        <v>169</v>
      </c>
      <c r="D1" s="19" t="s">
        <v>170</v>
      </c>
      <c r="E1" s="19" t="s">
        <v>171</v>
      </c>
      <c r="F1" s="19" t="s">
        <v>172</v>
      </c>
      <c r="G1" s="19" t="s">
        <v>173</v>
      </c>
      <c r="H1" s="19" t="s">
        <v>174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H2" s="18" t="s">
        <v>333</v>
      </c>
    </row>
    <row r="3">
      <c r="A3" s="18" t="s">
        <v>334</v>
      </c>
      <c r="B3" s="18" t="s">
        <v>335</v>
      </c>
      <c r="C3" s="18" t="s">
        <v>336</v>
      </c>
    </row>
    <row r="4">
      <c r="F4" s="18"/>
      <c r="G4" s="18" t="s">
        <v>337</v>
      </c>
    </row>
    <row r="5">
      <c r="D5" s="18" t="s">
        <v>177</v>
      </c>
      <c r="E5" s="18" t="s">
        <v>181</v>
      </c>
      <c r="F5" s="18"/>
    </row>
    <row r="10">
      <c r="A10" s="19" t="s">
        <v>202</v>
      </c>
      <c r="B10" s="24" t="s">
        <v>203</v>
      </c>
      <c r="C10" s="24" t="s">
        <v>204</v>
      </c>
      <c r="D10" s="24" t="s">
        <v>205</v>
      </c>
      <c r="E10" s="19" t="s">
        <v>206</v>
      </c>
      <c r="F10" s="19" t="s">
        <v>338</v>
      </c>
      <c r="G10" s="24" t="s">
        <v>207</v>
      </c>
      <c r="H10" s="19" t="s">
        <v>208</v>
      </c>
    </row>
    <row r="11">
      <c r="B11" s="18" t="s">
        <v>339</v>
      </c>
      <c r="D11" s="18" t="s">
        <v>212</v>
      </c>
      <c r="E11" s="18" t="s">
        <v>177</v>
      </c>
      <c r="F11" s="18" t="s">
        <v>340</v>
      </c>
      <c r="H11" s="18" t="s">
        <v>341</v>
      </c>
    </row>
    <row r="12">
      <c r="C12" s="18" t="s">
        <v>342</v>
      </c>
      <c r="F12" s="18" t="s">
        <v>343</v>
      </c>
      <c r="H12" s="18" t="s">
        <v>221</v>
      </c>
    </row>
    <row r="13">
      <c r="A13" s="18" t="s">
        <v>177</v>
      </c>
      <c r="G13" s="18" t="s">
        <v>344</v>
      </c>
    </row>
    <row r="14">
      <c r="D14" s="18" t="s">
        <v>345</v>
      </c>
      <c r="E14" s="18" t="s">
        <v>340</v>
      </c>
    </row>
    <row r="18">
      <c r="A18" s="19" t="s">
        <v>228</v>
      </c>
      <c r="B18" s="19" t="s">
        <v>229</v>
      </c>
      <c r="C18" s="19" t="s">
        <v>230</v>
      </c>
      <c r="D18" s="19" t="s">
        <v>231</v>
      </c>
      <c r="E18" s="19" t="s">
        <v>232</v>
      </c>
      <c r="F18" s="19" t="s">
        <v>233</v>
      </c>
      <c r="G18" s="19" t="s">
        <v>234</v>
      </c>
      <c r="H18" s="19" t="s">
        <v>235</v>
      </c>
    </row>
    <row r="19">
      <c r="A19" s="18" t="s">
        <v>177</v>
      </c>
      <c r="B19" s="18" t="s">
        <v>346</v>
      </c>
      <c r="C19" s="18" t="s">
        <v>347</v>
      </c>
      <c r="D19" s="18" t="s">
        <v>348</v>
      </c>
      <c r="E19" s="18" t="s">
        <v>349</v>
      </c>
      <c r="F19" s="18" t="s">
        <v>234</v>
      </c>
      <c r="H19" s="18" t="s">
        <v>241</v>
      </c>
    </row>
    <row r="20">
      <c r="D20" s="18" t="s">
        <v>350</v>
      </c>
      <c r="E20" s="18" t="s">
        <v>246</v>
      </c>
      <c r="F20" s="18" t="s">
        <v>351</v>
      </c>
      <c r="G20" s="18" t="s">
        <v>352</v>
      </c>
      <c r="H20" s="18" t="s">
        <v>353</v>
      </c>
    </row>
    <row r="21">
      <c r="D21" s="18" t="s">
        <v>253</v>
      </c>
      <c r="E21" s="18" t="s">
        <v>251</v>
      </c>
      <c r="F21" s="18" t="s">
        <v>354</v>
      </c>
      <c r="H21" s="18" t="s">
        <v>177</v>
      </c>
    </row>
    <row r="22">
      <c r="D22" s="18" t="s">
        <v>177</v>
      </c>
      <c r="E22" s="18" t="s">
        <v>355</v>
      </c>
      <c r="F22" s="18" t="s">
        <v>356</v>
      </c>
    </row>
    <row r="27">
      <c r="A27" s="19" t="s">
        <v>256</v>
      </c>
      <c r="B27" s="19" t="s">
        <v>257</v>
      </c>
      <c r="C27" s="19" t="s">
        <v>258</v>
      </c>
    </row>
    <row r="28">
      <c r="C28" s="18" t="s">
        <v>262</v>
      </c>
    </row>
    <row r="29">
      <c r="B29" s="18" t="s">
        <v>357</v>
      </c>
      <c r="C29" s="18" t="s">
        <v>358</v>
      </c>
    </row>
    <row r="30">
      <c r="A30" s="18" t="s">
        <v>359</v>
      </c>
      <c r="B30" s="18" t="s">
        <v>360</v>
      </c>
    </row>
    <row r="32">
      <c r="A32" s="18" t="s">
        <v>271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3" width="18.88"/>
    <col customWidth="1" min="4" max="4" width="25.0"/>
    <col customWidth="1" min="5" max="5" width="23.13"/>
    <col customWidth="1" min="6" max="6" width="22.5"/>
    <col customWidth="1" min="7" max="7" width="22.25"/>
    <col customWidth="1" min="8" max="12" width="18.88"/>
  </cols>
  <sheetData>
    <row r="2">
      <c r="D2" s="18" t="s">
        <v>361</v>
      </c>
    </row>
    <row r="5">
      <c r="A5" s="19" t="s">
        <v>168</v>
      </c>
      <c r="B5" s="19" t="s">
        <v>113</v>
      </c>
      <c r="C5" s="19" t="s">
        <v>169</v>
      </c>
      <c r="D5" s="19" t="s">
        <v>170</v>
      </c>
      <c r="E5" s="19" t="s">
        <v>171</v>
      </c>
      <c r="F5" s="19" t="s">
        <v>172</v>
      </c>
      <c r="G5" s="19" t="s">
        <v>173</v>
      </c>
      <c r="H5" s="19" t="s">
        <v>174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D6" s="18" t="s">
        <v>178</v>
      </c>
      <c r="E6" s="18" t="s">
        <v>362</v>
      </c>
      <c r="H6" s="18" t="s">
        <v>333</v>
      </c>
    </row>
    <row r="7">
      <c r="A7" s="18" t="s">
        <v>334</v>
      </c>
      <c r="B7" s="18" t="s">
        <v>335</v>
      </c>
      <c r="C7" s="18" t="s">
        <v>336</v>
      </c>
      <c r="D7" s="18" t="s">
        <v>186</v>
      </c>
      <c r="F7" s="18" t="s">
        <v>363</v>
      </c>
    </row>
    <row r="8">
      <c r="B8" s="18" t="s">
        <v>191</v>
      </c>
      <c r="D8" s="18" t="s">
        <v>193</v>
      </c>
      <c r="F8" s="18"/>
      <c r="G8" s="18" t="s">
        <v>337</v>
      </c>
    </row>
    <row r="9">
      <c r="F9" s="18"/>
    </row>
    <row r="14">
      <c r="A14" s="19" t="s">
        <v>202</v>
      </c>
      <c r="B14" s="19" t="s">
        <v>203</v>
      </c>
      <c r="C14" s="19" t="s">
        <v>204</v>
      </c>
      <c r="D14" s="19" t="s">
        <v>205</v>
      </c>
      <c r="E14" s="19" t="s">
        <v>206</v>
      </c>
      <c r="F14" s="19"/>
      <c r="G14" s="19" t="s">
        <v>207</v>
      </c>
      <c r="H14" s="19" t="s">
        <v>208</v>
      </c>
    </row>
    <row r="15">
      <c r="B15" s="18" t="s">
        <v>339</v>
      </c>
      <c r="E15" s="18" t="s">
        <v>177</v>
      </c>
      <c r="H15" s="18" t="s">
        <v>341</v>
      </c>
    </row>
    <row r="17">
      <c r="A17" s="18" t="s">
        <v>177</v>
      </c>
      <c r="C17" s="18" t="s">
        <v>222</v>
      </c>
      <c r="D17" s="18" t="s">
        <v>364</v>
      </c>
      <c r="G17" s="18" t="s">
        <v>344</v>
      </c>
    </row>
    <row r="22">
      <c r="A22" s="19" t="s">
        <v>228</v>
      </c>
      <c r="B22" s="19" t="s">
        <v>229</v>
      </c>
      <c r="C22" s="19" t="s">
        <v>230</v>
      </c>
      <c r="D22" s="19" t="s">
        <v>231</v>
      </c>
      <c r="E22" s="19" t="s">
        <v>232</v>
      </c>
      <c r="F22" s="19" t="s">
        <v>233</v>
      </c>
      <c r="G22" s="19" t="s">
        <v>234</v>
      </c>
      <c r="H22" s="19" t="s">
        <v>235</v>
      </c>
    </row>
    <row r="23">
      <c r="A23" s="18" t="s">
        <v>177</v>
      </c>
      <c r="B23" s="18" t="s">
        <v>346</v>
      </c>
      <c r="C23" s="18" t="s">
        <v>347</v>
      </c>
      <c r="E23" s="18" t="s">
        <v>349</v>
      </c>
      <c r="F23" s="18" t="s">
        <v>234</v>
      </c>
    </row>
    <row r="24">
      <c r="D24" s="18" t="s">
        <v>350</v>
      </c>
      <c r="G24" s="18" t="s">
        <v>352</v>
      </c>
      <c r="H24" s="18" t="s">
        <v>353</v>
      </c>
    </row>
    <row r="26">
      <c r="E26" s="18" t="s">
        <v>355</v>
      </c>
    </row>
    <row r="31">
      <c r="A31" s="19" t="s">
        <v>256</v>
      </c>
      <c r="B31" s="19" t="s">
        <v>257</v>
      </c>
      <c r="C31" s="19" t="s">
        <v>258</v>
      </c>
    </row>
    <row r="33">
      <c r="B33" s="18" t="s">
        <v>357</v>
      </c>
      <c r="C33" s="18" t="s">
        <v>358</v>
      </c>
    </row>
    <row r="34">
      <c r="A34" s="18" t="s">
        <v>359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6.38"/>
    <col customWidth="1" min="3" max="3" width="17.63"/>
    <col customWidth="1" min="4" max="4" width="24.13"/>
    <col customWidth="1" min="5" max="5" width="23.13"/>
    <col customWidth="1" min="6" max="6" width="20.88"/>
    <col customWidth="1" min="7" max="7" width="28.75"/>
  </cols>
  <sheetData>
    <row r="1">
      <c r="A1" s="19" t="s">
        <v>168</v>
      </c>
      <c r="B1" s="19" t="s">
        <v>113</v>
      </c>
      <c r="C1" s="19" t="s">
        <v>169</v>
      </c>
      <c r="D1" s="19" t="s">
        <v>170</v>
      </c>
      <c r="E1" s="19" t="s">
        <v>171</v>
      </c>
      <c r="F1" s="19" t="s">
        <v>172</v>
      </c>
      <c r="G1" s="19" t="s">
        <v>173</v>
      </c>
      <c r="H1" s="19" t="s">
        <v>174</v>
      </c>
    </row>
    <row r="2">
      <c r="A2" s="18" t="s">
        <v>365</v>
      </c>
      <c r="B2" s="18" t="s">
        <v>366</v>
      </c>
      <c r="G2" s="18" t="s">
        <v>181</v>
      </c>
      <c r="H2" s="18" t="s">
        <v>333</v>
      </c>
    </row>
    <row r="4">
      <c r="E4" s="18" t="s">
        <v>337</v>
      </c>
      <c r="F4" s="18" t="s">
        <v>177</v>
      </c>
    </row>
    <row r="5">
      <c r="C5" s="18" t="s">
        <v>367</v>
      </c>
      <c r="D5" s="18" t="s">
        <v>177</v>
      </c>
      <c r="F5" s="18"/>
    </row>
    <row r="10">
      <c r="A10" s="19" t="s">
        <v>202</v>
      </c>
      <c r="B10" s="19" t="s">
        <v>203</v>
      </c>
      <c r="C10" s="19" t="s">
        <v>204</v>
      </c>
      <c r="D10" s="19" t="s">
        <v>205</v>
      </c>
      <c r="E10" s="19" t="s">
        <v>206</v>
      </c>
      <c r="F10" s="19" t="s">
        <v>338</v>
      </c>
      <c r="G10" s="19" t="s">
        <v>207</v>
      </c>
      <c r="H10" s="19" t="s">
        <v>208</v>
      </c>
    </row>
    <row r="11">
      <c r="A11" s="18" t="s">
        <v>178</v>
      </c>
      <c r="B11" s="18" t="s">
        <v>339</v>
      </c>
      <c r="C11" s="18" t="s">
        <v>368</v>
      </c>
      <c r="F11" s="18" t="s">
        <v>340</v>
      </c>
      <c r="G11" s="18" t="s">
        <v>369</v>
      </c>
      <c r="H11" s="18" t="s">
        <v>341</v>
      </c>
    </row>
    <row r="12">
      <c r="D12" s="18" t="s">
        <v>370</v>
      </c>
      <c r="E12" s="18" t="s">
        <v>371</v>
      </c>
    </row>
    <row r="14">
      <c r="E14" s="18" t="s">
        <v>340</v>
      </c>
    </row>
    <row r="18">
      <c r="A18" s="19" t="s">
        <v>228</v>
      </c>
      <c r="B18" s="19" t="s">
        <v>229</v>
      </c>
      <c r="C18" s="19" t="s">
        <v>230</v>
      </c>
      <c r="D18" s="19" t="s">
        <v>231</v>
      </c>
      <c r="E18" s="19" t="s">
        <v>232</v>
      </c>
      <c r="F18" s="19" t="s">
        <v>233</v>
      </c>
      <c r="G18" s="19" t="s">
        <v>234</v>
      </c>
      <c r="H18" s="19" t="s">
        <v>235</v>
      </c>
    </row>
    <row r="19">
      <c r="B19" s="18" t="s">
        <v>346</v>
      </c>
      <c r="C19" s="18" t="s">
        <v>347</v>
      </c>
      <c r="E19" s="18" t="s">
        <v>349</v>
      </c>
    </row>
    <row r="20">
      <c r="A20" s="18" t="s">
        <v>372</v>
      </c>
      <c r="D20" s="18" t="s">
        <v>350</v>
      </c>
      <c r="G20" s="18" t="s">
        <v>352</v>
      </c>
      <c r="H20" s="18" t="s">
        <v>353</v>
      </c>
    </row>
    <row r="21">
      <c r="F21" s="18" t="s">
        <v>354</v>
      </c>
    </row>
    <row r="27">
      <c r="A27" s="19" t="s">
        <v>256</v>
      </c>
      <c r="B27" s="19" t="s">
        <v>257</v>
      </c>
      <c r="C27" s="19" t="s">
        <v>258</v>
      </c>
    </row>
    <row r="29">
      <c r="A29" s="18" t="s">
        <v>373</v>
      </c>
      <c r="B29" s="18" t="s">
        <v>357</v>
      </c>
      <c r="C29" s="18" t="s">
        <v>358</v>
      </c>
    </row>
    <row r="30">
      <c r="B30" s="18" t="s">
        <v>360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374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 t="s">
        <v>375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 t="s">
        <v>376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 t="s">
        <v>377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 t="s">
        <v>378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 t="s">
        <v>379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 t="s">
        <v>380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 t="s">
        <v>381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 t="s">
        <v>382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 t="s">
        <v>383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 t="s">
        <v>384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 t="s">
        <v>385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 t="s">
        <v>386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 t="s">
        <v>387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 t="s">
        <v>388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38.0"/>
    <col customWidth="1" min="3" max="3" width="37.63"/>
  </cols>
  <sheetData>
    <row r="1" ht="36.75" customHeight="1">
      <c r="A1" s="10" t="s">
        <v>103</v>
      </c>
      <c r="B1" s="25" t="s">
        <v>28</v>
      </c>
      <c r="C1" s="10" t="s">
        <v>389</v>
      </c>
    </row>
    <row r="2" ht="36.75" customHeight="1">
      <c r="A2" s="4" t="s">
        <v>33</v>
      </c>
      <c r="B2" s="26" t="s">
        <v>34</v>
      </c>
      <c r="C2" s="4" t="s">
        <v>157</v>
      </c>
    </row>
    <row r="3" ht="36.75" customHeight="1">
      <c r="A3" s="12"/>
      <c r="B3" s="4"/>
      <c r="C3" s="4" t="s">
        <v>158</v>
      </c>
    </row>
    <row r="4" ht="36.75" customHeight="1">
      <c r="A4" s="12"/>
      <c r="B4" s="4"/>
      <c r="C4" s="4" t="s">
        <v>390</v>
      </c>
    </row>
    <row r="5" ht="36.75" customHeight="1">
      <c r="A5" s="12"/>
      <c r="B5" s="4"/>
      <c r="C5" s="4" t="s">
        <v>391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9.13"/>
    <col customWidth="1" min="3" max="3" width="37.63"/>
  </cols>
  <sheetData>
    <row r="1" ht="22.5" customHeight="1">
      <c r="A1" s="10" t="s">
        <v>103</v>
      </c>
      <c r="B1" s="10" t="s">
        <v>28</v>
      </c>
      <c r="C1" s="10" t="s">
        <v>392</v>
      </c>
    </row>
    <row r="2" ht="22.5" customHeight="1">
      <c r="A2" s="4" t="s">
        <v>393</v>
      </c>
      <c r="B2" s="4" t="s">
        <v>39</v>
      </c>
      <c r="C2" s="4" t="s">
        <v>394</v>
      </c>
    </row>
    <row r="3" ht="22.5" customHeight="1">
      <c r="A3" s="12"/>
      <c r="B3" s="12"/>
      <c r="C3" s="4" t="s">
        <v>151</v>
      </c>
    </row>
    <row r="4" ht="22.5" customHeight="1">
      <c r="A4" s="12"/>
      <c r="B4" s="12"/>
      <c r="C4" s="4" t="s">
        <v>395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37.25"/>
    <col customWidth="1" min="3" max="3" width="37.63"/>
    <col customWidth="1" min="4" max="4" width="23.63"/>
  </cols>
  <sheetData>
    <row r="1" ht="22.5" customHeight="1">
      <c r="A1" s="10" t="s">
        <v>103</v>
      </c>
      <c r="B1" s="10" t="s">
        <v>28</v>
      </c>
      <c r="C1" s="10" t="s">
        <v>396</v>
      </c>
    </row>
    <row r="2" ht="22.5" customHeight="1">
      <c r="A2" s="4" t="s">
        <v>44</v>
      </c>
      <c r="B2" s="4" t="s">
        <v>45</v>
      </c>
      <c r="C2" s="4" t="s">
        <v>109</v>
      </c>
    </row>
    <row r="3" ht="22.5" customHeight="1">
      <c r="A3" s="12"/>
      <c r="B3" s="12"/>
      <c r="C3" s="4" t="s">
        <v>113</v>
      </c>
    </row>
    <row r="4" ht="22.5" customHeight="1">
      <c r="A4" s="12"/>
      <c r="B4" s="12"/>
      <c r="C4" s="4" t="s">
        <v>397</v>
      </c>
    </row>
    <row r="5" ht="22.5" customHeight="1">
      <c r="A5" s="12"/>
      <c r="B5" s="12"/>
      <c r="C5" s="4" t="s">
        <v>398</v>
      </c>
    </row>
    <row r="6" ht="22.5" customHeight="1">
      <c r="A6" s="12"/>
      <c r="B6" s="12"/>
      <c r="C6" s="4" t="s">
        <v>399</v>
      </c>
    </row>
    <row r="7" ht="22.5" customHeight="1">
      <c r="A7" s="12"/>
      <c r="B7" s="12"/>
      <c r="C7" s="4" t="s">
        <v>117</v>
      </c>
    </row>
    <row r="8" ht="22.5" customHeight="1">
      <c r="A8" s="12"/>
      <c r="B8" s="12"/>
      <c r="C8" s="4" t="s">
        <v>400</v>
      </c>
    </row>
    <row r="9" ht="22.5" customHeight="1">
      <c r="A9" s="12"/>
      <c r="B9" s="12"/>
      <c r="C9" s="4" t="s">
        <v>401</v>
      </c>
    </row>
    <row r="10" ht="22.5" customHeight="1">
      <c r="A10" s="12"/>
      <c r="B10" s="12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37.63"/>
  </cols>
  <sheetData>
    <row r="1" ht="22.5" customHeight="1">
      <c r="A1" s="10" t="s">
        <v>103</v>
      </c>
      <c r="B1" s="10" t="s">
        <v>28</v>
      </c>
      <c r="C1" s="10" t="s">
        <v>396</v>
      </c>
    </row>
    <row r="2" ht="22.5" customHeight="1">
      <c r="A2" s="4" t="s">
        <v>48</v>
      </c>
      <c r="B2" s="4" t="s">
        <v>49</v>
      </c>
      <c r="C2" s="4" t="s">
        <v>402</v>
      </c>
    </row>
    <row r="3" ht="22.5" customHeight="1">
      <c r="A3" s="12"/>
      <c r="B3" s="12"/>
      <c r="C3" s="4" t="s">
        <v>403</v>
      </c>
    </row>
    <row r="4" ht="22.5" customHeight="1">
      <c r="A4" s="12"/>
      <c r="B4" s="12"/>
      <c r="C4" s="4" t="s">
        <v>142</v>
      </c>
    </row>
    <row r="5" ht="22.5" customHeight="1">
      <c r="A5" s="12"/>
      <c r="B5" s="12"/>
      <c r="C5" s="4" t="s">
        <v>404</v>
      </c>
    </row>
    <row r="6" ht="22.5" customHeight="1">
      <c r="A6" s="12"/>
      <c r="B6" s="12"/>
      <c r="C6" s="4" t="s">
        <v>144</v>
      </c>
    </row>
    <row r="7" ht="22.5" customHeight="1">
      <c r="A7" s="12"/>
      <c r="B7" s="12"/>
      <c r="C7" s="4" t="s">
        <v>405</v>
      </c>
    </row>
    <row r="8" ht="22.5" customHeight="1">
      <c r="A8" s="12"/>
      <c r="B8" s="12"/>
      <c r="C8" s="4" t="s">
        <v>146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7.63"/>
    <col customWidth="1" min="3" max="3" width="22.25"/>
    <col customWidth="1" min="4" max="5" width="19.75"/>
    <col customWidth="1" min="6" max="8" width="31.63"/>
  </cols>
  <sheetData>
    <row r="1" ht="22.5" customHeight="1">
      <c r="A1" s="10" t="s">
        <v>103</v>
      </c>
      <c r="B1" s="10" t="s">
        <v>28</v>
      </c>
      <c r="C1" s="10" t="s">
        <v>392</v>
      </c>
    </row>
    <row r="2" ht="22.5" customHeight="1">
      <c r="A2" s="4" t="s">
        <v>406</v>
      </c>
      <c r="B2" s="4" t="s">
        <v>407</v>
      </c>
      <c r="C2" s="4" t="s">
        <v>121</v>
      </c>
    </row>
    <row r="3" ht="22.5" customHeight="1">
      <c r="A3" s="12"/>
      <c r="B3" s="12"/>
      <c r="C3" s="4" t="s">
        <v>123</v>
      </c>
    </row>
    <row r="4" ht="22.5" customHeight="1">
      <c r="A4" s="12"/>
      <c r="B4" s="12"/>
      <c r="C4" s="4" t="s">
        <v>408</v>
      </c>
    </row>
    <row r="5" ht="22.5" customHeight="1">
      <c r="A5" s="12"/>
      <c r="B5" s="12"/>
      <c r="C5" s="4" t="s">
        <v>409</v>
      </c>
    </row>
    <row r="6" ht="22.5" customHeight="1">
      <c r="A6" s="12"/>
      <c r="B6" s="12"/>
      <c r="C6" s="4" t="s">
        <v>126</v>
      </c>
    </row>
    <row r="7" ht="22.5" customHeight="1">
      <c r="A7" s="12"/>
      <c r="B7" s="12"/>
      <c r="C7" s="4" t="s">
        <v>127</v>
      </c>
    </row>
    <row r="8" ht="22.5" customHeight="1">
      <c r="A8" s="12"/>
      <c r="B8" s="12"/>
      <c r="C8" s="4" t="s">
        <v>410</v>
      </c>
      <c r="D8" s="27" t="s">
        <v>411</v>
      </c>
    </row>
    <row r="9" ht="22.5" customHeight="1">
      <c r="A9" s="12"/>
      <c r="B9" s="12"/>
      <c r="C9" s="4" t="s">
        <v>412</v>
      </c>
    </row>
    <row r="10" ht="22.5" customHeight="1">
      <c r="A10" s="12"/>
      <c r="B10" s="12"/>
      <c r="C10" s="4" t="s">
        <v>413</v>
      </c>
    </row>
    <row r="11" ht="22.5" customHeight="1">
      <c r="A11" s="12"/>
      <c r="B11" s="12"/>
      <c r="C11" s="4" t="s">
        <v>131</v>
      </c>
    </row>
    <row r="12" ht="22.5" customHeight="1">
      <c r="A12" s="12"/>
      <c r="B12" s="12"/>
      <c r="C12" s="4" t="s">
        <v>132</v>
      </c>
    </row>
  </sheetData>
  <mergeCells count="1">
    <mergeCell ref="D8:D10"/>
  </mergeCell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6.38"/>
    <col customWidth="1" min="3" max="3" width="37.63"/>
  </cols>
  <sheetData>
    <row r="1" ht="22.5" customHeight="1">
      <c r="A1" s="10" t="s">
        <v>103</v>
      </c>
      <c r="B1" s="10" t="s">
        <v>28</v>
      </c>
      <c r="C1" s="10" t="s">
        <v>396</v>
      </c>
    </row>
    <row r="2" ht="22.5" customHeight="1">
      <c r="A2" s="4" t="s">
        <v>55</v>
      </c>
      <c r="B2" s="4" t="s">
        <v>57</v>
      </c>
      <c r="C2" s="4" t="s">
        <v>414</v>
      </c>
    </row>
    <row r="3" ht="22.5" customHeight="1">
      <c r="A3" s="12"/>
      <c r="B3" s="12"/>
      <c r="C3" s="4" t="s">
        <v>415</v>
      </c>
    </row>
    <row r="4" ht="22.5" customHeight="1">
      <c r="A4" s="12"/>
      <c r="B4" s="12"/>
      <c r="C4" s="4" t="s">
        <v>163</v>
      </c>
    </row>
    <row r="5" ht="22.5" customHeight="1">
      <c r="A5" s="12"/>
      <c r="B5" s="12"/>
      <c r="C5" s="4" t="s">
        <v>164</v>
      </c>
    </row>
    <row r="6" ht="22.5" customHeight="1">
      <c r="A6" s="12"/>
      <c r="B6" s="12"/>
      <c r="C6" s="4" t="s">
        <v>416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4.38"/>
    <col customWidth="1" min="3" max="3" width="37.63"/>
  </cols>
  <sheetData>
    <row r="1" ht="22.5" customHeight="1">
      <c r="A1" s="10" t="s">
        <v>103</v>
      </c>
      <c r="B1" s="10" t="s">
        <v>28</v>
      </c>
      <c r="C1" s="10" t="s">
        <v>392</v>
      </c>
    </row>
    <row r="2" ht="22.5" customHeight="1">
      <c r="A2" s="4" t="s">
        <v>153</v>
      </c>
      <c r="B2" s="4" t="s">
        <v>417</v>
      </c>
      <c r="C2" s="4" t="s">
        <v>154</v>
      </c>
    </row>
    <row r="3" ht="22.5" customHeight="1">
      <c r="A3" s="12"/>
      <c r="B3" s="12"/>
      <c r="C3" s="4" t="s">
        <v>418</v>
      </c>
    </row>
    <row r="4" ht="22.5" customHeight="1">
      <c r="A4" s="12"/>
      <c r="B4" s="12"/>
      <c r="C4" s="4" t="s">
        <v>156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4.88"/>
    <col customWidth="1" min="3" max="3" width="28.13"/>
  </cols>
  <sheetData>
    <row r="1" ht="22.5" customHeight="1">
      <c r="A1" s="10" t="s">
        <v>103</v>
      </c>
      <c r="B1" s="10" t="s">
        <v>28</v>
      </c>
      <c r="C1" s="10" t="s">
        <v>419</v>
      </c>
    </row>
    <row r="2" ht="22.5" customHeight="1">
      <c r="A2" s="4" t="s">
        <v>420</v>
      </c>
      <c r="B2" s="4" t="s">
        <v>421</v>
      </c>
      <c r="C2" s="4" t="s">
        <v>422</v>
      </c>
    </row>
    <row r="3" ht="22.5" customHeight="1">
      <c r="A3" s="12"/>
      <c r="B3" s="12"/>
      <c r="C3" s="4" t="s">
        <v>423</v>
      </c>
    </row>
    <row r="4" ht="22.5" customHeight="1">
      <c r="A4" s="12"/>
      <c r="B4" s="12"/>
      <c r="C4" s="4" t="s">
        <v>424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46.38"/>
    <col customWidth="1" min="3" max="3" width="37.63"/>
  </cols>
  <sheetData>
    <row r="1" ht="22.5" customHeight="1">
      <c r="A1" s="10" t="s">
        <v>103</v>
      </c>
      <c r="B1" s="10" t="s">
        <v>28</v>
      </c>
      <c r="C1" s="10" t="s">
        <v>396</v>
      </c>
    </row>
    <row r="2" ht="22.5" customHeight="1">
      <c r="A2" s="4" t="s">
        <v>425</v>
      </c>
      <c r="B2" s="4" t="s">
        <v>426</v>
      </c>
      <c r="C2" s="4" t="s">
        <v>427</v>
      </c>
    </row>
    <row r="3" ht="22.5" customHeight="1">
      <c r="A3" s="12"/>
      <c r="B3" s="4" t="s">
        <v>428</v>
      </c>
      <c r="C3" s="4" t="s">
        <v>429</v>
      </c>
    </row>
    <row r="4" ht="22.5" customHeight="1">
      <c r="A4" s="12"/>
      <c r="B4" s="4" t="s">
        <v>430</v>
      </c>
      <c r="C4" s="4" t="s">
        <v>431</v>
      </c>
    </row>
    <row r="5" ht="22.5" customHeight="1">
      <c r="A5" s="12"/>
      <c r="B5" s="12"/>
      <c r="C5" s="12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37.63"/>
    <col customWidth="1" min="3" max="3" width="32.75"/>
  </cols>
  <sheetData>
    <row r="1" ht="22.5" customHeight="1">
      <c r="A1" s="10" t="s">
        <v>103</v>
      </c>
      <c r="B1" s="10" t="s">
        <v>28</v>
      </c>
      <c r="C1" s="10" t="s">
        <v>392</v>
      </c>
    </row>
    <row r="2" ht="22.5" customHeight="1">
      <c r="A2" s="4" t="s">
        <v>73</v>
      </c>
      <c r="B2" s="4" t="s">
        <v>432</v>
      </c>
      <c r="C2" s="4" t="s">
        <v>433</v>
      </c>
    </row>
    <row r="3" ht="22.5" customHeight="1">
      <c r="A3" s="12"/>
      <c r="B3" s="12"/>
      <c r="C3" s="4" t="s">
        <v>434</v>
      </c>
    </row>
    <row r="4" ht="22.5" customHeight="1">
      <c r="A4" s="12"/>
      <c r="B4" s="12"/>
      <c r="C4" s="4" t="s">
        <v>435</v>
      </c>
    </row>
    <row r="5" ht="22.5" customHeight="1">
      <c r="A5" s="12"/>
      <c r="B5" s="12"/>
      <c r="C5" s="4" t="s">
        <v>436</v>
      </c>
    </row>
    <row r="6" ht="22.5" customHeight="1">
      <c r="A6" s="12"/>
      <c r="B6" s="12"/>
      <c r="C6" s="4" t="s">
        <v>437</v>
      </c>
    </row>
    <row r="7" ht="22.5" customHeight="1">
      <c r="A7" s="12"/>
      <c r="B7" s="12"/>
      <c r="C7" s="4" t="s">
        <v>438</v>
      </c>
    </row>
    <row r="8" ht="22.5" customHeight="1">
      <c r="A8" s="12"/>
      <c r="B8" s="12"/>
      <c r="C8" s="4" t="s">
        <v>439</v>
      </c>
    </row>
    <row r="9" ht="22.5" customHeight="1">
      <c r="A9" s="12"/>
      <c r="B9" s="12"/>
      <c r="C9" s="4" t="s">
        <v>440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37.63"/>
    <col customWidth="1" min="3" max="3" width="35.5"/>
  </cols>
  <sheetData>
    <row r="1" ht="22.5" customHeight="1">
      <c r="A1" s="10" t="s">
        <v>103</v>
      </c>
      <c r="B1" s="10" t="s">
        <v>28</v>
      </c>
      <c r="C1" s="10" t="s">
        <v>396</v>
      </c>
    </row>
    <row r="2" ht="22.5" customHeight="1">
      <c r="A2" s="4" t="s">
        <v>77</v>
      </c>
      <c r="B2" s="4" t="s">
        <v>441</v>
      </c>
      <c r="C2" s="4" t="s">
        <v>442</v>
      </c>
    </row>
    <row r="3" ht="22.5" customHeight="1">
      <c r="A3" s="12"/>
      <c r="B3" s="12"/>
      <c r="C3" s="4" t="s">
        <v>443</v>
      </c>
    </row>
    <row r="4" ht="22.5" customHeight="1">
      <c r="A4" s="12"/>
      <c r="B4" s="12"/>
      <c r="C4" s="4" t="s">
        <v>444</v>
      </c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6.75"/>
    <col customWidth="1" min="3" max="3" width="29.0"/>
    <col customWidth="1" min="4" max="4" width="13.0"/>
  </cols>
  <sheetData>
    <row r="1" ht="22.5" customHeight="1">
      <c r="A1" s="10" t="s">
        <v>445</v>
      </c>
      <c r="B1" s="10" t="s">
        <v>28</v>
      </c>
      <c r="C1" s="10" t="s">
        <v>396</v>
      </c>
    </row>
    <row r="2" ht="22.5" customHeight="1">
      <c r="A2" s="4" t="s">
        <v>81</v>
      </c>
      <c r="B2" s="4" t="s">
        <v>446</v>
      </c>
      <c r="C2" s="4" t="s">
        <v>133</v>
      </c>
    </row>
    <row r="3" ht="22.5" customHeight="1">
      <c r="A3" s="12"/>
      <c r="B3" s="4" t="s">
        <v>447</v>
      </c>
      <c r="C3" s="4" t="s">
        <v>135</v>
      </c>
    </row>
    <row r="4" ht="22.5" customHeight="1">
      <c r="A4" s="12"/>
      <c r="B4" s="4" t="s">
        <v>448</v>
      </c>
      <c r="C4" s="4" t="s">
        <v>136</v>
      </c>
    </row>
    <row r="5" ht="22.5" customHeight="1">
      <c r="A5" s="12"/>
      <c r="B5" s="4" t="s">
        <v>449</v>
      </c>
      <c r="C5" s="4" t="s">
        <v>137</v>
      </c>
    </row>
    <row r="6" ht="22.5" customHeight="1">
      <c r="A6" s="12"/>
      <c r="B6" s="4" t="s">
        <v>450</v>
      </c>
      <c r="C6" s="4" t="s">
        <v>138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5"/>
    <col customWidth="1" min="3" max="3" width="37.63"/>
  </cols>
  <sheetData>
    <row r="1" ht="22.5" customHeight="1">
      <c r="A1" s="10" t="s">
        <v>103</v>
      </c>
      <c r="B1" s="10" t="s">
        <v>28</v>
      </c>
      <c r="C1" s="10" t="s">
        <v>396</v>
      </c>
    </row>
    <row r="2" ht="22.5" customHeight="1">
      <c r="A2" s="4" t="s">
        <v>451</v>
      </c>
      <c r="B2" s="4" t="s">
        <v>452</v>
      </c>
      <c r="C2" s="4" t="s">
        <v>453</v>
      </c>
    </row>
    <row r="3" ht="22.5" customHeight="1">
      <c r="A3" s="12"/>
      <c r="B3" s="12"/>
      <c r="C3" s="4" t="s">
        <v>454</v>
      </c>
    </row>
    <row r="4" ht="22.5" customHeight="1">
      <c r="A4" s="12"/>
      <c r="B4" s="12"/>
      <c r="C4" s="4" t="s">
        <v>455</v>
      </c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4.88"/>
    <col customWidth="1" min="3" max="3" width="17.25"/>
  </cols>
  <sheetData>
    <row r="1" ht="22.5" customHeight="1">
      <c r="A1" s="10" t="s">
        <v>103</v>
      </c>
      <c r="B1" s="10" t="s">
        <v>28</v>
      </c>
      <c r="C1" s="10" t="s">
        <v>396</v>
      </c>
    </row>
    <row r="2" ht="22.5" customHeight="1">
      <c r="A2" s="4" t="s">
        <v>88</v>
      </c>
      <c r="B2" s="4" t="s">
        <v>456</v>
      </c>
      <c r="C2" s="4" t="s">
        <v>457</v>
      </c>
    </row>
    <row r="3" ht="22.5" customHeight="1">
      <c r="A3" s="12"/>
      <c r="B3" s="4" t="s">
        <v>458</v>
      </c>
      <c r="C3" s="4" t="s">
        <v>459</v>
      </c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33.88"/>
  </cols>
  <sheetData>
    <row r="1" ht="22.5" customHeight="1">
      <c r="A1" s="10" t="s">
        <v>103</v>
      </c>
      <c r="B1" s="10" t="s">
        <v>28</v>
      </c>
      <c r="C1" s="10" t="s">
        <v>396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22.5" customHeight="1">
      <c r="A2" s="4" t="s">
        <v>460</v>
      </c>
      <c r="B2" s="4" t="s">
        <v>461</v>
      </c>
      <c r="C2" s="4" t="s">
        <v>462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22.5" customHeight="1">
      <c r="A3" s="12"/>
      <c r="B3" s="12"/>
      <c r="C3" s="4" t="s">
        <v>148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2.5" customHeight="1">
      <c r="A4" s="12"/>
      <c r="B4" s="12"/>
      <c r="C4" s="4" t="s">
        <v>149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37.63"/>
    <col customWidth="1" min="3" max="3" width="36.63"/>
  </cols>
  <sheetData>
    <row r="1" ht="22.5" customHeight="1">
      <c r="A1" s="10" t="s">
        <v>103</v>
      </c>
      <c r="B1" s="10" t="s">
        <v>28</v>
      </c>
      <c r="C1" s="10" t="s">
        <v>419</v>
      </c>
    </row>
    <row r="2" ht="22.5" customHeight="1">
      <c r="A2" s="4" t="s">
        <v>95</v>
      </c>
      <c r="B2" s="4" t="s">
        <v>463</v>
      </c>
      <c r="C2" s="4" t="s">
        <v>464</v>
      </c>
    </row>
    <row r="3" ht="22.5" customHeight="1">
      <c r="A3" s="12"/>
      <c r="B3" s="4" t="s">
        <v>465</v>
      </c>
      <c r="C3" s="4" t="s">
        <v>466</v>
      </c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33.88"/>
    <col customWidth="1" min="3" max="3" width="20.75"/>
  </cols>
  <sheetData>
    <row r="1" ht="22.5" customHeight="1">
      <c r="A1" s="10" t="s">
        <v>103</v>
      </c>
      <c r="B1" s="10" t="s">
        <v>28</v>
      </c>
      <c r="C1" s="10" t="s">
        <v>396</v>
      </c>
    </row>
    <row r="2" ht="22.5" customHeight="1">
      <c r="A2" s="4" t="s">
        <v>467</v>
      </c>
      <c r="B2" s="26" t="s">
        <v>468</v>
      </c>
      <c r="C2" s="4" t="s">
        <v>469</v>
      </c>
    </row>
    <row r="3" ht="22.5" customHeight="1">
      <c r="A3" s="12"/>
      <c r="B3" s="4" t="s">
        <v>470</v>
      </c>
      <c r="C3" s="4" t="s">
        <v>471</v>
      </c>
    </row>
    <row r="4" ht="22.5" customHeight="1">
      <c r="A4" s="12"/>
      <c r="B4" s="4" t="s">
        <v>472</v>
      </c>
      <c r="C4" s="4" t="s">
        <v>473</v>
      </c>
    </row>
    <row r="5" ht="22.5" customHeight="1">
      <c r="A5" s="12"/>
      <c r="B5" s="4" t="s">
        <v>474</v>
      </c>
      <c r="C5" s="4" t="s">
        <v>475</v>
      </c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13"/>
    <col customWidth="1" min="4" max="4" width="68.88"/>
    <col customWidth="1" min="7" max="7" width="3.38"/>
    <col customWidth="1" min="8" max="66" width="3.88"/>
  </cols>
  <sheetData>
    <row r="1">
      <c r="A1" s="29" t="s">
        <v>476</v>
      </c>
      <c r="B1" s="30"/>
      <c r="C1" s="30"/>
      <c r="D1" s="30"/>
      <c r="E1" s="30"/>
      <c r="F1" s="30"/>
      <c r="G1" s="31"/>
      <c r="H1" s="30"/>
      <c r="I1" s="30"/>
      <c r="J1" s="30"/>
      <c r="K1" s="30"/>
      <c r="L1" s="30"/>
      <c r="M1" s="31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2"/>
      <c r="AE1" s="32"/>
      <c r="AF1" s="32"/>
      <c r="AG1" s="32"/>
      <c r="AH1" s="32"/>
      <c r="AI1" s="32"/>
      <c r="AJ1" s="32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</row>
    <row r="2">
      <c r="A2" s="33"/>
      <c r="B2" s="33"/>
      <c r="C2" s="33"/>
      <c r="D2" s="32"/>
      <c r="E2" s="32"/>
      <c r="F2" s="32"/>
      <c r="G2" s="32"/>
      <c r="H2" s="32"/>
      <c r="I2" s="32"/>
      <c r="J2" s="32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</row>
    <row r="3">
      <c r="A3" s="34" t="s">
        <v>477</v>
      </c>
      <c r="B3" s="35"/>
      <c r="C3" s="35"/>
      <c r="D3" s="36"/>
      <c r="E3" s="36"/>
      <c r="F3" s="36" t="s">
        <v>478</v>
      </c>
      <c r="G3" s="34" t="s">
        <v>479</v>
      </c>
      <c r="H3" s="35"/>
      <c r="I3" s="35"/>
      <c r="J3" s="35"/>
      <c r="K3" s="35"/>
      <c r="L3" s="35"/>
      <c r="M3" s="35"/>
      <c r="N3" s="37" t="s">
        <v>480</v>
      </c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8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</row>
    <row r="4">
      <c r="A4" s="34" t="s">
        <v>481</v>
      </c>
      <c r="B4" s="35"/>
      <c r="C4" s="35"/>
      <c r="D4" s="37"/>
      <c r="E4" s="37"/>
      <c r="F4" s="37" t="s">
        <v>482</v>
      </c>
      <c r="G4" s="34" t="s">
        <v>483</v>
      </c>
      <c r="H4" s="35"/>
      <c r="I4" s="35"/>
      <c r="J4" s="35"/>
      <c r="K4" s="35"/>
      <c r="L4" s="35"/>
      <c r="M4" s="35"/>
      <c r="N4" s="39">
        <v>45533.0</v>
      </c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40"/>
      <c r="AA4" s="38"/>
      <c r="AB4" s="33"/>
      <c r="AC4" s="33"/>
      <c r="AD4" s="33"/>
      <c r="AE4" s="33"/>
      <c r="AF4" s="33"/>
      <c r="AG4" s="33"/>
      <c r="AH4" s="33"/>
      <c r="AI4" s="33"/>
      <c r="AJ4" s="38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</row>
    <row r="5">
      <c r="A5" s="32"/>
      <c r="B5" s="32"/>
      <c r="C5" s="32"/>
      <c r="D5" s="32"/>
      <c r="E5" s="32"/>
      <c r="F5" s="32"/>
      <c r="G5" s="32"/>
      <c r="H5" s="32"/>
      <c r="I5" s="32"/>
      <c r="J5" s="32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</row>
    <row r="7">
      <c r="A7" s="41"/>
      <c r="B7" s="41"/>
      <c r="C7" s="41"/>
      <c r="D7" s="42"/>
      <c r="E7" s="42"/>
      <c r="F7" s="42"/>
      <c r="G7" s="43" t="s">
        <v>484</v>
      </c>
      <c r="V7" s="44" t="s">
        <v>485</v>
      </c>
      <c r="AK7" s="45" t="s">
        <v>486</v>
      </c>
      <c r="AZ7" s="46" t="s">
        <v>487</v>
      </c>
      <c r="BN7" s="47"/>
      <c r="BO7" s="33"/>
    </row>
    <row r="8">
      <c r="A8" s="42"/>
      <c r="B8" s="41"/>
      <c r="C8" s="41"/>
      <c r="D8" s="42"/>
      <c r="E8" s="42"/>
      <c r="F8" s="42"/>
      <c r="G8" s="48" t="s">
        <v>488</v>
      </c>
      <c r="H8" s="49"/>
      <c r="I8" s="49"/>
      <c r="J8" s="49"/>
      <c r="K8" s="50"/>
      <c r="L8" s="48" t="s">
        <v>489</v>
      </c>
      <c r="M8" s="49"/>
      <c r="N8" s="49"/>
      <c r="O8" s="49"/>
      <c r="P8" s="50"/>
      <c r="Q8" s="48" t="s">
        <v>490</v>
      </c>
      <c r="R8" s="49"/>
      <c r="S8" s="49"/>
      <c r="T8" s="49"/>
      <c r="U8" s="50"/>
      <c r="V8" s="51" t="s">
        <v>491</v>
      </c>
      <c r="W8" s="49"/>
      <c r="X8" s="49"/>
      <c r="Y8" s="49"/>
      <c r="Z8" s="50"/>
      <c r="AA8" s="51" t="s">
        <v>492</v>
      </c>
      <c r="AB8" s="49"/>
      <c r="AC8" s="49"/>
      <c r="AD8" s="49"/>
      <c r="AE8" s="50"/>
      <c r="AF8" s="51" t="s">
        <v>493</v>
      </c>
      <c r="AG8" s="49"/>
      <c r="AH8" s="49"/>
      <c r="AI8" s="49"/>
      <c r="AJ8" s="50"/>
      <c r="AK8" s="52" t="s">
        <v>494</v>
      </c>
      <c r="AL8" s="49"/>
      <c r="AM8" s="49"/>
      <c r="AN8" s="49"/>
      <c r="AO8" s="50"/>
      <c r="AP8" s="52" t="s">
        <v>495</v>
      </c>
      <c r="AQ8" s="49"/>
      <c r="AR8" s="49"/>
      <c r="AS8" s="49"/>
      <c r="AT8" s="50"/>
      <c r="AU8" s="52" t="s">
        <v>496</v>
      </c>
      <c r="AV8" s="49"/>
      <c r="AW8" s="49"/>
      <c r="AX8" s="49"/>
      <c r="AY8" s="50"/>
      <c r="AZ8" s="53" t="s">
        <v>497</v>
      </c>
      <c r="BA8" s="49"/>
      <c r="BB8" s="49"/>
      <c r="BC8" s="49"/>
      <c r="BD8" s="50"/>
      <c r="BE8" s="53" t="s">
        <v>498</v>
      </c>
      <c r="BF8" s="49"/>
      <c r="BG8" s="49"/>
      <c r="BH8" s="49"/>
      <c r="BI8" s="50"/>
      <c r="BJ8" s="53" t="s">
        <v>499</v>
      </c>
      <c r="BK8" s="49"/>
      <c r="BL8" s="49"/>
      <c r="BM8" s="49"/>
      <c r="BN8" s="50"/>
      <c r="BO8" s="33"/>
    </row>
    <row r="9">
      <c r="A9" s="42" t="s">
        <v>102</v>
      </c>
      <c r="B9" s="41" t="s">
        <v>1</v>
      </c>
      <c r="C9" s="41" t="s">
        <v>103</v>
      </c>
      <c r="D9" s="41" t="s">
        <v>104</v>
      </c>
      <c r="E9" s="41" t="s">
        <v>105</v>
      </c>
      <c r="F9" s="42" t="s">
        <v>500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33"/>
    </row>
    <row r="10">
      <c r="A10" s="58" t="str">
        <f>'Function - criteria - Solution'!A2</f>
        <v>FP1</v>
      </c>
      <c r="B10" s="59">
        <f>'Function - criteria - Solution'!D2</f>
        <v>3</v>
      </c>
      <c r="C10" s="59" t="str">
        <f>'Function - criteria - Solution'!B2</f>
        <v>Power production</v>
      </c>
      <c r="D10" s="59"/>
      <c r="E10" s="60">
        <v>4.0</v>
      </c>
      <c r="F10" s="59"/>
      <c r="G10" s="61"/>
      <c r="H10" s="62"/>
      <c r="I10" s="63"/>
      <c r="J10" s="63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33"/>
    </row>
    <row r="11">
      <c r="A11" s="64"/>
      <c r="B11" s="64"/>
      <c r="C11" s="64"/>
      <c r="D11" s="64" t="str">
        <f>'FP1'!C2</f>
        <v>Sourcing a high kW output PV panel</v>
      </c>
      <c r="E11" s="65"/>
      <c r="F11" s="64"/>
      <c r="G11" s="66"/>
      <c r="H11" s="67"/>
      <c r="I11" s="68"/>
      <c r="AK11" s="69"/>
      <c r="AL11" s="69"/>
      <c r="AM11" s="69"/>
      <c r="AN11" s="69"/>
      <c r="AO11" s="69"/>
      <c r="AP11" s="70"/>
      <c r="AQ11" s="70"/>
      <c r="AR11" s="70"/>
      <c r="AS11" s="70"/>
      <c r="AT11" s="70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1"/>
      <c r="BF11" s="71"/>
      <c r="BG11" s="71"/>
      <c r="BH11" s="71"/>
      <c r="BI11" s="71"/>
      <c r="BJ11" s="69"/>
      <c r="BK11" s="69"/>
      <c r="BL11" s="69"/>
      <c r="BM11" s="69"/>
      <c r="BN11" s="72"/>
      <c r="BO11" s="33"/>
    </row>
    <row r="12">
      <c r="A12" s="64"/>
      <c r="B12" s="64"/>
      <c r="C12" s="64"/>
      <c r="D12" s="64" t="str">
        <f>'FP1'!C3</f>
        <v>Sourcing a glass/glass PV panel for easy cleaning</v>
      </c>
      <c r="E12" s="65"/>
      <c r="F12" s="64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5"/>
      <c r="AL12" s="75"/>
      <c r="AM12" s="75"/>
      <c r="AN12" s="75"/>
      <c r="AO12" s="75"/>
      <c r="AP12" s="76"/>
      <c r="AQ12" s="76"/>
      <c r="AR12" s="76"/>
      <c r="AS12" s="76"/>
      <c r="AT12" s="76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7"/>
      <c r="BF12" s="77"/>
      <c r="BG12" s="77"/>
      <c r="BH12" s="77"/>
      <c r="BI12" s="77"/>
      <c r="BJ12" s="75"/>
      <c r="BK12" s="75"/>
      <c r="BL12" s="75"/>
      <c r="BM12" s="75"/>
      <c r="BN12" s="78"/>
      <c r="BO12" s="33"/>
    </row>
    <row r="13">
      <c r="A13" s="64"/>
      <c r="B13" s="64"/>
      <c r="C13" s="64"/>
      <c r="D13" s="64" t="str">
        <f>'FP1'!C4</f>
        <v>Sourcing a PV panel with high quality level</v>
      </c>
      <c r="E13" s="65"/>
      <c r="F13" s="64"/>
      <c r="G13" s="73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/>
      <c r="AM13" s="75"/>
      <c r="AN13" s="75"/>
      <c r="AO13" s="75"/>
      <c r="AP13" s="76"/>
      <c r="AQ13" s="76"/>
      <c r="AR13" s="76"/>
      <c r="AS13" s="76"/>
      <c r="AT13" s="76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7"/>
      <c r="BF13" s="77"/>
      <c r="BG13" s="77"/>
      <c r="BH13" s="77"/>
      <c r="BI13" s="77"/>
      <c r="BJ13" s="75"/>
      <c r="BK13" s="75"/>
      <c r="BL13" s="75"/>
      <c r="BM13" s="75"/>
      <c r="BN13" s="78"/>
      <c r="BO13" s="33"/>
    </row>
    <row r="14">
      <c r="A14" s="64"/>
      <c r="B14" s="64"/>
      <c r="C14" s="64"/>
      <c r="D14" s="64" t="str">
        <f>'FP1'!C5</f>
        <v>Decide of an angle towards the sun</v>
      </c>
      <c r="E14" s="65"/>
      <c r="F14" s="64"/>
      <c r="G14" s="79"/>
      <c r="H14" s="80"/>
      <c r="I14" s="75"/>
      <c r="L14" s="81"/>
      <c r="M14" s="81"/>
      <c r="N14" s="81"/>
      <c r="O14" s="81"/>
      <c r="P14" s="81"/>
      <c r="U14" s="75"/>
      <c r="V14" s="75"/>
      <c r="W14" s="75"/>
      <c r="X14" s="75"/>
      <c r="Y14" s="75"/>
      <c r="Z14" s="75"/>
      <c r="AA14" s="82"/>
      <c r="AB14" s="82"/>
      <c r="AC14" s="82"/>
      <c r="AD14" s="82"/>
      <c r="AE14" s="82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6"/>
      <c r="AR14" s="76"/>
      <c r="AS14" s="76"/>
      <c r="AT14" s="76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7"/>
      <c r="BF14" s="77"/>
      <c r="BG14" s="77"/>
      <c r="BH14" s="77"/>
      <c r="BI14" s="77"/>
      <c r="BJ14" s="75"/>
      <c r="BK14" s="75"/>
      <c r="BL14" s="75"/>
      <c r="BM14" s="75"/>
      <c r="BN14" s="78"/>
      <c r="BO14" s="33"/>
    </row>
    <row r="15">
      <c r="A15" s="33"/>
      <c r="B15" s="33"/>
      <c r="C15" s="33"/>
      <c r="D15" s="33"/>
      <c r="E15" s="65"/>
      <c r="F15" s="33"/>
      <c r="G15" s="83"/>
      <c r="H15" s="84"/>
      <c r="I15" s="33"/>
      <c r="L15" s="81"/>
      <c r="M15" s="81"/>
      <c r="N15" s="81"/>
      <c r="O15" s="81"/>
      <c r="P15" s="81"/>
      <c r="U15" s="33"/>
      <c r="V15" s="33"/>
      <c r="W15" s="33"/>
      <c r="X15" s="33"/>
      <c r="Y15" s="33"/>
      <c r="Z15" s="33"/>
      <c r="AA15" s="85"/>
      <c r="AB15" s="85"/>
      <c r="AC15" s="85"/>
      <c r="AD15" s="85"/>
      <c r="AE15" s="85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86"/>
      <c r="AQ15" s="86"/>
      <c r="AR15" s="86"/>
      <c r="AS15" s="86"/>
      <c r="AT15" s="86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87"/>
      <c r="BF15" s="87"/>
      <c r="BG15" s="87"/>
      <c r="BH15" s="87"/>
      <c r="BI15" s="87"/>
      <c r="BJ15" s="33"/>
      <c r="BK15" s="33"/>
      <c r="BL15" s="33"/>
      <c r="BM15" s="33"/>
      <c r="BN15" s="33"/>
      <c r="BO15" s="33"/>
    </row>
    <row r="16">
      <c r="A16" s="88" t="str">
        <f>'Function - criteria - Solution'!A3</f>
        <v>FP2</v>
      </c>
      <c r="B16" s="59">
        <f>'Function - criteria - Solution'!D3</f>
        <v>2</v>
      </c>
      <c r="C16" s="59" t="str">
        <f>'Function - criteria - Solution'!B3</f>
        <v>Certification</v>
      </c>
      <c r="D16" s="59"/>
      <c r="E16" s="60">
        <v>1.0</v>
      </c>
      <c r="F16" s="59"/>
      <c r="G16" s="61"/>
      <c r="H16" s="62"/>
      <c r="I16" s="63"/>
      <c r="J16" s="63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33"/>
    </row>
    <row r="17">
      <c r="A17" s="64"/>
      <c r="B17" s="64"/>
      <c r="C17" s="64"/>
      <c r="D17" s="64" t="str">
        <f>'FP2'!C2</f>
        <v>Clear out with supplier what is posible to touch before breaking certification</v>
      </c>
      <c r="E17" s="65"/>
      <c r="F17" s="64"/>
      <c r="G17" s="66"/>
      <c r="H17" s="67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9"/>
      <c r="AL17" s="69"/>
      <c r="AM17" s="69"/>
      <c r="AN17" s="69"/>
      <c r="AO17" s="69"/>
      <c r="AP17" s="70"/>
      <c r="AQ17" s="70"/>
      <c r="AR17" s="70"/>
      <c r="AS17" s="70"/>
      <c r="AT17" s="70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1"/>
      <c r="BF17" s="71"/>
      <c r="BG17" s="71"/>
      <c r="BH17" s="71"/>
      <c r="BI17" s="71"/>
      <c r="BJ17" s="69"/>
      <c r="BK17" s="69"/>
      <c r="BL17" s="69"/>
      <c r="BM17" s="69"/>
      <c r="BN17" s="72"/>
      <c r="BO17" s="33"/>
    </row>
    <row r="18">
      <c r="A18" s="64"/>
      <c r="B18" s="64"/>
      <c r="C18" s="64"/>
      <c r="D18" s="64" t="str">
        <f>'FP2'!C3</f>
        <v>Supply a PV panel that is certified</v>
      </c>
      <c r="E18" s="65"/>
      <c r="F18" s="64"/>
      <c r="G18" s="73"/>
      <c r="H18" s="74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75"/>
      <c r="AL18" s="75"/>
      <c r="AM18" s="75"/>
      <c r="AN18" s="75"/>
      <c r="AO18" s="75"/>
      <c r="AP18" s="76"/>
      <c r="AQ18" s="76"/>
      <c r="AR18" s="76"/>
      <c r="AS18" s="76"/>
      <c r="AT18" s="76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7"/>
      <c r="BF18" s="77"/>
      <c r="BG18" s="77"/>
      <c r="BH18" s="77"/>
      <c r="BI18" s="77"/>
      <c r="BJ18" s="75"/>
      <c r="BK18" s="75"/>
      <c r="BL18" s="75"/>
      <c r="BM18" s="75"/>
      <c r="BN18" s="78"/>
      <c r="BO18" s="33"/>
    </row>
    <row r="19">
      <c r="A19" s="64"/>
      <c r="B19" s="64"/>
      <c r="C19" s="64"/>
      <c r="D19" s="64" t="str">
        <f>'FP2'!C4</f>
        <v>Investagate the certification specification (IEC, and UL) to see if there are voiding conditions</v>
      </c>
      <c r="E19" s="65"/>
      <c r="F19" s="64"/>
      <c r="G19" s="73"/>
      <c r="H19" s="74"/>
      <c r="I19" s="75"/>
      <c r="J19" s="75"/>
      <c r="K19" s="75"/>
      <c r="L19" s="81"/>
      <c r="M19" s="81"/>
      <c r="N19" s="81"/>
      <c r="O19" s="81"/>
      <c r="P19" s="81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82"/>
      <c r="AB19" s="82"/>
      <c r="AC19" s="82"/>
      <c r="AD19" s="82"/>
      <c r="AE19" s="82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6"/>
      <c r="AR19" s="76"/>
      <c r="AS19" s="76"/>
      <c r="AT19" s="76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7"/>
      <c r="BF19" s="77"/>
      <c r="BG19" s="77"/>
      <c r="BH19" s="77"/>
      <c r="BI19" s="77"/>
      <c r="BJ19" s="75"/>
      <c r="BK19" s="75"/>
      <c r="BL19" s="75"/>
      <c r="BM19" s="75"/>
      <c r="BN19" s="78"/>
      <c r="BO19" s="33"/>
    </row>
    <row r="20">
      <c r="A20" s="64"/>
      <c r="B20" s="64"/>
      <c r="C20" s="64"/>
      <c r="D20" s="64" t="str">
        <f>'FP2'!C5</f>
        <v/>
      </c>
      <c r="E20" s="65"/>
      <c r="F20" s="64"/>
      <c r="G20" s="79"/>
      <c r="H20" s="80"/>
      <c r="I20" s="75"/>
      <c r="J20" s="75"/>
      <c r="K20" s="75"/>
      <c r="L20" s="81"/>
      <c r="M20" s="81"/>
      <c r="N20" s="81"/>
      <c r="O20" s="81"/>
      <c r="P20" s="81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82"/>
      <c r="AB20" s="82"/>
      <c r="AC20" s="82"/>
      <c r="AD20" s="82"/>
      <c r="AE20" s="82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6"/>
      <c r="AR20" s="76"/>
      <c r="AS20" s="76"/>
      <c r="AT20" s="76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7"/>
      <c r="BF20" s="77"/>
      <c r="BG20" s="77"/>
      <c r="BH20" s="77"/>
      <c r="BI20" s="77"/>
      <c r="BJ20" s="75"/>
      <c r="BK20" s="75"/>
      <c r="BL20" s="75"/>
      <c r="BM20" s="75"/>
      <c r="BN20" s="78"/>
      <c r="BO20" s="33"/>
    </row>
    <row r="21">
      <c r="A21" s="59" t="str">
        <f>'Function - criteria - Solution'!A4</f>
        <v>FC1</v>
      </c>
      <c r="B21" s="59">
        <f>'Function - criteria - Solution'!D4</f>
        <v>1</v>
      </c>
      <c r="C21" s="59" t="str">
        <f>'Function - criteria - Solution'!B4</f>
        <v>Buoyancy</v>
      </c>
      <c r="D21" s="59"/>
      <c r="E21" s="60">
        <v>12.0</v>
      </c>
      <c r="F21" s="59"/>
      <c r="G21" s="61"/>
      <c r="H21" s="62"/>
      <c r="I21" s="63"/>
      <c r="J21" s="63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33"/>
    </row>
    <row r="22">
      <c r="A22" s="64"/>
      <c r="B22" s="64"/>
      <c r="C22" s="64"/>
      <c r="D22" s="64" t="str">
        <f>'FC1'!C2</f>
        <v>Single unit buoyancy</v>
      </c>
      <c r="E22" s="65"/>
      <c r="F22" s="64"/>
      <c r="G22" s="90"/>
      <c r="H22" s="91"/>
      <c r="I22" s="69"/>
      <c r="J22" s="69"/>
      <c r="K22" s="69"/>
      <c r="L22" s="81"/>
      <c r="M22" s="81"/>
      <c r="N22" s="81"/>
      <c r="O22" s="81"/>
      <c r="P22" s="81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92"/>
      <c r="AB22" s="92"/>
      <c r="AC22" s="92"/>
      <c r="AD22" s="92"/>
      <c r="AE22" s="92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0"/>
      <c r="AR22" s="70"/>
      <c r="AS22" s="70"/>
      <c r="AT22" s="70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1"/>
      <c r="BF22" s="71"/>
      <c r="BG22" s="71"/>
      <c r="BH22" s="71"/>
      <c r="BI22" s="71"/>
      <c r="BJ22" s="69"/>
      <c r="BK22" s="69"/>
      <c r="BL22" s="69"/>
      <c r="BM22" s="69"/>
      <c r="BN22" s="72"/>
      <c r="BO22" s="33"/>
    </row>
    <row r="23">
      <c r="A23" s="64"/>
      <c r="B23" s="64"/>
      <c r="C23" s="64"/>
      <c r="D23" s="64" t="str">
        <f>'FC1'!C3</f>
        <v>Float</v>
      </c>
      <c r="E23" s="65"/>
      <c r="F23" s="64"/>
      <c r="G23" s="73"/>
      <c r="H23" s="74"/>
      <c r="I23" s="89"/>
      <c r="J23" s="89"/>
      <c r="K23" s="89"/>
      <c r="L23" s="81"/>
      <c r="M23" s="81"/>
      <c r="N23" s="81"/>
      <c r="O23" s="81"/>
      <c r="P23" s="81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82"/>
      <c r="AB23" s="82"/>
      <c r="AC23" s="82"/>
      <c r="AD23" s="82"/>
      <c r="AE23" s="82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6"/>
      <c r="AR23" s="76"/>
      <c r="AS23" s="76"/>
      <c r="AT23" s="76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7"/>
      <c r="BF23" s="77"/>
      <c r="BG23" s="77"/>
      <c r="BH23" s="77"/>
      <c r="BI23" s="77"/>
      <c r="BJ23" s="75"/>
      <c r="BK23" s="75"/>
      <c r="BL23" s="75"/>
      <c r="BM23" s="75"/>
      <c r="BN23" s="78"/>
      <c r="BO23" s="33"/>
    </row>
    <row r="24">
      <c r="A24" s="64"/>
      <c r="B24" s="64"/>
      <c r="C24" s="64"/>
      <c r="D24" s="64" t="str">
        <f>'FC1'!C4</f>
        <v>floating hinge </v>
      </c>
      <c r="E24" s="65"/>
      <c r="F24" s="64"/>
      <c r="G24" s="79"/>
      <c r="H24" s="80"/>
      <c r="I24" s="75"/>
      <c r="J24" s="75"/>
      <c r="K24" s="75"/>
      <c r="L24" s="81"/>
      <c r="M24" s="81"/>
      <c r="N24" s="81"/>
      <c r="O24" s="81"/>
      <c r="P24" s="81"/>
      <c r="Q24" s="69"/>
      <c r="R24" s="69"/>
      <c r="S24" s="69"/>
      <c r="T24" s="69"/>
      <c r="U24" s="75"/>
      <c r="V24" s="75"/>
      <c r="W24" s="75"/>
      <c r="X24" s="75"/>
      <c r="Y24" s="75"/>
      <c r="Z24" s="75"/>
      <c r="AA24" s="82"/>
      <c r="AB24" s="82"/>
      <c r="AC24" s="82"/>
      <c r="AD24" s="82"/>
      <c r="AE24" s="82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6"/>
      <c r="AR24" s="76"/>
      <c r="AS24" s="76"/>
      <c r="AT24" s="76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7"/>
      <c r="BF24" s="77"/>
      <c r="BG24" s="77"/>
      <c r="BH24" s="77"/>
      <c r="BI24" s="77"/>
      <c r="BJ24" s="75"/>
      <c r="BK24" s="75"/>
      <c r="BL24" s="75"/>
      <c r="BM24" s="75"/>
      <c r="BN24" s="78"/>
      <c r="BO24" s="33"/>
    </row>
    <row r="25">
      <c r="A25" s="64"/>
      <c r="B25" s="64"/>
      <c r="C25" s="64"/>
      <c r="D25" s="64" t="str">
        <f>'FC1'!C5</f>
        <v>Using the PV+frame as a float </v>
      </c>
      <c r="E25" s="65"/>
      <c r="F25" s="64"/>
      <c r="G25" s="79"/>
      <c r="H25" s="80"/>
      <c r="I25" s="75"/>
      <c r="J25" s="75"/>
      <c r="K25" s="75"/>
      <c r="L25" s="81"/>
      <c r="M25" s="81"/>
      <c r="N25" s="81"/>
      <c r="O25" s="81"/>
      <c r="P25" s="81"/>
      <c r="Q25" s="69"/>
      <c r="R25" s="69"/>
      <c r="S25" s="69"/>
      <c r="T25" s="69"/>
      <c r="U25" s="75"/>
      <c r="V25" s="75"/>
      <c r="W25" s="75"/>
      <c r="X25" s="75"/>
      <c r="Y25" s="75"/>
      <c r="Z25" s="75"/>
      <c r="AA25" s="82"/>
      <c r="AB25" s="82"/>
      <c r="AC25" s="82"/>
      <c r="AD25" s="82"/>
      <c r="AE25" s="82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6"/>
      <c r="AR25" s="76"/>
      <c r="AS25" s="76"/>
      <c r="AT25" s="76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7"/>
      <c r="BF25" s="77"/>
      <c r="BG25" s="77"/>
      <c r="BH25" s="77"/>
      <c r="BI25" s="77"/>
      <c r="BJ25" s="75"/>
      <c r="BK25" s="75"/>
      <c r="BL25" s="75"/>
      <c r="BM25" s="75"/>
      <c r="BN25" s="78"/>
      <c r="BO25" s="33"/>
    </row>
    <row r="26">
      <c r="A26" s="33"/>
      <c r="B26" s="33"/>
      <c r="C26" s="33"/>
      <c r="D26" s="64" t="str">
        <f>'FC1'!C6</f>
        <v>1 hydroformed trofe, 2 HF trofes, with different infils, </v>
      </c>
      <c r="E26" s="65"/>
      <c r="F26" s="33"/>
      <c r="G26" s="83"/>
      <c r="H26" s="84"/>
      <c r="I26" s="33"/>
      <c r="J26" s="33"/>
      <c r="K26" s="33"/>
      <c r="L26" s="93"/>
      <c r="M26" s="93"/>
      <c r="N26" s="93"/>
      <c r="O26" s="93"/>
      <c r="P26" s="9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85"/>
      <c r="AB26" s="85"/>
      <c r="AC26" s="85"/>
      <c r="AD26" s="85"/>
      <c r="AE26" s="85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86"/>
      <c r="AQ26" s="86"/>
      <c r="AR26" s="86"/>
      <c r="AS26" s="86"/>
      <c r="AT26" s="86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87"/>
      <c r="BF26" s="87"/>
      <c r="BG26" s="87"/>
      <c r="BH26" s="87"/>
      <c r="BI26" s="87"/>
      <c r="BJ26" s="33"/>
      <c r="BK26" s="33"/>
      <c r="BL26" s="33"/>
      <c r="BM26" s="33"/>
      <c r="BN26" s="33"/>
      <c r="BO26" s="33"/>
    </row>
    <row r="27">
      <c r="A27" s="33"/>
      <c r="B27" s="33"/>
      <c r="C27" s="33"/>
      <c r="D27" s="64" t="str">
        <f>'FC1'!C7</f>
        <v>Multiple unit buoyancy</v>
      </c>
      <c r="E27" s="65"/>
      <c r="F27" s="33"/>
      <c r="G27" s="83"/>
      <c r="H27" s="84"/>
      <c r="I27" s="33"/>
      <c r="J27" s="33"/>
      <c r="K27" s="33"/>
      <c r="L27" s="93"/>
      <c r="M27" s="93"/>
      <c r="N27" s="93"/>
      <c r="O27" s="93"/>
      <c r="P27" s="9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85"/>
      <c r="AB27" s="85"/>
      <c r="AC27" s="85"/>
      <c r="AD27" s="85"/>
      <c r="AE27" s="85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86"/>
      <c r="AQ27" s="86"/>
      <c r="AR27" s="86"/>
      <c r="AS27" s="86"/>
      <c r="AT27" s="86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87"/>
      <c r="BF27" s="87"/>
      <c r="BG27" s="87"/>
      <c r="BH27" s="87"/>
      <c r="BI27" s="87"/>
      <c r="BJ27" s="33"/>
      <c r="BK27" s="33"/>
      <c r="BL27" s="33"/>
      <c r="BM27" s="33"/>
      <c r="BN27" s="33"/>
      <c r="BO27" s="33"/>
    </row>
    <row r="28">
      <c r="A28" s="33"/>
      <c r="B28" s="33"/>
      <c r="C28" s="33"/>
      <c r="D28" s="64" t="str">
        <f>'FC1'!C8</f>
        <v>Strucutral integraity of the assembled matrix</v>
      </c>
      <c r="E28" s="65"/>
      <c r="F28" s="33"/>
      <c r="G28" s="83"/>
      <c r="H28" s="84"/>
      <c r="I28" s="33"/>
      <c r="J28" s="33"/>
      <c r="K28" s="33"/>
      <c r="L28" s="93"/>
      <c r="M28" s="93"/>
      <c r="N28" s="93"/>
      <c r="O28" s="93"/>
      <c r="P28" s="9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85"/>
      <c r="AB28" s="85"/>
      <c r="AC28" s="85"/>
      <c r="AD28" s="85"/>
      <c r="AE28" s="85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86"/>
      <c r="AQ28" s="86"/>
      <c r="AR28" s="86"/>
      <c r="AS28" s="86"/>
      <c r="AT28" s="86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87"/>
      <c r="BF28" s="87"/>
      <c r="BG28" s="87"/>
      <c r="BH28" s="87"/>
      <c r="BI28" s="87"/>
      <c r="BJ28" s="33"/>
      <c r="BK28" s="33"/>
      <c r="BL28" s="33"/>
      <c r="BM28" s="33"/>
      <c r="BN28" s="33"/>
      <c r="BO28" s="33"/>
    </row>
    <row r="29">
      <c r="A29" s="33"/>
      <c r="B29" s="33"/>
      <c r="C29" s="33"/>
      <c r="D29" s="64" t="str">
        <f>'FC1'!C9</f>
        <v>Saussage on the matrix edge</v>
      </c>
      <c r="E29" s="65"/>
      <c r="F29" s="33"/>
      <c r="G29" s="83"/>
      <c r="H29" s="84"/>
      <c r="I29" s="33"/>
      <c r="J29" s="33"/>
      <c r="K29" s="33"/>
      <c r="L29" s="93"/>
      <c r="M29" s="93"/>
      <c r="N29" s="93"/>
      <c r="O29" s="93"/>
      <c r="P29" s="9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85"/>
      <c r="AB29" s="85"/>
      <c r="AC29" s="85"/>
      <c r="AD29" s="85"/>
      <c r="AE29" s="85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86"/>
      <c r="AQ29" s="86"/>
      <c r="AR29" s="86"/>
      <c r="AS29" s="86"/>
      <c r="AT29" s="86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87"/>
      <c r="BF29" s="87"/>
      <c r="BG29" s="87"/>
      <c r="BH29" s="87"/>
      <c r="BI29" s="87"/>
      <c r="BJ29" s="33"/>
      <c r="BK29" s="33"/>
      <c r="BL29" s="33"/>
      <c r="BM29" s="33"/>
      <c r="BN29" s="33"/>
      <c r="BO29" s="33"/>
    </row>
    <row r="30">
      <c r="A30" s="33"/>
      <c r="B30" s="33"/>
      <c r="C30" s="33"/>
      <c r="D30" s="33"/>
      <c r="E30" s="65"/>
      <c r="F30" s="33"/>
      <c r="G30" s="83"/>
      <c r="H30" s="84"/>
      <c r="I30" s="33"/>
      <c r="J30" s="33"/>
      <c r="K30" s="33"/>
      <c r="L30" s="93"/>
      <c r="M30" s="93"/>
      <c r="N30" s="93"/>
      <c r="O30" s="93"/>
      <c r="P30" s="9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85"/>
      <c r="AB30" s="85"/>
      <c r="AC30" s="85"/>
      <c r="AD30" s="85"/>
      <c r="AE30" s="85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86"/>
      <c r="AQ30" s="86"/>
      <c r="AR30" s="86"/>
      <c r="AS30" s="86"/>
      <c r="AT30" s="86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87"/>
      <c r="BF30" s="87"/>
      <c r="BG30" s="87"/>
      <c r="BH30" s="87"/>
      <c r="BI30" s="87"/>
      <c r="BJ30" s="33"/>
      <c r="BK30" s="33"/>
      <c r="BL30" s="33"/>
      <c r="BM30" s="33"/>
      <c r="BN30" s="33"/>
      <c r="BO30" s="33"/>
    </row>
    <row r="31">
      <c r="A31" s="59" t="str">
        <f>'Function - criteria - Solution'!A5</f>
        <v>FC2</v>
      </c>
      <c r="B31" s="59">
        <f>'Function - criteria - Solution'!D5</f>
        <v>2</v>
      </c>
      <c r="C31" s="59" t="str">
        <f>'Function - criteria - Solution'!B5</f>
        <v>Water protection</v>
      </c>
      <c r="D31" s="59"/>
      <c r="E31" s="60">
        <v>12.0</v>
      </c>
      <c r="F31" s="59"/>
      <c r="G31" s="61"/>
      <c r="H31" s="62"/>
      <c r="I31" s="63"/>
      <c r="J31" s="63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33"/>
    </row>
    <row r="32">
      <c r="A32" s="64"/>
      <c r="B32" s="64"/>
      <c r="C32" s="64"/>
      <c r="D32" s="64" t="str">
        <f>'FC2'!C2</f>
        <v>Marine PU foam inside the float it self</v>
      </c>
      <c r="E32" s="65"/>
      <c r="F32" s="64"/>
      <c r="G32" s="90"/>
      <c r="H32" s="91"/>
      <c r="I32" s="69"/>
      <c r="J32" s="69"/>
      <c r="K32" s="69"/>
      <c r="L32" s="94"/>
      <c r="M32" s="94"/>
      <c r="N32" s="94"/>
      <c r="O32" s="94"/>
      <c r="P32" s="94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92"/>
      <c r="AB32" s="92"/>
      <c r="AC32" s="92"/>
      <c r="AD32" s="92"/>
      <c r="AE32" s="92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0"/>
      <c r="AR32" s="70"/>
      <c r="AS32" s="70"/>
      <c r="AT32" s="70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1"/>
      <c r="BF32" s="71"/>
      <c r="BG32" s="71"/>
      <c r="BH32" s="71"/>
      <c r="BI32" s="71"/>
      <c r="BJ32" s="69"/>
      <c r="BK32" s="69"/>
      <c r="BL32" s="69"/>
      <c r="BM32" s="69"/>
      <c r="BN32" s="72"/>
      <c r="BO32" s="33"/>
    </row>
    <row r="33">
      <c r="A33" s="64"/>
      <c r="B33" s="64"/>
      <c r="C33" s="64"/>
      <c r="D33" s="64" t="str">
        <f>'FC2'!C3</f>
        <v>Heighten the PV above the water line</v>
      </c>
      <c r="E33" s="65"/>
      <c r="F33" s="64"/>
      <c r="G33" s="79"/>
      <c r="H33" s="80"/>
      <c r="I33" s="75"/>
      <c r="J33" s="75"/>
      <c r="K33" s="75"/>
      <c r="L33" s="94"/>
      <c r="M33" s="94"/>
      <c r="N33" s="94"/>
      <c r="O33" s="94"/>
      <c r="P33" s="94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82"/>
      <c r="AB33" s="82"/>
      <c r="AC33" s="82"/>
      <c r="AD33" s="82"/>
      <c r="AE33" s="82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6"/>
      <c r="AR33" s="76"/>
      <c r="AS33" s="76"/>
      <c r="AT33" s="76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7"/>
      <c r="BF33" s="77"/>
      <c r="BG33" s="77"/>
      <c r="BH33" s="77"/>
      <c r="BI33" s="77"/>
      <c r="BJ33" s="75"/>
      <c r="BK33" s="75"/>
      <c r="BL33" s="75"/>
      <c r="BM33" s="75"/>
      <c r="BN33" s="78"/>
      <c r="BO33" s="33"/>
    </row>
    <row r="34">
      <c r="A34" s="64"/>
      <c r="B34" s="64"/>
      <c r="C34" s="64"/>
      <c r="D34" s="64" t="str">
        <f>'FC2'!C4</f>
        <v>Protect the backside of the PV and the junction box with Foam</v>
      </c>
      <c r="E34" s="65"/>
      <c r="F34" s="64"/>
      <c r="G34" s="79"/>
      <c r="H34" s="80"/>
      <c r="I34" s="75"/>
      <c r="J34" s="75"/>
      <c r="K34" s="75"/>
      <c r="L34" s="94"/>
      <c r="M34" s="94"/>
      <c r="N34" s="94"/>
      <c r="O34" s="94"/>
      <c r="P34" s="94"/>
      <c r="Q34" s="69"/>
      <c r="R34" s="69"/>
      <c r="S34" s="69"/>
      <c r="T34" s="69"/>
      <c r="U34" s="75"/>
      <c r="V34" s="75"/>
      <c r="W34" s="75"/>
      <c r="X34" s="75"/>
      <c r="Y34" s="75"/>
      <c r="Z34" s="75"/>
      <c r="AA34" s="82"/>
      <c r="AB34" s="82"/>
      <c r="AC34" s="82"/>
      <c r="AD34" s="82"/>
      <c r="AE34" s="82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6"/>
      <c r="AR34" s="76"/>
      <c r="AS34" s="76"/>
      <c r="AT34" s="76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7"/>
      <c r="BF34" s="77"/>
      <c r="BG34" s="77"/>
      <c r="BH34" s="77"/>
      <c r="BI34" s="77"/>
      <c r="BJ34" s="75"/>
      <c r="BK34" s="75"/>
      <c r="BL34" s="75"/>
      <c r="BM34" s="75"/>
      <c r="BN34" s="78"/>
      <c r="BO34" s="33"/>
    </row>
    <row r="35">
      <c r="A35" s="64"/>
      <c r="B35" s="64"/>
      <c r="C35" s="64"/>
      <c r="D35" s="64" t="str">
        <f>'FC2'!C5</f>
        <v>Extra protecting box with PM </v>
      </c>
      <c r="E35" s="65"/>
      <c r="F35" s="64"/>
      <c r="G35" s="79"/>
      <c r="H35" s="80"/>
      <c r="I35" s="75"/>
      <c r="J35" s="75"/>
      <c r="K35" s="75"/>
      <c r="L35" s="94"/>
      <c r="M35" s="94"/>
      <c r="N35" s="94"/>
      <c r="O35" s="94"/>
      <c r="P35" s="94"/>
      <c r="Q35" s="69"/>
      <c r="R35" s="69"/>
      <c r="S35" s="69"/>
      <c r="T35" s="69"/>
      <c r="U35" s="75"/>
      <c r="V35" s="75"/>
      <c r="W35" s="75"/>
      <c r="X35" s="75"/>
      <c r="Y35" s="75"/>
      <c r="Z35" s="75"/>
      <c r="AA35" s="82"/>
      <c r="AB35" s="82"/>
      <c r="AC35" s="82"/>
      <c r="AD35" s="82"/>
      <c r="AE35" s="82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6"/>
      <c r="AR35" s="76"/>
      <c r="AS35" s="76"/>
      <c r="AT35" s="76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7"/>
      <c r="BF35" s="77"/>
      <c r="BG35" s="77"/>
      <c r="BH35" s="77"/>
      <c r="BI35" s="77"/>
      <c r="BJ35" s="75"/>
      <c r="BK35" s="75"/>
      <c r="BL35" s="75"/>
      <c r="BM35" s="75"/>
      <c r="BN35" s="78"/>
      <c r="BO35" s="33"/>
    </row>
    <row r="36">
      <c r="A36" s="33"/>
      <c r="B36" s="33"/>
      <c r="C36" s="33"/>
      <c r="D36" s="64" t="str">
        <f>'FC2'!C6</f>
        <v>Enhance the protection of the PV edge</v>
      </c>
      <c r="E36" s="65"/>
      <c r="F36" s="33"/>
      <c r="G36" s="83"/>
      <c r="H36" s="84"/>
      <c r="I36" s="33"/>
      <c r="J36" s="33"/>
      <c r="K36" s="33"/>
      <c r="L36" s="93"/>
      <c r="M36" s="93"/>
      <c r="N36" s="93"/>
      <c r="O36" s="93"/>
      <c r="P36" s="9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85"/>
      <c r="AB36" s="85"/>
      <c r="AC36" s="85"/>
      <c r="AD36" s="85"/>
      <c r="AE36" s="85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86"/>
      <c r="AQ36" s="86"/>
      <c r="AR36" s="86"/>
      <c r="AS36" s="86"/>
      <c r="AT36" s="86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87"/>
      <c r="BF36" s="87"/>
      <c r="BG36" s="87"/>
      <c r="BH36" s="87"/>
      <c r="BI36" s="87"/>
      <c r="BJ36" s="33"/>
      <c r="BK36" s="33"/>
      <c r="BL36" s="33"/>
      <c r="BM36" s="33"/>
      <c r="BN36" s="33"/>
      <c r="BO36" s="33"/>
    </row>
    <row r="37">
      <c r="A37" s="33"/>
      <c r="B37" s="33"/>
      <c r="C37" s="33"/>
      <c r="D37" s="64" t="str">
        <f>'FC2'!C7</f>
        <v>Protect the Cables going in and out of the float</v>
      </c>
      <c r="E37" s="65"/>
      <c r="F37" s="33"/>
      <c r="G37" s="83"/>
      <c r="H37" s="84"/>
      <c r="I37" s="33"/>
      <c r="J37" s="33"/>
      <c r="K37" s="33"/>
      <c r="L37" s="93"/>
      <c r="M37" s="93"/>
      <c r="N37" s="93"/>
      <c r="O37" s="93"/>
      <c r="P37" s="9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85"/>
      <c r="AB37" s="85"/>
      <c r="AC37" s="85"/>
      <c r="AD37" s="85"/>
      <c r="AE37" s="85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86"/>
      <c r="AQ37" s="86"/>
      <c r="AR37" s="86"/>
      <c r="AS37" s="86"/>
      <c r="AT37" s="86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87"/>
      <c r="BF37" s="87"/>
      <c r="BG37" s="87"/>
      <c r="BH37" s="87"/>
      <c r="BI37" s="87"/>
      <c r="BJ37" s="33"/>
      <c r="BK37" s="33"/>
      <c r="BL37" s="33"/>
      <c r="BM37" s="33"/>
      <c r="BN37" s="33"/>
      <c r="BO37" s="33"/>
    </row>
    <row r="38">
      <c r="A38" s="33"/>
      <c r="B38" s="33"/>
      <c r="C38" s="33"/>
      <c r="D38" s="64" t="str">
        <f>'FC2'!C8</f>
        <v>MC4 connectors must be protected</v>
      </c>
      <c r="E38" s="65"/>
      <c r="F38" s="33"/>
      <c r="G38" s="83"/>
      <c r="H38" s="84"/>
      <c r="I38" s="33"/>
      <c r="J38" s="33"/>
      <c r="K38" s="33"/>
      <c r="L38" s="93"/>
      <c r="M38" s="93"/>
      <c r="N38" s="93"/>
      <c r="O38" s="93"/>
      <c r="P38" s="9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85"/>
      <c r="AB38" s="85"/>
      <c r="AC38" s="85"/>
      <c r="AD38" s="85"/>
      <c r="AE38" s="85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86"/>
      <c r="AQ38" s="86"/>
      <c r="AR38" s="86"/>
      <c r="AS38" s="86"/>
      <c r="AT38" s="86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87"/>
      <c r="BF38" s="87"/>
      <c r="BG38" s="87"/>
      <c r="BH38" s="87"/>
      <c r="BI38" s="87"/>
      <c r="BJ38" s="33"/>
      <c r="BK38" s="33"/>
      <c r="BL38" s="33"/>
      <c r="BM38" s="33"/>
      <c r="BN38" s="33"/>
      <c r="BO38" s="33"/>
    </row>
    <row r="39">
      <c r="A39" s="33"/>
      <c r="B39" s="33"/>
      <c r="C39" s="33"/>
      <c r="D39" s="64" t="str">
        <f>'FC2'!C9</f>
        <v/>
      </c>
      <c r="E39" s="65"/>
      <c r="F39" s="33"/>
      <c r="G39" s="83"/>
      <c r="H39" s="84"/>
      <c r="I39" s="33"/>
      <c r="J39" s="33"/>
      <c r="K39" s="33"/>
      <c r="L39" s="93"/>
      <c r="M39" s="93"/>
      <c r="N39" s="93"/>
      <c r="O39" s="93"/>
      <c r="P39" s="9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85"/>
      <c r="AB39" s="85"/>
      <c r="AC39" s="85"/>
      <c r="AD39" s="85"/>
      <c r="AE39" s="85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86"/>
      <c r="AQ39" s="86"/>
      <c r="AR39" s="86"/>
      <c r="AS39" s="86"/>
      <c r="AT39" s="86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87"/>
      <c r="BF39" s="87"/>
      <c r="BG39" s="87"/>
      <c r="BH39" s="87"/>
      <c r="BI39" s="87"/>
      <c r="BJ39" s="33"/>
      <c r="BK39" s="33"/>
      <c r="BL39" s="33"/>
      <c r="BM39" s="33"/>
      <c r="BN39" s="33"/>
      <c r="BO39" s="33"/>
    </row>
    <row r="40">
      <c r="A40" s="59" t="str">
        <f>'Function - criteria - Solution'!A6</f>
        <v>FC3</v>
      </c>
      <c r="B40" s="59">
        <f>'Function - criteria - Solution'!D6</f>
        <v>1</v>
      </c>
      <c r="C40" s="59" t="str">
        <f>'Function - criteria - Solution'!B6</f>
        <v>Mechnical performance</v>
      </c>
      <c r="D40" s="59"/>
      <c r="E40" s="60">
        <v>20.0</v>
      </c>
      <c r="F40" s="59"/>
      <c r="G40" s="61"/>
      <c r="H40" s="62"/>
      <c r="I40" s="63"/>
      <c r="J40" s="63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33"/>
    </row>
    <row r="41">
      <c r="A41" s="64"/>
      <c r="B41" s="64"/>
      <c r="C41" s="64"/>
      <c r="D41" s="64" t="str">
        <f>'FC3'!C2</f>
        <v>Sketch</v>
      </c>
      <c r="E41" s="65"/>
      <c r="F41" s="64"/>
      <c r="G41" s="90"/>
      <c r="H41" s="91"/>
      <c r="I41" s="69"/>
      <c r="J41" s="69"/>
      <c r="L41" s="94"/>
      <c r="M41" s="94"/>
      <c r="N41" s="94"/>
      <c r="O41" s="94"/>
      <c r="P41" s="94"/>
      <c r="U41" s="69"/>
      <c r="V41" s="69"/>
      <c r="W41" s="69"/>
      <c r="X41" s="69"/>
      <c r="Y41" s="69"/>
      <c r="Z41" s="69"/>
      <c r="AA41" s="92"/>
      <c r="AB41" s="92"/>
      <c r="AC41" s="92"/>
      <c r="AD41" s="92"/>
      <c r="AE41" s="92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70"/>
      <c r="AQ41" s="70"/>
      <c r="AR41" s="70"/>
      <c r="AS41" s="70"/>
      <c r="AT41" s="70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71"/>
      <c r="BF41" s="71"/>
      <c r="BG41" s="71"/>
      <c r="BH41" s="71"/>
      <c r="BI41" s="71"/>
      <c r="BJ41" s="69"/>
      <c r="BK41" s="69"/>
      <c r="BL41" s="69"/>
      <c r="BM41" s="69"/>
      <c r="BN41" s="72"/>
      <c r="BO41" s="33"/>
    </row>
    <row r="42">
      <c r="A42" s="64"/>
      <c r="B42" s="64"/>
      <c r="C42" s="64"/>
      <c r="D42" s="64" t="str">
        <f>'FC3'!C3</f>
        <v>3D design</v>
      </c>
      <c r="E42" s="65"/>
      <c r="F42" s="64"/>
      <c r="G42" s="79"/>
      <c r="H42" s="80"/>
      <c r="I42" s="75"/>
      <c r="J42" s="75"/>
      <c r="L42" s="94"/>
      <c r="M42" s="94"/>
      <c r="N42" s="94"/>
      <c r="O42" s="94"/>
      <c r="P42" s="94"/>
      <c r="U42" s="75"/>
      <c r="V42" s="75"/>
      <c r="W42" s="75"/>
      <c r="X42" s="75"/>
      <c r="Y42" s="75"/>
      <c r="Z42" s="75"/>
      <c r="AA42" s="82"/>
      <c r="AB42" s="82"/>
      <c r="AC42" s="82"/>
      <c r="AD42" s="82"/>
      <c r="AE42" s="82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6"/>
      <c r="AQ42" s="76"/>
      <c r="AR42" s="76"/>
      <c r="AS42" s="76"/>
      <c r="AT42" s="76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7"/>
      <c r="BF42" s="77"/>
      <c r="BG42" s="77"/>
      <c r="BH42" s="77"/>
      <c r="BI42" s="77"/>
      <c r="BJ42" s="75"/>
      <c r="BK42" s="75"/>
      <c r="BL42" s="75"/>
      <c r="BM42" s="75"/>
      <c r="BN42" s="78"/>
      <c r="BO42" s="33"/>
    </row>
    <row r="43">
      <c r="A43" s="64"/>
      <c r="B43" s="64"/>
      <c r="C43" s="64"/>
      <c r="D43" s="64" t="str">
        <f>'FC3'!C4</f>
        <v>LS dyna simu</v>
      </c>
      <c r="E43" s="65"/>
      <c r="F43" s="64"/>
      <c r="G43" s="79"/>
      <c r="H43" s="80"/>
      <c r="I43" s="75"/>
      <c r="J43" s="75"/>
      <c r="L43" s="94"/>
      <c r="M43" s="94"/>
      <c r="N43" s="94"/>
      <c r="O43" s="94"/>
      <c r="P43" s="94"/>
      <c r="U43" s="75"/>
      <c r="V43" s="75"/>
      <c r="W43" s="75"/>
      <c r="X43" s="75"/>
      <c r="Y43" s="75"/>
      <c r="Z43" s="75"/>
      <c r="AA43" s="82"/>
      <c r="AB43" s="82"/>
      <c r="AC43" s="82"/>
      <c r="AD43" s="82"/>
      <c r="AE43" s="82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6"/>
      <c r="AQ43" s="76"/>
      <c r="AR43" s="76"/>
      <c r="AS43" s="76"/>
      <c r="AT43" s="76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7"/>
      <c r="BF43" s="77"/>
      <c r="BG43" s="77"/>
      <c r="BH43" s="77"/>
      <c r="BI43" s="77"/>
      <c r="BJ43" s="75"/>
      <c r="BK43" s="75"/>
      <c r="BL43" s="75"/>
      <c r="BM43" s="75"/>
      <c r="BN43" s="78"/>
      <c r="BO43" s="33"/>
    </row>
    <row r="44">
      <c r="A44" s="64"/>
      <c r="B44" s="64"/>
      <c r="C44" s="64"/>
      <c r="D44" s="64" t="str">
        <f>'FC3'!C5</f>
        <v>optimze parameters</v>
      </c>
      <c r="E44" s="65"/>
      <c r="F44" s="64"/>
      <c r="G44" s="79"/>
      <c r="H44" s="80"/>
      <c r="I44" s="75"/>
      <c r="J44" s="75"/>
      <c r="L44" s="94"/>
      <c r="M44" s="94"/>
      <c r="N44" s="94"/>
      <c r="O44" s="94"/>
      <c r="P44" s="94"/>
      <c r="U44" s="75"/>
      <c r="V44" s="75"/>
      <c r="W44" s="75"/>
      <c r="X44" s="75"/>
      <c r="Y44" s="75"/>
      <c r="Z44" s="75"/>
      <c r="AA44" s="82"/>
      <c r="AB44" s="82"/>
      <c r="AC44" s="82"/>
      <c r="AD44" s="82"/>
      <c r="AE44" s="82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6"/>
      <c r="AQ44" s="76"/>
      <c r="AR44" s="76"/>
      <c r="AS44" s="76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7"/>
      <c r="BF44" s="77"/>
      <c r="BG44" s="77"/>
      <c r="BH44" s="77"/>
      <c r="BI44" s="77"/>
      <c r="BJ44" s="75"/>
      <c r="BK44" s="75"/>
      <c r="BL44" s="75"/>
      <c r="BM44" s="75"/>
      <c r="BN44" s="78"/>
      <c r="BO44" s="33"/>
    </row>
    <row r="45">
      <c r="A45" s="33"/>
      <c r="B45" s="33"/>
      <c r="C45" s="33"/>
      <c r="D45" s="64" t="str">
        <f>'FC3'!C6</f>
        <v>Model scale test</v>
      </c>
      <c r="E45" s="65"/>
      <c r="F45" s="33"/>
      <c r="G45" s="83"/>
      <c r="H45" s="84"/>
      <c r="I45" s="33"/>
      <c r="J45" s="33"/>
      <c r="L45" s="93"/>
      <c r="M45" s="93"/>
      <c r="N45" s="93"/>
      <c r="O45" s="93"/>
      <c r="P45" s="93"/>
      <c r="U45" s="33"/>
      <c r="V45" s="33"/>
      <c r="W45" s="33"/>
      <c r="X45" s="33"/>
      <c r="Y45" s="33"/>
      <c r="Z45" s="33"/>
      <c r="AA45" s="85"/>
      <c r="AB45" s="85"/>
      <c r="AC45" s="85"/>
      <c r="AD45" s="85"/>
      <c r="AE45" s="85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86"/>
      <c r="AQ45" s="86"/>
      <c r="AR45" s="86"/>
      <c r="AS45" s="86"/>
      <c r="AT45" s="86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87"/>
      <c r="BF45" s="87"/>
      <c r="BG45" s="87"/>
      <c r="BH45" s="87"/>
      <c r="BI45" s="87"/>
      <c r="BJ45" s="33"/>
      <c r="BK45" s="33"/>
      <c r="BL45" s="33"/>
      <c r="BM45" s="33"/>
      <c r="BN45" s="33"/>
      <c r="BO45" s="33"/>
    </row>
    <row r="46">
      <c r="A46" s="33"/>
      <c r="B46" s="33"/>
      <c r="C46" s="33"/>
      <c r="D46" s="64" t="str">
        <f>'FC3'!C7</f>
        <v>Fatigue</v>
      </c>
      <c r="E46" s="65"/>
      <c r="F46" s="33"/>
      <c r="G46" s="83"/>
      <c r="H46" s="84"/>
      <c r="I46" s="33"/>
      <c r="J46" s="33"/>
      <c r="L46" s="93"/>
      <c r="M46" s="93"/>
      <c r="N46" s="93"/>
      <c r="O46" s="93"/>
      <c r="P46" s="93"/>
      <c r="U46" s="33"/>
      <c r="V46" s="33"/>
      <c r="W46" s="33"/>
      <c r="X46" s="33"/>
      <c r="Y46" s="33"/>
      <c r="Z46" s="33"/>
      <c r="AA46" s="85"/>
      <c r="AB46" s="85"/>
      <c r="AC46" s="85"/>
      <c r="AD46" s="85"/>
      <c r="AE46" s="85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86"/>
      <c r="AQ46" s="86"/>
      <c r="AR46" s="86"/>
      <c r="AS46" s="86"/>
      <c r="AT46" s="86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87"/>
      <c r="BF46" s="87"/>
      <c r="BG46" s="87"/>
      <c r="BH46" s="87"/>
      <c r="BI46" s="87"/>
      <c r="BJ46" s="33"/>
      <c r="BK46" s="33"/>
      <c r="BL46" s="33"/>
      <c r="BM46" s="33"/>
      <c r="BN46" s="33"/>
      <c r="BO46" s="33"/>
    </row>
    <row r="47">
      <c r="A47" s="33"/>
      <c r="B47" s="33"/>
      <c r="C47" s="33"/>
      <c r="D47" s="64" t="str">
        <f>'FC3'!C8</f>
        <v>Tensile str</v>
      </c>
      <c r="E47" s="65"/>
      <c r="F47" s="33"/>
      <c r="G47" s="83"/>
      <c r="H47" s="84"/>
      <c r="I47" s="33"/>
      <c r="J47" s="33"/>
      <c r="L47" s="94"/>
      <c r="M47" s="94"/>
      <c r="N47" s="94"/>
      <c r="O47" s="94"/>
      <c r="P47" s="94"/>
      <c r="U47" s="33"/>
      <c r="V47" s="33"/>
      <c r="W47" s="33"/>
      <c r="X47" s="33"/>
      <c r="Y47" s="33"/>
      <c r="Z47" s="33"/>
      <c r="AA47" s="85"/>
      <c r="AB47" s="85"/>
      <c r="AC47" s="85"/>
      <c r="AD47" s="85"/>
      <c r="AE47" s="85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86"/>
      <c r="AQ47" s="86"/>
      <c r="AR47" s="86"/>
      <c r="AS47" s="86"/>
      <c r="AT47" s="86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87"/>
      <c r="BF47" s="87"/>
      <c r="BG47" s="87"/>
      <c r="BH47" s="87"/>
      <c r="BI47" s="87"/>
      <c r="BJ47" s="33"/>
      <c r="BK47" s="33"/>
      <c r="BL47" s="33"/>
      <c r="BM47" s="33"/>
      <c r="BN47" s="33"/>
      <c r="BO47" s="33"/>
    </row>
    <row r="48">
      <c r="A48" s="33"/>
      <c r="B48" s="33"/>
      <c r="C48" s="33"/>
      <c r="D48" s="64" t="str">
        <f>'FC3'!C9</f>
        <v>Shear str</v>
      </c>
      <c r="E48" s="65"/>
      <c r="F48" s="33"/>
      <c r="G48" s="83"/>
      <c r="H48" s="84"/>
      <c r="I48" s="33"/>
      <c r="J48" s="33"/>
      <c r="L48" s="94"/>
      <c r="M48" s="94"/>
      <c r="N48" s="94"/>
      <c r="O48" s="94"/>
      <c r="P48" s="94"/>
      <c r="U48" s="33"/>
      <c r="V48" s="33"/>
      <c r="W48" s="33"/>
      <c r="X48" s="33"/>
      <c r="Y48" s="33"/>
      <c r="Z48" s="33"/>
      <c r="AA48" s="85"/>
      <c r="AB48" s="85"/>
      <c r="AC48" s="85"/>
      <c r="AD48" s="85"/>
      <c r="AE48" s="85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86"/>
      <c r="AQ48" s="86"/>
      <c r="AR48" s="86"/>
      <c r="AS48" s="86"/>
      <c r="AT48" s="86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87"/>
      <c r="BF48" s="87"/>
      <c r="BG48" s="87"/>
      <c r="BH48" s="87"/>
      <c r="BI48" s="87"/>
      <c r="BJ48" s="33"/>
      <c r="BK48" s="33"/>
      <c r="BL48" s="33"/>
      <c r="BM48" s="33"/>
      <c r="BN48" s="33"/>
      <c r="BO48" s="33"/>
    </row>
    <row r="49">
      <c r="A49" s="33"/>
      <c r="B49" s="33"/>
      <c r="C49" s="33"/>
      <c r="D49" s="64" t="str">
        <f>'FC3'!C10</f>
        <v>compression str</v>
      </c>
      <c r="E49" s="65"/>
      <c r="F49" s="33"/>
      <c r="G49" s="83"/>
      <c r="H49" s="84"/>
      <c r="I49" s="33"/>
      <c r="J49" s="33"/>
      <c r="L49" s="94"/>
      <c r="M49" s="94"/>
      <c r="N49" s="94"/>
      <c r="O49" s="94"/>
      <c r="P49" s="94"/>
      <c r="U49" s="33"/>
      <c r="V49" s="33"/>
      <c r="W49" s="33"/>
      <c r="X49" s="33"/>
      <c r="Y49" s="33"/>
      <c r="Z49" s="33"/>
      <c r="AA49" s="85"/>
      <c r="AB49" s="85"/>
      <c r="AC49" s="85"/>
      <c r="AD49" s="85"/>
      <c r="AE49" s="85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86"/>
      <c r="AQ49" s="86"/>
      <c r="AR49" s="86"/>
      <c r="AS49" s="86"/>
      <c r="AT49" s="86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87"/>
      <c r="BF49" s="87"/>
      <c r="BG49" s="87"/>
      <c r="BH49" s="87"/>
      <c r="BI49" s="87"/>
      <c r="BJ49" s="33"/>
      <c r="BK49" s="33"/>
      <c r="BL49" s="33"/>
      <c r="BM49" s="33"/>
      <c r="BN49" s="33"/>
      <c r="BO49" s="33"/>
    </row>
    <row r="50">
      <c r="A50" s="33"/>
      <c r="B50" s="33"/>
      <c r="C50" s="33"/>
      <c r="D50" s="64" t="str">
        <f>'FC3'!C11</f>
        <v>Full scale prototype testing</v>
      </c>
      <c r="E50" s="65"/>
      <c r="F50" s="33"/>
      <c r="G50" s="83"/>
      <c r="H50" s="84"/>
      <c r="I50" s="33"/>
      <c r="J50" s="33"/>
      <c r="L50" s="94"/>
      <c r="M50" s="94"/>
      <c r="N50" s="94"/>
      <c r="O50" s="94"/>
      <c r="P50" s="94"/>
      <c r="U50" s="33"/>
      <c r="V50" s="33"/>
      <c r="W50" s="33"/>
      <c r="X50" s="33"/>
      <c r="Y50" s="33"/>
      <c r="Z50" s="33"/>
      <c r="AA50" s="85"/>
      <c r="AB50" s="85"/>
      <c r="AC50" s="85"/>
      <c r="AD50" s="85"/>
      <c r="AE50" s="85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86"/>
      <c r="AQ50" s="86"/>
      <c r="AR50" s="86"/>
      <c r="AS50" s="86"/>
      <c r="AT50" s="86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87"/>
      <c r="BF50" s="87"/>
      <c r="BG50" s="87"/>
      <c r="BH50" s="87"/>
      <c r="BI50" s="87"/>
      <c r="BJ50" s="33"/>
      <c r="BK50" s="33"/>
      <c r="BL50" s="33"/>
      <c r="BM50" s="33"/>
      <c r="BN50" s="33"/>
      <c r="BO50" s="33"/>
    </row>
    <row r="51">
      <c r="A51" s="33"/>
      <c r="B51" s="33"/>
      <c r="C51" s="33"/>
      <c r="D51" s="64" t="str">
        <f>'FC3'!C12</f>
        <v>Source a new hinge</v>
      </c>
      <c r="E51" s="65"/>
      <c r="F51" s="33"/>
      <c r="G51" s="83"/>
      <c r="H51" s="84"/>
      <c r="I51" s="33"/>
      <c r="J51" s="33"/>
      <c r="L51" s="93"/>
      <c r="M51" s="93"/>
      <c r="N51" s="93"/>
      <c r="O51" s="93"/>
      <c r="P51" s="93"/>
      <c r="U51" s="33"/>
      <c r="V51" s="33"/>
      <c r="W51" s="33"/>
      <c r="X51" s="33"/>
      <c r="Y51" s="33"/>
      <c r="Z51" s="33"/>
      <c r="AA51" s="85"/>
      <c r="AB51" s="85"/>
      <c r="AC51" s="85"/>
      <c r="AD51" s="85"/>
      <c r="AE51" s="85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86"/>
      <c r="AQ51" s="86"/>
      <c r="AR51" s="86"/>
      <c r="AS51" s="86"/>
      <c r="AT51" s="86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87"/>
      <c r="BF51" s="87"/>
      <c r="BG51" s="87"/>
      <c r="BH51" s="87"/>
      <c r="BI51" s="87"/>
      <c r="BJ51" s="33"/>
      <c r="BK51" s="33"/>
      <c r="BL51" s="33"/>
      <c r="BM51" s="33"/>
      <c r="BN51" s="33"/>
      <c r="BO51" s="33"/>
    </row>
    <row r="52">
      <c r="A52" s="33"/>
      <c r="B52" s="33"/>
      <c r="C52" s="33"/>
      <c r="D52" s="64" t="str">
        <f>'FC3'!C13</f>
        <v/>
      </c>
      <c r="E52" s="65"/>
      <c r="F52" s="33"/>
      <c r="G52" s="83"/>
      <c r="H52" s="84"/>
      <c r="I52" s="33"/>
      <c r="J52" s="33"/>
      <c r="L52" s="93"/>
      <c r="M52" s="93"/>
      <c r="N52" s="93"/>
      <c r="O52" s="93"/>
      <c r="P52" s="93"/>
      <c r="U52" s="33"/>
      <c r="V52" s="33"/>
      <c r="W52" s="33"/>
      <c r="X52" s="33"/>
      <c r="Y52" s="33"/>
      <c r="Z52" s="33"/>
      <c r="AA52" s="85"/>
      <c r="AB52" s="85"/>
      <c r="AC52" s="85"/>
      <c r="AD52" s="85"/>
      <c r="AE52" s="85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86"/>
      <c r="AQ52" s="86"/>
      <c r="AR52" s="86"/>
      <c r="AS52" s="86"/>
      <c r="AT52" s="86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87"/>
      <c r="BF52" s="87"/>
      <c r="BG52" s="87"/>
      <c r="BH52" s="87"/>
      <c r="BI52" s="87"/>
      <c r="BJ52" s="33"/>
      <c r="BK52" s="33"/>
      <c r="BL52" s="33"/>
      <c r="BM52" s="33"/>
      <c r="BN52" s="33"/>
      <c r="BO52" s="33"/>
    </row>
    <row r="53">
      <c r="A53" s="33"/>
      <c r="B53" s="33"/>
      <c r="C53" s="33"/>
      <c r="D53" s="64" t="str">
        <f>'FC3'!C14</f>
        <v/>
      </c>
      <c r="E53" s="65"/>
      <c r="F53" s="33"/>
      <c r="G53" s="83"/>
      <c r="H53" s="84"/>
      <c r="I53" s="33"/>
      <c r="J53" s="33"/>
      <c r="L53" s="93"/>
      <c r="M53" s="93"/>
      <c r="N53" s="93"/>
      <c r="O53" s="93"/>
      <c r="P53" s="93"/>
      <c r="U53" s="33"/>
      <c r="V53" s="33"/>
      <c r="W53" s="33"/>
      <c r="X53" s="33"/>
      <c r="Y53" s="33"/>
      <c r="Z53" s="33"/>
      <c r="AA53" s="85"/>
      <c r="AB53" s="85"/>
      <c r="AC53" s="85"/>
      <c r="AD53" s="85"/>
      <c r="AE53" s="85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86"/>
      <c r="AQ53" s="86"/>
      <c r="AR53" s="86"/>
      <c r="AS53" s="86"/>
      <c r="AT53" s="86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87"/>
      <c r="BF53" s="87"/>
      <c r="BG53" s="87"/>
      <c r="BH53" s="87"/>
      <c r="BI53" s="87"/>
      <c r="BJ53" s="33"/>
      <c r="BK53" s="33"/>
      <c r="BL53" s="33"/>
      <c r="BM53" s="33"/>
      <c r="BN53" s="33"/>
      <c r="BO53" s="33"/>
    </row>
    <row r="54">
      <c r="A54" s="33"/>
      <c r="B54" s="33"/>
      <c r="C54" s="33"/>
      <c r="D54" s="33"/>
      <c r="E54" s="65"/>
      <c r="F54" s="33"/>
      <c r="G54" s="83"/>
      <c r="H54" s="84"/>
      <c r="I54" s="33"/>
      <c r="J54" s="33"/>
      <c r="L54" s="93"/>
      <c r="M54" s="93"/>
      <c r="N54" s="93"/>
      <c r="O54" s="93"/>
      <c r="P54" s="93"/>
      <c r="U54" s="33"/>
      <c r="V54" s="33"/>
      <c r="W54" s="33"/>
      <c r="X54" s="33"/>
      <c r="Y54" s="33"/>
      <c r="Z54" s="33"/>
      <c r="AA54" s="85"/>
      <c r="AB54" s="85"/>
      <c r="AC54" s="85"/>
      <c r="AD54" s="85"/>
      <c r="AE54" s="85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86"/>
      <c r="AQ54" s="86"/>
      <c r="AR54" s="86"/>
      <c r="AS54" s="86"/>
      <c r="AT54" s="86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87"/>
      <c r="BF54" s="87"/>
      <c r="BG54" s="87"/>
      <c r="BH54" s="87"/>
      <c r="BI54" s="87"/>
      <c r="BJ54" s="33"/>
      <c r="BK54" s="33"/>
      <c r="BL54" s="33"/>
      <c r="BM54" s="33"/>
      <c r="BN54" s="33"/>
      <c r="BO54" s="33"/>
    </row>
    <row r="55">
      <c r="A55" s="59" t="str">
        <f>'Function - criteria - Solution'!A7</f>
        <v>FC4</v>
      </c>
      <c r="B55" s="59">
        <f>'Function - criteria - Solution'!D7</f>
        <v>3</v>
      </c>
      <c r="C55" s="59" t="str">
        <f>'Function - criteria - Solution'!B7</f>
        <v>Submarining</v>
      </c>
      <c r="D55" s="59"/>
      <c r="E55" s="60">
        <v>4.0</v>
      </c>
      <c r="F55" s="59"/>
      <c r="G55" s="61"/>
      <c r="H55" s="62"/>
      <c r="I55" s="63"/>
      <c r="J55" s="63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33"/>
    </row>
    <row r="56">
      <c r="A56" s="64"/>
      <c r="B56" s="64"/>
      <c r="C56" s="64"/>
      <c r="D56" s="64" t="str">
        <f>'FC4'!C2</f>
        <v>Design a stream breaking bow potentially buoyant</v>
      </c>
      <c r="E56" s="65"/>
      <c r="F56" s="64"/>
      <c r="G56" s="90"/>
      <c r="H56" s="91"/>
      <c r="I56" s="69"/>
      <c r="J56" s="69"/>
      <c r="K56" s="69"/>
      <c r="L56" s="94"/>
      <c r="M56" s="94"/>
      <c r="N56" s="94"/>
      <c r="O56" s="94"/>
      <c r="P56" s="94"/>
      <c r="Q56" s="69"/>
      <c r="R56" s="69"/>
      <c r="S56" s="69"/>
      <c r="T56" s="69"/>
      <c r="U56" s="69"/>
      <c r="AA56" s="82"/>
      <c r="AB56" s="82"/>
      <c r="AC56" s="82"/>
      <c r="AD56" s="82"/>
      <c r="AE56" s="82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70"/>
      <c r="AQ56" s="70"/>
      <c r="AR56" s="70"/>
      <c r="AS56" s="70"/>
      <c r="AT56" s="70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71"/>
      <c r="BF56" s="71"/>
      <c r="BG56" s="71"/>
      <c r="BH56" s="71"/>
      <c r="BI56" s="71"/>
      <c r="BJ56" s="69"/>
      <c r="BK56" s="69"/>
      <c r="BL56" s="69"/>
      <c r="BM56" s="69"/>
      <c r="BN56" s="72"/>
      <c r="BO56" s="33"/>
    </row>
    <row r="57">
      <c r="A57" s="64"/>
      <c r="B57" s="64"/>
      <c r="C57" s="64"/>
      <c r="D57" s="64" t="str">
        <f>'FC4'!C3</f>
        <v>Simulate "</v>
      </c>
      <c r="E57" s="65"/>
      <c r="F57" s="64"/>
      <c r="G57" s="79"/>
      <c r="H57" s="80"/>
      <c r="I57" s="75"/>
      <c r="J57" s="75"/>
      <c r="K57" s="75"/>
      <c r="L57" s="81"/>
      <c r="M57" s="81"/>
      <c r="N57" s="81"/>
      <c r="O57" s="81"/>
      <c r="P57" s="81"/>
      <c r="Q57" s="75"/>
      <c r="R57" s="75"/>
      <c r="S57" s="75"/>
      <c r="T57" s="75"/>
      <c r="U57" s="75"/>
      <c r="AA57" s="82"/>
      <c r="AB57" s="82"/>
      <c r="AC57" s="82"/>
      <c r="AD57" s="82"/>
      <c r="AE57" s="82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6"/>
      <c r="AQ57" s="76"/>
      <c r="AR57" s="76"/>
      <c r="AS57" s="76"/>
      <c r="AT57" s="76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7"/>
      <c r="BF57" s="77"/>
      <c r="BG57" s="77"/>
      <c r="BH57" s="77"/>
      <c r="BI57" s="77"/>
      <c r="BJ57" s="75"/>
      <c r="BK57" s="75"/>
      <c r="BL57" s="75"/>
      <c r="BM57" s="75"/>
      <c r="BN57" s="78"/>
      <c r="BO57" s="33"/>
    </row>
    <row r="58">
      <c r="A58" s="64"/>
      <c r="B58" s="64"/>
      <c r="C58" s="64"/>
      <c r="D58" s="64" t="str">
        <f>'FC4'!C4</f>
        <v>Parameter optimization</v>
      </c>
      <c r="E58" s="65"/>
      <c r="F58" s="64"/>
      <c r="G58" s="79"/>
      <c r="H58" s="80"/>
      <c r="I58" s="75"/>
      <c r="J58" s="75"/>
      <c r="K58" s="75"/>
      <c r="L58" s="81"/>
      <c r="M58" s="81"/>
      <c r="N58" s="81"/>
      <c r="O58" s="81"/>
      <c r="P58" s="81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82"/>
      <c r="AB58" s="82"/>
      <c r="AC58" s="82"/>
      <c r="AD58" s="82"/>
      <c r="AE58" s="82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6"/>
      <c r="AQ58" s="76"/>
      <c r="AR58" s="76"/>
      <c r="AS58" s="76"/>
      <c r="AT58" s="76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7"/>
      <c r="BF58" s="77"/>
      <c r="BG58" s="77"/>
      <c r="BH58" s="77"/>
      <c r="BI58" s="77"/>
      <c r="BJ58" s="75"/>
      <c r="BK58" s="75"/>
      <c r="BL58" s="75"/>
      <c r="BM58" s="75"/>
      <c r="BN58" s="78"/>
      <c r="BO58" s="33"/>
    </row>
    <row r="59">
      <c r="A59" s="64"/>
      <c r="B59" s="64"/>
      <c r="C59" s="64"/>
      <c r="D59" s="64" t="str">
        <f>'FC4'!C5</f>
        <v>Scale model test</v>
      </c>
      <c r="E59" s="65"/>
      <c r="F59" s="64"/>
      <c r="G59" s="79"/>
      <c r="H59" s="80"/>
      <c r="I59" s="75"/>
      <c r="J59" s="75"/>
      <c r="K59" s="75"/>
      <c r="L59" s="81"/>
      <c r="M59" s="81"/>
      <c r="N59" s="81"/>
      <c r="O59" s="81"/>
      <c r="P59" s="81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82"/>
      <c r="AB59" s="82"/>
      <c r="AC59" s="82"/>
      <c r="AD59" s="82"/>
      <c r="AE59" s="82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6"/>
      <c r="AQ59" s="76"/>
      <c r="AR59" s="76"/>
      <c r="AS59" s="76"/>
      <c r="AT59" s="76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7"/>
      <c r="BF59" s="77"/>
      <c r="BG59" s="77"/>
      <c r="BH59" s="77"/>
      <c r="BI59" s="77"/>
      <c r="BJ59" s="75"/>
      <c r="BK59" s="75"/>
      <c r="BL59" s="75"/>
      <c r="BM59" s="75"/>
      <c r="BN59" s="78"/>
      <c r="BO59" s="33"/>
    </row>
    <row r="60">
      <c r="A60" s="33"/>
      <c r="B60" s="33"/>
      <c r="C60" s="33"/>
      <c r="D60" s="64" t="str">
        <f>'FC4'!C6</f>
        <v>Source a product out of the shelve</v>
      </c>
      <c r="E60" s="65"/>
      <c r="F60" s="33"/>
      <c r="G60" s="83"/>
      <c r="H60" s="84"/>
      <c r="I60" s="33"/>
      <c r="J60" s="33"/>
      <c r="K60" s="33"/>
      <c r="L60" s="93"/>
      <c r="M60" s="93"/>
      <c r="N60" s="93"/>
      <c r="O60" s="93"/>
      <c r="P60" s="9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85"/>
      <c r="AB60" s="85"/>
      <c r="AC60" s="85"/>
      <c r="AD60" s="85"/>
      <c r="AE60" s="85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86"/>
      <c r="AQ60" s="86"/>
      <c r="AR60" s="86"/>
      <c r="AS60" s="86"/>
      <c r="AT60" s="86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87"/>
      <c r="BF60" s="87"/>
      <c r="BG60" s="87"/>
      <c r="BH60" s="87"/>
      <c r="BI60" s="87"/>
      <c r="BJ60" s="33"/>
      <c r="BK60" s="33"/>
      <c r="BL60" s="33"/>
      <c r="BM60" s="33"/>
      <c r="BN60" s="33"/>
      <c r="BO60" s="33"/>
    </row>
    <row r="61">
      <c r="A61" s="33"/>
      <c r="B61" s="33"/>
      <c r="C61" s="33"/>
      <c r="D61" s="64" t="str">
        <f>'FC4'!C7</f>
        <v/>
      </c>
      <c r="E61" s="65"/>
      <c r="F61" s="33"/>
      <c r="G61" s="83"/>
      <c r="H61" s="84"/>
      <c r="I61" s="33"/>
      <c r="J61" s="33"/>
      <c r="K61" s="33"/>
      <c r="L61" s="93"/>
      <c r="M61" s="93"/>
      <c r="N61" s="93"/>
      <c r="O61" s="93"/>
      <c r="P61" s="9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85"/>
      <c r="AB61" s="85"/>
      <c r="AC61" s="85"/>
      <c r="AD61" s="85"/>
      <c r="AE61" s="85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86"/>
      <c r="AQ61" s="86"/>
      <c r="AR61" s="86"/>
      <c r="AS61" s="86"/>
      <c r="AT61" s="86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87"/>
      <c r="BF61" s="87"/>
      <c r="BG61" s="87"/>
      <c r="BH61" s="87"/>
      <c r="BI61" s="87"/>
      <c r="BJ61" s="33"/>
      <c r="BK61" s="33"/>
      <c r="BL61" s="33"/>
      <c r="BM61" s="33"/>
      <c r="BN61" s="33"/>
      <c r="BO61" s="33"/>
    </row>
    <row r="62">
      <c r="A62" s="33"/>
      <c r="B62" s="33"/>
      <c r="C62" s="33"/>
      <c r="D62" s="64" t="str">
        <f>'FC4'!C8</f>
        <v/>
      </c>
      <c r="E62" s="65"/>
      <c r="F62" s="33"/>
      <c r="G62" s="83"/>
      <c r="H62" s="84"/>
      <c r="I62" s="33"/>
      <c r="J62" s="33"/>
      <c r="K62" s="33"/>
      <c r="L62" s="93"/>
      <c r="M62" s="93"/>
      <c r="N62" s="93"/>
      <c r="O62" s="93"/>
      <c r="P62" s="9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85"/>
      <c r="AB62" s="85"/>
      <c r="AC62" s="85"/>
      <c r="AD62" s="85"/>
      <c r="AE62" s="85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86"/>
      <c r="AQ62" s="86"/>
      <c r="AR62" s="86"/>
      <c r="AS62" s="86"/>
      <c r="AT62" s="86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87"/>
      <c r="BF62" s="87"/>
      <c r="BG62" s="87"/>
      <c r="BH62" s="87"/>
      <c r="BI62" s="87"/>
      <c r="BJ62" s="33"/>
      <c r="BK62" s="33"/>
      <c r="BL62" s="33"/>
      <c r="BM62" s="33"/>
      <c r="BN62" s="33"/>
      <c r="BO62" s="33"/>
    </row>
    <row r="63">
      <c r="A63" s="33"/>
      <c r="B63" s="33"/>
      <c r="C63" s="33"/>
      <c r="D63" s="33"/>
      <c r="E63" s="65"/>
      <c r="F63" s="33"/>
      <c r="G63" s="83"/>
      <c r="H63" s="84"/>
      <c r="I63" s="33"/>
      <c r="J63" s="33"/>
      <c r="K63" s="33"/>
      <c r="L63" s="93"/>
      <c r="M63" s="93"/>
      <c r="N63" s="93"/>
      <c r="O63" s="93"/>
      <c r="P63" s="9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85"/>
      <c r="AB63" s="85"/>
      <c r="AC63" s="85"/>
      <c r="AD63" s="85"/>
      <c r="AE63" s="85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86"/>
      <c r="AQ63" s="86"/>
      <c r="AR63" s="86"/>
      <c r="AS63" s="86"/>
      <c r="AT63" s="86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87"/>
      <c r="BF63" s="87"/>
      <c r="BG63" s="87"/>
      <c r="BH63" s="87"/>
      <c r="BI63" s="87"/>
      <c r="BJ63" s="33"/>
      <c r="BK63" s="33"/>
      <c r="BL63" s="33"/>
      <c r="BM63" s="33"/>
      <c r="BN63" s="33"/>
      <c r="BO63" s="33"/>
    </row>
    <row r="64">
      <c r="A64" s="59" t="str">
        <f>'Function - criteria - Solution'!A8</f>
        <v>FC5</v>
      </c>
      <c r="B64" s="59">
        <f>'Function - criteria - Solution'!D8</f>
        <v>2</v>
      </c>
      <c r="C64" s="59" t="str">
        <f>'Function - criteria - Solution'!B8</f>
        <v>Interchageability</v>
      </c>
      <c r="D64" s="59"/>
      <c r="E64" s="60">
        <v>1.0</v>
      </c>
      <c r="F64" s="59"/>
      <c r="G64" s="61"/>
      <c r="H64" s="62"/>
      <c r="I64" s="63"/>
      <c r="J64" s="63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33"/>
    </row>
    <row r="65">
      <c r="A65" s="64"/>
      <c r="B65" s="64"/>
      <c r="C65" s="64"/>
      <c r="D65" s="64" t="str">
        <f>'FC5'!C2</f>
        <v>Every 3D design should be done with regards to standard size</v>
      </c>
      <c r="E65" s="65"/>
      <c r="F65" s="64"/>
      <c r="G65" s="90"/>
      <c r="H65" s="91"/>
      <c r="I65" s="69"/>
      <c r="J65" s="69"/>
      <c r="K65" s="69"/>
      <c r="L65" s="81"/>
      <c r="M65" s="81"/>
      <c r="N65" s="81"/>
      <c r="O65" s="81"/>
      <c r="P65" s="81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92"/>
      <c r="AB65" s="92"/>
      <c r="AC65" s="92"/>
      <c r="AD65" s="92"/>
      <c r="AE65" s="92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70"/>
      <c r="AQ65" s="70"/>
      <c r="AR65" s="70"/>
      <c r="AS65" s="70"/>
      <c r="AT65" s="70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71"/>
      <c r="BF65" s="71"/>
      <c r="BG65" s="71"/>
      <c r="BH65" s="71"/>
      <c r="BI65" s="71"/>
      <c r="BJ65" s="69"/>
      <c r="BK65" s="69"/>
      <c r="BL65" s="69"/>
      <c r="BM65" s="69"/>
      <c r="BN65" s="72"/>
      <c r="BO65" s="33"/>
    </row>
    <row r="66">
      <c r="A66" s="64"/>
      <c r="B66" s="64"/>
      <c r="C66" s="64"/>
      <c r="D66" s="64" t="str">
        <f>'FC5'!C3</f>
        <v>Assess the PV on the market (EU, CN and US)</v>
      </c>
      <c r="E66" s="65"/>
      <c r="F66" s="64"/>
      <c r="G66" s="79"/>
      <c r="H66" s="80"/>
      <c r="I66" s="75"/>
      <c r="J66" s="75"/>
      <c r="K66" s="75"/>
      <c r="L66" s="81"/>
      <c r="M66" s="81"/>
      <c r="N66" s="81"/>
      <c r="O66" s="81"/>
      <c r="P66" s="81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82"/>
      <c r="AB66" s="82"/>
      <c r="AC66" s="82"/>
      <c r="AD66" s="82"/>
      <c r="AE66" s="82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6"/>
      <c r="AQ66" s="76"/>
      <c r="AR66" s="76"/>
      <c r="AS66" s="76"/>
      <c r="AT66" s="76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7"/>
      <c r="BF66" s="77"/>
      <c r="BG66" s="77"/>
      <c r="BH66" s="77"/>
      <c r="BI66" s="77"/>
      <c r="BJ66" s="75"/>
      <c r="BK66" s="75"/>
      <c r="BL66" s="75"/>
      <c r="BM66" s="75"/>
      <c r="BN66" s="78"/>
      <c r="BO66" s="33"/>
    </row>
    <row r="67">
      <c r="A67" s="64"/>
      <c r="B67" s="64"/>
      <c r="C67" s="64"/>
      <c r="D67" s="64" t="str">
        <f>'FC5'!C4</f>
        <v>Find a common denominator to work with</v>
      </c>
      <c r="E67" s="65"/>
      <c r="F67" s="64"/>
      <c r="G67" s="79"/>
      <c r="H67" s="80"/>
      <c r="I67" s="75"/>
      <c r="J67" s="75"/>
      <c r="K67" s="75"/>
      <c r="L67" s="81"/>
      <c r="M67" s="81"/>
      <c r="N67" s="81"/>
      <c r="O67" s="81"/>
      <c r="P67" s="81"/>
      <c r="Q67" s="69"/>
      <c r="R67" s="69"/>
      <c r="S67" s="69"/>
      <c r="T67" s="69"/>
      <c r="U67" s="75"/>
      <c r="V67" s="75"/>
      <c r="W67" s="75"/>
      <c r="X67" s="75"/>
      <c r="Y67" s="75"/>
      <c r="Z67" s="75"/>
      <c r="AA67" s="82"/>
      <c r="AB67" s="82"/>
      <c r="AC67" s="82"/>
      <c r="AD67" s="82"/>
      <c r="AE67" s="82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6"/>
      <c r="AQ67" s="76"/>
      <c r="AR67" s="76"/>
      <c r="AS67" s="76"/>
      <c r="AT67" s="76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7"/>
      <c r="BF67" s="77"/>
      <c r="BG67" s="77"/>
      <c r="BH67" s="77"/>
      <c r="BI67" s="77"/>
      <c r="BJ67" s="75"/>
      <c r="BK67" s="75"/>
      <c r="BL67" s="75"/>
      <c r="BM67" s="75"/>
      <c r="BN67" s="78"/>
      <c r="BO67" s="33"/>
    </row>
    <row r="68">
      <c r="A68" s="64"/>
      <c r="B68" s="64"/>
      <c r="C68" s="64"/>
      <c r="D68" s="64" t="str">
        <f>'FC5'!C5</f>
        <v/>
      </c>
      <c r="E68" s="65"/>
      <c r="F68" s="64"/>
      <c r="G68" s="79"/>
      <c r="H68" s="80"/>
      <c r="I68" s="75"/>
      <c r="J68" s="75"/>
      <c r="K68" s="75"/>
      <c r="L68" s="81"/>
      <c r="M68" s="81"/>
      <c r="N68" s="81"/>
      <c r="O68" s="81"/>
      <c r="P68" s="81"/>
      <c r="Q68" s="69"/>
      <c r="R68" s="69"/>
      <c r="S68" s="69"/>
      <c r="T68" s="69"/>
      <c r="U68" s="75"/>
      <c r="V68" s="75"/>
      <c r="W68" s="75"/>
      <c r="X68" s="75"/>
      <c r="Y68" s="75"/>
      <c r="Z68" s="75"/>
      <c r="AA68" s="82"/>
      <c r="AB68" s="82"/>
      <c r="AC68" s="82"/>
      <c r="AD68" s="82"/>
      <c r="AE68" s="82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6"/>
      <c r="AQ68" s="76"/>
      <c r="AR68" s="76"/>
      <c r="AS68" s="76"/>
      <c r="AT68" s="76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7"/>
      <c r="BF68" s="77"/>
      <c r="BG68" s="77"/>
      <c r="BH68" s="77"/>
      <c r="BI68" s="77"/>
      <c r="BJ68" s="75"/>
      <c r="BK68" s="75"/>
      <c r="BL68" s="75"/>
      <c r="BM68" s="75"/>
      <c r="BN68" s="78"/>
      <c r="BO68" s="33"/>
    </row>
    <row r="69">
      <c r="A69" s="59" t="str">
        <f>'Function - criteria - Solution'!A9</f>
        <v>FC6</v>
      </c>
      <c r="B69" s="59">
        <f>'Function - criteria - Solution'!D9</f>
        <v>3</v>
      </c>
      <c r="C69" s="59" t="str">
        <f>'Function - criteria - Solution'!B9</f>
        <v>Wind resistance</v>
      </c>
      <c r="D69" s="59"/>
      <c r="E69" s="60">
        <v>1.0</v>
      </c>
      <c r="F69" s="59"/>
      <c r="G69" s="61"/>
      <c r="H69" s="62"/>
      <c r="I69" s="63"/>
      <c r="J69" s="63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33"/>
    </row>
    <row r="70">
      <c r="A70" s="64"/>
      <c r="B70" s="64"/>
      <c r="C70" s="64"/>
      <c r="D70" s="64" t="str">
        <f>'FC6'!C2</f>
        <v>Avoid lift</v>
      </c>
      <c r="E70" s="65"/>
      <c r="F70" s="64"/>
      <c r="G70" s="90"/>
      <c r="H70" s="91"/>
      <c r="I70" s="69"/>
      <c r="J70" s="69"/>
      <c r="K70" s="69"/>
      <c r="L70" s="94"/>
      <c r="M70" s="94"/>
      <c r="N70" s="94"/>
      <c r="O70" s="94"/>
      <c r="P70" s="94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92"/>
      <c r="AB70" s="92"/>
      <c r="AC70" s="92"/>
      <c r="AD70" s="92"/>
      <c r="AE70" s="92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70"/>
      <c r="AQ70" s="70"/>
      <c r="AR70" s="70"/>
      <c r="AS70" s="70"/>
      <c r="AT70" s="70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71"/>
      <c r="BF70" s="71"/>
      <c r="BG70" s="71"/>
      <c r="BH70" s="71"/>
      <c r="BI70" s="71"/>
      <c r="BJ70" s="69"/>
      <c r="BK70" s="69"/>
      <c r="BL70" s="69"/>
      <c r="BM70" s="69"/>
      <c r="BN70" s="72"/>
      <c r="BO70" s="33"/>
    </row>
    <row r="71">
      <c r="A71" s="64"/>
      <c r="B71" s="64"/>
      <c r="C71" s="64"/>
      <c r="D71" s="64" t="str">
        <f>'FC6'!C3</f>
        <v>Safety factor for wind induced load</v>
      </c>
      <c r="E71" s="65"/>
      <c r="F71" s="64"/>
      <c r="G71" s="79"/>
      <c r="H71" s="80"/>
      <c r="I71" s="75"/>
      <c r="J71" s="75"/>
      <c r="K71" s="75"/>
      <c r="L71" s="94"/>
      <c r="M71" s="94"/>
      <c r="N71" s="94"/>
      <c r="O71" s="94"/>
      <c r="P71" s="94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82"/>
      <c r="AB71" s="82"/>
      <c r="AC71" s="82"/>
      <c r="AD71" s="82"/>
      <c r="AE71" s="82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6"/>
      <c r="AQ71" s="76"/>
      <c r="AR71" s="76"/>
      <c r="AS71" s="76"/>
      <c r="AT71" s="76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7"/>
      <c r="BF71" s="77"/>
      <c r="BG71" s="77"/>
      <c r="BH71" s="77"/>
      <c r="BI71" s="77"/>
      <c r="BJ71" s="75"/>
      <c r="BK71" s="75"/>
      <c r="BL71" s="75"/>
      <c r="BM71" s="75"/>
      <c r="BN71" s="78"/>
      <c r="BO71" s="33"/>
    </row>
    <row r="72">
      <c r="A72" s="64"/>
      <c r="B72" s="64"/>
      <c r="C72" s="64"/>
      <c r="D72" s="64" t="str">
        <f>'FC6'!C4</f>
        <v>CFD wind software</v>
      </c>
      <c r="E72" s="65"/>
      <c r="F72" s="64"/>
      <c r="G72" s="79"/>
      <c r="H72" s="80"/>
      <c r="I72" s="75"/>
      <c r="J72" s="75"/>
      <c r="K72" s="75"/>
      <c r="L72" s="94"/>
      <c r="M72" s="94"/>
      <c r="N72" s="94"/>
      <c r="O72" s="94"/>
      <c r="P72" s="94"/>
      <c r="Q72" s="69"/>
      <c r="R72" s="69"/>
      <c r="S72" s="69"/>
      <c r="T72" s="69"/>
      <c r="U72" s="75"/>
      <c r="V72" s="75"/>
      <c r="W72" s="75"/>
      <c r="X72" s="75"/>
      <c r="Y72" s="75"/>
      <c r="Z72" s="75"/>
      <c r="AA72" s="82"/>
      <c r="AB72" s="82"/>
      <c r="AC72" s="82"/>
      <c r="AD72" s="82"/>
      <c r="AE72" s="82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6"/>
      <c r="AQ72" s="76"/>
      <c r="AR72" s="76"/>
      <c r="AS72" s="76"/>
      <c r="AT72" s="76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7"/>
      <c r="BF72" s="77"/>
      <c r="BG72" s="77"/>
      <c r="BH72" s="77"/>
      <c r="BI72" s="77"/>
      <c r="BJ72" s="75"/>
      <c r="BK72" s="75"/>
      <c r="BL72" s="75"/>
      <c r="BM72" s="75"/>
      <c r="BN72" s="78"/>
      <c r="BO72" s="33"/>
    </row>
    <row r="73">
      <c r="A73" s="64"/>
      <c r="B73" s="64"/>
      <c r="C73" s="64"/>
      <c r="D73" s="64" t="str">
        <f>'FC6'!C5</f>
        <v/>
      </c>
      <c r="E73" s="65"/>
      <c r="F73" s="64"/>
      <c r="G73" s="79"/>
      <c r="H73" s="80"/>
      <c r="I73" s="75"/>
      <c r="J73" s="75"/>
      <c r="K73" s="75"/>
      <c r="L73" s="94"/>
      <c r="M73" s="94"/>
      <c r="N73" s="94"/>
      <c r="O73" s="94"/>
      <c r="P73" s="94"/>
      <c r="Q73" s="69"/>
      <c r="R73" s="69"/>
      <c r="S73" s="69"/>
      <c r="T73" s="69"/>
      <c r="U73" s="75"/>
      <c r="V73" s="75"/>
      <c r="W73" s="75"/>
      <c r="X73" s="75"/>
      <c r="Y73" s="75"/>
      <c r="Z73" s="75"/>
      <c r="AA73" s="82"/>
      <c r="AB73" s="82"/>
      <c r="AC73" s="82"/>
      <c r="AD73" s="82"/>
      <c r="AE73" s="82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6"/>
      <c r="AQ73" s="76"/>
      <c r="AR73" s="76"/>
      <c r="AS73" s="76"/>
      <c r="AT73" s="76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7"/>
      <c r="BF73" s="77"/>
      <c r="BG73" s="77"/>
      <c r="BH73" s="77"/>
      <c r="BI73" s="77"/>
      <c r="BJ73" s="75"/>
      <c r="BK73" s="75"/>
      <c r="BL73" s="75"/>
      <c r="BM73" s="75"/>
      <c r="BN73" s="78"/>
      <c r="BO73" s="33"/>
    </row>
    <row r="74">
      <c r="A74" s="59" t="str">
        <f>'Function - criteria - Solution'!A10</f>
        <v>FC7</v>
      </c>
      <c r="B74" s="59">
        <f>'Function - criteria - Solution'!D10</f>
        <v>3</v>
      </c>
      <c r="C74" s="59" t="str">
        <f>'Function - criteria - Solution'!B10</f>
        <v>Wave resistance</v>
      </c>
      <c r="D74" s="59"/>
      <c r="E74" s="60">
        <v>2.0</v>
      </c>
      <c r="F74" s="59"/>
      <c r="G74" s="61"/>
      <c r="H74" s="62"/>
      <c r="I74" s="63"/>
      <c r="J74" s="63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33"/>
    </row>
    <row r="75">
      <c r="A75" s="64"/>
      <c r="B75" s="64"/>
      <c r="C75" s="64"/>
      <c r="D75" s="64" t="str">
        <f>'FC7'!C2</f>
        <v>Work with MARIN (From Surewave) to evaluate the new loads on a matrix of different sizes</v>
      </c>
      <c r="E75" s="65"/>
      <c r="F75" s="64"/>
      <c r="G75" s="90"/>
      <c r="H75" s="91"/>
      <c r="I75" s="69"/>
      <c r="J75" s="69"/>
      <c r="L75" s="81"/>
      <c r="M75" s="81"/>
      <c r="N75" s="81"/>
      <c r="O75" s="81"/>
      <c r="P75" s="81"/>
      <c r="U75" s="69"/>
      <c r="V75" s="69"/>
      <c r="W75" s="69"/>
      <c r="X75" s="69"/>
      <c r="Y75" s="69"/>
      <c r="Z75" s="69"/>
      <c r="AA75" s="92"/>
      <c r="AB75" s="92"/>
      <c r="AC75" s="92"/>
      <c r="AD75" s="92"/>
      <c r="AE75" s="92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70"/>
      <c r="AQ75" s="70"/>
      <c r="AR75" s="70"/>
      <c r="AS75" s="70"/>
      <c r="AT75" s="70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71"/>
      <c r="BF75" s="71"/>
      <c r="BG75" s="71"/>
      <c r="BH75" s="71"/>
      <c r="BI75" s="71"/>
      <c r="BJ75" s="69"/>
      <c r="BK75" s="69"/>
      <c r="BL75" s="69"/>
      <c r="BM75" s="69"/>
      <c r="BN75" s="72"/>
      <c r="BO75" s="33"/>
    </row>
    <row r="76">
      <c r="A76" s="64"/>
      <c r="B76" s="64"/>
      <c r="C76" s="64"/>
      <c r="D76" s="64" t="str">
        <f>'FC7'!C3</f>
        <v>Apply those loads to a simulation and check that our hinge system validates the safety factor</v>
      </c>
      <c r="E76" s="65"/>
      <c r="F76" s="64"/>
      <c r="G76" s="79"/>
      <c r="H76" s="80"/>
      <c r="I76" s="75"/>
      <c r="J76" s="75"/>
      <c r="L76" s="81"/>
      <c r="M76" s="81"/>
      <c r="N76" s="81"/>
      <c r="O76" s="81"/>
      <c r="P76" s="81"/>
      <c r="U76" s="75"/>
      <c r="V76" s="75"/>
      <c r="W76" s="75"/>
      <c r="X76" s="75"/>
      <c r="Y76" s="75"/>
      <c r="Z76" s="75"/>
      <c r="AA76" s="82"/>
      <c r="AB76" s="82"/>
      <c r="AC76" s="82"/>
      <c r="AD76" s="82"/>
      <c r="AE76" s="82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6"/>
      <c r="AQ76" s="76"/>
      <c r="AR76" s="76"/>
      <c r="AS76" s="76"/>
      <c r="AT76" s="76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7"/>
      <c r="BF76" s="77"/>
      <c r="BG76" s="77"/>
      <c r="BH76" s="77"/>
      <c r="BI76" s="77"/>
      <c r="BJ76" s="75"/>
      <c r="BK76" s="75"/>
      <c r="BL76" s="75"/>
      <c r="BM76" s="75"/>
      <c r="BN76" s="78"/>
      <c r="BO76" s="33"/>
    </row>
    <row r="77">
      <c r="A77" s="64"/>
      <c r="B77" s="64"/>
      <c r="C77" s="64"/>
      <c r="D77" s="64" t="str">
        <f>'FC7'!C4</f>
        <v>Possibly an external consultancy</v>
      </c>
      <c r="E77" s="65"/>
      <c r="F77" s="64"/>
      <c r="G77" s="79"/>
      <c r="H77" s="80"/>
      <c r="I77" s="75"/>
      <c r="J77" s="75"/>
      <c r="L77" s="81"/>
      <c r="M77" s="81"/>
      <c r="N77" s="81"/>
      <c r="O77" s="81"/>
      <c r="P77" s="81"/>
      <c r="U77" s="75"/>
      <c r="V77" s="75"/>
      <c r="W77" s="75"/>
      <c r="X77" s="75"/>
      <c r="Y77" s="75"/>
      <c r="Z77" s="75"/>
      <c r="AA77" s="82"/>
      <c r="AB77" s="82"/>
      <c r="AC77" s="82"/>
      <c r="AD77" s="82"/>
      <c r="AE77" s="82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6"/>
      <c r="AQ77" s="76"/>
      <c r="AR77" s="76"/>
      <c r="AS77" s="76"/>
      <c r="AT77" s="76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7"/>
      <c r="BF77" s="77"/>
      <c r="BG77" s="77"/>
      <c r="BH77" s="77"/>
      <c r="BI77" s="77"/>
      <c r="BJ77" s="75"/>
      <c r="BK77" s="75"/>
      <c r="BL77" s="75"/>
      <c r="BM77" s="75"/>
      <c r="BN77" s="78"/>
      <c r="BO77" s="33"/>
    </row>
    <row r="78">
      <c r="A78" s="64"/>
      <c r="B78" s="64"/>
      <c r="C78" s="64"/>
      <c r="D78" s="64" t="str">
        <f>'FC7'!C5</f>
        <v/>
      </c>
      <c r="E78" s="65"/>
      <c r="F78" s="64"/>
      <c r="G78" s="79"/>
      <c r="H78" s="80"/>
      <c r="I78" s="75"/>
      <c r="J78" s="75"/>
      <c r="L78" s="81"/>
      <c r="M78" s="81"/>
      <c r="N78" s="81"/>
      <c r="O78" s="81"/>
      <c r="P78" s="81"/>
      <c r="U78" s="75"/>
      <c r="V78" s="75"/>
      <c r="W78" s="75"/>
      <c r="X78" s="75"/>
      <c r="Y78" s="75"/>
      <c r="Z78" s="75"/>
      <c r="AA78" s="82"/>
      <c r="AB78" s="82"/>
      <c r="AC78" s="82"/>
      <c r="AD78" s="82"/>
      <c r="AE78" s="82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6"/>
      <c r="AQ78" s="76"/>
      <c r="AR78" s="76"/>
      <c r="AS78" s="76"/>
      <c r="AT78" s="76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7"/>
      <c r="BF78" s="77"/>
      <c r="BG78" s="77"/>
      <c r="BH78" s="77"/>
      <c r="BI78" s="77"/>
      <c r="BJ78" s="75"/>
      <c r="BK78" s="75"/>
      <c r="BL78" s="75"/>
      <c r="BM78" s="75"/>
      <c r="BN78" s="78"/>
      <c r="BO78" s="33"/>
    </row>
    <row r="79">
      <c r="A79" s="59" t="str">
        <f>'Function - criteria - Solution'!A11</f>
        <v>FC8</v>
      </c>
      <c r="B79" s="59">
        <f>'Function - criteria - Solution'!D11</f>
        <v>1</v>
      </c>
      <c r="C79" s="59" t="str">
        <f>'Function - criteria - Solution'!B11</f>
        <v>Cost efficiency</v>
      </c>
      <c r="D79" s="59"/>
      <c r="E79" s="60">
        <v>2.0</v>
      </c>
      <c r="F79" s="59"/>
      <c r="G79" s="61"/>
      <c r="H79" s="62"/>
      <c r="I79" s="63"/>
      <c r="J79" s="63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33"/>
    </row>
    <row r="80">
      <c r="A80" s="64"/>
      <c r="B80" s="64"/>
      <c r="C80" s="64"/>
      <c r="D80" s="64" t="str">
        <f>'FC8'!C2</f>
        <v>Cheap PV compared to kWp output</v>
      </c>
      <c r="E80" s="65"/>
      <c r="F80" s="64"/>
      <c r="G80" s="90"/>
      <c r="H80" s="91"/>
      <c r="I80" s="69"/>
      <c r="J80" s="69"/>
      <c r="K80" s="69"/>
      <c r="L80" s="94"/>
      <c r="M80" s="94"/>
      <c r="N80" s="94"/>
      <c r="O80" s="94"/>
      <c r="P80" s="94"/>
      <c r="Q80" s="69"/>
      <c r="R80" s="69"/>
      <c r="S80" s="69"/>
      <c r="T80" s="69"/>
      <c r="U80" s="69"/>
      <c r="AA80" s="82"/>
      <c r="AB80" s="82"/>
      <c r="AC80" s="82"/>
      <c r="AD80" s="82"/>
      <c r="AE80" s="82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70"/>
      <c r="AQ80" s="70"/>
      <c r="AR80" s="70"/>
      <c r="AS80" s="70"/>
      <c r="AT80" s="70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71"/>
      <c r="BF80" s="71"/>
      <c r="BG80" s="71"/>
      <c r="BH80" s="71"/>
      <c r="BI80" s="71"/>
      <c r="BJ80" s="69"/>
      <c r="BK80" s="69"/>
      <c r="BL80" s="69"/>
      <c r="BM80" s="69"/>
      <c r="BN80" s="72"/>
      <c r="BO80" s="33"/>
    </row>
    <row r="81">
      <c r="A81" s="64"/>
      <c r="B81" s="64"/>
      <c r="C81" s="64"/>
      <c r="D81" s="64" t="str">
        <f>'FC8'!C3</f>
        <v>Cheap float</v>
      </c>
      <c r="E81" s="65"/>
      <c r="F81" s="64"/>
      <c r="G81" s="79"/>
      <c r="H81" s="80"/>
      <c r="I81" s="75"/>
      <c r="J81" s="75"/>
      <c r="K81" s="75"/>
      <c r="L81" s="81"/>
      <c r="M81" s="81"/>
      <c r="N81" s="81"/>
      <c r="O81" s="81"/>
      <c r="P81" s="81"/>
      <c r="Q81" s="75"/>
      <c r="R81" s="75"/>
      <c r="S81" s="75"/>
      <c r="T81" s="75"/>
      <c r="U81" s="75"/>
      <c r="AA81" s="82"/>
      <c r="AB81" s="82"/>
      <c r="AC81" s="82"/>
      <c r="AD81" s="82"/>
      <c r="AE81" s="82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6"/>
      <c r="AQ81" s="76"/>
      <c r="AR81" s="76"/>
      <c r="AS81" s="76"/>
      <c r="AT81" s="76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7"/>
      <c r="BF81" s="77"/>
      <c r="BG81" s="77"/>
      <c r="BH81" s="77"/>
      <c r="BI81" s="77"/>
      <c r="BJ81" s="75"/>
      <c r="BK81" s="75"/>
      <c r="BL81" s="75"/>
      <c r="BM81" s="75"/>
      <c r="BN81" s="78"/>
      <c r="BO81" s="33"/>
    </row>
    <row r="82">
      <c r="A82" s="64"/>
      <c r="B82" s="64"/>
      <c r="C82" s="64"/>
      <c r="D82" s="64" t="str">
        <f>'FC8'!C4</f>
        <v>Simplest assembly </v>
      </c>
      <c r="E82" s="65"/>
      <c r="F82" s="64"/>
      <c r="G82" s="79"/>
      <c r="H82" s="80"/>
      <c r="I82" s="75"/>
      <c r="J82" s="75"/>
      <c r="K82" s="75"/>
      <c r="L82" s="81"/>
      <c r="M82" s="81"/>
      <c r="N82" s="81"/>
      <c r="O82" s="81"/>
      <c r="P82" s="81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82"/>
      <c r="AB82" s="82"/>
      <c r="AC82" s="82"/>
      <c r="AD82" s="82"/>
      <c r="AE82" s="82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6"/>
      <c r="AQ82" s="76"/>
      <c r="AR82" s="76"/>
      <c r="AS82" s="76"/>
      <c r="AT82" s="76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7"/>
      <c r="BF82" s="77"/>
      <c r="BG82" s="77"/>
      <c r="BH82" s="77"/>
      <c r="BI82" s="77"/>
      <c r="BJ82" s="75"/>
      <c r="BK82" s="75"/>
      <c r="BL82" s="75"/>
      <c r="BM82" s="75"/>
      <c r="BN82" s="78"/>
      <c r="BO82" s="33"/>
    </row>
    <row r="83">
      <c r="A83" s="64"/>
      <c r="B83" s="64"/>
      <c r="C83" s="64"/>
      <c r="D83" s="64" t="str">
        <f>'FC8'!C5</f>
        <v>Number of components should be low</v>
      </c>
      <c r="E83" s="65"/>
      <c r="F83" s="64"/>
      <c r="G83" s="79"/>
      <c r="H83" s="80"/>
      <c r="I83" s="75"/>
      <c r="J83" s="75"/>
      <c r="K83" s="75"/>
      <c r="L83" s="81"/>
      <c r="M83" s="81"/>
      <c r="N83" s="81"/>
      <c r="O83" s="81"/>
      <c r="P83" s="81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82"/>
      <c r="AB83" s="82"/>
      <c r="AC83" s="82"/>
      <c r="AD83" s="82"/>
      <c r="AE83" s="82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6"/>
      <c r="AQ83" s="76"/>
      <c r="AR83" s="76"/>
      <c r="AS83" s="76"/>
      <c r="AT83" s="76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7"/>
      <c r="BF83" s="77"/>
      <c r="BG83" s="77"/>
      <c r="BH83" s="77"/>
      <c r="BI83" s="77"/>
      <c r="BJ83" s="75"/>
      <c r="BK83" s="75"/>
      <c r="BL83" s="75"/>
      <c r="BM83" s="75"/>
      <c r="BN83" s="78"/>
      <c r="BO83" s="33"/>
    </row>
    <row r="84">
      <c r="A84" s="33"/>
      <c r="B84" s="33"/>
      <c r="C84" s="33"/>
      <c r="D84" s="64" t="str">
        <f>'FC8'!C6</f>
        <v>Number of assembly steps should be low</v>
      </c>
      <c r="E84" s="65"/>
      <c r="F84" s="33"/>
      <c r="G84" s="83"/>
      <c r="H84" s="84"/>
      <c r="I84" s="33"/>
      <c r="J84" s="33"/>
      <c r="K84" s="33"/>
      <c r="L84" s="93"/>
      <c r="M84" s="93"/>
      <c r="N84" s="93"/>
      <c r="O84" s="93"/>
      <c r="P84" s="9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85"/>
      <c r="AB84" s="85"/>
      <c r="AC84" s="85"/>
      <c r="AD84" s="85"/>
      <c r="AE84" s="85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86"/>
      <c r="AQ84" s="86"/>
      <c r="AR84" s="86"/>
      <c r="AS84" s="86"/>
      <c r="AT84" s="86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87"/>
      <c r="BF84" s="87"/>
      <c r="BG84" s="87"/>
      <c r="BH84" s="87"/>
      <c r="BI84" s="87"/>
      <c r="BJ84" s="33"/>
      <c r="BK84" s="33"/>
      <c r="BL84" s="33"/>
      <c r="BM84" s="33"/>
      <c r="BN84" s="33"/>
      <c r="BO84" s="33"/>
    </row>
    <row r="85">
      <c r="A85" s="33"/>
      <c r="B85" s="33"/>
      <c r="C85" s="33"/>
      <c r="D85" s="64" t="str">
        <f>'FC8'!C7</f>
        <v>Cost of extra component should be low</v>
      </c>
      <c r="E85" s="65"/>
      <c r="F85" s="33"/>
      <c r="G85" s="83"/>
      <c r="H85" s="84"/>
      <c r="I85" s="33"/>
      <c r="J85" s="33"/>
      <c r="K85" s="33"/>
      <c r="L85" s="93"/>
      <c r="M85" s="93"/>
      <c r="N85" s="93"/>
      <c r="O85" s="93"/>
      <c r="P85" s="9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85"/>
      <c r="AB85" s="85"/>
      <c r="AC85" s="85"/>
      <c r="AD85" s="85"/>
      <c r="AE85" s="85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86"/>
      <c r="AQ85" s="86"/>
      <c r="AR85" s="86"/>
      <c r="AS85" s="86"/>
      <c r="AT85" s="86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87"/>
      <c r="BF85" s="87"/>
      <c r="BG85" s="87"/>
      <c r="BH85" s="87"/>
      <c r="BI85" s="87"/>
      <c r="BJ85" s="33"/>
      <c r="BK85" s="33"/>
      <c r="BL85" s="33"/>
      <c r="BM85" s="33"/>
      <c r="BN85" s="33"/>
      <c r="BO85" s="33"/>
    </row>
    <row r="86">
      <c r="A86" s="33"/>
      <c r="B86" s="33"/>
      <c r="C86" s="33"/>
      <c r="D86" s="64" t="str">
        <f>'FC8'!C8</f>
        <v>Keep frakt lowest</v>
      </c>
      <c r="E86" s="65"/>
      <c r="F86" s="33"/>
      <c r="G86" s="83"/>
      <c r="H86" s="84"/>
      <c r="I86" s="33"/>
      <c r="J86" s="33"/>
      <c r="K86" s="33"/>
      <c r="L86" s="93"/>
      <c r="M86" s="93"/>
      <c r="N86" s="93"/>
      <c r="O86" s="93"/>
      <c r="P86" s="9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85"/>
      <c r="AB86" s="85"/>
      <c r="AC86" s="85"/>
      <c r="AD86" s="85"/>
      <c r="AE86" s="85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86"/>
      <c r="AQ86" s="86"/>
      <c r="AR86" s="86"/>
      <c r="AS86" s="86"/>
      <c r="AT86" s="86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87"/>
      <c r="BF86" s="87"/>
      <c r="BG86" s="87"/>
      <c r="BH86" s="87"/>
      <c r="BI86" s="87"/>
      <c r="BJ86" s="33"/>
      <c r="BK86" s="33"/>
      <c r="BL86" s="33"/>
      <c r="BM86" s="33"/>
      <c r="BN86" s="33"/>
      <c r="BO86" s="33"/>
    </row>
    <row r="87">
      <c r="A87" s="33"/>
      <c r="B87" s="33"/>
      <c r="C87" s="33"/>
      <c r="D87" s="64" t="str">
        <f>'FC8'!C9</f>
        <v>Cheap infrastructure for prod</v>
      </c>
      <c r="E87" s="65"/>
      <c r="F87" s="33"/>
      <c r="G87" s="83"/>
      <c r="H87" s="84"/>
      <c r="I87" s="33"/>
      <c r="J87" s="33"/>
      <c r="K87" s="33"/>
      <c r="L87" s="93"/>
      <c r="M87" s="93"/>
      <c r="N87" s="93"/>
      <c r="O87" s="93"/>
      <c r="P87" s="9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85"/>
      <c r="AB87" s="85"/>
      <c r="AC87" s="85"/>
      <c r="AD87" s="85"/>
      <c r="AE87" s="85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86"/>
      <c r="AQ87" s="86"/>
      <c r="AR87" s="86"/>
      <c r="AS87" s="86"/>
      <c r="AT87" s="86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87"/>
      <c r="BF87" s="87"/>
      <c r="BG87" s="87"/>
      <c r="BH87" s="87"/>
      <c r="BI87" s="87"/>
      <c r="BJ87" s="33"/>
      <c r="BK87" s="33"/>
      <c r="BL87" s="33"/>
      <c r="BM87" s="33"/>
      <c r="BN87" s="33"/>
      <c r="BO87" s="33"/>
    </row>
    <row r="88">
      <c r="A88" s="33"/>
      <c r="B88" s="33"/>
      <c r="C88" s="33"/>
      <c r="D88" s="33"/>
      <c r="E88" s="65"/>
      <c r="F88" s="33"/>
      <c r="G88" s="83"/>
      <c r="H88" s="84"/>
      <c r="I88" s="33"/>
      <c r="J88" s="33"/>
      <c r="K88" s="33"/>
      <c r="L88" s="93"/>
      <c r="M88" s="93"/>
      <c r="N88" s="93"/>
      <c r="O88" s="93"/>
      <c r="P88" s="9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85"/>
      <c r="AB88" s="85"/>
      <c r="AC88" s="85"/>
      <c r="AD88" s="85"/>
      <c r="AE88" s="85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86"/>
      <c r="AQ88" s="86"/>
      <c r="AR88" s="86"/>
      <c r="AS88" s="86"/>
      <c r="AT88" s="86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87"/>
      <c r="BF88" s="87"/>
      <c r="BG88" s="87"/>
      <c r="BH88" s="87"/>
      <c r="BI88" s="87"/>
      <c r="BJ88" s="33"/>
      <c r="BK88" s="33"/>
      <c r="BL88" s="33"/>
      <c r="BM88" s="33"/>
      <c r="BN88" s="33"/>
      <c r="BO88" s="33"/>
    </row>
    <row r="89">
      <c r="A89" s="59" t="str">
        <f>'Function - criteria - Solution'!A12</f>
        <v>FC9</v>
      </c>
      <c r="B89" s="59">
        <f>'Function - criteria - Solution'!D12</f>
        <v>2</v>
      </c>
      <c r="C89" s="59" t="str">
        <f>'Function - criteria - Solution'!B12</f>
        <v>Grounding system</v>
      </c>
      <c r="D89" s="59"/>
      <c r="E89" s="60">
        <v>3.0</v>
      </c>
      <c r="F89" s="59"/>
      <c r="G89" s="61"/>
      <c r="H89" s="62"/>
      <c r="I89" s="63"/>
      <c r="J89" s="63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33"/>
    </row>
    <row r="90">
      <c r="A90" s="64"/>
      <c r="B90" s="64"/>
      <c r="C90" s="64"/>
      <c r="D90" s="64" t="str">
        <f>'FC9'!C2</f>
        <v>develop and reinforce the mainnheim system</v>
      </c>
      <c r="E90" s="65"/>
      <c r="F90" s="64"/>
      <c r="G90" s="90"/>
      <c r="H90" s="91"/>
      <c r="I90" s="69"/>
      <c r="J90" s="69"/>
      <c r="K90" s="69"/>
      <c r="L90" s="81"/>
      <c r="M90" s="81"/>
      <c r="N90" s="81"/>
      <c r="O90" s="81"/>
      <c r="P90" s="81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92"/>
      <c r="AB90" s="92"/>
      <c r="AC90" s="92"/>
      <c r="AD90" s="92"/>
      <c r="AE90" s="92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70"/>
      <c r="AQ90" s="70"/>
      <c r="AR90" s="70"/>
      <c r="AS90" s="70"/>
      <c r="AT90" s="70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71"/>
      <c r="BF90" s="71"/>
      <c r="BG90" s="71"/>
      <c r="BH90" s="71"/>
      <c r="BI90" s="71"/>
      <c r="BJ90" s="69"/>
      <c r="BK90" s="69"/>
      <c r="BL90" s="69"/>
      <c r="BM90" s="69"/>
      <c r="BN90" s="72"/>
      <c r="BO90" s="33"/>
    </row>
    <row r="91">
      <c r="A91" s="64"/>
      <c r="B91" s="64"/>
      <c r="C91" s="64"/>
      <c r="D91" s="64" t="str">
        <f>'FC9'!C3</f>
        <v>Attachment </v>
      </c>
      <c r="E91" s="65"/>
      <c r="F91" s="64"/>
      <c r="G91" s="79"/>
      <c r="H91" s="80"/>
      <c r="I91" s="75"/>
      <c r="J91" s="75"/>
      <c r="K91" s="75"/>
      <c r="L91" s="81"/>
      <c r="M91" s="81"/>
      <c r="N91" s="81"/>
      <c r="O91" s="81"/>
      <c r="P91" s="81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82"/>
      <c r="AB91" s="82"/>
      <c r="AC91" s="82"/>
      <c r="AD91" s="82"/>
      <c r="AE91" s="82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6"/>
      <c r="AQ91" s="76"/>
      <c r="AR91" s="76"/>
      <c r="AS91" s="76"/>
      <c r="AT91" s="76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7"/>
      <c r="BF91" s="77"/>
      <c r="BG91" s="77"/>
      <c r="BH91" s="77"/>
      <c r="BI91" s="77"/>
      <c r="BJ91" s="75"/>
      <c r="BK91" s="75"/>
      <c r="BL91" s="75"/>
      <c r="BM91" s="75"/>
      <c r="BN91" s="78"/>
      <c r="BO91" s="33"/>
    </row>
    <row r="92">
      <c r="A92" s="64"/>
      <c r="B92" s="64"/>
      <c r="C92" s="64"/>
      <c r="D92" s="64" t="str">
        <f>'FC9'!C4</f>
        <v>Guide over the FPV</v>
      </c>
      <c r="E92" s="65"/>
      <c r="F92" s="64"/>
      <c r="G92" s="79"/>
      <c r="H92" s="80"/>
      <c r="I92" s="75"/>
      <c r="J92" s="75"/>
      <c r="K92" s="75"/>
      <c r="L92" s="81"/>
      <c r="M92" s="81"/>
      <c r="N92" s="81"/>
      <c r="O92" s="81"/>
      <c r="P92" s="81"/>
      <c r="Q92" s="69"/>
      <c r="R92" s="69"/>
      <c r="S92" s="69"/>
      <c r="T92" s="69"/>
      <c r="U92" s="75"/>
      <c r="V92" s="75"/>
      <c r="W92" s="75"/>
      <c r="X92" s="75"/>
      <c r="Y92" s="75"/>
      <c r="Z92" s="75"/>
      <c r="AA92" s="82"/>
      <c r="AB92" s="82"/>
      <c r="AC92" s="82"/>
      <c r="AD92" s="82"/>
      <c r="AE92" s="82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6"/>
      <c r="AQ92" s="76"/>
      <c r="AR92" s="76"/>
      <c r="AS92" s="76"/>
      <c r="AT92" s="76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7"/>
      <c r="BF92" s="77"/>
      <c r="BG92" s="77"/>
      <c r="BH92" s="77"/>
      <c r="BI92" s="77"/>
      <c r="BJ92" s="75"/>
      <c r="BK92" s="75"/>
      <c r="BL92" s="75"/>
      <c r="BM92" s="75"/>
      <c r="BN92" s="78"/>
      <c r="BO92" s="33"/>
    </row>
    <row r="93">
      <c r="A93" s="64"/>
      <c r="B93" s="64"/>
      <c r="C93" s="64"/>
      <c r="D93" s="64" t="str">
        <f>'FC9'!C5</f>
        <v/>
      </c>
      <c r="E93" s="65"/>
      <c r="F93" s="64"/>
      <c r="G93" s="79"/>
      <c r="H93" s="80"/>
      <c r="I93" s="75"/>
      <c r="J93" s="75"/>
      <c r="K93" s="75"/>
      <c r="L93" s="81"/>
      <c r="M93" s="81"/>
      <c r="N93" s="81"/>
      <c r="O93" s="81"/>
      <c r="P93" s="81"/>
      <c r="Q93" s="69"/>
      <c r="R93" s="69"/>
      <c r="S93" s="69"/>
      <c r="T93" s="69"/>
      <c r="U93" s="75"/>
      <c r="V93" s="75"/>
      <c r="W93" s="75"/>
      <c r="X93" s="75"/>
      <c r="Y93" s="75"/>
      <c r="Z93" s="75"/>
      <c r="AA93" s="82"/>
      <c r="AB93" s="82"/>
      <c r="AC93" s="82"/>
      <c r="AD93" s="82"/>
      <c r="AE93" s="82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6"/>
      <c r="AQ93" s="76"/>
      <c r="AR93" s="76"/>
      <c r="AS93" s="76"/>
      <c r="AT93" s="76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7"/>
      <c r="BF93" s="77"/>
      <c r="BG93" s="77"/>
      <c r="BH93" s="77"/>
      <c r="BI93" s="77"/>
      <c r="BJ93" s="75"/>
      <c r="BK93" s="75"/>
      <c r="BL93" s="75"/>
      <c r="BM93" s="75"/>
      <c r="BN93" s="78"/>
      <c r="BO93" s="33"/>
    </row>
    <row r="94">
      <c r="A94" s="59" t="str">
        <f>'Function - criteria - Solution'!A13</f>
        <v>FC10</v>
      </c>
      <c r="B94" s="59">
        <f>'Function - criteria - Solution'!D13</f>
        <v>1</v>
      </c>
      <c r="C94" s="59" t="str">
        <f>'Function - criteria - Solution'!B13</f>
        <v>PV attachment</v>
      </c>
      <c r="D94" s="59"/>
      <c r="E94" s="60">
        <v>5.0</v>
      </c>
      <c r="F94" s="59"/>
      <c r="G94" s="61"/>
      <c r="H94" s="62"/>
      <c r="I94" s="63"/>
      <c r="J94" s="63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33"/>
    </row>
    <row r="95">
      <c r="A95" s="64"/>
      <c r="B95" s="64"/>
      <c r="C95" s="64"/>
      <c r="D95" s="64" t="str">
        <f>'FC10'!C2</f>
        <v>Investigate glue</v>
      </c>
      <c r="E95" s="65"/>
      <c r="F95" s="64"/>
      <c r="G95" s="90"/>
      <c r="H95" s="91"/>
      <c r="I95" s="69"/>
      <c r="J95" s="69"/>
      <c r="K95" s="69"/>
      <c r="L95" s="94"/>
      <c r="M95" s="94"/>
      <c r="N95" s="94"/>
      <c r="O95" s="94"/>
      <c r="P95" s="94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92"/>
      <c r="AB95" s="92"/>
      <c r="AC95" s="92"/>
      <c r="AD95" s="92"/>
      <c r="AE95" s="92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70"/>
      <c r="AQ95" s="70"/>
      <c r="AR95" s="70"/>
      <c r="AS95" s="70"/>
      <c r="AT95" s="70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71"/>
      <c r="BF95" s="71"/>
      <c r="BG95" s="71"/>
      <c r="BH95" s="71"/>
      <c r="BI95" s="71"/>
      <c r="BJ95" s="69"/>
      <c r="BK95" s="69"/>
      <c r="BL95" s="69"/>
      <c r="BM95" s="69"/>
      <c r="BN95" s="72"/>
      <c r="BO95" s="33"/>
    </row>
    <row r="96">
      <c r="A96" s="64"/>
      <c r="B96" s="64"/>
      <c r="C96" s="64"/>
      <c r="D96" s="64" t="str">
        <f>'FC10'!C3</f>
        <v>Investigate weld</v>
      </c>
      <c r="E96" s="65"/>
      <c r="F96" s="64"/>
      <c r="G96" s="79"/>
      <c r="H96" s="80"/>
      <c r="I96" s="75"/>
      <c r="J96" s="75"/>
      <c r="K96" s="75"/>
      <c r="L96" s="94"/>
      <c r="M96" s="94"/>
      <c r="N96" s="94"/>
      <c r="O96" s="94"/>
      <c r="P96" s="94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82"/>
      <c r="AB96" s="82"/>
      <c r="AC96" s="82"/>
      <c r="AD96" s="82"/>
      <c r="AE96" s="82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6"/>
      <c r="AQ96" s="76"/>
      <c r="AR96" s="76"/>
      <c r="AS96" s="76"/>
      <c r="AT96" s="76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7"/>
      <c r="BF96" s="77"/>
      <c r="BG96" s="77"/>
      <c r="BH96" s="77"/>
      <c r="BI96" s="77"/>
      <c r="BJ96" s="75"/>
      <c r="BK96" s="75"/>
      <c r="BL96" s="75"/>
      <c r="BM96" s="75"/>
      <c r="BN96" s="78"/>
      <c r="BO96" s="33"/>
    </row>
    <row r="97">
      <c r="A97" s="64"/>
      <c r="B97" s="64"/>
      <c r="C97" s="64"/>
      <c r="D97" s="64" t="str">
        <f>'FC10'!C4</f>
        <v>Investigate roller hemming/seaming</v>
      </c>
      <c r="E97" s="65"/>
      <c r="F97" s="64"/>
      <c r="G97" s="79"/>
      <c r="H97" s="80"/>
      <c r="I97" s="75"/>
      <c r="J97" s="75"/>
      <c r="K97" s="75"/>
      <c r="L97" s="94"/>
      <c r="M97" s="94"/>
      <c r="N97" s="94"/>
      <c r="O97" s="94"/>
      <c r="P97" s="94"/>
      <c r="Q97" s="69"/>
      <c r="R97" s="69"/>
      <c r="S97" s="69"/>
      <c r="T97" s="69"/>
      <c r="U97" s="75"/>
      <c r="V97" s="75"/>
      <c r="W97" s="75"/>
      <c r="X97" s="75"/>
      <c r="Y97" s="75"/>
      <c r="Z97" s="75"/>
      <c r="AA97" s="82"/>
      <c r="AB97" s="82"/>
      <c r="AC97" s="82"/>
      <c r="AD97" s="82"/>
      <c r="AE97" s="82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6"/>
      <c r="AQ97" s="76"/>
      <c r="AR97" s="76"/>
      <c r="AS97" s="76"/>
      <c r="AT97" s="76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7"/>
      <c r="BF97" s="77"/>
      <c r="BG97" s="77"/>
      <c r="BH97" s="77"/>
      <c r="BI97" s="77"/>
      <c r="BJ97" s="75"/>
      <c r="BK97" s="75"/>
      <c r="BL97" s="75"/>
      <c r="BM97" s="75"/>
      <c r="BN97" s="78"/>
      <c r="BO97" s="33"/>
    </row>
    <row r="98">
      <c r="A98" s="64"/>
      <c r="B98" s="64"/>
      <c r="C98" s="64"/>
      <c r="D98" s="64" t="str">
        <f>'FC10'!C5</f>
        <v>Investigate clinching</v>
      </c>
      <c r="E98" s="65"/>
      <c r="F98" s="64"/>
      <c r="G98" s="79"/>
      <c r="H98" s="80"/>
      <c r="I98" s="75"/>
      <c r="J98" s="75"/>
      <c r="K98" s="75"/>
      <c r="L98" s="94"/>
      <c r="M98" s="94"/>
      <c r="N98" s="94"/>
      <c r="O98" s="94"/>
      <c r="P98" s="94"/>
      <c r="Q98" s="69"/>
      <c r="R98" s="69"/>
      <c r="S98" s="69"/>
      <c r="T98" s="69"/>
      <c r="U98" s="75"/>
      <c r="V98" s="75"/>
      <c r="W98" s="75"/>
      <c r="X98" s="75"/>
      <c r="Y98" s="75"/>
      <c r="Z98" s="75"/>
      <c r="AA98" s="82"/>
      <c r="AB98" s="82"/>
      <c r="AC98" s="82"/>
      <c r="AD98" s="82"/>
      <c r="AE98" s="82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6"/>
      <c r="AQ98" s="76"/>
      <c r="AR98" s="76"/>
      <c r="AS98" s="76"/>
      <c r="AT98" s="76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7"/>
      <c r="BF98" s="77"/>
      <c r="BG98" s="77"/>
      <c r="BH98" s="77"/>
      <c r="BI98" s="77"/>
      <c r="BJ98" s="75"/>
      <c r="BK98" s="75"/>
      <c r="BL98" s="75"/>
      <c r="BM98" s="75"/>
      <c r="BN98" s="78"/>
      <c r="BO98" s="33"/>
    </row>
    <row r="99">
      <c r="A99" s="33"/>
      <c r="B99" s="33"/>
      <c r="C99" s="33"/>
      <c r="D99" s="64" t="str">
        <f>'FC10'!C6</f>
        <v>Investigate bolting</v>
      </c>
      <c r="E99" s="65"/>
      <c r="F99" s="33"/>
      <c r="G99" s="83"/>
      <c r="H99" s="84"/>
      <c r="I99" s="33"/>
      <c r="J99" s="33"/>
      <c r="K99" s="33"/>
      <c r="L99" s="93"/>
      <c r="M99" s="93"/>
      <c r="N99" s="93"/>
      <c r="O99" s="93"/>
      <c r="P99" s="9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85"/>
      <c r="AB99" s="85"/>
      <c r="AC99" s="85"/>
      <c r="AD99" s="85"/>
      <c r="AE99" s="85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86"/>
      <c r="AQ99" s="86"/>
      <c r="AR99" s="86"/>
      <c r="AS99" s="86"/>
      <c r="AT99" s="86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87"/>
      <c r="BF99" s="87"/>
      <c r="BG99" s="87"/>
      <c r="BH99" s="87"/>
      <c r="BI99" s="87"/>
      <c r="BJ99" s="33"/>
      <c r="BK99" s="33"/>
      <c r="BL99" s="33"/>
      <c r="BM99" s="33"/>
      <c r="BN99" s="33"/>
      <c r="BO99" s="33"/>
    </row>
    <row r="100">
      <c r="A100" s="33"/>
      <c r="B100" s="33"/>
      <c r="C100" s="33"/>
      <c r="D100" s="64" t="str">
        <f>'FC10'!C7</f>
        <v/>
      </c>
      <c r="E100" s="65"/>
      <c r="F100" s="33"/>
      <c r="G100" s="83"/>
      <c r="H100" s="84"/>
      <c r="I100" s="33"/>
      <c r="J100" s="33"/>
      <c r="K100" s="33"/>
      <c r="L100" s="93"/>
      <c r="M100" s="93"/>
      <c r="N100" s="93"/>
      <c r="O100" s="93"/>
      <c r="P100" s="9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85"/>
      <c r="AB100" s="85"/>
      <c r="AC100" s="85"/>
      <c r="AD100" s="85"/>
      <c r="AE100" s="85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86"/>
      <c r="AQ100" s="86"/>
      <c r="AR100" s="86"/>
      <c r="AS100" s="86"/>
      <c r="AT100" s="86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87"/>
      <c r="BF100" s="87"/>
      <c r="BG100" s="87"/>
      <c r="BH100" s="87"/>
      <c r="BI100" s="87"/>
      <c r="BJ100" s="33"/>
      <c r="BK100" s="33"/>
      <c r="BL100" s="33"/>
      <c r="BM100" s="33"/>
      <c r="BN100" s="33"/>
      <c r="BO100" s="33"/>
    </row>
    <row r="101">
      <c r="A101" s="33"/>
      <c r="B101" s="33"/>
      <c r="C101" s="33"/>
      <c r="D101" s="64" t="str">
        <f>'FC10'!C8</f>
        <v/>
      </c>
      <c r="E101" s="65"/>
      <c r="F101" s="33"/>
      <c r="G101" s="83"/>
      <c r="H101" s="84"/>
      <c r="I101" s="33"/>
      <c r="J101" s="33"/>
      <c r="K101" s="33"/>
      <c r="L101" s="93"/>
      <c r="M101" s="93"/>
      <c r="N101" s="93"/>
      <c r="O101" s="93"/>
      <c r="P101" s="9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85"/>
      <c r="AB101" s="85"/>
      <c r="AC101" s="85"/>
      <c r="AD101" s="85"/>
      <c r="AE101" s="85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86"/>
      <c r="AQ101" s="86"/>
      <c r="AR101" s="86"/>
      <c r="AS101" s="86"/>
      <c r="AT101" s="86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87"/>
      <c r="BF101" s="87"/>
      <c r="BG101" s="87"/>
      <c r="BH101" s="87"/>
      <c r="BI101" s="87"/>
      <c r="BJ101" s="33"/>
      <c r="BK101" s="33"/>
      <c r="BL101" s="33"/>
      <c r="BM101" s="33"/>
      <c r="BN101" s="33"/>
      <c r="BO101" s="33"/>
    </row>
    <row r="102">
      <c r="A102" s="59" t="str">
        <f>'Function - criteria - Solution'!A14</f>
        <v>FC11</v>
      </c>
      <c r="B102" s="59">
        <f>'Function - criteria - Solution'!D14</f>
        <v>3</v>
      </c>
      <c r="C102" s="59" t="str">
        <f>'Function - criteria - Solution'!B14</f>
        <v>Mooring </v>
      </c>
      <c r="D102" s="59"/>
      <c r="E102" s="60">
        <v>3.0</v>
      </c>
      <c r="F102" s="59"/>
      <c r="G102" s="61"/>
      <c r="H102" s="62"/>
      <c r="I102" s="63"/>
      <c r="J102" s="63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33"/>
    </row>
    <row r="103">
      <c r="A103" s="64"/>
      <c r="B103" s="64"/>
      <c r="C103" s="64"/>
      <c r="D103" s="64" t="str">
        <f>'FC11'!C2</f>
        <v>Design a mooring system for stream water</v>
      </c>
      <c r="E103" s="65"/>
      <c r="F103" s="64"/>
      <c r="G103" s="90"/>
      <c r="H103" s="91"/>
      <c r="I103" s="69"/>
      <c r="J103" s="69"/>
      <c r="L103" s="81"/>
      <c r="M103" s="81"/>
      <c r="N103" s="81"/>
      <c r="O103" s="81"/>
      <c r="P103" s="81"/>
      <c r="U103" s="69"/>
      <c r="V103" s="69"/>
      <c r="W103" s="69"/>
      <c r="X103" s="69"/>
      <c r="Y103" s="69"/>
      <c r="Z103" s="69"/>
      <c r="AA103" s="92"/>
      <c r="AB103" s="92"/>
      <c r="AC103" s="92"/>
      <c r="AD103" s="92"/>
      <c r="AE103" s="92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70"/>
      <c r="AQ103" s="70"/>
      <c r="AR103" s="70"/>
      <c r="AS103" s="70"/>
      <c r="AT103" s="70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71"/>
      <c r="BF103" s="71"/>
      <c r="BG103" s="71"/>
      <c r="BH103" s="71"/>
      <c r="BI103" s="71"/>
      <c r="BJ103" s="69"/>
      <c r="BK103" s="69"/>
      <c r="BL103" s="69"/>
      <c r="BM103" s="69"/>
      <c r="BN103" s="72"/>
      <c r="BO103" s="33"/>
    </row>
    <row r="104">
      <c r="A104" s="64"/>
      <c r="B104" s="64"/>
      <c r="C104" s="64"/>
      <c r="D104" s="64" t="str">
        <f>'FC11'!C3</f>
        <v>Design a mooring system for nearshore/offshore water</v>
      </c>
      <c r="E104" s="65"/>
      <c r="F104" s="64"/>
      <c r="G104" s="79"/>
      <c r="H104" s="80"/>
      <c r="I104" s="75"/>
      <c r="J104" s="75"/>
      <c r="L104" s="81"/>
      <c r="M104" s="81"/>
      <c r="N104" s="81"/>
      <c r="O104" s="81"/>
      <c r="P104" s="81"/>
      <c r="U104" s="75"/>
      <c r="V104" s="75"/>
      <c r="W104" s="75"/>
      <c r="X104" s="75"/>
      <c r="Y104" s="75"/>
      <c r="Z104" s="75"/>
      <c r="AA104" s="82"/>
      <c r="AB104" s="82"/>
      <c r="AC104" s="82"/>
      <c r="AD104" s="82"/>
      <c r="AE104" s="82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6"/>
      <c r="AQ104" s="76"/>
      <c r="AR104" s="76"/>
      <c r="AS104" s="76"/>
      <c r="AT104" s="76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7"/>
      <c r="BF104" s="77"/>
      <c r="BG104" s="77"/>
      <c r="BH104" s="77"/>
      <c r="BI104" s="77"/>
      <c r="BJ104" s="75"/>
      <c r="BK104" s="75"/>
      <c r="BL104" s="75"/>
      <c r="BM104" s="75"/>
      <c r="BN104" s="78"/>
      <c r="BO104" s="33"/>
    </row>
    <row r="105">
      <c r="A105" s="64"/>
      <c r="B105" s="64"/>
      <c r="C105" s="64"/>
      <c r="D105" s="64" t="str">
        <f>'FC11'!C4</f>
        <v>Design a mooring system for still water</v>
      </c>
      <c r="E105" s="65"/>
      <c r="F105" s="64"/>
      <c r="G105" s="79"/>
      <c r="H105" s="80"/>
      <c r="I105" s="75"/>
      <c r="J105" s="75"/>
      <c r="L105" s="81"/>
      <c r="M105" s="81"/>
      <c r="N105" s="81"/>
      <c r="O105" s="81"/>
      <c r="P105" s="81"/>
      <c r="U105" s="75"/>
      <c r="V105" s="75"/>
      <c r="W105" s="75"/>
      <c r="X105" s="75"/>
      <c r="Y105" s="75"/>
      <c r="Z105" s="75"/>
      <c r="AA105" s="82"/>
      <c r="AB105" s="82"/>
      <c r="AC105" s="82"/>
      <c r="AD105" s="82"/>
      <c r="AE105" s="82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6"/>
      <c r="AQ105" s="76"/>
      <c r="AR105" s="76"/>
      <c r="AS105" s="76"/>
      <c r="AT105" s="76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7"/>
      <c r="BF105" s="77"/>
      <c r="BG105" s="77"/>
      <c r="BH105" s="77"/>
      <c r="BI105" s="77"/>
      <c r="BJ105" s="75"/>
      <c r="BK105" s="75"/>
      <c r="BL105" s="75"/>
      <c r="BM105" s="75"/>
      <c r="BN105" s="78"/>
      <c r="BO105" s="33"/>
    </row>
    <row r="106">
      <c r="A106" s="64"/>
      <c r="B106" s="64"/>
      <c r="C106" s="64"/>
      <c r="D106" s="64" t="str">
        <f>'FC11'!C5</f>
        <v/>
      </c>
      <c r="E106" s="65"/>
      <c r="F106" s="64"/>
      <c r="G106" s="79"/>
      <c r="H106" s="80"/>
      <c r="I106" s="75"/>
      <c r="J106" s="75"/>
      <c r="L106" s="81"/>
      <c r="M106" s="81"/>
      <c r="N106" s="81"/>
      <c r="O106" s="81"/>
      <c r="P106" s="81"/>
      <c r="U106" s="75"/>
      <c r="V106" s="75"/>
      <c r="W106" s="75"/>
      <c r="X106" s="75"/>
      <c r="Y106" s="75"/>
      <c r="Z106" s="75"/>
      <c r="AA106" s="82"/>
      <c r="AB106" s="82"/>
      <c r="AC106" s="82"/>
      <c r="AD106" s="82"/>
      <c r="AE106" s="82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6"/>
      <c r="AQ106" s="76"/>
      <c r="AR106" s="76"/>
      <c r="AS106" s="76"/>
      <c r="AT106" s="76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7"/>
      <c r="BF106" s="77"/>
      <c r="BG106" s="77"/>
      <c r="BH106" s="77"/>
      <c r="BI106" s="77"/>
      <c r="BJ106" s="75"/>
      <c r="BK106" s="75"/>
      <c r="BL106" s="75"/>
      <c r="BM106" s="75"/>
      <c r="BN106" s="78"/>
      <c r="BO106" s="33"/>
    </row>
    <row r="107">
      <c r="A107" s="59" t="str">
        <f>'Function - criteria - Solution'!A15</f>
        <v>FC12</v>
      </c>
      <c r="B107" s="59">
        <f>'Function - criteria - Solution'!D15</f>
        <v>3</v>
      </c>
      <c r="C107" s="59" t="str">
        <f>'Function - criteria - Solution'!B15</f>
        <v>Internal pressure control</v>
      </c>
      <c r="D107" s="59"/>
      <c r="E107" s="60">
        <v>1.0</v>
      </c>
      <c r="F107" s="59"/>
      <c r="G107" s="61"/>
      <c r="H107" s="62"/>
      <c r="I107" s="63"/>
      <c r="J107" s="63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33"/>
    </row>
    <row r="108">
      <c r="A108" s="64"/>
      <c r="B108" s="64"/>
      <c r="C108" s="64"/>
      <c r="D108" s="64" t="str">
        <f>'FC12'!C2</f>
        <v>Exhaust hole in float</v>
      </c>
      <c r="E108" s="65"/>
      <c r="F108" s="64"/>
      <c r="G108" s="90"/>
      <c r="H108" s="91"/>
      <c r="I108" s="69"/>
      <c r="J108" s="69"/>
      <c r="K108" s="69"/>
      <c r="L108" s="94"/>
      <c r="M108" s="94"/>
      <c r="N108" s="94"/>
      <c r="O108" s="94"/>
      <c r="P108" s="94"/>
      <c r="Q108" s="69"/>
      <c r="R108" s="69"/>
      <c r="S108" s="69"/>
      <c r="T108" s="69"/>
      <c r="U108" s="69"/>
      <c r="AA108" s="82"/>
      <c r="AB108" s="82"/>
      <c r="AC108" s="82"/>
      <c r="AD108" s="82"/>
      <c r="AE108" s="82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70"/>
      <c r="AQ108" s="70"/>
      <c r="AR108" s="70"/>
      <c r="AS108" s="70"/>
      <c r="AT108" s="70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71"/>
      <c r="BF108" s="71"/>
      <c r="BG108" s="71"/>
      <c r="BH108" s="71"/>
      <c r="BI108" s="71"/>
      <c r="BJ108" s="69"/>
      <c r="BK108" s="69"/>
      <c r="BL108" s="69"/>
      <c r="BM108" s="69"/>
      <c r="BN108" s="72"/>
      <c r="BO108" s="33"/>
    </row>
    <row r="109">
      <c r="A109" s="64"/>
      <c r="B109" s="64"/>
      <c r="C109" s="64"/>
      <c r="D109" s="64" t="str">
        <f>'FC12'!C3</f>
        <v>QA on production</v>
      </c>
      <c r="E109" s="65"/>
      <c r="F109" s="64"/>
      <c r="G109" s="79"/>
      <c r="H109" s="80"/>
      <c r="I109" s="75"/>
      <c r="J109" s="75"/>
      <c r="K109" s="75"/>
      <c r="L109" s="81"/>
      <c r="M109" s="81"/>
      <c r="N109" s="81"/>
      <c r="O109" s="81"/>
      <c r="P109" s="81"/>
      <c r="Q109" s="75"/>
      <c r="R109" s="75"/>
      <c r="S109" s="75"/>
      <c r="T109" s="75"/>
      <c r="U109" s="75"/>
      <c r="AA109" s="82"/>
      <c r="AB109" s="82"/>
      <c r="AC109" s="82"/>
      <c r="AD109" s="82"/>
      <c r="AE109" s="82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6"/>
      <c r="AQ109" s="76"/>
      <c r="AR109" s="76"/>
      <c r="AS109" s="76"/>
      <c r="AT109" s="76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7"/>
      <c r="BF109" s="77"/>
      <c r="BG109" s="77"/>
      <c r="BH109" s="77"/>
      <c r="BI109" s="77"/>
      <c r="BJ109" s="75"/>
      <c r="BK109" s="75"/>
      <c r="BL109" s="75"/>
      <c r="BM109" s="75"/>
      <c r="BN109" s="78"/>
      <c r="BO109" s="33"/>
    </row>
    <row r="110">
      <c r="A110" s="64"/>
      <c r="B110" s="64"/>
      <c r="C110" s="64"/>
      <c r="D110" s="64" t="str">
        <f>'FC12'!C4</f>
        <v/>
      </c>
      <c r="E110" s="65"/>
      <c r="F110" s="64"/>
      <c r="G110" s="79"/>
      <c r="H110" s="80"/>
      <c r="I110" s="75"/>
      <c r="J110" s="75"/>
      <c r="K110" s="75"/>
      <c r="L110" s="81"/>
      <c r="M110" s="81"/>
      <c r="N110" s="81"/>
      <c r="O110" s="81"/>
      <c r="P110" s="81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82"/>
      <c r="AB110" s="82"/>
      <c r="AC110" s="82"/>
      <c r="AD110" s="82"/>
      <c r="AE110" s="82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6"/>
      <c r="AQ110" s="76"/>
      <c r="AR110" s="76"/>
      <c r="AS110" s="76"/>
      <c r="AT110" s="76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7"/>
      <c r="BF110" s="77"/>
      <c r="BG110" s="77"/>
      <c r="BH110" s="77"/>
      <c r="BI110" s="77"/>
      <c r="BJ110" s="75"/>
      <c r="BK110" s="75"/>
      <c r="BL110" s="75"/>
      <c r="BM110" s="75"/>
      <c r="BN110" s="78"/>
      <c r="BO110" s="33"/>
    </row>
    <row r="111">
      <c r="A111" s="64"/>
      <c r="B111" s="64"/>
      <c r="C111" s="64"/>
      <c r="D111" s="64" t="str">
        <f>'FC12'!C5</f>
        <v/>
      </c>
      <c r="E111" s="65"/>
      <c r="F111" s="64"/>
      <c r="G111" s="79"/>
      <c r="H111" s="80"/>
      <c r="I111" s="75"/>
      <c r="J111" s="75"/>
      <c r="K111" s="75"/>
      <c r="L111" s="81"/>
      <c r="M111" s="81"/>
      <c r="N111" s="81"/>
      <c r="O111" s="81"/>
      <c r="P111" s="81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82"/>
      <c r="AB111" s="82"/>
      <c r="AC111" s="82"/>
      <c r="AD111" s="82"/>
      <c r="AE111" s="82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6"/>
      <c r="AQ111" s="76"/>
      <c r="AR111" s="76"/>
      <c r="AS111" s="76"/>
      <c r="AT111" s="76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7"/>
      <c r="BF111" s="77"/>
      <c r="BG111" s="77"/>
      <c r="BH111" s="77"/>
      <c r="BI111" s="77"/>
      <c r="BJ111" s="75"/>
      <c r="BK111" s="75"/>
      <c r="BL111" s="75"/>
      <c r="BM111" s="75"/>
      <c r="BN111" s="78"/>
      <c r="BO111" s="33"/>
    </row>
    <row r="112">
      <c r="A112" s="59" t="str">
        <f>'Function - criteria - Solution'!A16</f>
        <v>FS1</v>
      </c>
      <c r="B112" s="59">
        <f>'Function - criteria - Solution'!D16</f>
        <v>2</v>
      </c>
      <c r="C112" s="59" t="str">
        <f>'Function - criteria - Solution'!B16</f>
        <v>Walkability</v>
      </c>
      <c r="D112" s="59"/>
      <c r="E112" s="60">
        <v>3.0</v>
      </c>
      <c r="F112" s="59"/>
      <c r="G112" s="61"/>
      <c r="H112" s="62"/>
      <c r="I112" s="63"/>
      <c r="J112" s="63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33"/>
    </row>
    <row r="113">
      <c r="A113" s="64"/>
      <c r="B113" s="64"/>
      <c r="C113" s="64"/>
      <c r="D113" s="64" t="str">
        <f>'FS1'!C2</f>
        <v>Chose a glass/glass PV</v>
      </c>
      <c r="E113" s="65"/>
      <c r="F113" s="64"/>
      <c r="G113" s="90"/>
      <c r="H113" s="91"/>
      <c r="I113" s="69"/>
      <c r="J113" s="69"/>
      <c r="K113" s="69"/>
      <c r="L113" s="81"/>
      <c r="M113" s="81"/>
      <c r="N113" s="81"/>
      <c r="O113" s="81"/>
      <c r="P113" s="81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92"/>
      <c r="AB113" s="92"/>
      <c r="AC113" s="92"/>
      <c r="AD113" s="92"/>
      <c r="AE113" s="92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70"/>
      <c r="AQ113" s="70"/>
      <c r="AR113" s="70"/>
      <c r="AS113" s="70"/>
      <c r="AT113" s="70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71"/>
      <c r="BF113" s="71"/>
      <c r="BG113" s="71"/>
      <c r="BH113" s="71"/>
      <c r="BI113" s="71"/>
      <c r="BJ113" s="69"/>
      <c r="BK113" s="69"/>
      <c r="BL113" s="69"/>
      <c r="BM113" s="69"/>
      <c r="BN113" s="72"/>
      <c r="BO113" s="33"/>
    </row>
    <row r="114">
      <c r="A114" s="64"/>
      <c r="B114" s="64"/>
      <c r="C114" s="64"/>
      <c r="D114" s="64" t="str">
        <f>'FS1'!C3</f>
        <v>Ensure the PV is supported on its backside</v>
      </c>
      <c r="E114" s="65"/>
      <c r="F114" s="64"/>
      <c r="G114" s="79"/>
      <c r="H114" s="80"/>
      <c r="I114" s="75"/>
      <c r="J114" s="75"/>
      <c r="K114" s="75"/>
      <c r="L114" s="81"/>
      <c r="M114" s="81"/>
      <c r="N114" s="81"/>
      <c r="O114" s="81"/>
      <c r="P114" s="81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82"/>
      <c r="AB114" s="82"/>
      <c r="AC114" s="82"/>
      <c r="AD114" s="82"/>
      <c r="AE114" s="82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6"/>
      <c r="AQ114" s="76"/>
      <c r="AR114" s="76"/>
      <c r="AS114" s="76"/>
      <c r="AT114" s="76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7"/>
      <c r="BF114" s="77"/>
      <c r="BG114" s="77"/>
      <c r="BH114" s="77"/>
      <c r="BI114" s="77"/>
      <c r="BJ114" s="75"/>
      <c r="BK114" s="75"/>
      <c r="BL114" s="75"/>
      <c r="BM114" s="75"/>
      <c r="BN114" s="78"/>
      <c r="BO114" s="33"/>
    </row>
    <row r="115">
      <c r="A115" s="64"/>
      <c r="B115" s="64"/>
      <c r="C115" s="64"/>
      <c r="D115" s="64" t="str">
        <f>'FS1'!C4</f>
        <v>Study/test the buoyancy balance of a float</v>
      </c>
      <c r="E115" s="65"/>
      <c r="F115" s="64"/>
      <c r="G115" s="79"/>
      <c r="H115" s="80"/>
      <c r="I115" s="75"/>
      <c r="J115" s="75"/>
      <c r="K115" s="75"/>
      <c r="L115" s="81"/>
      <c r="M115" s="81"/>
      <c r="N115" s="81"/>
      <c r="O115" s="81"/>
      <c r="P115" s="81"/>
      <c r="Q115" s="69"/>
      <c r="R115" s="69"/>
      <c r="S115" s="69"/>
      <c r="T115" s="69"/>
      <c r="U115" s="75"/>
      <c r="V115" s="75"/>
      <c r="W115" s="75"/>
      <c r="X115" s="75"/>
      <c r="Y115" s="75"/>
      <c r="Z115" s="75"/>
      <c r="AA115" s="82"/>
      <c r="AB115" s="82"/>
      <c r="AC115" s="82"/>
      <c r="AD115" s="82"/>
      <c r="AE115" s="82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6"/>
      <c r="AQ115" s="76"/>
      <c r="AR115" s="76"/>
      <c r="AS115" s="76"/>
      <c r="AT115" s="76"/>
      <c r="AU115" s="75"/>
      <c r="AV115" s="75"/>
      <c r="AW115" s="75"/>
      <c r="AX115" s="75"/>
      <c r="AY115" s="75"/>
      <c r="AZ115" s="75"/>
      <c r="BA115" s="75"/>
      <c r="BB115" s="75"/>
      <c r="BC115" s="75"/>
      <c r="BD115" s="75"/>
      <c r="BE115" s="77"/>
      <c r="BF115" s="77"/>
      <c r="BG115" s="77"/>
      <c r="BH115" s="77"/>
      <c r="BI115" s="77"/>
      <c r="BJ115" s="75"/>
      <c r="BK115" s="75"/>
      <c r="BL115" s="75"/>
      <c r="BM115" s="75"/>
      <c r="BN115" s="78"/>
      <c r="BO115" s="33"/>
    </row>
    <row r="116">
      <c r="A116" s="64"/>
      <c r="B116" s="64"/>
      <c r="C116" s="64"/>
      <c r="D116" s="64" t="str">
        <f>'FS1'!C5</f>
        <v/>
      </c>
      <c r="E116" s="65"/>
      <c r="F116" s="64"/>
      <c r="G116" s="79"/>
      <c r="H116" s="80"/>
      <c r="I116" s="75"/>
      <c r="J116" s="75"/>
      <c r="K116" s="75"/>
      <c r="L116" s="81"/>
      <c r="M116" s="81"/>
      <c r="N116" s="81"/>
      <c r="O116" s="81"/>
      <c r="P116" s="81"/>
      <c r="Q116" s="69"/>
      <c r="R116" s="69"/>
      <c r="S116" s="69"/>
      <c r="T116" s="69"/>
      <c r="U116" s="75"/>
      <c r="V116" s="75"/>
      <c r="W116" s="75"/>
      <c r="X116" s="75"/>
      <c r="Y116" s="75"/>
      <c r="Z116" s="75"/>
      <c r="AA116" s="82"/>
      <c r="AB116" s="82"/>
      <c r="AC116" s="82"/>
      <c r="AD116" s="82"/>
      <c r="AE116" s="82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6"/>
      <c r="AQ116" s="76"/>
      <c r="AR116" s="76"/>
      <c r="AS116" s="76"/>
      <c r="AT116" s="76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7"/>
      <c r="BF116" s="77"/>
      <c r="BG116" s="77"/>
      <c r="BH116" s="77"/>
      <c r="BI116" s="77"/>
      <c r="BJ116" s="75"/>
      <c r="BK116" s="75"/>
      <c r="BL116" s="75"/>
      <c r="BM116" s="75"/>
      <c r="BN116" s="78"/>
      <c r="BO116" s="33"/>
    </row>
    <row r="117">
      <c r="A117" s="59" t="str">
        <f>'Function - criteria - Solution'!A17</f>
        <v>FS2</v>
      </c>
      <c r="B117" s="59">
        <f>'Function - criteria - Solution'!D17</f>
        <v>2</v>
      </c>
      <c r="C117" s="59" t="str">
        <f>'Function - criteria - Solution'!B17</f>
        <v>Manufacturability</v>
      </c>
      <c r="D117" s="59"/>
      <c r="E117" s="60">
        <v>3.0</v>
      </c>
      <c r="F117" s="59"/>
      <c r="G117" s="61"/>
      <c r="H117" s="62"/>
      <c r="I117" s="63"/>
      <c r="J117" s="63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33"/>
    </row>
    <row r="118">
      <c r="A118" s="64"/>
      <c r="B118" s="64"/>
      <c r="C118" s="64"/>
      <c r="D118" s="64" t="str">
        <f>'FS2'!C2</f>
        <v>Processes compatible with mass production</v>
      </c>
      <c r="E118" s="65"/>
      <c r="F118" s="64"/>
      <c r="G118" s="90"/>
      <c r="H118" s="91"/>
      <c r="I118" s="69"/>
      <c r="J118" s="69"/>
      <c r="K118" s="69"/>
      <c r="L118" s="94"/>
      <c r="M118" s="94"/>
      <c r="N118" s="94"/>
      <c r="O118" s="94"/>
      <c r="P118" s="94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92"/>
      <c r="AB118" s="92"/>
      <c r="AC118" s="92"/>
      <c r="AD118" s="92"/>
      <c r="AE118" s="92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70"/>
      <c r="AQ118" s="70"/>
      <c r="AR118" s="70"/>
      <c r="AS118" s="70"/>
      <c r="AT118" s="70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71"/>
      <c r="BF118" s="71"/>
      <c r="BG118" s="71"/>
      <c r="BH118" s="71"/>
      <c r="BI118" s="71"/>
      <c r="BJ118" s="69"/>
      <c r="BK118" s="69"/>
      <c r="BL118" s="69"/>
      <c r="BM118" s="69"/>
      <c r="BN118" s="72"/>
      <c r="BO118" s="33"/>
    </row>
    <row r="119">
      <c r="A119" s="64"/>
      <c r="B119" s="64"/>
      <c r="C119" s="64"/>
      <c r="D119" s="64" t="str">
        <f>'FS2'!C3</f>
        <v>Processes compatible with organic production</v>
      </c>
      <c r="E119" s="65"/>
      <c r="F119" s="64"/>
      <c r="G119" s="79"/>
      <c r="H119" s="80"/>
      <c r="I119" s="75"/>
      <c r="J119" s="75"/>
      <c r="K119" s="75"/>
      <c r="L119" s="94"/>
      <c r="M119" s="94"/>
      <c r="N119" s="94"/>
      <c r="O119" s="94"/>
      <c r="P119" s="94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82"/>
      <c r="AB119" s="82"/>
      <c r="AC119" s="82"/>
      <c r="AD119" s="82"/>
      <c r="AE119" s="82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6"/>
      <c r="AQ119" s="76"/>
      <c r="AR119" s="76"/>
      <c r="AS119" s="76"/>
      <c r="AT119" s="76"/>
      <c r="AU119" s="75"/>
      <c r="AV119" s="75"/>
      <c r="AW119" s="75"/>
      <c r="AX119" s="75"/>
      <c r="AY119" s="75"/>
      <c r="AZ119" s="75"/>
      <c r="BA119" s="75"/>
      <c r="BB119" s="75"/>
      <c r="BC119" s="75"/>
      <c r="BD119" s="75"/>
      <c r="BE119" s="77"/>
      <c r="BF119" s="77"/>
      <c r="BG119" s="77"/>
      <c r="BH119" s="77"/>
      <c r="BI119" s="77"/>
      <c r="BJ119" s="75"/>
      <c r="BK119" s="75"/>
      <c r="BL119" s="75"/>
      <c r="BM119" s="75"/>
      <c r="BN119" s="78"/>
      <c r="BO119" s="33"/>
    </row>
    <row r="120">
      <c r="A120" s="64"/>
      <c r="B120" s="64"/>
      <c r="C120" s="64"/>
      <c r="D120" s="64" t="str">
        <f>'FS2'!C4</f>
        <v/>
      </c>
      <c r="E120" s="65"/>
      <c r="F120" s="64"/>
      <c r="G120" s="79"/>
      <c r="H120" s="80"/>
      <c r="I120" s="75"/>
      <c r="J120" s="75"/>
      <c r="K120" s="75"/>
      <c r="L120" s="94"/>
      <c r="M120" s="94"/>
      <c r="N120" s="94"/>
      <c r="O120" s="94"/>
      <c r="P120" s="94"/>
      <c r="Q120" s="69"/>
      <c r="R120" s="69"/>
      <c r="S120" s="69"/>
      <c r="T120" s="69"/>
      <c r="U120" s="75"/>
      <c r="V120" s="75"/>
      <c r="W120" s="75"/>
      <c r="X120" s="75"/>
      <c r="Y120" s="75"/>
      <c r="Z120" s="75"/>
      <c r="AA120" s="82"/>
      <c r="AB120" s="82"/>
      <c r="AC120" s="82"/>
      <c r="AD120" s="82"/>
      <c r="AE120" s="82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6"/>
      <c r="AQ120" s="76"/>
      <c r="AR120" s="76"/>
      <c r="AS120" s="76"/>
      <c r="AT120" s="76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7"/>
      <c r="BF120" s="77"/>
      <c r="BG120" s="77"/>
      <c r="BH120" s="77"/>
      <c r="BI120" s="77"/>
      <c r="BJ120" s="75"/>
      <c r="BK120" s="75"/>
      <c r="BL120" s="75"/>
      <c r="BM120" s="75"/>
      <c r="BN120" s="78"/>
      <c r="BO120" s="33"/>
    </row>
    <row r="121">
      <c r="A121" s="64"/>
      <c r="B121" s="64"/>
      <c r="C121" s="64"/>
      <c r="D121" s="64"/>
      <c r="E121" s="65"/>
      <c r="F121" s="64"/>
      <c r="G121" s="79"/>
      <c r="H121" s="80"/>
      <c r="I121" s="75"/>
      <c r="J121" s="75"/>
      <c r="K121" s="75"/>
      <c r="L121" s="94"/>
      <c r="M121" s="94"/>
      <c r="N121" s="94"/>
      <c r="O121" s="94"/>
      <c r="P121" s="94"/>
      <c r="Q121" s="69"/>
      <c r="R121" s="69"/>
      <c r="S121" s="69"/>
      <c r="T121" s="69"/>
      <c r="U121" s="75"/>
      <c r="V121" s="75"/>
      <c r="W121" s="75"/>
      <c r="X121" s="75"/>
      <c r="Y121" s="75"/>
      <c r="Z121" s="75"/>
      <c r="AA121" s="82"/>
      <c r="AB121" s="82"/>
      <c r="AC121" s="82"/>
      <c r="AD121" s="82"/>
      <c r="AE121" s="82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6"/>
      <c r="AQ121" s="76"/>
      <c r="AR121" s="76"/>
      <c r="AS121" s="76"/>
      <c r="AT121" s="76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7"/>
      <c r="BF121" s="77"/>
      <c r="BG121" s="77"/>
      <c r="BH121" s="77"/>
      <c r="BI121" s="77"/>
      <c r="BJ121" s="75"/>
      <c r="BK121" s="75"/>
      <c r="BL121" s="75"/>
      <c r="BM121" s="75"/>
      <c r="BN121" s="78"/>
      <c r="BO121" s="33"/>
    </row>
    <row r="122">
      <c r="A122" s="59" t="str">
        <f>'Function - criteria - Solution'!A18</f>
        <v>FS3</v>
      </c>
      <c r="B122" s="59">
        <f>'Function - criteria - Solution'!D18</f>
        <v>3</v>
      </c>
      <c r="C122" s="59" t="str">
        <f>'Function - criteria - Solution'!B18</f>
        <v>Deployability</v>
      </c>
      <c r="D122" s="59"/>
      <c r="E122" s="60">
        <v>3.0</v>
      </c>
      <c r="F122" s="59"/>
      <c r="G122" s="61"/>
      <c r="H122" s="62"/>
      <c r="I122" s="63"/>
      <c r="J122" s="63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33"/>
    </row>
    <row r="123">
      <c r="A123" s="64"/>
      <c r="B123" s="64"/>
      <c r="C123" s="64"/>
      <c r="D123" s="64" t="str">
        <f>'FS3'!C2</f>
        <v>Use standard connectors</v>
      </c>
      <c r="E123" s="65"/>
      <c r="F123" s="64"/>
      <c r="G123" s="90"/>
      <c r="H123" s="91"/>
      <c r="I123" s="69"/>
      <c r="J123" s="69"/>
      <c r="K123" s="69"/>
      <c r="L123" s="94"/>
      <c r="M123" s="94"/>
      <c r="N123" s="94"/>
      <c r="O123" s="94"/>
      <c r="P123" s="94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92"/>
      <c r="AB123" s="92"/>
      <c r="AC123" s="92"/>
      <c r="AD123" s="92"/>
      <c r="AE123" s="92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70"/>
      <c r="AQ123" s="70"/>
      <c r="AR123" s="70"/>
      <c r="AS123" s="70"/>
      <c r="AT123" s="70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71"/>
      <c r="BF123" s="71"/>
      <c r="BG123" s="71"/>
      <c r="BH123" s="71"/>
      <c r="BI123" s="71"/>
      <c r="BJ123" s="69"/>
      <c r="BK123" s="69"/>
      <c r="BL123" s="69"/>
      <c r="BM123" s="69"/>
      <c r="BN123" s="72"/>
      <c r="BO123" s="33"/>
    </row>
    <row r="124">
      <c r="A124" s="64"/>
      <c r="B124" s="64"/>
      <c r="C124" s="64"/>
      <c r="D124" s="64" t="str">
        <f>'FS3'!C3</f>
        <v>Ensure ease of handling</v>
      </c>
      <c r="E124" s="65"/>
      <c r="F124" s="64"/>
      <c r="G124" s="79"/>
      <c r="H124" s="80"/>
      <c r="I124" s="75"/>
      <c r="J124" s="75"/>
      <c r="K124" s="75"/>
      <c r="L124" s="94"/>
      <c r="M124" s="94"/>
      <c r="N124" s="94"/>
      <c r="O124" s="94"/>
      <c r="P124" s="94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82"/>
      <c r="AB124" s="82"/>
      <c r="AC124" s="82"/>
      <c r="AD124" s="82"/>
      <c r="AE124" s="82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6"/>
      <c r="AQ124" s="76"/>
      <c r="AR124" s="76"/>
      <c r="AS124" s="76"/>
      <c r="AT124" s="76"/>
      <c r="AU124" s="75"/>
      <c r="AV124" s="75"/>
      <c r="AW124" s="75"/>
      <c r="AX124" s="75"/>
      <c r="AY124" s="75"/>
      <c r="AZ124" s="75"/>
      <c r="BA124" s="75"/>
      <c r="BB124" s="75"/>
      <c r="BC124" s="75"/>
      <c r="BD124" s="75"/>
      <c r="BE124" s="77"/>
      <c r="BF124" s="77"/>
      <c r="BG124" s="77"/>
      <c r="BH124" s="77"/>
      <c r="BI124" s="77"/>
      <c r="BJ124" s="75"/>
      <c r="BK124" s="75"/>
      <c r="BL124" s="75"/>
      <c r="BM124" s="75"/>
      <c r="BN124" s="78"/>
      <c r="BO124" s="33"/>
    </row>
    <row r="125">
      <c r="A125" s="64"/>
      <c r="B125" s="64"/>
      <c r="C125" s="64"/>
      <c r="D125" s="64" t="str">
        <f>'FS3'!C4</f>
        <v>Ensure personnel safety</v>
      </c>
      <c r="E125" s="65"/>
      <c r="F125" s="64"/>
      <c r="G125" s="79"/>
      <c r="H125" s="80"/>
      <c r="I125" s="75"/>
      <c r="J125" s="75"/>
      <c r="K125" s="75"/>
      <c r="L125" s="94"/>
      <c r="M125" s="94"/>
      <c r="N125" s="94"/>
      <c r="O125" s="94"/>
      <c r="P125" s="94"/>
      <c r="Q125" s="69"/>
      <c r="R125" s="69"/>
      <c r="S125" s="69"/>
      <c r="T125" s="69"/>
      <c r="U125" s="75"/>
      <c r="V125" s="75"/>
      <c r="W125" s="75"/>
      <c r="X125" s="75"/>
      <c r="Y125" s="75"/>
      <c r="Z125" s="75"/>
      <c r="AA125" s="82"/>
      <c r="AB125" s="82"/>
      <c r="AC125" s="82"/>
      <c r="AD125" s="82"/>
      <c r="AE125" s="82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6"/>
      <c r="AQ125" s="76"/>
      <c r="AR125" s="76"/>
      <c r="AS125" s="76"/>
      <c r="AT125" s="76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  <c r="BE125" s="77"/>
      <c r="BF125" s="77"/>
      <c r="BG125" s="77"/>
      <c r="BH125" s="77"/>
      <c r="BI125" s="77"/>
      <c r="BJ125" s="75"/>
      <c r="BK125" s="75"/>
      <c r="BL125" s="75"/>
      <c r="BM125" s="75"/>
      <c r="BN125" s="78"/>
      <c r="BO125" s="33"/>
    </row>
    <row r="126">
      <c r="A126" s="64"/>
      <c r="B126" s="64"/>
      <c r="C126" s="64"/>
      <c r="D126" s="64" t="str">
        <f>'FS3'!C5</f>
        <v>Ensure equipment safety</v>
      </c>
      <c r="E126" s="65"/>
      <c r="F126" s="64"/>
      <c r="G126" s="79"/>
      <c r="H126" s="80"/>
      <c r="I126" s="75"/>
      <c r="J126" s="75"/>
      <c r="K126" s="75"/>
      <c r="L126" s="94"/>
      <c r="M126" s="94"/>
      <c r="N126" s="94"/>
      <c r="O126" s="94"/>
      <c r="P126" s="94"/>
      <c r="Q126" s="69"/>
      <c r="R126" s="69"/>
      <c r="S126" s="69"/>
      <c r="T126" s="69"/>
      <c r="U126" s="75"/>
      <c r="V126" s="75"/>
      <c r="W126" s="75"/>
      <c r="X126" s="75"/>
      <c r="Y126" s="75"/>
      <c r="Z126" s="75"/>
      <c r="AA126" s="82"/>
      <c r="AB126" s="82"/>
      <c r="AC126" s="82"/>
      <c r="AD126" s="82"/>
      <c r="AE126" s="82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6"/>
      <c r="AQ126" s="76"/>
      <c r="AR126" s="76"/>
      <c r="AS126" s="76"/>
      <c r="AT126" s="76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7"/>
      <c r="BF126" s="77"/>
      <c r="BG126" s="77"/>
      <c r="BH126" s="77"/>
      <c r="BI126" s="77"/>
      <c r="BJ126" s="75"/>
      <c r="BK126" s="75"/>
      <c r="BL126" s="75"/>
      <c r="BM126" s="75"/>
      <c r="BN126" s="78"/>
      <c r="BO126" s="33"/>
    </row>
    <row r="127">
      <c r="A127" s="59"/>
      <c r="B127" s="59"/>
      <c r="C127" s="59"/>
      <c r="D127" s="59"/>
      <c r="E127" s="95"/>
      <c r="F127" s="59"/>
      <c r="G127" s="61"/>
      <c r="H127" s="62"/>
      <c r="I127" s="63"/>
      <c r="J127" s="63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33"/>
    </row>
    <row r="128">
      <c r="A128" s="64"/>
      <c r="B128" s="64"/>
      <c r="C128" s="64"/>
      <c r="D128" s="64"/>
      <c r="E128" s="96"/>
      <c r="F128" s="64"/>
      <c r="G128" s="90"/>
      <c r="H128" s="91"/>
      <c r="I128" s="69"/>
      <c r="J128" s="69"/>
      <c r="K128" s="69"/>
      <c r="L128" s="94"/>
      <c r="M128" s="94"/>
      <c r="N128" s="94"/>
      <c r="O128" s="94"/>
      <c r="P128" s="94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92"/>
      <c r="AB128" s="92"/>
      <c r="AC128" s="92"/>
      <c r="AD128" s="92"/>
      <c r="AE128" s="92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70"/>
      <c r="AQ128" s="70"/>
      <c r="AR128" s="70"/>
      <c r="AS128" s="70"/>
      <c r="AT128" s="70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71"/>
      <c r="BF128" s="71"/>
      <c r="BG128" s="71"/>
      <c r="BH128" s="71"/>
      <c r="BI128" s="71"/>
      <c r="BJ128" s="69"/>
      <c r="BK128" s="69"/>
      <c r="BL128" s="69"/>
      <c r="BM128" s="69"/>
      <c r="BN128" s="72"/>
      <c r="BO128" s="33"/>
    </row>
    <row r="129">
      <c r="A129" s="64"/>
      <c r="B129" s="64"/>
      <c r="C129" s="64"/>
      <c r="D129" s="64"/>
      <c r="E129" s="96"/>
      <c r="F129" s="64"/>
      <c r="G129" s="79"/>
      <c r="H129" s="80"/>
      <c r="I129" s="75"/>
      <c r="J129" s="75"/>
      <c r="K129" s="75"/>
      <c r="L129" s="94"/>
      <c r="M129" s="94"/>
      <c r="N129" s="94"/>
      <c r="O129" s="94"/>
      <c r="P129" s="94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82"/>
      <c r="AB129" s="82"/>
      <c r="AC129" s="82"/>
      <c r="AD129" s="82"/>
      <c r="AE129" s="82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6"/>
      <c r="AQ129" s="76"/>
      <c r="AR129" s="76"/>
      <c r="AS129" s="76"/>
      <c r="AT129" s="76"/>
      <c r="AU129" s="75"/>
      <c r="AV129" s="75"/>
      <c r="AW129" s="75"/>
      <c r="AX129" s="75"/>
      <c r="AY129" s="75"/>
      <c r="AZ129" s="75"/>
      <c r="BA129" s="75"/>
      <c r="BB129" s="75"/>
      <c r="BC129" s="75"/>
      <c r="BD129" s="75"/>
      <c r="BE129" s="77"/>
      <c r="BF129" s="77"/>
      <c r="BG129" s="77"/>
      <c r="BH129" s="77"/>
      <c r="BI129" s="77"/>
      <c r="BJ129" s="75"/>
      <c r="BK129" s="75"/>
      <c r="BL129" s="75"/>
      <c r="BM129" s="75"/>
      <c r="BN129" s="78"/>
      <c r="BO129" s="33"/>
    </row>
    <row r="130">
      <c r="A130" s="64"/>
      <c r="B130" s="64"/>
      <c r="C130" s="64"/>
      <c r="D130" s="64"/>
      <c r="E130" s="96"/>
      <c r="F130" s="64"/>
      <c r="G130" s="79"/>
      <c r="H130" s="80"/>
      <c r="I130" s="75"/>
      <c r="J130" s="75"/>
      <c r="K130" s="75"/>
      <c r="L130" s="94"/>
      <c r="M130" s="94"/>
      <c r="N130" s="94"/>
      <c r="O130" s="94"/>
      <c r="P130" s="94"/>
      <c r="Q130" s="69"/>
      <c r="R130" s="69"/>
      <c r="S130" s="69"/>
      <c r="T130" s="69"/>
      <c r="U130" s="75"/>
      <c r="V130" s="75"/>
      <c r="W130" s="75"/>
      <c r="X130" s="75"/>
      <c r="Y130" s="75"/>
      <c r="Z130" s="75"/>
      <c r="AA130" s="82"/>
      <c r="AB130" s="82"/>
      <c r="AC130" s="82"/>
      <c r="AD130" s="82"/>
      <c r="AE130" s="82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6"/>
      <c r="AQ130" s="76"/>
      <c r="AR130" s="76"/>
      <c r="AS130" s="76"/>
      <c r="AT130" s="76"/>
      <c r="AU130" s="75"/>
      <c r="AV130" s="75"/>
      <c r="AW130" s="75"/>
      <c r="AX130" s="75"/>
      <c r="AY130" s="75"/>
      <c r="AZ130" s="75"/>
      <c r="BA130" s="75"/>
      <c r="BB130" s="75"/>
      <c r="BC130" s="75"/>
      <c r="BD130" s="75"/>
      <c r="BE130" s="77"/>
      <c r="BF130" s="77"/>
      <c r="BG130" s="77"/>
      <c r="BH130" s="77"/>
      <c r="BI130" s="77"/>
      <c r="BJ130" s="75"/>
      <c r="BK130" s="75"/>
      <c r="BL130" s="75"/>
      <c r="BM130" s="75"/>
      <c r="BN130" s="78"/>
      <c r="BO130" s="33"/>
    </row>
    <row r="131">
      <c r="A131" s="64"/>
      <c r="B131" s="64"/>
      <c r="C131" s="64"/>
      <c r="D131" s="64"/>
      <c r="E131" s="96"/>
      <c r="F131" s="64"/>
      <c r="G131" s="79"/>
      <c r="H131" s="80"/>
      <c r="I131" s="75"/>
      <c r="J131" s="75"/>
      <c r="K131" s="75"/>
      <c r="L131" s="94"/>
      <c r="M131" s="94"/>
      <c r="N131" s="94"/>
      <c r="O131" s="94"/>
      <c r="P131" s="94"/>
      <c r="Q131" s="69"/>
      <c r="R131" s="69"/>
      <c r="S131" s="69"/>
      <c r="T131" s="69"/>
      <c r="U131" s="75"/>
      <c r="V131" s="75"/>
      <c r="W131" s="75"/>
      <c r="X131" s="75"/>
      <c r="Y131" s="75"/>
      <c r="Z131" s="75"/>
      <c r="AA131" s="82"/>
      <c r="AB131" s="82"/>
      <c r="AC131" s="82"/>
      <c r="AD131" s="82"/>
      <c r="AE131" s="82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6"/>
      <c r="AQ131" s="76"/>
      <c r="AR131" s="76"/>
      <c r="AS131" s="76"/>
      <c r="AT131" s="76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7"/>
      <c r="BF131" s="77"/>
      <c r="BG131" s="77"/>
      <c r="BH131" s="77"/>
      <c r="BI131" s="77"/>
      <c r="BJ131" s="75"/>
      <c r="BK131" s="75"/>
      <c r="BL131" s="75"/>
      <c r="BM131" s="75"/>
      <c r="BN131" s="78"/>
      <c r="BO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3"/>
      <c r="BM929" s="33"/>
      <c r="BN929" s="33"/>
      <c r="BO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3"/>
      <c r="BM930" s="33"/>
      <c r="BN930" s="33"/>
      <c r="BO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3"/>
      <c r="BM931" s="33"/>
      <c r="BN931" s="33"/>
      <c r="BO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  <c r="BO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3"/>
      <c r="BM979" s="33"/>
      <c r="BN979" s="33"/>
      <c r="BO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3"/>
      <c r="BM980" s="33"/>
      <c r="BN980" s="33"/>
      <c r="BO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3"/>
      <c r="BM981" s="33"/>
      <c r="BN981" s="33"/>
      <c r="BO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3"/>
      <c r="BM982" s="33"/>
      <c r="BN982" s="33"/>
      <c r="BO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3"/>
      <c r="BM983" s="33"/>
      <c r="BN983" s="33"/>
      <c r="BO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3"/>
      <c r="BM986" s="33"/>
      <c r="BN986" s="33"/>
      <c r="BO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  <c r="BJ988" s="33"/>
      <c r="BK988" s="33"/>
      <c r="BL988" s="33"/>
      <c r="BM988" s="33"/>
      <c r="BN988" s="33"/>
      <c r="BO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  <c r="BJ989" s="33"/>
      <c r="BK989" s="33"/>
      <c r="BL989" s="33"/>
      <c r="BM989" s="33"/>
      <c r="BN989" s="33"/>
      <c r="BO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  <c r="BJ990" s="33"/>
      <c r="BK990" s="33"/>
      <c r="BL990" s="33"/>
      <c r="BM990" s="33"/>
      <c r="BN990" s="33"/>
      <c r="BO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  <c r="BJ991" s="33"/>
      <c r="BK991" s="33"/>
      <c r="BL991" s="33"/>
      <c r="BM991" s="33"/>
      <c r="BN991" s="33"/>
      <c r="BO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  <c r="BJ992" s="33"/>
      <c r="BK992" s="33"/>
      <c r="BL992" s="33"/>
      <c r="BM992" s="33"/>
      <c r="BN992" s="33"/>
      <c r="BO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  <c r="BJ993" s="33"/>
      <c r="BK993" s="33"/>
      <c r="BL993" s="33"/>
      <c r="BM993" s="33"/>
      <c r="BN993" s="33"/>
      <c r="BO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  <c r="BJ994" s="33"/>
      <c r="BK994" s="33"/>
      <c r="BL994" s="33"/>
      <c r="BM994" s="33"/>
      <c r="BN994" s="33"/>
      <c r="BO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  <c r="BF995" s="33"/>
      <c r="BG995" s="33"/>
      <c r="BH995" s="33"/>
      <c r="BI995" s="33"/>
      <c r="BJ995" s="33"/>
      <c r="BK995" s="33"/>
      <c r="BL995" s="33"/>
      <c r="BM995" s="33"/>
      <c r="BN995" s="33"/>
      <c r="BO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3"/>
      <c r="BG996" s="33"/>
      <c r="BH996" s="33"/>
      <c r="BI996" s="33"/>
      <c r="BJ996" s="33"/>
      <c r="BK996" s="33"/>
      <c r="BL996" s="33"/>
      <c r="BM996" s="33"/>
      <c r="BN996" s="33"/>
      <c r="BO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  <c r="BF997" s="33"/>
      <c r="BG997" s="33"/>
      <c r="BH997" s="33"/>
      <c r="BI997" s="33"/>
      <c r="BJ997" s="33"/>
      <c r="BK997" s="33"/>
      <c r="BL997" s="33"/>
      <c r="BM997" s="33"/>
      <c r="BN997" s="33"/>
      <c r="BO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  <c r="BJ998" s="33"/>
      <c r="BK998" s="33"/>
      <c r="BL998" s="33"/>
      <c r="BM998" s="33"/>
      <c r="BN998" s="33"/>
      <c r="BO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  <c r="BF999" s="33"/>
      <c r="BG999" s="33"/>
      <c r="BH999" s="33"/>
      <c r="BI999" s="33"/>
      <c r="BJ999" s="33"/>
      <c r="BK999" s="33"/>
      <c r="BL999" s="33"/>
      <c r="BM999" s="33"/>
      <c r="BN999" s="33"/>
      <c r="BO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3"/>
      <c r="BG1000" s="33"/>
      <c r="BH1000" s="33"/>
      <c r="BI1000" s="33"/>
      <c r="BJ1000" s="33"/>
      <c r="BK1000" s="33"/>
      <c r="BL1000" s="33"/>
      <c r="BM1000" s="33"/>
      <c r="BN1000" s="33"/>
      <c r="BO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N1001" s="33"/>
      <c r="AO1001" s="33"/>
      <c r="AP1001" s="33"/>
      <c r="AQ1001" s="33"/>
      <c r="AR1001" s="33"/>
      <c r="AS1001" s="33"/>
      <c r="AT1001" s="33"/>
      <c r="AU1001" s="33"/>
      <c r="AV1001" s="33"/>
      <c r="AW1001" s="33"/>
      <c r="AX1001" s="33"/>
      <c r="AY1001" s="33"/>
      <c r="AZ1001" s="33"/>
      <c r="BA1001" s="33"/>
      <c r="BB1001" s="33"/>
      <c r="BC1001" s="33"/>
      <c r="BD1001" s="33"/>
      <c r="BE1001" s="33"/>
      <c r="BF1001" s="33"/>
      <c r="BG1001" s="33"/>
      <c r="BH1001" s="33"/>
      <c r="BI1001" s="33"/>
      <c r="BJ1001" s="33"/>
      <c r="BK1001" s="33"/>
      <c r="BL1001" s="33"/>
      <c r="BM1001" s="33"/>
      <c r="BN1001" s="33"/>
      <c r="BO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  <c r="AN1002" s="33"/>
      <c r="AO1002" s="33"/>
      <c r="AP1002" s="33"/>
      <c r="AQ1002" s="33"/>
      <c r="AR1002" s="33"/>
      <c r="AS1002" s="33"/>
      <c r="AT1002" s="33"/>
      <c r="AU1002" s="33"/>
      <c r="AV1002" s="33"/>
      <c r="AW1002" s="33"/>
      <c r="AX1002" s="33"/>
      <c r="AY1002" s="33"/>
      <c r="AZ1002" s="33"/>
      <c r="BA1002" s="33"/>
      <c r="BB1002" s="33"/>
      <c r="BC1002" s="33"/>
      <c r="BD1002" s="33"/>
      <c r="BE1002" s="33"/>
      <c r="BF1002" s="33"/>
      <c r="BG1002" s="33"/>
      <c r="BH1002" s="33"/>
      <c r="BI1002" s="33"/>
      <c r="BJ1002" s="33"/>
      <c r="BK1002" s="33"/>
      <c r="BL1002" s="33"/>
      <c r="BM1002" s="33"/>
      <c r="BN1002" s="33"/>
      <c r="BO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  <c r="AM1003" s="33"/>
      <c r="AN1003" s="33"/>
      <c r="AO1003" s="33"/>
      <c r="AP1003" s="33"/>
      <c r="AQ1003" s="33"/>
      <c r="AR1003" s="33"/>
      <c r="AS1003" s="33"/>
      <c r="AT1003" s="33"/>
      <c r="AU1003" s="33"/>
      <c r="AV1003" s="33"/>
      <c r="AW1003" s="33"/>
      <c r="AX1003" s="33"/>
      <c r="AY1003" s="33"/>
      <c r="AZ1003" s="33"/>
      <c r="BA1003" s="33"/>
      <c r="BB1003" s="33"/>
      <c r="BC1003" s="33"/>
      <c r="BD1003" s="33"/>
      <c r="BE1003" s="33"/>
      <c r="BF1003" s="33"/>
      <c r="BG1003" s="33"/>
      <c r="BH1003" s="33"/>
      <c r="BI1003" s="33"/>
      <c r="BJ1003" s="33"/>
      <c r="BK1003" s="33"/>
      <c r="BL1003" s="33"/>
      <c r="BM1003" s="33"/>
      <c r="BN1003" s="33"/>
      <c r="BO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  <c r="AN1004" s="33"/>
      <c r="AO1004" s="33"/>
      <c r="AP1004" s="33"/>
      <c r="AQ1004" s="33"/>
      <c r="AR1004" s="33"/>
      <c r="AS1004" s="33"/>
      <c r="AT1004" s="33"/>
      <c r="AU1004" s="33"/>
      <c r="AV1004" s="33"/>
      <c r="AW1004" s="33"/>
      <c r="AX1004" s="33"/>
      <c r="AY1004" s="33"/>
      <c r="AZ1004" s="33"/>
      <c r="BA1004" s="33"/>
      <c r="BB1004" s="33"/>
      <c r="BC1004" s="33"/>
      <c r="BD1004" s="33"/>
      <c r="BE1004" s="33"/>
      <c r="BF1004" s="33"/>
      <c r="BG1004" s="33"/>
      <c r="BH1004" s="33"/>
      <c r="BI1004" s="33"/>
      <c r="BJ1004" s="33"/>
      <c r="BK1004" s="33"/>
      <c r="BL1004" s="33"/>
      <c r="BM1004" s="33"/>
      <c r="BN1004" s="33"/>
      <c r="BO1004" s="33"/>
    </row>
    <row r="1005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  <c r="AN1005" s="33"/>
      <c r="AO1005" s="33"/>
      <c r="AP1005" s="33"/>
      <c r="AQ1005" s="33"/>
      <c r="AR1005" s="33"/>
      <c r="AS1005" s="33"/>
      <c r="AT1005" s="33"/>
      <c r="AU1005" s="33"/>
      <c r="AV1005" s="33"/>
      <c r="AW1005" s="33"/>
      <c r="AX1005" s="33"/>
      <c r="AY1005" s="33"/>
      <c r="AZ1005" s="33"/>
      <c r="BA1005" s="33"/>
      <c r="BB1005" s="33"/>
      <c r="BC1005" s="33"/>
      <c r="BD1005" s="33"/>
      <c r="BE1005" s="33"/>
      <c r="BF1005" s="33"/>
      <c r="BG1005" s="33"/>
      <c r="BH1005" s="33"/>
      <c r="BI1005" s="33"/>
      <c r="BJ1005" s="33"/>
      <c r="BK1005" s="33"/>
      <c r="BL1005" s="33"/>
      <c r="BM1005" s="33"/>
      <c r="BN1005" s="33"/>
      <c r="BO1005" s="33"/>
    </row>
    <row r="100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  <c r="AM1006" s="33"/>
      <c r="AN1006" s="33"/>
      <c r="AO1006" s="33"/>
      <c r="AP1006" s="33"/>
      <c r="AQ1006" s="33"/>
      <c r="AR1006" s="33"/>
      <c r="AS1006" s="33"/>
      <c r="AT1006" s="33"/>
      <c r="AU1006" s="33"/>
      <c r="AV1006" s="33"/>
      <c r="AW1006" s="33"/>
      <c r="AX1006" s="33"/>
      <c r="AY1006" s="33"/>
      <c r="AZ1006" s="33"/>
      <c r="BA1006" s="33"/>
      <c r="BB1006" s="33"/>
      <c r="BC1006" s="33"/>
      <c r="BD1006" s="33"/>
      <c r="BE1006" s="33"/>
      <c r="BF1006" s="33"/>
      <c r="BG1006" s="33"/>
      <c r="BH1006" s="33"/>
      <c r="BI1006" s="33"/>
      <c r="BJ1006" s="33"/>
      <c r="BK1006" s="33"/>
      <c r="BL1006" s="33"/>
      <c r="BM1006" s="33"/>
      <c r="BN1006" s="33"/>
      <c r="BO1006" s="33"/>
    </row>
    <row r="1007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  <c r="AM1007" s="33"/>
      <c r="AN1007" s="33"/>
      <c r="AO1007" s="33"/>
      <c r="AP1007" s="33"/>
      <c r="AQ1007" s="33"/>
      <c r="AR1007" s="33"/>
      <c r="AS1007" s="33"/>
      <c r="AT1007" s="33"/>
      <c r="AU1007" s="33"/>
      <c r="AV1007" s="33"/>
      <c r="AW1007" s="33"/>
      <c r="AX1007" s="33"/>
      <c r="AY1007" s="33"/>
      <c r="AZ1007" s="33"/>
      <c r="BA1007" s="33"/>
      <c r="BB1007" s="33"/>
      <c r="BC1007" s="33"/>
      <c r="BD1007" s="33"/>
      <c r="BE1007" s="33"/>
      <c r="BF1007" s="33"/>
      <c r="BG1007" s="33"/>
      <c r="BH1007" s="33"/>
      <c r="BI1007" s="33"/>
      <c r="BJ1007" s="33"/>
      <c r="BK1007" s="33"/>
      <c r="BL1007" s="33"/>
      <c r="BM1007" s="33"/>
      <c r="BN1007" s="33"/>
      <c r="BO1007" s="33"/>
    </row>
    <row r="1008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  <c r="AM1008" s="33"/>
      <c r="AN1008" s="33"/>
      <c r="AO1008" s="33"/>
      <c r="AP1008" s="33"/>
      <c r="AQ1008" s="33"/>
      <c r="AR1008" s="33"/>
      <c r="AS1008" s="33"/>
      <c r="AT1008" s="33"/>
      <c r="AU1008" s="33"/>
      <c r="AV1008" s="33"/>
      <c r="AW1008" s="33"/>
      <c r="AX1008" s="33"/>
      <c r="AY1008" s="33"/>
      <c r="AZ1008" s="33"/>
      <c r="BA1008" s="33"/>
      <c r="BB1008" s="33"/>
      <c r="BC1008" s="33"/>
      <c r="BD1008" s="33"/>
      <c r="BE1008" s="33"/>
      <c r="BF1008" s="33"/>
      <c r="BG1008" s="33"/>
      <c r="BH1008" s="33"/>
      <c r="BI1008" s="33"/>
      <c r="BJ1008" s="33"/>
      <c r="BK1008" s="33"/>
      <c r="BL1008" s="33"/>
      <c r="BM1008" s="33"/>
      <c r="BN1008" s="33"/>
      <c r="BO1008" s="33"/>
    </row>
    <row r="1009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  <c r="AM1009" s="33"/>
      <c r="AN1009" s="33"/>
      <c r="AO1009" s="33"/>
      <c r="AP1009" s="33"/>
      <c r="AQ1009" s="33"/>
      <c r="AR1009" s="33"/>
      <c r="AS1009" s="33"/>
      <c r="AT1009" s="33"/>
      <c r="AU1009" s="33"/>
      <c r="AV1009" s="33"/>
      <c r="AW1009" s="33"/>
      <c r="AX1009" s="33"/>
      <c r="AY1009" s="33"/>
      <c r="AZ1009" s="33"/>
      <c r="BA1009" s="33"/>
      <c r="BB1009" s="33"/>
      <c r="BC1009" s="33"/>
      <c r="BD1009" s="33"/>
      <c r="BE1009" s="33"/>
      <c r="BF1009" s="33"/>
      <c r="BG1009" s="33"/>
      <c r="BH1009" s="33"/>
      <c r="BI1009" s="33"/>
      <c r="BJ1009" s="33"/>
      <c r="BK1009" s="33"/>
      <c r="BL1009" s="33"/>
      <c r="BM1009" s="33"/>
      <c r="BN1009" s="33"/>
      <c r="BO1009" s="33"/>
    </row>
    <row r="1010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  <c r="AN1010" s="33"/>
      <c r="AO1010" s="33"/>
      <c r="AP1010" s="33"/>
      <c r="AQ1010" s="33"/>
      <c r="AR1010" s="33"/>
      <c r="AS1010" s="33"/>
      <c r="AT1010" s="33"/>
      <c r="AU1010" s="33"/>
      <c r="AV1010" s="33"/>
      <c r="AW1010" s="33"/>
      <c r="AX1010" s="33"/>
      <c r="AY1010" s="33"/>
      <c r="AZ1010" s="33"/>
      <c r="BA1010" s="33"/>
      <c r="BB1010" s="33"/>
      <c r="BC1010" s="33"/>
      <c r="BD1010" s="33"/>
      <c r="BE1010" s="33"/>
      <c r="BF1010" s="33"/>
      <c r="BG1010" s="33"/>
      <c r="BH1010" s="33"/>
      <c r="BI1010" s="33"/>
      <c r="BJ1010" s="33"/>
      <c r="BK1010" s="33"/>
      <c r="BL1010" s="33"/>
      <c r="BM1010" s="33"/>
      <c r="BN1010" s="33"/>
      <c r="BO1010" s="33"/>
    </row>
    <row r="101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  <c r="AM1011" s="33"/>
      <c r="AN1011" s="33"/>
      <c r="AO1011" s="33"/>
      <c r="AP1011" s="33"/>
      <c r="AQ1011" s="33"/>
      <c r="AR1011" s="33"/>
      <c r="AS1011" s="33"/>
      <c r="AT1011" s="33"/>
      <c r="AU1011" s="33"/>
      <c r="AV1011" s="33"/>
      <c r="AW1011" s="33"/>
      <c r="AX1011" s="33"/>
      <c r="AY1011" s="33"/>
      <c r="AZ1011" s="33"/>
      <c r="BA1011" s="33"/>
      <c r="BB1011" s="33"/>
      <c r="BC1011" s="33"/>
      <c r="BD1011" s="33"/>
      <c r="BE1011" s="33"/>
      <c r="BF1011" s="33"/>
      <c r="BG1011" s="33"/>
      <c r="BH1011" s="33"/>
      <c r="BI1011" s="33"/>
      <c r="BJ1011" s="33"/>
      <c r="BK1011" s="33"/>
      <c r="BL1011" s="33"/>
      <c r="BM1011" s="33"/>
      <c r="BN1011" s="33"/>
      <c r="BO1011" s="33"/>
    </row>
    <row r="101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/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/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/>
    </row>
    <row r="1013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/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/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/>
    </row>
    <row r="1014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  <c r="AM1014" s="33"/>
      <c r="AN1014" s="33"/>
      <c r="AO1014" s="33"/>
      <c r="AP1014" s="33"/>
      <c r="AQ1014" s="33"/>
      <c r="AR1014" s="33"/>
      <c r="AS1014" s="33"/>
      <c r="AT1014" s="33"/>
      <c r="AU1014" s="33"/>
      <c r="AV1014" s="33"/>
      <c r="AW1014" s="33"/>
      <c r="AX1014" s="33"/>
      <c r="AY1014" s="33"/>
      <c r="AZ1014" s="33"/>
      <c r="BA1014" s="33"/>
      <c r="BB1014" s="33"/>
      <c r="BC1014" s="33"/>
      <c r="BD1014" s="33"/>
      <c r="BE1014" s="33"/>
      <c r="BF1014" s="33"/>
      <c r="BG1014" s="33"/>
      <c r="BH1014" s="33"/>
      <c r="BI1014" s="33"/>
      <c r="BJ1014" s="33"/>
      <c r="BK1014" s="33"/>
      <c r="BL1014" s="33"/>
      <c r="BM1014" s="33"/>
      <c r="BN1014" s="33"/>
      <c r="BO1014" s="33"/>
    </row>
    <row r="1015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/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/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/>
    </row>
    <row r="1016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  <c r="AM1016" s="33"/>
      <c r="AN1016" s="33"/>
      <c r="AO1016" s="33"/>
      <c r="AP1016" s="33"/>
      <c r="AQ1016" s="33"/>
      <c r="AR1016" s="33"/>
      <c r="AS1016" s="33"/>
      <c r="AT1016" s="33"/>
      <c r="AU1016" s="33"/>
      <c r="AV1016" s="33"/>
      <c r="AW1016" s="33"/>
      <c r="AX1016" s="33"/>
      <c r="AY1016" s="33"/>
      <c r="AZ1016" s="33"/>
      <c r="BA1016" s="33"/>
      <c r="BB1016" s="33"/>
      <c r="BC1016" s="33"/>
      <c r="BD1016" s="33"/>
      <c r="BE1016" s="33"/>
      <c r="BF1016" s="33"/>
      <c r="BG1016" s="33"/>
      <c r="BH1016" s="33"/>
      <c r="BI1016" s="33"/>
      <c r="BJ1016" s="33"/>
      <c r="BK1016" s="33"/>
      <c r="BL1016" s="33"/>
      <c r="BM1016" s="33"/>
      <c r="BN1016" s="33"/>
      <c r="BO1016" s="33"/>
    </row>
    <row r="1017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  <c r="AM1017" s="33"/>
      <c r="AN1017" s="33"/>
      <c r="AO1017" s="33"/>
      <c r="AP1017" s="33"/>
      <c r="AQ1017" s="33"/>
      <c r="AR1017" s="33"/>
      <c r="AS1017" s="33"/>
      <c r="AT1017" s="33"/>
      <c r="AU1017" s="33"/>
      <c r="AV1017" s="33"/>
      <c r="AW1017" s="33"/>
      <c r="AX1017" s="33"/>
      <c r="AY1017" s="33"/>
      <c r="AZ1017" s="33"/>
      <c r="BA1017" s="33"/>
      <c r="BB1017" s="33"/>
      <c r="BC1017" s="33"/>
      <c r="BD1017" s="33"/>
      <c r="BE1017" s="33"/>
      <c r="BF1017" s="33"/>
      <c r="BG1017" s="33"/>
      <c r="BH1017" s="33"/>
      <c r="BI1017" s="33"/>
      <c r="BJ1017" s="33"/>
      <c r="BK1017" s="33"/>
      <c r="BL1017" s="33"/>
      <c r="BM1017" s="33"/>
      <c r="BN1017" s="33"/>
      <c r="BO1017" s="33"/>
    </row>
    <row r="1018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  <c r="AM1018" s="33"/>
      <c r="AN1018" s="33"/>
      <c r="AO1018" s="33"/>
      <c r="AP1018" s="33"/>
      <c r="AQ1018" s="33"/>
      <c r="AR1018" s="33"/>
      <c r="AS1018" s="33"/>
      <c r="AT1018" s="33"/>
      <c r="AU1018" s="33"/>
      <c r="AV1018" s="33"/>
      <c r="AW1018" s="33"/>
      <c r="AX1018" s="33"/>
      <c r="AY1018" s="33"/>
      <c r="AZ1018" s="33"/>
      <c r="BA1018" s="33"/>
      <c r="BB1018" s="33"/>
      <c r="BC1018" s="33"/>
      <c r="BD1018" s="33"/>
      <c r="BE1018" s="33"/>
      <c r="BF1018" s="33"/>
      <c r="BG1018" s="33"/>
      <c r="BH1018" s="33"/>
      <c r="BI1018" s="33"/>
      <c r="BJ1018" s="33"/>
      <c r="BK1018" s="33"/>
      <c r="BL1018" s="33"/>
      <c r="BM1018" s="33"/>
      <c r="BN1018" s="33"/>
      <c r="BO1018" s="33"/>
    </row>
    <row r="1019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  <c r="AM1019" s="33"/>
      <c r="AN1019" s="33"/>
      <c r="AO1019" s="33"/>
      <c r="AP1019" s="33"/>
      <c r="AQ1019" s="33"/>
      <c r="AR1019" s="33"/>
      <c r="AS1019" s="33"/>
      <c r="AT1019" s="33"/>
      <c r="AU1019" s="33"/>
      <c r="AV1019" s="33"/>
      <c r="AW1019" s="33"/>
      <c r="AX1019" s="33"/>
      <c r="AY1019" s="33"/>
      <c r="AZ1019" s="33"/>
      <c r="BA1019" s="33"/>
      <c r="BB1019" s="33"/>
      <c r="BC1019" s="33"/>
      <c r="BD1019" s="33"/>
      <c r="BE1019" s="33"/>
      <c r="BF1019" s="33"/>
      <c r="BG1019" s="33"/>
      <c r="BH1019" s="33"/>
      <c r="BI1019" s="33"/>
      <c r="BJ1019" s="33"/>
      <c r="BK1019" s="33"/>
      <c r="BL1019" s="33"/>
      <c r="BM1019" s="33"/>
      <c r="BN1019" s="33"/>
      <c r="BO1019" s="33"/>
    </row>
    <row r="1020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  <c r="AM1020" s="33"/>
      <c r="AN1020" s="33"/>
      <c r="AO1020" s="33"/>
      <c r="AP1020" s="33"/>
      <c r="AQ1020" s="33"/>
      <c r="AR1020" s="33"/>
      <c r="AS1020" s="33"/>
      <c r="AT1020" s="33"/>
      <c r="AU1020" s="33"/>
      <c r="AV1020" s="33"/>
      <c r="AW1020" s="33"/>
      <c r="AX1020" s="33"/>
      <c r="AY1020" s="33"/>
      <c r="AZ1020" s="33"/>
      <c r="BA1020" s="33"/>
      <c r="BB1020" s="33"/>
      <c r="BC1020" s="33"/>
      <c r="BD1020" s="33"/>
      <c r="BE1020" s="33"/>
      <c r="BF1020" s="33"/>
      <c r="BG1020" s="33"/>
      <c r="BH1020" s="33"/>
      <c r="BI1020" s="33"/>
      <c r="BJ1020" s="33"/>
      <c r="BK1020" s="33"/>
      <c r="BL1020" s="33"/>
      <c r="BM1020" s="33"/>
      <c r="BN1020" s="33"/>
      <c r="BO1020" s="33"/>
    </row>
    <row r="1021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  <c r="AM1021" s="33"/>
      <c r="AN1021" s="33"/>
      <c r="AO1021" s="33"/>
      <c r="AP1021" s="33"/>
      <c r="AQ1021" s="33"/>
      <c r="AR1021" s="33"/>
      <c r="AS1021" s="33"/>
      <c r="AT1021" s="33"/>
      <c r="AU1021" s="33"/>
      <c r="AV1021" s="33"/>
      <c r="AW1021" s="33"/>
      <c r="AX1021" s="33"/>
      <c r="AY1021" s="33"/>
      <c r="AZ1021" s="33"/>
      <c r="BA1021" s="33"/>
      <c r="BB1021" s="33"/>
      <c r="BC1021" s="33"/>
      <c r="BD1021" s="33"/>
      <c r="BE1021" s="33"/>
      <c r="BF1021" s="33"/>
      <c r="BG1021" s="33"/>
      <c r="BH1021" s="33"/>
      <c r="BI1021" s="33"/>
      <c r="BJ1021" s="33"/>
      <c r="BK1021" s="33"/>
      <c r="BL1021" s="33"/>
      <c r="BM1021" s="33"/>
      <c r="BN1021" s="33"/>
      <c r="BO1021" s="33"/>
    </row>
    <row r="1022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  <c r="AM1022" s="33"/>
      <c r="AN1022" s="33"/>
      <c r="AO1022" s="33"/>
      <c r="AP1022" s="33"/>
      <c r="AQ1022" s="33"/>
      <c r="AR1022" s="33"/>
      <c r="AS1022" s="33"/>
      <c r="AT1022" s="33"/>
      <c r="AU1022" s="33"/>
      <c r="AV1022" s="33"/>
      <c r="AW1022" s="33"/>
      <c r="AX1022" s="33"/>
      <c r="AY1022" s="33"/>
      <c r="AZ1022" s="33"/>
      <c r="BA1022" s="33"/>
      <c r="BB1022" s="33"/>
      <c r="BC1022" s="33"/>
      <c r="BD1022" s="33"/>
      <c r="BE1022" s="33"/>
      <c r="BF1022" s="33"/>
      <c r="BG1022" s="33"/>
      <c r="BH1022" s="33"/>
      <c r="BI1022" s="33"/>
      <c r="BJ1022" s="33"/>
      <c r="BK1022" s="33"/>
      <c r="BL1022" s="33"/>
      <c r="BM1022" s="33"/>
      <c r="BN1022" s="33"/>
      <c r="BO1022" s="33"/>
    </row>
    <row r="1023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  <c r="AM1023" s="33"/>
      <c r="AN1023" s="33"/>
      <c r="AO1023" s="33"/>
      <c r="AP1023" s="33"/>
      <c r="AQ1023" s="33"/>
      <c r="AR1023" s="33"/>
      <c r="AS1023" s="33"/>
      <c r="AT1023" s="33"/>
      <c r="AU1023" s="33"/>
      <c r="AV1023" s="33"/>
      <c r="AW1023" s="33"/>
      <c r="AX1023" s="33"/>
      <c r="AY1023" s="33"/>
      <c r="AZ1023" s="33"/>
      <c r="BA1023" s="33"/>
      <c r="BB1023" s="33"/>
      <c r="BC1023" s="33"/>
      <c r="BD1023" s="33"/>
      <c r="BE1023" s="33"/>
      <c r="BF1023" s="33"/>
      <c r="BG1023" s="33"/>
      <c r="BH1023" s="33"/>
      <c r="BI1023" s="33"/>
      <c r="BJ1023" s="33"/>
      <c r="BK1023" s="33"/>
      <c r="BL1023" s="33"/>
      <c r="BM1023" s="33"/>
      <c r="BN1023" s="33"/>
      <c r="BO1023" s="33"/>
    </row>
    <row r="1024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/>
      <c r="AN1024" s="33"/>
      <c r="AO1024" s="33"/>
      <c r="AP1024" s="33"/>
      <c r="AQ1024" s="33"/>
      <c r="AR1024" s="33"/>
      <c r="AS1024" s="33"/>
      <c r="AT1024" s="33"/>
      <c r="AU1024" s="33"/>
      <c r="AV1024" s="33"/>
      <c r="AW1024" s="33"/>
      <c r="AX1024" s="33"/>
      <c r="AY1024" s="33"/>
      <c r="AZ1024" s="33"/>
      <c r="BA1024" s="33"/>
      <c r="BB1024" s="33"/>
      <c r="BC1024" s="33"/>
      <c r="BD1024" s="33"/>
      <c r="BE1024" s="33"/>
      <c r="BF1024" s="33"/>
      <c r="BG1024" s="33"/>
      <c r="BH1024" s="33"/>
      <c r="BI1024" s="33"/>
      <c r="BJ1024" s="33"/>
      <c r="BK1024" s="33"/>
      <c r="BL1024" s="33"/>
      <c r="BM1024" s="33"/>
      <c r="BN1024" s="33"/>
      <c r="BO1024" s="33"/>
    </row>
    <row r="1025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/>
      <c r="AN1025" s="33"/>
      <c r="AO1025" s="33"/>
      <c r="AP1025" s="33"/>
      <c r="AQ1025" s="33"/>
      <c r="AR1025" s="33"/>
      <c r="AS1025" s="33"/>
      <c r="AT1025" s="33"/>
      <c r="AU1025" s="33"/>
      <c r="AV1025" s="33"/>
      <c r="AW1025" s="33"/>
      <c r="AX1025" s="33"/>
      <c r="AY1025" s="33"/>
      <c r="AZ1025" s="33"/>
      <c r="BA1025" s="33"/>
      <c r="BB1025" s="33"/>
      <c r="BC1025" s="33"/>
      <c r="BD1025" s="33"/>
      <c r="BE1025" s="33"/>
      <c r="BF1025" s="33"/>
      <c r="BG1025" s="33"/>
      <c r="BH1025" s="33"/>
      <c r="BI1025" s="33"/>
      <c r="BJ1025" s="33"/>
      <c r="BK1025" s="33"/>
      <c r="BL1025" s="33"/>
      <c r="BM1025" s="33"/>
      <c r="BN1025" s="33"/>
      <c r="BO1025" s="33"/>
    </row>
    <row r="1026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  <c r="AM1026" s="33"/>
      <c r="AN1026" s="33"/>
      <c r="AO1026" s="33"/>
      <c r="AP1026" s="33"/>
      <c r="AQ1026" s="33"/>
      <c r="AR1026" s="33"/>
      <c r="AS1026" s="33"/>
      <c r="AT1026" s="33"/>
      <c r="AU1026" s="33"/>
      <c r="AV1026" s="33"/>
      <c r="AW1026" s="33"/>
      <c r="AX1026" s="33"/>
      <c r="AY1026" s="33"/>
      <c r="AZ1026" s="33"/>
      <c r="BA1026" s="33"/>
      <c r="BB1026" s="33"/>
      <c r="BC1026" s="33"/>
      <c r="BD1026" s="33"/>
      <c r="BE1026" s="33"/>
      <c r="BF1026" s="33"/>
      <c r="BG1026" s="33"/>
      <c r="BH1026" s="33"/>
      <c r="BI1026" s="33"/>
      <c r="BJ1026" s="33"/>
      <c r="BK1026" s="33"/>
      <c r="BL1026" s="33"/>
      <c r="BM1026" s="33"/>
      <c r="BN1026" s="33"/>
      <c r="BO1026" s="33"/>
    </row>
    <row r="1027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/>
      <c r="AN1027" s="33"/>
      <c r="AO1027" s="33"/>
      <c r="AP1027" s="33"/>
      <c r="AQ1027" s="33"/>
      <c r="AR1027" s="33"/>
      <c r="AS1027" s="33"/>
      <c r="AT1027" s="33"/>
      <c r="AU1027" s="33"/>
      <c r="AV1027" s="33"/>
      <c r="AW1027" s="33"/>
      <c r="AX1027" s="33"/>
      <c r="AY1027" s="33"/>
      <c r="AZ1027" s="33"/>
      <c r="BA1027" s="33"/>
      <c r="BB1027" s="33"/>
      <c r="BC1027" s="33"/>
      <c r="BD1027" s="33"/>
      <c r="BE1027" s="33"/>
      <c r="BF1027" s="33"/>
      <c r="BG1027" s="33"/>
      <c r="BH1027" s="33"/>
      <c r="BI1027" s="33"/>
      <c r="BJ1027" s="33"/>
      <c r="BK1027" s="33"/>
      <c r="BL1027" s="33"/>
      <c r="BM1027" s="33"/>
      <c r="BN1027" s="33"/>
      <c r="BO1027" s="33"/>
    </row>
    <row r="1028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  <c r="AM1028" s="33"/>
      <c r="AN1028" s="33"/>
      <c r="AO1028" s="33"/>
      <c r="AP1028" s="33"/>
      <c r="AQ1028" s="33"/>
      <c r="AR1028" s="33"/>
      <c r="AS1028" s="33"/>
      <c r="AT1028" s="33"/>
      <c r="AU1028" s="33"/>
      <c r="AV1028" s="33"/>
      <c r="AW1028" s="33"/>
      <c r="AX1028" s="33"/>
      <c r="AY1028" s="33"/>
      <c r="AZ1028" s="33"/>
      <c r="BA1028" s="33"/>
      <c r="BB1028" s="33"/>
      <c r="BC1028" s="33"/>
      <c r="BD1028" s="33"/>
      <c r="BE1028" s="33"/>
      <c r="BF1028" s="33"/>
      <c r="BG1028" s="33"/>
      <c r="BH1028" s="33"/>
      <c r="BI1028" s="33"/>
      <c r="BJ1028" s="33"/>
      <c r="BK1028" s="33"/>
      <c r="BL1028" s="33"/>
      <c r="BM1028" s="33"/>
      <c r="BN1028" s="33"/>
      <c r="BO1028" s="33"/>
    </row>
    <row r="1029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  <c r="AN1029" s="33"/>
      <c r="AO1029" s="33"/>
      <c r="AP1029" s="33"/>
      <c r="AQ1029" s="33"/>
      <c r="AR1029" s="33"/>
      <c r="AS1029" s="33"/>
      <c r="AT1029" s="33"/>
      <c r="AU1029" s="33"/>
      <c r="AV1029" s="33"/>
      <c r="AW1029" s="33"/>
      <c r="AX1029" s="33"/>
      <c r="AY1029" s="33"/>
      <c r="AZ1029" s="33"/>
      <c r="BA1029" s="33"/>
      <c r="BB1029" s="33"/>
      <c r="BC1029" s="33"/>
      <c r="BD1029" s="33"/>
      <c r="BE1029" s="33"/>
      <c r="BF1029" s="33"/>
      <c r="BG1029" s="33"/>
      <c r="BH1029" s="33"/>
      <c r="BI1029" s="33"/>
      <c r="BJ1029" s="33"/>
      <c r="BK1029" s="33"/>
      <c r="BL1029" s="33"/>
      <c r="BM1029" s="33"/>
      <c r="BN1029" s="33"/>
      <c r="BO1029" s="33"/>
    </row>
    <row r="1030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  <c r="AM1030" s="33"/>
      <c r="AN1030" s="33"/>
      <c r="AO1030" s="33"/>
      <c r="AP1030" s="33"/>
      <c r="AQ1030" s="33"/>
      <c r="AR1030" s="33"/>
      <c r="AS1030" s="33"/>
      <c r="AT1030" s="33"/>
      <c r="AU1030" s="33"/>
      <c r="AV1030" s="33"/>
      <c r="AW1030" s="33"/>
      <c r="AX1030" s="33"/>
      <c r="AY1030" s="33"/>
      <c r="AZ1030" s="33"/>
      <c r="BA1030" s="33"/>
      <c r="BB1030" s="33"/>
      <c r="BC1030" s="33"/>
      <c r="BD1030" s="33"/>
      <c r="BE1030" s="33"/>
      <c r="BF1030" s="33"/>
      <c r="BG1030" s="33"/>
      <c r="BH1030" s="33"/>
      <c r="BI1030" s="33"/>
      <c r="BJ1030" s="33"/>
      <c r="BK1030" s="33"/>
      <c r="BL1030" s="33"/>
      <c r="BM1030" s="33"/>
      <c r="BN1030" s="33"/>
      <c r="BO1030" s="33"/>
    </row>
    <row r="1031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  <c r="AM1031" s="33"/>
      <c r="AN1031" s="33"/>
      <c r="AO1031" s="33"/>
      <c r="AP1031" s="33"/>
      <c r="AQ1031" s="33"/>
      <c r="AR1031" s="33"/>
      <c r="AS1031" s="33"/>
      <c r="AT1031" s="33"/>
      <c r="AU1031" s="33"/>
      <c r="AV1031" s="33"/>
      <c r="AW1031" s="33"/>
      <c r="AX1031" s="33"/>
      <c r="AY1031" s="33"/>
      <c r="AZ1031" s="33"/>
      <c r="BA1031" s="33"/>
      <c r="BB1031" s="33"/>
      <c r="BC1031" s="33"/>
      <c r="BD1031" s="33"/>
      <c r="BE1031" s="33"/>
      <c r="BF1031" s="33"/>
      <c r="BG1031" s="33"/>
      <c r="BH1031" s="33"/>
      <c r="BI1031" s="33"/>
      <c r="BJ1031" s="33"/>
      <c r="BK1031" s="33"/>
      <c r="BL1031" s="33"/>
      <c r="BM1031" s="33"/>
      <c r="BN1031" s="33"/>
      <c r="BO1031" s="33"/>
    </row>
    <row r="1032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  <c r="AM1032" s="33"/>
      <c r="AN1032" s="33"/>
      <c r="AO1032" s="33"/>
      <c r="AP1032" s="33"/>
      <c r="AQ1032" s="33"/>
      <c r="AR1032" s="33"/>
      <c r="AS1032" s="33"/>
      <c r="AT1032" s="33"/>
      <c r="AU1032" s="33"/>
      <c r="AV1032" s="33"/>
      <c r="AW1032" s="33"/>
      <c r="AX1032" s="33"/>
      <c r="AY1032" s="33"/>
      <c r="AZ1032" s="33"/>
      <c r="BA1032" s="33"/>
      <c r="BB1032" s="33"/>
      <c r="BC1032" s="33"/>
      <c r="BD1032" s="33"/>
      <c r="BE1032" s="33"/>
      <c r="BF1032" s="33"/>
      <c r="BG1032" s="33"/>
      <c r="BH1032" s="33"/>
      <c r="BI1032" s="33"/>
      <c r="BJ1032" s="33"/>
      <c r="BK1032" s="33"/>
      <c r="BL1032" s="33"/>
      <c r="BM1032" s="33"/>
      <c r="BN1032" s="33"/>
      <c r="BO1032" s="33"/>
    </row>
    <row r="1033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  <c r="AM1033" s="33"/>
      <c r="AN1033" s="33"/>
      <c r="AO1033" s="33"/>
      <c r="AP1033" s="33"/>
      <c r="AQ1033" s="33"/>
      <c r="AR1033" s="33"/>
      <c r="AS1033" s="33"/>
      <c r="AT1033" s="33"/>
      <c r="AU1033" s="33"/>
      <c r="AV1033" s="33"/>
      <c r="AW1033" s="33"/>
      <c r="AX1033" s="33"/>
      <c r="AY1033" s="33"/>
      <c r="AZ1033" s="33"/>
      <c r="BA1033" s="33"/>
      <c r="BB1033" s="33"/>
      <c r="BC1033" s="33"/>
      <c r="BD1033" s="33"/>
      <c r="BE1033" s="33"/>
      <c r="BF1033" s="33"/>
      <c r="BG1033" s="33"/>
      <c r="BH1033" s="33"/>
      <c r="BI1033" s="33"/>
      <c r="BJ1033" s="33"/>
      <c r="BK1033" s="33"/>
      <c r="BL1033" s="33"/>
      <c r="BM1033" s="33"/>
      <c r="BN1033" s="33"/>
      <c r="BO1033" s="33"/>
    </row>
    <row r="1034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  <c r="AM1034" s="33"/>
      <c r="AN1034" s="33"/>
      <c r="AO1034" s="33"/>
      <c r="AP1034" s="33"/>
      <c r="AQ1034" s="33"/>
      <c r="AR1034" s="33"/>
      <c r="AS1034" s="33"/>
      <c r="AT1034" s="33"/>
      <c r="AU1034" s="33"/>
      <c r="AV1034" s="33"/>
      <c r="AW1034" s="33"/>
      <c r="AX1034" s="33"/>
      <c r="AY1034" s="33"/>
      <c r="AZ1034" s="33"/>
      <c r="BA1034" s="33"/>
      <c r="BB1034" s="33"/>
      <c r="BC1034" s="33"/>
      <c r="BD1034" s="33"/>
      <c r="BE1034" s="33"/>
      <c r="BF1034" s="33"/>
      <c r="BG1034" s="33"/>
      <c r="BH1034" s="33"/>
      <c r="BI1034" s="33"/>
      <c r="BJ1034" s="33"/>
      <c r="BK1034" s="33"/>
      <c r="BL1034" s="33"/>
      <c r="BM1034" s="33"/>
      <c r="BN1034" s="33"/>
      <c r="BO1034" s="33"/>
    </row>
    <row r="1035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  <c r="AM1035" s="33"/>
      <c r="AN1035" s="33"/>
      <c r="AO1035" s="33"/>
      <c r="AP1035" s="33"/>
      <c r="AQ1035" s="33"/>
      <c r="AR1035" s="33"/>
      <c r="AS1035" s="33"/>
      <c r="AT1035" s="33"/>
      <c r="AU1035" s="33"/>
      <c r="AV1035" s="33"/>
      <c r="AW1035" s="33"/>
      <c r="AX1035" s="33"/>
      <c r="AY1035" s="33"/>
      <c r="AZ1035" s="33"/>
      <c r="BA1035" s="33"/>
      <c r="BB1035" s="33"/>
      <c r="BC1035" s="33"/>
      <c r="BD1035" s="33"/>
      <c r="BE1035" s="33"/>
      <c r="BF1035" s="33"/>
      <c r="BG1035" s="33"/>
      <c r="BH1035" s="33"/>
      <c r="BI1035" s="33"/>
      <c r="BJ1035" s="33"/>
      <c r="BK1035" s="33"/>
      <c r="BL1035" s="33"/>
      <c r="BM1035" s="33"/>
      <c r="BN1035" s="33"/>
      <c r="BO1035" s="33"/>
    </row>
    <row r="1036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  <c r="AM1036" s="33"/>
      <c r="AN1036" s="33"/>
      <c r="AO1036" s="33"/>
      <c r="AP1036" s="33"/>
      <c r="AQ1036" s="33"/>
      <c r="AR1036" s="33"/>
      <c r="AS1036" s="33"/>
      <c r="AT1036" s="33"/>
      <c r="AU1036" s="33"/>
      <c r="AV1036" s="33"/>
      <c r="AW1036" s="33"/>
      <c r="AX1036" s="33"/>
      <c r="AY1036" s="33"/>
      <c r="AZ1036" s="33"/>
      <c r="BA1036" s="33"/>
      <c r="BB1036" s="33"/>
      <c r="BC1036" s="33"/>
      <c r="BD1036" s="33"/>
      <c r="BE1036" s="33"/>
      <c r="BF1036" s="33"/>
      <c r="BG1036" s="33"/>
      <c r="BH1036" s="33"/>
      <c r="BI1036" s="33"/>
      <c r="BJ1036" s="33"/>
      <c r="BK1036" s="33"/>
      <c r="BL1036" s="33"/>
      <c r="BM1036" s="33"/>
      <c r="BN1036" s="33"/>
      <c r="BO1036" s="33"/>
    </row>
    <row r="1037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  <c r="AM1037" s="33"/>
      <c r="AN1037" s="33"/>
      <c r="AO1037" s="33"/>
      <c r="AP1037" s="33"/>
      <c r="AQ1037" s="33"/>
      <c r="AR1037" s="33"/>
      <c r="AS1037" s="33"/>
      <c r="AT1037" s="33"/>
      <c r="AU1037" s="33"/>
      <c r="AV1037" s="33"/>
      <c r="AW1037" s="33"/>
      <c r="AX1037" s="33"/>
      <c r="AY1037" s="33"/>
      <c r="AZ1037" s="33"/>
      <c r="BA1037" s="33"/>
      <c r="BB1037" s="33"/>
      <c r="BC1037" s="33"/>
      <c r="BD1037" s="33"/>
      <c r="BE1037" s="33"/>
      <c r="BF1037" s="33"/>
      <c r="BG1037" s="33"/>
      <c r="BH1037" s="33"/>
      <c r="BI1037" s="33"/>
      <c r="BJ1037" s="33"/>
      <c r="BK1037" s="33"/>
      <c r="BL1037" s="33"/>
      <c r="BM1037" s="33"/>
      <c r="BN1037" s="33"/>
      <c r="BO1037" s="33"/>
    </row>
    <row r="1038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  <c r="AM1038" s="33"/>
      <c r="AN1038" s="33"/>
      <c r="AO1038" s="33"/>
      <c r="AP1038" s="33"/>
      <c r="AQ1038" s="33"/>
      <c r="AR1038" s="33"/>
      <c r="AS1038" s="33"/>
      <c r="AT1038" s="33"/>
      <c r="AU1038" s="33"/>
      <c r="AV1038" s="33"/>
      <c r="AW1038" s="33"/>
      <c r="AX1038" s="33"/>
      <c r="AY1038" s="33"/>
      <c r="AZ1038" s="33"/>
      <c r="BA1038" s="33"/>
      <c r="BB1038" s="33"/>
      <c r="BC1038" s="33"/>
      <c r="BD1038" s="33"/>
      <c r="BE1038" s="33"/>
      <c r="BF1038" s="33"/>
      <c r="BG1038" s="33"/>
      <c r="BH1038" s="33"/>
      <c r="BI1038" s="33"/>
      <c r="BJ1038" s="33"/>
      <c r="BK1038" s="33"/>
      <c r="BL1038" s="33"/>
      <c r="BM1038" s="33"/>
      <c r="BN1038" s="33"/>
      <c r="BO1038" s="33"/>
    </row>
    <row r="1039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  <c r="AM1039" s="33"/>
      <c r="AN1039" s="33"/>
      <c r="AO1039" s="33"/>
      <c r="AP1039" s="33"/>
      <c r="AQ1039" s="33"/>
      <c r="AR1039" s="33"/>
      <c r="AS1039" s="33"/>
      <c r="AT1039" s="33"/>
      <c r="AU1039" s="33"/>
      <c r="AV1039" s="33"/>
      <c r="AW1039" s="33"/>
      <c r="AX1039" s="33"/>
      <c r="AY1039" s="33"/>
      <c r="AZ1039" s="33"/>
      <c r="BA1039" s="33"/>
      <c r="BB1039" s="33"/>
      <c r="BC1039" s="33"/>
      <c r="BD1039" s="33"/>
      <c r="BE1039" s="33"/>
      <c r="BF1039" s="33"/>
      <c r="BG1039" s="33"/>
      <c r="BH1039" s="33"/>
      <c r="BI1039" s="33"/>
      <c r="BJ1039" s="33"/>
      <c r="BK1039" s="33"/>
      <c r="BL1039" s="33"/>
      <c r="BM1039" s="33"/>
      <c r="BN1039" s="33"/>
      <c r="BO1039" s="33"/>
    </row>
    <row r="1040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  <c r="AM1040" s="33"/>
      <c r="AN1040" s="33"/>
      <c r="AO1040" s="33"/>
      <c r="AP1040" s="33"/>
      <c r="AQ1040" s="33"/>
      <c r="AR1040" s="33"/>
      <c r="AS1040" s="33"/>
      <c r="AT1040" s="33"/>
      <c r="AU1040" s="33"/>
      <c r="AV1040" s="33"/>
      <c r="AW1040" s="33"/>
      <c r="AX1040" s="33"/>
      <c r="AY1040" s="33"/>
      <c r="AZ1040" s="33"/>
      <c r="BA1040" s="33"/>
      <c r="BB1040" s="33"/>
      <c r="BC1040" s="33"/>
      <c r="BD1040" s="33"/>
      <c r="BE1040" s="33"/>
      <c r="BF1040" s="33"/>
      <c r="BG1040" s="33"/>
      <c r="BH1040" s="33"/>
      <c r="BI1040" s="33"/>
      <c r="BJ1040" s="33"/>
      <c r="BK1040" s="33"/>
      <c r="BL1040" s="33"/>
      <c r="BM1040" s="33"/>
      <c r="BN1040" s="33"/>
      <c r="BO1040" s="33"/>
    </row>
    <row r="1041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  <c r="AM1041" s="33"/>
      <c r="AN1041" s="33"/>
      <c r="AO1041" s="33"/>
      <c r="AP1041" s="33"/>
      <c r="AQ1041" s="33"/>
      <c r="AR1041" s="33"/>
      <c r="AS1041" s="33"/>
      <c r="AT1041" s="33"/>
      <c r="AU1041" s="33"/>
      <c r="AV1041" s="33"/>
      <c r="AW1041" s="33"/>
      <c r="AX1041" s="33"/>
      <c r="AY1041" s="33"/>
      <c r="AZ1041" s="33"/>
      <c r="BA1041" s="33"/>
      <c r="BB1041" s="33"/>
      <c r="BC1041" s="33"/>
      <c r="BD1041" s="33"/>
      <c r="BE1041" s="33"/>
      <c r="BF1041" s="33"/>
      <c r="BG1041" s="33"/>
      <c r="BH1041" s="33"/>
      <c r="BI1041" s="33"/>
      <c r="BJ1041" s="33"/>
      <c r="BK1041" s="33"/>
      <c r="BL1041" s="33"/>
      <c r="BM1041" s="33"/>
      <c r="BN1041" s="33"/>
      <c r="BO1041" s="33"/>
    </row>
    <row r="1042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 s="33"/>
      <c r="AI1042" s="33"/>
      <c r="AJ1042" s="33"/>
      <c r="AK1042" s="33"/>
      <c r="AL1042" s="33"/>
      <c r="AM1042" s="33"/>
      <c r="AN1042" s="33"/>
      <c r="AO1042" s="33"/>
      <c r="AP1042" s="33"/>
      <c r="AQ1042" s="33"/>
      <c r="AR1042" s="33"/>
      <c r="AS1042" s="33"/>
      <c r="AT1042" s="33"/>
      <c r="AU1042" s="33"/>
      <c r="AV1042" s="33"/>
      <c r="AW1042" s="33"/>
      <c r="AX1042" s="33"/>
      <c r="AY1042" s="33"/>
      <c r="AZ1042" s="33"/>
      <c r="BA1042" s="33"/>
      <c r="BB1042" s="33"/>
      <c r="BC1042" s="33"/>
      <c r="BD1042" s="33"/>
      <c r="BE1042" s="33"/>
      <c r="BF1042" s="33"/>
      <c r="BG1042" s="33"/>
      <c r="BH1042" s="33"/>
      <c r="BI1042" s="33"/>
      <c r="BJ1042" s="33"/>
      <c r="BK1042" s="33"/>
      <c r="BL1042" s="33"/>
      <c r="BM1042" s="33"/>
      <c r="BN1042" s="33"/>
      <c r="BO1042" s="33"/>
    </row>
    <row r="1043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3"/>
      <c r="AB1043" s="33"/>
      <c r="AC1043" s="33"/>
      <c r="AD1043" s="33"/>
      <c r="AE1043" s="33"/>
      <c r="AF1043" s="33"/>
      <c r="AG1043" s="33"/>
      <c r="AH1043" s="33"/>
      <c r="AI1043" s="33"/>
      <c r="AJ1043" s="33"/>
      <c r="AK1043" s="33"/>
      <c r="AL1043" s="33"/>
      <c r="AM1043" s="33"/>
      <c r="AN1043" s="33"/>
      <c r="AO1043" s="33"/>
      <c r="AP1043" s="33"/>
      <c r="AQ1043" s="33"/>
      <c r="AR1043" s="33"/>
      <c r="AS1043" s="33"/>
      <c r="AT1043" s="33"/>
      <c r="AU1043" s="33"/>
      <c r="AV1043" s="33"/>
      <c r="AW1043" s="33"/>
      <c r="AX1043" s="33"/>
      <c r="AY1043" s="33"/>
      <c r="AZ1043" s="33"/>
      <c r="BA1043" s="33"/>
      <c r="BB1043" s="33"/>
      <c r="BC1043" s="33"/>
      <c r="BD1043" s="33"/>
      <c r="BE1043" s="33"/>
      <c r="BF1043" s="33"/>
      <c r="BG1043" s="33"/>
      <c r="BH1043" s="33"/>
      <c r="BI1043" s="33"/>
      <c r="BJ1043" s="33"/>
      <c r="BK1043" s="33"/>
      <c r="BL1043" s="33"/>
      <c r="BM1043" s="33"/>
      <c r="BN1043" s="33"/>
      <c r="BO1043" s="33"/>
    </row>
    <row r="1044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3"/>
      <c r="AB1044" s="33"/>
      <c r="AC1044" s="33"/>
      <c r="AD1044" s="33"/>
      <c r="AE1044" s="33"/>
      <c r="AF1044" s="33"/>
      <c r="AG1044" s="33"/>
      <c r="AH1044" s="33"/>
      <c r="AI1044" s="33"/>
      <c r="AJ1044" s="33"/>
      <c r="AK1044" s="33"/>
      <c r="AL1044" s="33"/>
      <c r="AM1044" s="33"/>
      <c r="AN1044" s="33"/>
      <c r="AO1044" s="33"/>
      <c r="AP1044" s="33"/>
      <c r="AQ1044" s="33"/>
      <c r="AR1044" s="33"/>
      <c r="AS1044" s="33"/>
      <c r="AT1044" s="33"/>
      <c r="AU1044" s="33"/>
      <c r="AV1044" s="33"/>
      <c r="AW1044" s="33"/>
      <c r="AX1044" s="33"/>
      <c r="AY1044" s="33"/>
      <c r="AZ1044" s="33"/>
      <c r="BA1044" s="33"/>
      <c r="BB1044" s="33"/>
      <c r="BC1044" s="33"/>
      <c r="BD1044" s="33"/>
      <c r="BE1044" s="33"/>
      <c r="BF1044" s="33"/>
      <c r="BG1044" s="33"/>
      <c r="BH1044" s="33"/>
      <c r="BI1044" s="33"/>
      <c r="BJ1044" s="33"/>
      <c r="BK1044" s="33"/>
      <c r="BL1044" s="33"/>
      <c r="BM1044" s="33"/>
      <c r="BN1044" s="33"/>
      <c r="BO1044" s="33"/>
    </row>
    <row r="1045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  <c r="AN1045" s="33"/>
      <c r="AO1045" s="33"/>
      <c r="AP1045" s="33"/>
      <c r="AQ1045" s="33"/>
      <c r="AR1045" s="33"/>
      <c r="AS1045" s="33"/>
      <c r="AT1045" s="33"/>
      <c r="AU1045" s="33"/>
      <c r="AV1045" s="33"/>
      <c r="AW1045" s="33"/>
      <c r="AX1045" s="33"/>
      <c r="AY1045" s="33"/>
      <c r="AZ1045" s="33"/>
      <c r="BA1045" s="33"/>
      <c r="BB1045" s="33"/>
      <c r="BC1045" s="33"/>
      <c r="BD1045" s="33"/>
      <c r="BE1045" s="33"/>
      <c r="BF1045" s="33"/>
      <c r="BG1045" s="33"/>
      <c r="BH1045" s="33"/>
      <c r="BI1045" s="33"/>
      <c r="BJ1045" s="33"/>
      <c r="BK1045" s="33"/>
      <c r="BL1045" s="33"/>
      <c r="BM1045" s="33"/>
      <c r="BN1045" s="33"/>
      <c r="BO1045" s="33"/>
    </row>
    <row r="1046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3"/>
      <c r="AB1046" s="33"/>
      <c r="AC1046" s="33"/>
      <c r="AD1046" s="33"/>
      <c r="AE1046" s="33"/>
      <c r="AF1046" s="33"/>
      <c r="AG1046" s="33"/>
      <c r="AH1046" s="33"/>
      <c r="AI1046" s="33"/>
      <c r="AJ1046" s="33"/>
      <c r="AK1046" s="33"/>
      <c r="AL1046" s="33"/>
      <c r="AM1046" s="33"/>
      <c r="AN1046" s="33"/>
      <c r="AO1046" s="33"/>
      <c r="AP1046" s="33"/>
      <c r="AQ1046" s="33"/>
      <c r="AR1046" s="33"/>
      <c r="AS1046" s="33"/>
      <c r="AT1046" s="33"/>
      <c r="AU1046" s="33"/>
      <c r="AV1046" s="33"/>
      <c r="AW1046" s="33"/>
      <c r="AX1046" s="33"/>
      <c r="AY1046" s="33"/>
      <c r="AZ1046" s="33"/>
      <c r="BA1046" s="33"/>
      <c r="BB1046" s="33"/>
      <c r="BC1046" s="33"/>
      <c r="BD1046" s="33"/>
      <c r="BE1046" s="33"/>
      <c r="BF1046" s="33"/>
      <c r="BG1046" s="33"/>
      <c r="BH1046" s="33"/>
      <c r="BI1046" s="33"/>
      <c r="BJ1046" s="33"/>
      <c r="BK1046" s="33"/>
      <c r="BL1046" s="33"/>
      <c r="BM1046" s="33"/>
      <c r="BN1046" s="33"/>
      <c r="BO1046" s="33"/>
    </row>
    <row r="1047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 s="33"/>
      <c r="AI1047" s="33"/>
      <c r="AJ1047" s="33"/>
      <c r="AK1047" s="33"/>
      <c r="AL1047" s="33"/>
      <c r="AM1047" s="33"/>
      <c r="AN1047" s="33"/>
      <c r="AO1047" s="33"/>
      <c r="AP1047" s="33"/>
      <c r="AQ1047" s="33"/>
      <c r="AR1047" s="33"/>
      <c r="AS1047" s="33"/>
      <c r="AT1047" s="33"/>
      <c r="AU1047" s="33"/>
      <c r="AV1047" s="33"/>
      <c r="AW1047" s="33"/>
      <c r="AX1047" s="33"/>
      <c r="AY1047" s="33"/>
      <c r="AZ1047" s="33"/>
      <c r="BA1047" s="33"/>
      <c r="BB1047" s="33"/>
      <c r="BC1047" s="33"/>
      <c r="BD1047" s="33"/>
      <c r="BE1047" s="33"/>
      <c r="BF1047" s="33"/>
      <c r="BG1047" s="33"/>
      <c r="BH1047" s="33"/>
      <c r="BI1047" s="33"/>
      <c r="BJ1047" s="33"/>
      <c r="BK1047" s="33"/>
      <c r="BL1047" s="33"/>
      <c r="BM1047" s="33"/>
      <c r="BN1047" s="33"/>
      <c r="BO1047" s="33"/>
    </row>
    <row r="1048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 s="33"/>
      <c r="AI1048" s="33"/>
      <c r="AJ1048" s="33"/>
      <c r="AK1048" s="33"/>
      <c r="AL1048" s="33"/>
      <c r="AM1048" s="33"/>
      <c r="AN1048" s="33"/>
      <c r="AO1048" s="33"/>
      <c r="AP1048" s="33"/>
      <c r="AQ1048" s="33"/>
      <c r="AR1048" s="33"/>
      <c r="AS1048" s="33"/>
      <c r="AT1048" s="33"/>
      <c r="AU1048" s="33"/>
      <c r="AV1048" s="33"/>
      <c r="AW1048" s="33"/>
      <c r="AX1048" s="33"/>
      <c r="AY1048" s="33"/>
      <c r="AZ1048" s="33"/>
      <c r="BA1048" s="33"/>
      <c r="BB1048" s="33"/>
      <c r="BC1048" s="33"/>
      <c r="BD1048" s="33"/>
      <c r="BE1048" s="33"/>
      <c r="BF1048" s="33"/>
      <c r="BG1048" s="33"/>
      <c r="BH1048" s="33"/>
      <c r="BI1048" s="33"/>
      <c r="BJ1048" s="33"/>
      <c r="BK1048" s="33"/>
      <c r="BL1048" s="33"/>
      <c r="BM1048" s="33"/>
      <c r="BN1048" s="33"/>
      <c r="BO1048" s="33"/>
    </row>
    <row r="1049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  <c r="AN1049" s="33"/>
      <c r="AO1049" s="33"/>
      <c r="AP1049" s="33"/>
      <c r="AQ1049" s="33"/>
      <c r="AR1049" s="33"/>
      <c r="AS1049" s="33"/>
      <c r="AT1049" s="33"/>
      <c r="AU1049" s="33"/>
      <c r="AV1049" s="33"/>
      <c r="AW1049" s="33"/>
      <c r="AX1049" s="33"/>
      <c r="AY1049" s="33"/>
      <c r="AZ1049" s="33"/>
      <c r="BA1049" s="33"/>
      <c r="BB1049" s="33"/>
      <c r="BC1049" s="33"/>
      <c r="BD1049" s="33"/>
      <c r="BE1049" s="33"/>
      <c r="BF1049" s="33"/>
      <c r="BG1049" s="33"/>
      <c r="BH1049" s="33"/>
      <c r="BI1049" s="33"/>
      <c r="BJ1049" s="33"/>
      <c r="BK1049" s="33"/>
      <c r="BL1049" s="33"/>
      <c r="BM1049" s="33"/>
      <c r="BN1049" s="33"/>
      <c r="BO1049" s="33"/>
    </row>
    <row r="1050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/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/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/>
    </row>
    <row r="1051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/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/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/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/>
    </row>
    <row r="1052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3"/>
      <c r="AB1052" s="33"/>
      <c r="AC1052" s="33"/>
      <c r="AD1052" s="33"/>
      <c r="AE1052" s="33"/>
      <c r="AF1052" s="33"/>
      <c r="AG1052" s="33"/>
      <c r="AH1052" s="33"/>
      <c r="AI1052" s="33"/>
      <c r="AJ1052" s="33"/>
      <c r="AK1052" s="33"/>
      <c r="AL1052" s="33"/>
      <c r="AM1052" s="33"/>
      <c r="AN1052" s="33"/>
      <c r="AO1052" s="33"/>
      <c r="AP1052" s="33"/>
      <c r="AQ1052" s="33"/>
      <c r="AR1052" s="33"/>
      <c r="AS1052" s="33"/>
      <c r="AT1052" s="33"/>
      <c r="AU1052" s="33"/>
      <c r="AV1052" s="33"/>
      <c r="AW1052" s="33"/>
      <c r="AX1052" s="33"/>
      <c r="AY1052" s="33"/>
      <c r="AZ1052" s="33"/>
      <c r="BA1052" s="33"/>
      <c r="BB1052" s="33"/>
      <c r="BC1052" s="33"/>
      <c r="BD1052" s="33"/>
      <c r="BE1052" s="33"/>
      <c r="BF1052" s="33"/>
      <c r="BG1052" s="33"/>
      <c r="BH1052" s="33"/>
      <c r="BI1052" s="33"/>
      <c r="BJ1052" s="33"/>
      <c r="BK1052" s="33"/>
      <c r="BL1052" s="33"/>
      <c r="BM1052" s="33"/>
      <c r="BN1052" s="33"/>
      <c r="BO1052" s="33"/>
    </row>
    <row r="1053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/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/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/>
    </row>
    <row r="1054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  <c r="AA1054" s="33"/>
      <c r="AB1054" s="33"/>
      <c r="AC1054" s="33"/>
      <c r="AD1054" s="33"/>
      <c r="AE1054" s="33"/>
      <c r="AF1054" s="33"/>
      <c r="AG1054" s="33"/>
      <c r="AH1054" s="33"/>
      <c r="AI1054" s="33"/>
      <c r="AJ1054" s="33"/>
      <c r="AK1054" s="33"/>
      <c r="AL1054" s="33"/>
      <c r="AM1054" s="33"/>
      <c r="AN1054" s="33"/>
      <c r="AO1054" s="33"/>
      <c r="AP1054" s="33"/>
      <c r="AQ1054" s="33"/>
      <c r="AR1054" s="33"/>
      <c r="AS1054" s="33"/>
      <c r="AT1054" s="33"/>
      <c r="AU1054" s="33"/>
      <c r="AV1054" s="33"/>
      <c r="AW1054" s="33"/>
      <c r="AX1054" s="33"/>
      <c r="AY1054" s="33"/>
      <c r="AZ1054" s="33"/>
      <c r="BA1054" s="33"/>
      <c r="BB1054" s="33"/>
      <c r="BC1054" s="33"/>
      <c r="BD1054" s="33"/>
      <c r="BE1054" s="33"/>
      <c r="BF1054" s="33"/>
      <c r="BG1054" s="33"/>
      <c r="BH1054" s="33"/>
      <c r="BI1054" s="33"/>
      <c r="BJ1054" s="33"/>
      <c r="BK1054" s="33"/>
      <c r="BL1054" s="33"/>
      <c r="BM1054" s="33"/>
      <c r="BN1054" s="33"/>
      <c r="BO1054" s="33"/>
    </row>
    <row r="1055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3"/>
      <c r="AB1055" s="33"/>
      <c r="AC1055" s="33"/>
      <c r="AD1055" s="33"/>
      <c r="AE1055" s="33"/>
      <c r="AF1055" s="33"/>
      <c r="AG1055" s="33"/>
      <c r="AH1055" s="33"/>
      <c r="AI1055" s="33"/>
      <c r="AJ1055" s="33"/>
      <c r="AK1055" s="33"/>
      <c r="AL1055" s="33"/>
      <c r="AM1055" s="33"/>
      <c r="AN1055" s="33"/>
      <c r="AO1055" s="33"/>
      <c r="AP1055" s="33"/>
      <c r="AQ1055" s="33"/>
      <c r="AR1055" s="33"/>
      <c r="AS1055" s="33"/>
      <c r="AT1055" s="33"/>
      <c r="AU1055" s="33"/>
      <c r="AV1055" s="33"/>
      <c r="AW1055" s="33"/>
      <c r="AX1055" s="33"/>
      <c r="AY1055" s="33"/>
      <c r="AZ1055" s="33"/>
      <c r="BA1055" s="33"/>
      <c r="BB1055" s="33"/>
      <c r="BC1055" s="33"/>
      <c r="BD1055" s="33"/>
      <c r="BE1055" s="33"/>
      <c r="BF1055" s="33"/>
      <c r="BG1055" s="33"/>
      <c r="BH1055" s="33"/>
      <c r="BI1055" s="33"/>
      <c r="BJ1055" s="33"/>
      <c r="BK1055" s="33"/>
      <c r="BL1055" s="33"/>
      <c r="BM1055" s="33"/>
      <c r="BN1055" s="33"/>
      <c r="BO1055" s="33"/>
    </row>
    <row r="1056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  <c r="AA1056" s="33"/>
      <c r="AB1056" s="33"/>
      <c r="AC1056" s="33"/>
      <c r="AD1056" s="33"/>
      <c r="AE1056" s="33"/>
      <c r="AF1056" s="33"/>
      <c r="AG1056" s="33"/>
      <c r="AH1056" s="33"/>
      <c r="AI1056" s="33"/>
      <c r="AJ1056" s="33"/>
      <c r="AK1056" s="33"/>
      <c r="AL1056" s="33"/>
      <c r="AM1056" s="33"/>
      <c r="AN1056" s="33"/>
      <c r="AO1056" s="33"/>
      <c r="AP1056" s="33"/>
      <c r="AQ1056" s="33"/>
      <c r="AR1056" s="33"/>
      <c r="AS1056" s="33"/>
      <c r="AT1056" s="33"/>
      <c r="AU1056" s="33"/>
      <c r="AV1056" s="33"/>
      <c r="AW1056" s="33"/>
      <c r="AX1056" s="33"/>
      <c r="AY1056" s="33"/>
      <c r="AZ1056" s="33"/>
      <c r="BA1056" s="33"/>
      <c r="BB1056" s="33"/>
      <c r="BC1056" s="33"/>
      <c r="BD1056" s="33"/>
      <c r="BE1056" s="33"/>
      <c r="BF1056" s="33"/>
      <c r="BG1056" s="33"/>
      <c r="BH1056" s="33"/>
      <c r="BI1056" s="33"/>
      <c r="BJ1056" s="33"/>
      <c r="BK1056" s="33"/>
      <c r="BL1056" s="33"/>
      <c r="BM1056" s="33"/>
      <c r="BN1056" s="33"/>
      <c r="BO1056" s="33"/>
    </row>
    <row r="1057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 s="33"/>
      <c r="AI1057" s="33"/>
      <c r="AJ1057" s="33"/>
      <c r="AK1057" s="33"/>
      <c r="AL1057" s="33"/>
      <c r="AM1057" s="33"/>
      <c r="AN1057" s="33"/>
      <c r="AO1057" s="33"/>
      <c r="AP1057" s="33"/>
      <c r="AQ1057" s="33"/>
      <c r="AR1057" s="33"/>
      <c r="AS1057" s="33"/>
      <c r="AT1057" s="33"/>
      <c r="AU1057" s="33"/>
      <c r="AV1057" s="33"/>
      <c r="AW1057" s="33"/>
      <c r="AX1057" s="33"/>
      <c r="AY1057" s="33"/>
      <c r="AZ1057" s="33"/>
      <c r="BA1057" s="33"/>
      <c r="BB1057" s="33"/>
      <c r="BC1057" s="33"/>
      <c r="BD1057" s="33"/>
      <c r="BE1057" s="33"/>
      <c r="BF1057" s="33"/>
      <c r="BG1057" s="33"/>
      <c r="BH1057" s="33"/>
      <c r="BI1057" s="33"/>
      <c r="BJ1057" s="33"/>
      <c r="BK1057" s="33"/>
      <c r="BL1057" s="33"/>
      <c r="BM1057" s="33"/>
      <c r="BN1057" s="33"/>
      <c r="BO1057" s="33"/>
    </row>
    <row r="1058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3"/>
      <c r="AB1058" s="33"/>
      <c r="AC1058" s="33"/>
      <c r="AD1058" s="33"/>
      <c r="AE1058" s="33"/>
      <c r="AF1058" s="33"/>
      <c r="AG1058" s="33"/>
      <c r="AH1058" s="33"/>
      <c r="AI1058" s="33"/>
      <c r="AJ1058" s="33"/>
      <c r="AK1058" s="33"/>
      <c r="AL1058" s="33"/>
      <c r="AM1058" s="33"/>
      <c r="AN1058" s="33"/>
      <c r="AO1058" s="33"/>
      <c r="AP1058" s="33"/>
      <c r="AQ1058" s="33"/>
      <c r="AR1058" s="33"/>
      <c r="AS1058" s="33"/>
      <c r="AT1058" s="33"/>
      <c r="AU1058" s="33"/>
      <c r="AV1058" s="33"/>
      <c r="AW1058" s="33"/>
      <c r="AX1058" s="33"/>
      <c r="AY1058" s="33"/>
      <c r="AZ1058" s="33"/>
      <c r="BA1058" s="33"/>
      <c r="BB1058" s="33"/>
      <c r="BC1058" s="33"/>
      <c r="BD1058" s="33"/>
      <c r="BE1058" s="33"/>
      <c r="BF1058" s="33"/>
      <c r="BG1058" s="33"/>
      <c r="BH1058" s="33"/>
      <c r="BI1058" s="33"/>
      <c r="BJ1058" s="33"/>
      <c r="BK1058" s="33"/>
      <c r="BL1058" s="33"/>
      <c r="BM1058" s="33"/>
      <c r="BN1058" s="33"/>
      <c r="BO1058" s="33"/>
    </row>
    <row r="1059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3"/>
      <c r="AB1059" s="33"/>
      <c r="AC1059" s="33"/>
      <c r="AD1059" s="33"/>
      <c r="AE1059" s="33"/>
      <c r="AF1059" s="33"/>
      <c r="AG1059" s="33"/>
      <c r="AH1059" s="33"/>
      <c r="AI1059" s="33"/>
      <c r="AJ1059" s="33"/>
      <c r="AK1059" s="33"/>
      <c r="AL1059" s="33"/>
      <c r="AM1059" s="33"/>
      <c r="AN1059" s="33"/>
      <c r="AO1059" s="33"/>
      <c r="AP1059" s="33"/>
      <c r="AQ1059" s="33"/>
      <c r="AR1059" s="33"/>
      <c r="AS1059" s="33"/>
      <c r="AT1059" s="33"/>
      <c r="AU1059" s="33"/>
      <c r="AV1059" s="33"/>
      <c r="AW1059" s="33"/>
      <c r="AX1059" s="33"/>
      <c r="AY1059" s="33"/>
      <c r="AZ1059" s="33"/>
      <c r="BA1059" s="33"/>
      <c r="BB1059" s="33"/>
      <c r="BC1059" s="33"/>
      <c r="BD1059" s="33"/>
      <c r="BE1059" s="33"/>
      <c r="BF1059" s="33"/>
      <c r="BG1059" s="33"/>
      <c r="BH1059" s="33"/>
      <c r="BI1059" s="33"/>
      <c r="BJ1059" s="33"/>
      <c r="BK1059" s="33"/>
      <c r="BL1059" s="33"/>
      <c r="BM1059" s="33"/>
      <c r="BN1059" s="33"/>
      <c r="BO1059" s="33"/>
    </row>
    <row r="1060">
      <c r="A1060" s="33"/>
      <c r="B1060" s="33"/>
      <c r="C1060" s="3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  <c r="AA1060" s="33"/>
      <c r="AB1060" s="33"/>
      <c r="AC1060" s="33"/>
      <c r="AD1060" s="33"/>
      <c r="AE1060" s="33"/>
      <c r="AF1060" s="33"/>
      <c r="AG1060" s="33"/>
      <c r="AH1060" s="33"/>
      <c r="AI1060" s="33"/>
      <c r="AJ1060" s="33"/>
      <c r="AK1060" s="33"/>
      <c r="AL1060" s="33"/>
      <c r="AM1060" s="33"/>
      <c r="AN1060" s="33"/>
      <c r="AO1060" s="33"/>
      <c r="AP1060" s="33"/>
      <c r="AQ1060" s="33"/>
      <c r="AR1060" s="33"/>
      <c r="AS1060" s="33"/>
      <c r="AT1060" s="33"/>
      <c r="AU1060" s="33"/>
      <c r="AV1060" s="33"/>
      <c r="AW1060" s="33"/>
      <c r="AX1060" s="33"/>
      <c r="AY1060" s="33"/>
      <c r="AZ1060" s="33"/>
      <c r="BA1060" s="33"/>
      <c r="BB1060" s="33"/>
      <c r="BC1060" s="33"/>
      <c r="BD1060" s="33"/>
      <c r="BE1060" s="33"/>
      <c r="BF1060" s="33"/>
      <c r="BG1060" s="33"/>
      <c r="BH1060" s="33"/>
      <c r="BI1060" s="33"/>
      <c r="BJ1060" s="33"/>
      <c r="BK1060" s="33"/>
      <c r="BL1060" s="33"/>
      <c r="BM1060" s="33"/>
      <c r="BN1060" s="33"/>
      <c r="BO1060" s="33"/>
    </row>
    <row r="1061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 s="33"/>
      <c r="AI1061" s="33"/>
      <c r="AJ1061" s="33"/>
      <c r="AK1061" s="33"/>
      <c r="AL1061" s="33"/>
      <c r="AM1061" s="33"/>
      <c r="AN1061" s="33"/>
      <c r="AO1061" s="33"/>
      <c r="AP1061" s="33"/>
      <c r="AQ1061" s="33"/>
      <c r="AR1061" s="33"/>
      <c r="AS1061" s="33"/>
      <c r="AT1061" s="33"/>
      <c r="AU1061" s="33"/>
      <c r="AV1061" s="33"/>
      <c r="AW1061" s="33"/>
      <c r="AX1061" s="33"/>
      <c r="AY1061" s="33"/>
      <c r="AZ1061" s="33"/>
      <c r="BA1061" s="33"/>
      <c r="BB1061" s="33"/>
      <c r="BC1061" s="33"/>
      <c r="BD1061" s="33"/>
      <c r="BE1061" s="33"/>
      <c r="BF1061" s="33"/>
      <c r="BG1061" s="33"/>
      <c r="BH1061" s="33"/>
      <c r="BI1061" s="33"/>
      <c r="BJ1061" s="33"/>
      <c r="BK1061" s="33"/>
      <c r="BL1061" s="33"/>
      <c r="BM1061" s="33"/>
      <c r="BN1061" s="33"/>
      <c r="BO1061" s="33"/>
    </row>
    <row r="1062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  <c r="AA1062" s="33"/>
      <c r="AB1062" s="33"/>
      <c r="AC1062" s="33"/>
      <c r="AD1062" s="33"/>
      <c r="AE1062" s="33"/>
      <c r="AF1062" s="33"/>
      <c r="AG1062" s="33"/>
      <c r="AH1062" s="33"/>
      <c r="AI1062" s="33"/>
      <c r="AJ1062" s="33"/>
      <c r="AK1062" s="33"/>
      <c r="AL1062" s="33"/>
      <c r="AM1062" s="33"/>
      <c r="AN1062" s="33"/>
      <c r="AO1062" s="33"/>
      <c r="AP1062" s="33"/>
      <c r="AQ1062" s="33"/>
      <c r="AR1062" s="33"/>
      <c r="AS1062" s="33"/>
      <c r="AT1062" s="33"/>
      <c r="AU1062" s="33"/>
      <c r="AV1062" s="33"/>
      <c r="AW1062" s="33"/>
      <c r="AX1062" s="33"/>
      <c r="AY1062" s="33"/>
      <c r="AZ1062" s="33"/>
      <c r="BA1062" s="33"/>
      <c r="BB1062" s="33"/>
      <c r="BC1062" s="33"/>
      <c r="BD1062" s="33"/>
      <c r="BE1062" s="33"/>
      <c r="BF1062" s="33"/>
      <c r="BG1062" s="33"/>
      <c r="BH1062" s="33"/>
      <c r="BI1062" s="33"/>
      <c r="BJ1062" s="33"/>
      <c r="BK1062" s="33"/>
      <c r="BL1062" s="33"/>
      <c r="BM1062" s="33"/>
      <c r="BN1062" s="33"/>
      <c r="BO1062" s="33"/>
    </row>
    <row r="1063">
      <c r="A1063" s="33"/>
      <c r="B1063" s="33"/>
      <c r="C1063" s="3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  <c r="AA1063" s="33"/>
      <c r="AB1063" s="33"/>
      <c r="AC1063" s="33"/>
      <c r="AD1063" s="33"/>
      <c r="AE1063" s="33"/>
      <c r="AF1063" s="33"/>
      <c r="AG1063" s="33"/>
      <c r="AH1063" s="33"/>
      <c r="AI1063" s="33"/>
      <c r="AJ1063" s="33"/>
      <c r="AK1063" s="33"/>
      <c r="AL1063" s="33"/>
      <c r="AM1063" s="33"/>
      <c r="AN1063" s="33"/>
      <c r="AO1063" s="33"/>
      <c r="AP1063" s="33"/>
      <c r="AQ1063" s="33"/>
      <c r="AR1063" s="33"/>
      <c r="AS1063" s="33"/>
      <c r="AT1063" s="33"/>
      <c r="AU1063" s="33"/>
      <c r="AV1063" s="33"/>
      <c r="AW1063" s="33"/>
      <c r="AX1063" s="33"/>
      <c r="AY1063" s="33"/>
      <c r="AZ1063" s="33"/>
      <c r="BA1063" s="33"/>
      <c r="BB1063" s="33"/>
      <c r="BC1063" s="33"/>
      <c r="BD1063" s="33"/>
      <c r="BE1063" s="33"/>
      <c r="BF1063" s="33"/>
      <c r="BG1063" s="33"/>
      <c r="BH1063" s="33"/>
      <c r="BI1063" s="33"/>
      <c r="BJ1063" s="33"/>
      <c r="BK1063" s="33"/>
      <c r="BL1063" s="33"/>
      <c r="BM1063" s="33"/>
      <c r="BN1063" s="33"/>
      <c r="BO1063" s="33"/>
    </row>
    <row r="1064">
      <c r="A1064" s="33"/>
      <c r="B1064" s="33"/>
      <c r="C1064" s="3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3"/>
      <c r="AB1064" s="33"/>
      <c r="AC1064" s="33"/>
      <c r="AD1064" s="33"/>
      <c r="AE1064" s="33"/>
      <c r="AF1064" s="33"/>
      <c r="AG1064" s="33"/>
      <c r="AH1064" s="33"/>
      <c r="AI1064" s="33"/>
      <c r="AJ1064" s="33"/>
      <c r="AK1064" s="33"/>
      <c r="AL1064" s="33"/>
      <c r="AM1064" s="33"/>
      <c r="AN1064" s="33"/>
      <c r="AO1064" s="33"/>
      <c r="AP1064" s="33"/>
      <c r="AQ1064" s="33"/>
      <c r="AR1064" s="33"/>
      <c r="AS1064" s="33"/>
      <c r="AT1064" s="33"/>
      <c r="AU1064" s="33"/>
      <c r="AV1064" s="33"/>
      <c r="AW1064" s="33"/>
      <c r="AX1064" s="33"/>
      <c r="AY1064" s="33"/>
      <c r="AZ1064" s="33"/>
      <c r="BA1064" s="33"/>
      <c r="BB1064" s="33"/>
      <c r="BC1064" s="33"/>
      <c r="BD1064" s="33"/>
      <c r="BE1064" s="33"/>
      <c r="BF1064" s="33"/>
      <c r="BG1064" s="33"/>
      <c r="BH1064" s="33"/>
      <c r="BI1064" s="33"/>
      <c r="BJ1064" s="33"/>
      <c r="BK1064" s="33"/>
      <c r="BL1064" s="33"/>
      <c r="BM1064" s="33"/>
      <c r="BN1064" s="33"/>
      <c r="BO1064" s="33"/>
    </row>
  </sheetData>
  <mergeCells count="25">
    <mergeCell ref="A1:F1"/>
    <mergeCell ref="G1:L1"/>
    <mergeCell ref="M1:AC1"/>
    <mergeCell ref="A3:C3"/>
    <mergeCell ref="G3:M3"/>
    <mergeCell ref="N3:Z3"/>
    <mergeCell ref="A4:C4"/>
    <mergeCell ref="L8:P8"/>
    <mergeCell ref="Q8:U8"/>
    <mergeCell ref="V8:Z8"/>
    <mergeCell ref="AA8:AE8"/>
    <mergeCell ref="AF8:AJ8"/>
    <mergeCell ref="AK8:AO8"/>
    <mergeCell ref="AP8:AT8"/>
    <mergeCell ref="AU8:AY8"/>
    <mergeCell ref="AZ8:BD8"/>
    <mergeCell ref="BE8:BI8"/>
    <mergeCell ref="G4:M4"/>
    <mergeCell ref="N4:Y4"/>
    <mergeCell ref="G7:U7"/>
    <mergeCell ref="V7:AJ7"/>
    <mergeCell ref="AK7:AY7"/>
    <mergeCell ref="AZ7:BN7"/>
    <mergeCell ref="G8:K8"/>
    <mergeCell ref="BJ8:BN8"/>
  </mergeCells>
  <drawing r:id="rId1"/>
</worksheet>
</file>
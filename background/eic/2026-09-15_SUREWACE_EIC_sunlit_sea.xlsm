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workbookProtection lockStructure="1" workbookAlgorithmName="SHA-512" workbookHashValue="A2dtx1bnaScmcaQYv63ShT/H27/i1HnZaMajPWgVNBqK4a+1gGMg3d/OhUunmBxbPu0PKso4FSEjZTqHWMqtRg==" workbookSaltValue="huSQOeewjHiV8xNtR9wr7A==" workbookSpinCount="100000"/>
  <bookViews>
    <workbookView visibility="visible" minimized="0" showHorizontalScroll="1" showVerticalScroll="1" showSheetTabs="1" xWindow="25490" yWindow="-110" windowWidth="25820" windowHeight="13900" tabRatio="740" firstSheet="10" activeTab="10" autoFilterDateGrouping="1"/>
  </bookViews>
  <sheets>
    <sheet name="Instructions" sheetId="1" state="visible" r:id="rId1"/>
    <sheet name="BE list" sheetId="2" state="visible" r:id="rId2"/>
    <sheet name="WP list" sheetId="3" state="visible" r:id="rId3"/>
    <sheet name="Lump sum brkdwn tpl" sheetId="4" state="hidden" r:id="rId4"/>
    <sheet name="Lump sum breakdown" sheetId="5" state="visible" r:id="rId5"/>
    <sheet name="Person-months overview tpl" sheetId="6" state="hidden" r:id="rId6"/>
    <sheet name="Person-months overview" sheetId="7" state="visible" r:id="rId7"/>
    <sheet name="Summary per WP tpl" sheetId="8" state="hidden" r:id="rId8"/>
    <sheet name="Summary per WP" sheetId="9" state="visible" r:id="rId9"/>
    <sheet name="BE tpl" sheetId="10" state="hidden" r:id="rId10"/>
    <sheet name="BE1" sheetId="11" state="visible" r:id="rId11"/>
    <sheet name="BE2" sheetId="12" state="visible" r:id="rId12"/>
    <sheet name="BE3" sheetId="13" state="visible" r:id="rId13"/>
    <sheet name="BE4" sheetId="14" state="visible" r:id="rId14"/>
    <sheet name="Depreciation costs" sheetId="15" state="visible" r:id="rId15"/>
    <sheet name="Any comments" sheetId="16" state="visible" r:id="rId16"/>
    <sheet name="OLD_BE9_20260122-140127" sheetId="17" state="visible" r:id="rId17"/>
    <sheet name="OLD_BE8_20260211-142820" sheetId="18" state="visible" r:id="rId18"/>
    <sheet name="OLD_BE8_20260914-162521" sheetId="19" state="visible" r:id="rId19"/>
    <sheet name="OLD_BE7_20260914-162549" sheetId="20" state="visible" r:id="rId20"/>
    <sheet name="OLD_BE5_20260914-162616" sheetId="21" state="visible" r:id="rId21"/>
    <sheet name="OLD_BE6_20260914-162616" sheetId="22" state="visible" r:id="rId22"/>
    <sheet name="Change Log" sheetId="23" state="visible" r:id="rId23"/>
    <sheet name="CountryList" sheetId="24" state="hidden" r:id="rId24"/>
  </sheets>
  <externalReferences>
    <externalReference r:id="rId25"/>
  </externalReferences>
  <definedNames>
    <definedName name="BES">'BE list'!#REF!</definedName>
    <definedName name="equipment">'Depreciation costs'!$A$2:$L$209</definedName>
    <definedName name="TPS">'BE list'!#REF!</definedName>
    <definedName name="WPS">'WP list'!$A$3:$B$4</definedName>
    <definedName name="BES" localSheetId="0">'[1]BE list'!#REF!</definedName>
    <definedName name="TPS" localSheetId="0">'[1]BE list'!#REF!</definedName>
    <definedName name="_xlnm.Print_Area" localSheetId="5">'Person-months overview tpl'!$A$1:$D$5</definedName>
    <definedName name="_xlnm.Print_Area" localSheetId="7">'Summary per WP tpl'!$A$1:$N$86</definedName>
    <definedName name="BES" localSheetId="8">'BE list'!#REF!</definedName>
    <definedName name="TPS" localSheetId="8">'BE list'!#REF!</definedName>
    <definedName name="_xlnm.Print_Area" localSheetId="9">'BE tpl'!$A$1:$I$86</definedName>
    <definedName name="BES" localSheetId="22">'[1]BE list'!#REF!</definedName>
    <definedName name="TPS" localSheetId="22">'[1]BE list'!#REF!</definedName>
  </definedNames>
  <calcPr calcId="191028" fullCalcOnLoad="1"/>
</workbook>
</file>

<file path=xl/styles.xml><?xml version="1.0" encoding="utf-8"?>
<styleSheet xmlns="http://schemas.openxmlformats.org/spreadsheetml/2006/main">
  <numFmts count="8">
    <numFmt numFmtId="164" formatCode="#,##0.00_ ;[Red]\-#,##0.00\ "/>
    <numFmt numFmtId="165" formatCode="_-[$€-2]\ * #,##0.00_-;\-[$€-2]\ * #,##0.00_-;_-[$€-2]\ * &quot;-&quot;??_-;_-@_-"/>
    <numFmt numFmtId="166" formatCode="0.00_ ;[Red]\-0.00\ "/>
    <numFmt numFmtId="167" formatCode="[$]dd/mm/yyyy;@"/>
    <numFmt numFmtId="168" formatCode="0.0"/>
    <numFmt numFmtId="169" formatCode="0.0000"/>
    <numFmt numFmtId="170" formatCode="_-&quot;£&quot;* #,##0.00_-;\-&quot;£&quot;* #,##0.00_-;_-&quot;£&quot;* &quot;-&quot;??_-;_-@_-"/>
    <numFmt numFmtId="171" formatCode="_ * #,##0.00_ ;_ * \-#,##0.00_ ;_ * &quot;-&quot;??_ ;_ @_ "/>
  </numFmts>
  <fonts count="48">
    <font>
      <name val="Calibri"/>
      <family val="2"/>
      <color theme="1"/>
      <sz val="11"/>
      <scheme val="minor"/>
    </font>
    <font>
      <name val="Calibri"/>
      <family val="2"/>
      <b val="1"/>
      <color theme="1"/>
      <sz val="11"/>
      <scheme val="minor"/>
    </font>
    <font>
      <name val="Calibri"/>
      <family val="2"/>
      <b val="1"/>
      <i val="1"/>
      <color theme="1"/>
      <sz val="11"/>
      <scheme val="minor"/>
    </font>
    <font>
      <name val="Calibri"/>
      <family val="2"/>
      <b val="1"/>
      <color theme="1"/>
      <sz val="16"/>
      <scheme val="minor"/>
    </font>
    <font>
      <name val="Arial"/>
      <family val="2"/>
      <b val="1"/>
      <color theme="1"/>
      <sz val="8"/>
    </font>
    <font>
      <name val="Arial"/>
      <family val="2"/>
      <b val="1"/>
      <color theme="1"/>
      <sz val="12"/>
    </font>
    <font>
      <name val="Calibri"/>
      <family val="2"/>
      <b val="1"/>
      <color theme="0"/>
      <sz val="11"/>
      <scheme val="minor"/>
    </font>
    <font>
      <name val="Calibri"/>
      <family val="2"/>
      <color theme="1"/>
      <sz val="11"/>
      <scheme val="minor"/>
    </font>
    <font>
      <name val="Calibri"/>
      <family val="2"/>
      <b val="1"/>
      <color rgb="FFFF0000"/>
      <sz val="16"/>
      <scheme val="minor"/>
    </font>
    <font>
      <name val="Calibri"/>
      <family val="2"/>
      <b val="1"/>
      <color theme="1"/>
      <sz val="18"/>
      <scheme val="minor"/>
    </font>
    <font>
      <name val="Calibri"/>
      <family val="2"/>
      <b val="1"/>
      <color theme="0"/>
      <sz val="18"/>
      <scheme val="minor"/>
    </font>
    <font>
      <name val="Calibri"/>
      <family val="2"/>
      <color theme="1"/>
      <sz val="10"/>
      <scheme val="minor"/>
    </font>
    <font>
      <name val="Calibri"/>
      <family val="2"/>
      <color rgb="FF0070C0"/>
      <sz val="16"/>
      <scheme val="minor"/>
    </font>
    <font>
      <name val="Calibri"/>
      <family val="2"/>
      <b val="1"/>
      <color theme="1"/>
      <sz val="14"/>
      <scheme val="minor"/>
    </font>
    <font>
      <name val="Calibri"/>
      <family val="2"/>
      <b val="1"/>
      <color rgb="FF000000"/>
      <sz val="11"/>
    </font>
    <font>
      <name val="Calibri"/>
      <family val="2"/>
      <b val="1"/>
      <color rgb="FFFFFFFF"/>
      <sz val="14"/>
    </font>
    <font>
      <name val="Calibri"/>
      <family val="2"/>
      <color theme="1"/>
      <sz val="11"/>
    </font>
    <font>
      <name val="Calibri"/>
      <family val="2"/>
      <b val="1"/>
      <color rgb="FFFFFFFF"/>
      <sz val="11"/>
    </font>
    <font>
      <name val="Calibri"/>
      <family val="2"/>
      <b val="1"/>
      <color rgb="FF000000"/>
      <sz val="14"/>
    </font>
    <font>
      <name val="Calibri"/>
      <family val="2"/>
      <b val="1"/>
      <color rgb="FFFF0000"/>
      <sz val="16"/>
    </font>
    <font>
      <name val="Calibri"/>
      <family val="2"/>
      <b val="1"/>
      <i val="1"/>
      <color rgb="FF000000"/>
      <sz val="11"/>
    </font>
    <font>
      <name val="Calibri"/>
      <family val="2"/>
      <b val="1"/>
      <color rgb="FF000000"/>
      <sz val="18"/>
    </font>
    <font>
      <name val="Calibri"/>
      <family val="2"/>
      <sz val="11"/>
      <scheme val="minor"/>
    </font>
    <font>
      <name val="Calibri"/>
      <family val="2"/>
      <b val="1"/>
      <sz val="11"/>
      <scheme val="minor"/>
    </font>
    <font>
      <name val="Calibri"/>
      <family val="2"/>
      <sz val="11"/>
    </font>
    <font>
      <name val="Calibri"/>
      <family val="2"/>
      <b val="1"/>
      <sz val="11"/>
    </font>
    <font>
      <name val="Calibri"/>
      <family val="2"/>
      <b val="1"/>
      <i val="1"/>
      <color rgb="FFFF0000"/>
      <sz val="10"/>
      <scheme val="minor"/>
    </font>
    <font>
      <name val="Calibri"/>
      <family val="2"/>
      <b val="1"/>
      <i val="1"/>
      <color rgb="FFFF0000"/>
      <sz val="11"/>
      <scheme val="minor"/>
    </font>
    <font>
      <name val="Calibri"/>
      <family val="2"/>
      <color theme="10"/>
      <sz val="11"/>
      <u val="single"/>
      <scheme val="minor"/>
    </font>
    <font>
      <name val="Arial"/>
      <family val="2"/>
      <b val="1"/>
      <color theme="1"/>
      <sz val="10"/>
    </font>
    <font>
      <name val="Calibri"/>
      <family val="2"/>
      <b val="1"/>
      <color rgb="FF0070C0"/>
      <sz val="16"/>
      <scheme val="minor"/>
    </font>
    <font>
      <name val="Calibri"/>
      <family val="2"/>
      <b val="1"/>
      <color theme="1"/>
      <sz val="12"/>
      <scheme val="minor"/>
    </font>
    <font>
      <name val="Calibri"/>
      <family val="2"/>
      <b val="1"/>
      <color rgb="FF000000"/>
      <sz val="11"/>
      <scheme val="minor"/>
    </font>
    <font>
      <name val="Calibri"/>
      <family val="2"/>
      <b val="1"/>
      <color theme="1"/>
      <sz val="11"/>
    </font>
    <font>
      <name val="Calibri"/>
      <family val="2"/>
      <b val="1"/>
      <color theme="0"/>
      <sz val="16"/>
      <scheme val="minor"/>
    </font>
    <font>
      <name val="Calibri"/>
      <family val="2"/>
      <color theme="1"/>
      <sz val="9"/>
      <scheme val="minor"/>
    </font>
    <font>
      <name val="Calibri"/>
      <family val="2"/>
      <b val="1"/>
      <i val="1"/>
      <color theme="1"/>
      <sz val="12"/>
      <scheme val="minor"/>
    </font>
    <font>
      <name val="Calibri"/>
      <family val="2"/>
      <color theme="4"/>
      <sz val="11"/>
      <u val="single"/>
      <scheme val="minor"/>
    </font>
    <font>
      <name val="Calibri"/>
      <family val="2"/>
      <color theme="0"/>
      <sz val="11"/>
      <scheme val="minor"/>
    </font>
    <font>
      <name val="Calibri"/>
      <family val="2"/>
      <color rgb="FF000000"/>
      <sz val="11"/>
    </font>
    <font>
      <name val="Calibri"/>
      <family val="2"/>
      <b val="1"/>
      <color rgb="FFFF0000"/>
      <sz val="9"/>
      <scheme val="minor"/>
    </font>
    <font>
      <name val="Calibri"/>
      <family val="2"/>
      <b val="1"/>
      <color rgb="FFF8F8F8"/>
      <sz val="11"/>
    </font>
    <font>
      <name val="Calibri"/>
      <family val="2"/>
      <color rgb="FFF8F8F8"/>
      <sz val="11"/>
      <scheme val="minor"/>
    </font>
    <font>
      <name val="Calibri"/>
      <family val="2"/>
      <color theme="4" tint="-0.249977111117893"/>
      <sz val="11"/>
      <u val="single"/>
      <scheme val="minor"/>
    </font>
    <font>
      <name val="Arial"/>
      <family val="2"/>
      <color theme="1"/>
      <sz val="10"/>
    </font>
    <font>
      <name val="Calibri"/>
      <family val="2"/>
      <b val="1"/>
      <color rgb="FF333333"/>
      <sz val="11"/>
    </font>
    <font>
      <name val="Arial"/>
      <family val="2"/>
      <sz val="10"/>
    </font>
    <font>
      <name val="Calibri"/>
      <family val="2"/>
      <color rgb="FF333333"/>
      <sz val="11"/>
      <scheme val="minor"/>
    </font>
  </fonts>
  <fills count="40">
    <fill>
      <patternFill/>
    </fill>
    <fill>
      <patternFill patternType="gray125"/>
    </fill>
    <fill>
      <patternFill patternType="solid">
        <fgColor theme="3" tint="0.5999938962981048"/>
        <bgColor indexed="64"/>
      </patternFill>
    </fill>
    <fill>
      <patternFill patternType="solid">
        <fgColor theme="0"/>
        <bgColor indexed="64"/>
      </patternFill>
    </fill>
    <fill>
      <patternFill patternType="solid">
        <fgColor rgb="FFC5D9F1"/>
        <bgColor indexed="64"/>
      </patternFill>
    </fill>
    <fill>
      <patternFill patternType="solid">
        <fgColor theme="6" tint="0.7999816888943144"/>
        <bgColor indexed="64"/>
      </patternFill>
    </fill>
    <fill>
      <patternFill patternType="solid">
        <fgColor theme="8" tint="0.7999816888943144"/>
        <bgColor indexed="64"/>
      </patternFill>
    </fill>
    <fill>
      <patternFill patternType="solid">
        <fgColor theme="3" tint="0.7999816888943144"/>
        <bgColor indexed="64"/>
      </patternFill>
    </fill>
    <fill>
      <patternFill patternType="solid">
        <fgColor theme="6" tint="0.3999755851924192"/>
        <bgColor indexed="64"/>
      </patternFill>
    </fill>
    <fill>
      <patternFill patternType="solid">
        <fgColor theme="5" tint="0.7999816888943144"/>
        <bgColor indexed="64"/>
      </patternFill>
    </fill>
    <fill>
      <patternFill patternType="solid">
        <fgColor theme="3" tint="0.3999755851924192"/>
        <bgColor indexed="64"/>
      </patternFill>
    </fill>
    <fill>
      <patternFill patternType="solid">
        <fgColor rgb="FFFFFF00"/>
        <bgColor indexed="64"/>
      </patternFill>
    </fill>
    <fill>
      <patternFill patternType="solid">
        <fgColor theme="1"/>
        <bgColor indexed="64"/>
      </patternFill>
    </fill>
    <fill>
      <patternFill patternType="solid">
        <fgColor rgb="FF92D050"/>
        <bgColor indexed="64"/>
      </patternFill>
    </fill>
    <fill>
      <patternFill patternType="solid">
        <fgColor theme="2" tint="-0.09997863704336681"/>
        <bgColor indexed="64"/>
      </patternFill>
    </fill>
    <fill>
      <patternFill patternType="solid">
        <fgColor theme="5" tint="0.5999938962981048"/>
        <bgColor indexed="64"/>
      </patternFill>
    </fill>
    <fill>
      <patternFill patternType="solid">
        <fgColor rgb="FFFFC000"/>
        <bgColor indexed="64"/>
      </patternFill>
    </fill>
    <fill>
      <patternFill patternType="solid">
        <fgColor theme="5" tint="-0.249977111117893"/>
        <bgColor indexed="64"/>
      </patternFill>
    </fill>
    <fill>
      <patternFill patternType="solid">
        <fgColor rgb="FF8497B0"/>
        <bgColor rgb="FF000000"/>
      </patternFill>
    </fill>
    <fill>
      <patternFill patternType="solid">
        <fgColor rgb="FF9BC2E6"/>
        <bgColor rgb="FF000000"/>
      </patternFill>
    </fill>
    <fill>
      <patternFill patternType="solid">
        <fgColor rgb="FFD9E1F2"/>
        <bgColor rgb="FF000000"/>
      </patternFill>
    </fill>
    <fill>
      <patternFill patternType="solid">
        <fgColor rgb="FFACB9CA"/>
        <bgColor rgb="FF000000"/>
      </patternFill>
    </fill>
    <fill>
      <patternFill patternType="solid">
        <fgColor rgb="FFC5D9F1"/>
        <bgColor rgb="FF000000"/>
      </patternFill>
    </fill>
    <fill>
      <patternFill patternType="solid">
        <fgColor rgb="FF000000"/>
        <bgColor rgb="FF000000"/>
      </patternFill>
    </fill>
    <fill>
      <patternFill patternType="solid">
        <fgColor rgb="FFEDEDED"/>
        <bgColor rgb="FF000000"/>
      </patternFill>
    </fill>
    <fill>
      <patternFill patternType="solid">
        <fgColor rgb="FFD0CECE"/>
        <bgColor rgb="FF000000"/>
      </patternFill>
    </fill>
    <fill>
      <patternFill patternType="solid">
        <fgColor rgb="FFFFFFFF"/>
        <bgColor rgb="FF000000"/>
      </patternFill>
    </fill>
    <fill>
      <patternFill patternType="solid">
        <fgColor rgb="FFC4D79B"/>
        <bgColor indexed="64"/>
      </patternFill>
    </fill>
    <fill>
      <patternFill patternType="solid">
        <fgColor rgb="FFFFFF99"/>
        <bgColor rgb="FF000000"/>
      </patternFill>
    </fill>
    <fill>
      <patternFill patternType="solid">
        <fgColor theme="8"/>
        <bgColor indexed="64"/>
      </patternFill>
    </fill>
    <fill>
      <patternFill patternType="solid">
        <fgColor rgb="FFCCFF66"/>
        <bgColor indexed="64"/>
      </patternFill>
    </fill>
    <fill>
      <patternFill patternType="solid">
        <fgColor theme="7" tint="0.7999816888943144"/>
        <bgColor indexed="64"/>
      </patternFill>
    </fill>
    <fill>
      <patternFill patternType="solid">
        <fgColor theme="8" tint="0.5999938962981048"/>
        <bgColor indexed="64"/>
      </patternFill>
    </fill>
    <fill>
      <patternFill patternType="solid">
        <fgColor theme="6"/>
        <bgColor indexed="64"/>
      </patternFill>
    </fill>
    <fill>
      <patternFill patternType="solid">
        <fgColor theme="4" tint="0.7999816888943144"/>
        <bgColor rgb="FF000000"/>
      </patternFill>
    </fill>
    <fill>
      <patternFill patternType="solid">
        <fgColor theme="0" tint="-0.499984740745262"/>
        <bgColor rgb="FF000000"/>
      </patternFill>
    </fill>
    <fill>
      <patternFill patternType="solid">
        <fgColor theme="2"/>
        <bgColor rgb="FF000000"/>
      </patternFill>
    </fill>
    <fill>
      <patternFill patternType="solid">
        <fgColor theme="0" tint="-0.0499893185216834"/>
        <bgColor indexed="64"/>
      </patternFill>
    </fill>
    <fill>
      <patternFill patternType="solid">
        <fgColor rgb="FFCCFFFF"/>
        <bgColor indexed="64"/>
      </patternFill>
    </fill>
    <fill>
      <patternFill patternType="solid">
        <fgColor rgb="FFFF0000"/>
        <bgColor rgb="FF000000"/>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right/>
      <top/>
      <bottom style="medium">
        <color indexed="64"/>
      </bottom>
      <diagonal/>
    </border>
    <border>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medium">
        <color rgb="FFB8C8CF"/>
      </left>
      <right style="medium">
        <color rgb="FFB8C8CF"/>
      </right>
      <top style="medium">
        <color rgb="FFB8C8CF"/>
      </top>
      <bottom style="medium">
        <color rgb="FFB8C8CF"/>
      </bottom>
      <diagonal/>
    </border>
    <border>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s>
  <cellStyleXfs count="8">
    <xf numFmtId="0" fontId="7" fillId="0" borderId="0"/>
    <xf numFmtId="170" fontId="7" fillId="0" borderId="0"/>
    <xf numFmtId="9" fontId="7" fillId="0" borderId="0"/>
    <xf numFmtId="171" fontId="7" fillId="0" borderId="0"/>
    <xf numFmtId="0" fontId="28" fillId="0" borderId="0"/>
    <xf numFmtId="171" fontId="7" fillId="0" borderId="0"/>
    <xf numFmtId="171" fontId="7" fillId="0" borderId="0"/>
    <xf numFmtId="0" fontId="46" fillId="0" borderId="0"/>
  </cellStyleXfs>
  <cellXfs count="394">
    <xf numFmtId="0" fontId="0" fillId="0" borderId="0" pivotButton="0" quotePrefix="0" xfId="0"/>
    <xf numFmtId="0" fontId="0" fillId="0" borderId="1" pivotButton="0" quotePrefix="0" xfId="0"/>
    <xf numFmtId="0" fontId="0" fillId="3" borderId="1" pivotButton="0" quotePrefix="0" xfId="0"/>
    <xf numFmtId="0" fontId="0" fillId="9" borderId="1" pivotButton="0" quotePrefix="0" xfId="0"/>
    <xf numFmtId="0" fontId="0" fillId="14" borderId="1" applyProtection="1" pivotButton="0" quotePrefix="0" xfId="0">
      <protection locked="0" hidden="0"/>
    </xf>
    <xf numFmtId="0" fontId="0" fillId="15" borderId="1" applyAlignment="1" applyProtection="1" pivotButton="0" quotePrefix="0" xfId="0">
      <alignment wrapText="1"/>
      <protection locked="0" hidden="0"/>
    </xf>
    <xf numFmtId="0" fontId="1" fillId="14" borderId="1" applyAlignment="1" pivotButton="0" quotePrefix="0" xfId="0">
      <alignment vertical="center" wrapText="1"/>
    </xf>
    <xf numFmtId="0" fontId="1" fillId="0" borderId="1" applyAlignment="1" applyProtection="1" pivotButton="0" quotePrefix="0" xfId="0">
      <alignment wrapText="1"/>
      <protection locked="0" hidden="0"/>
    </xf>
    <xf numFmtId="0" fontId="0" fillId="0" borderId="1" applyProtection="1" pivotButton="0" quotePrefix="0" xfId="0">
      <protection locked="0" hidden="0"/>
    </xf>
    <xf numFmtId="0" fontId="2" fillId="0" borderId="1" applyAlignment="1" applyProtection="1" pivotButton="0" quotePrefix="0" xfId="0">
      <alignment wrapText="1"/>
      <protection locked="0" hidden="0"/>
    </xf>
    <xf numFmtId="0" fontId="0" fillId="0" borderId="1" applyProtection="1" pivotButton="0" quotePrefix="1" xfId="0">
      <protection locked="0" hidden="0"/>
    </xf>
    <xf numFmtId="0" fontId="1" fillId="14" borderId="1" applyAlignment="1" applyProtection="1" pivotButton="0" quotePrefix="0" xfId="0">
      <alignment vertical="center" wrapText="1"/>
      <protection locked="0" hidden="0"/>
    </xf>
    <xf numFmtId="164" fontId="0" fillId="14" borderId="1" applyProtection="1" pivotButton="0" quotePrefix="0" xfId="0">
      <protection locked="0" hidden="0"/>
    </xf>
    <xf numFmtId="164" fontId="1" fillId="14" borderId="1" applyAlignment="1" applyProtection="1" pivotButton="0" quotePrefix="0" xfId="0">
      <alignment horizontal="right"/>
      <protection locked="0" hidden="0"/>
    </xf>
    <xf numFmtId="164" fontId="1" fillId="2" borderId="1" applyAlignment="1" applyProtection="1" pivotButton="0" quotePrefix="0" xfId="0">
      <alignment horizontal="right"/>
      <protection locked="0" hidden="0"/>
    </xf>
    <xf numFmtId="164" fontId="1" fillId="4" borderId="1" applyAlignment="1" applyProtection="1" pivotButton="0" quotePrefix="0" xfId="0">
      <alignment horizontal="right"/>
      <protection locked="0" hidden="0"/>
    </xf>
    <xf numFmtId="0" fontId="0" fillId="0" borderId="1" applyAlignment="1" applyProtection="1" pivotButton="0" quotePrefix="0" xfId="0">
      <alignment wrapText="1"/>
      <protection locked="0" hidden="0"/>
    </xf>
    <xf numFmtId="0" fontId="0" fillId="0" borderId="0" applyProtection="1" pivotButton="0" quotePrefix="0" xfId="0">
      <protection locked="0" hidden="0"/>
    </xf>
    <xf numFmtId="0" fontId="6" fillId="10" borderId="1" applyAlignment="1" applyProtection="1" pivotButton="0" quotePrefix="0" xfId="0">
      <alignment horizontal="center" vertical="center"/>
      <protection locked="0" hidden="0"/>
    </xf>
    <xf numFmtId="0" fontId="13" fillId="6" borderId="1" applyAlignment="1" applyProtection="1" pivotButton="0" quotePrefix="0" xfId="0">
      <alignment horizontal="center" vertical="center" wrapText="1"/>
      <protection locked="0" hidden="0"/>
    </xf>
    <xf numFmtId="0" fontId="0" fillId="3" borderId="1" applyProtection="1" pivotButton="0" quotePrefix="0" xfId="0">
      <protection locked="0" hidden="0"/>
    </xf>
    <xf numFmtId="0" fontId="1" fillId="2" borderId="1" applyAlignment="1" applyProtection="1" pivotButton="0" quotePrefix="0" xfId="0">
      <alignment horizontal="center" vertical="center"/>
      <protection locked="0" hidden="0"/>
    </xf>
    <xf numFmtId="0" fontId="1" fillId="4" borderId="1" applyAlignment="1" applyProtection="1" pivotButton="0" quotePrefix="0" xfId="0">
      <alignment horizontal="center" vertical="center"/>
      <protection locked="0" hidden="0"/>
    </xf>
    <xf numFmtId="0" fontId="1" fillId="0" borderId="1" applyAlignment="1" applyProtection="1" pivotButton="0" quotePrefix="0" xfId="0">
      <alignment horizontal="center" vertical="center"/>
      <protection locked="0" hidden="0"/>
    </xf>
    <xf numFmtId="0" fontId="1" fillId="2" borderId="1" applyAlignment="1" applyProtection="1" pivotButton="0" quotePrefix="0" xfId="0">
      <alignment horizontal="center" vertical="center" wrapText="1"/>
      <protection locked="0" hidden="0"/>
    </xf>
    <xf numFmtId="0" fontId="1" fillId="4" borderId="1" applyAlignment="1" applyProtection="1" pivotButton="0" quotePrefix="0" xfId="0">
      <alignment horizontal="center" vertical="center" wrapText="1"/>
      <protection locked="0" hidden="0"/>
    </xf>
    <xf numFmtId="0" fontId="2" fillId="0" borderId="1" applyAlignment="1" applyProtection="1" pivotButton="0" quotePrefix="0" xfId="0">
      <alignment vertical="center" wrapText="1"/>
      <protection locked="0" hidden="0"/>
    </xf>
    <xf numFmtId="0" fontId="0" fillId="0" borderId="1" applyAlignment="1" pivotButton="0" quotePrefix="0" xfId="0">
      <alignment horizontal="center" vertical="center"/>
    </xf>
    <xf numFmtId="0" fontId="14" fillId="0" borderId="1" applyAlignment="1" pivotButton="0" quotePrefix="0" xfId="0">
      <alignment vertical="center" wrapText="1"/>
    </xf>
    <xf numFmtId="0" fontId="14" fillId="25" borderId="1" applyAlignment="1" pivotButton="0" quotePrefix="0" xfId="0">
      <alignment vertical="center" wrapText="1"/>
    </xf>
    <xf numFmtId="0" fontId="16" fillId="25" borderId="1" applyAlignment="1" pivotButton="0" quotePrefix="0" xfId="0">
      <alignment vertical="center"/>
    </xf>
    <xf numFmtId="164" fontId="14" fillId="25" borderId="1" applyAlignment="1" pivotButton="0" quotePrefix="0" xfId="0">
      <alignment horizontal="right" vertical="center"/>
    </xf>
    <xf numFmtId="0" fontId="16" fillId="0" borderId="1" applyAlignment="1" pivotButton="0" quotePrefix="0" xfId="0">
      <alignment vertical="center"/>
    </xf>
    <xf numFmtId="0" fontId="16" fillId="26" borderId="2" applyAlignment="1" pivotButton="0" quotePrefix="0" xfId="0">
      <alignment vertical="center"/>
    </xf>
    <xf numFmtId="0" fontId="16" fillId="26" borderId="4" applyAlignment="1" pivotButton="0" quotePrefix="0" xfId="0">
      <alignment vertical="center"/>
    </xf>
    <xf numFmtId="0" fontId="0" fillId="0" borderId="0" applyAlignment="1" pivotButton="0" quotePrefix="0" xfId="0">
      <alignment horizontal="left" vertical="top"/>
    </xf>
    <xf numFmtId="0" fontId="0" fillId="0" borderId="1" applyAlignment="1" applyProtection="1" pivotButton="0" quotePrefix="0" xfId="0">
      <alignment horizontal="left" vertical="top" wrapText="1" indent="5"/>
      <protection locked="0" hidden="0"/>
    </xf>
    <xf numFmtId="0" fontId="2" fillId="0" borderId="1" applyAlignment="1" applyProtection="1" pivotButton="0" quotePrefix="0" xfId="0">
      <alignment horizontal="left" vertical="top" wrapText="1" indent="5"/>
      <protection locked="0" hidden="0"/>
    </xf>
    <xf numFmtId="0" fontId="16" fillId="0" borderId="1" applyAlignment="1" pivotButton="0" quotePrefix="0" xfId="0">
      <alignment horizontal="right" vertical="center"/>
    </xf>
    <xf numFmtId="0" fontId="23" fillId="0" borderId="1" applyAlignment="1" applyProtection="1" pivotButton="0" quotePrefix="0" xfId="0">
      <alignment wrapText="1"/>
      <protection locked="0" hidden="0"/>
    </xf>
    <xf numFmtId="0" fontId="23" fillId="0" borderId="1" applyAlignment="1" applyProtection="1" pivotButton="0" quotePrefix="0" xfId="0">
      <alignment vertical="center" wrapText="1"/>
      <protection locked="0" hidden="0"/>
    </xf>
    <xf numFmtId="0" fontId="23" fillId="14" borderId="1" applyAlignment="1" applyProtection="1" pivotButton="0" quotePrefix="0" xfId="0">
      <alignment vertical="center" wrapText="1"/>
      <protection locked="0" hidden="0"/>
    </xf>
    <xf numFmtId="0" fontId="1" fillId="0" borderId="0" pivotButton="0" quotePrefix="0" xfId="0"/>
    <xf numFmtId="0" fontId="1" fillId="5" borderId="16" applyAlignment="1" pivotButton="0" quotePrefix="0" xfId="0">
      <alignment horizontal="left"/>
    </xf>
    <xf numFmtId="0" fontId="1" fillId="8" borderId="10" applyAlignment="1" pivotButton="0" quotePrefix="0" xfId="0">
      <alignment horizontal="left" vertical="center"/>
    </xf>
    <xf numFmtId="0" fontId="0" fillId="0" borderId="0" applyAlignment="1" pivotButton="0" quotePrefix="0" xfId="0">
      <alignment horizontal="center" vertical="center"/>
    </xf>
    <xf numFmtId="0" fontId="2" fillId="9" borderId="1" applyAlignment="1" pivotButton="0" quotePrefix="0" xfId="0">
      <alignment horizontal="center"/>
    </xf>
    <xf numFmtId="0" fontId="2" fillId="9" borderId="1" applyAlignment="1" pivotButton="0" quotePrefix="0" xfId="0">
      <alignment horizontal="left"/>
    </xf>
    <xf numFmtId="0" fontId="16" fillId="0" borderId="1" applyAlignment="1" pivotButton="0" quotePrefix="0" xfId="0">
      <alignment horizontal="left" vertical="center" wrapText="1" indent="5"/>
    </xf>
    <xf numFmtId="0" fontId="20" fillId="0" borderId="1" applyAlignment="1" pivotButton="0" quotePrefix="0" xfId="0">
      <alignment horizontal="left" vertical="center" wrapText="1" indent="5"/>
    </xf>
    <xf numFmtId="0" fontId="25" fillId="0" borderId="1" applyAlignment="1" pivotButton="0" quotePrefix="0" xfId="0">
      <alignment vertical="center" wrapText="1"/>
    </xf>
    <xf numFmtId="0" fontId="16" fillId="0" borderId="1" applyAlignment="1" pivotButton="0" quotePrefix="0" xfId="0">
      <alignment vertical="center" wrapText="1"/>
    </xf>
    <xf numFmtId="0" fontId="25" fillId="25" borderId="1" applyAlignment="1" pivotButton="0" quotePrefix="0" xfId="0">
      <alignment vertical="center" wrapText="1"/>
    </xf>
    <xf numFmtId="0" fontId="20" fillId="0" borderId="1" applyAlignment="1" pivotButton="0" quotePrefix="0" xfId="0">
      <alignment vertical="center" wrapText="1"/>
    </xf>
    <xf numFmtId="0" fontId="21" fillId="0" borderId="1" applyAlignment="1" pivotButton="0" quotePrefix="0" xfId="0">
      <alignment vertical="center"/>
    </xf>
    <xf numFmtId="0" fontId="23" fillId="30" borderId="25" applyAlignment="1" pivotButton="0" quotePrefix="0" xfId="4">
      <alignment horizontal="center" vertical="center"/>
    </xf>
    <xf numFmtId="0" fontId="14" fillId="0" borderId="1" applyAlignment="1" pivotButton="0" quotePrefix="0" xfId="0">
      <alignment vertical="center"/>
    </xf>
    <xf numFmtId="0" fontId="17" fillId="18" borderId="1" applyAlignment="1" pivotButton="0" quotePrefix="0" xfId="0">
      <alignment horizontal="center" vertical="center"/>
    </xf>
    <xf numFmtId="0" fontId="14" fillId="22" borderId="1" applyAlignment="1" pivotButton="0" quotePrefix="0" xfId="0">
      <alignment horizontal="center" vertical="center"/>
    </xf>
    <xf numFmtId="0" fontId="0" fillId="0" borderId="1" applyAlignment="1" pivotButton="0" quotePrefix="0" xfId="0">
      <alignment vertical="center"/>
    </xf>
    <xf numFmtId="165" fontId="0" fillId="0" borderId="0" pivotButton="0" quotePrefix="0" xfId="0"/>
    <xf numFmtId="0" fontId="0" fillId="0" borderId="0" applyAlignment="1" pivotButton="0" quotePrefix="0" xfId="0">
      <alignment vertical="center"/>
    </xf>
    <xf numFmtId="0" fontId="23" fillId="31" borderId="25" applyAlignment="1" pivotButton="0" quotePrefix="0" xfId="4">
      <alignment horizontal="center" vertical="center" wrapText="1"/>
    </xf>
    <xf numFmtId="0" fontId="0" fillId="0" borderId="0" applyAlignment="1" pivotButton="0" quotePrefix="0" xfId="0">
      <alignment horizontal="center"/>
    </xf>
    <xf numFmtId="0" fontId="26" fillId="0" borderId="0" applyAlignment="1" pivotButton="0" quotePrefix="0" xfId="0">
      <alignment horizontal="center" vertical="center"/>
    </xf>
    <xf numFmtId="0" fontId="0" fillId="0" borderId="24" applyAlignment="1" applyProtection="1" pivotButton="0" quotePrefix="0" xfId="0">
      <alignment horizontal="left" vertical="top" wrapText="1"/>
      <protection locked="0" hidden="0"/>
    </xf>
    <xf numFmtId="0" fontId="0" fillId="0" borderId="1" applyAlignment="1" applyProtection="1" pivotButton="0" quotePrefix="0" xfId="0">
      <alignment horizontal="left" vertical="top" wrapText="1"/>
      <protection locked="0" hidden="0"/>
    </xf>
    <xf numFmtId="0" fontId="23" fillId="33" borderId="1" applyAlignment="1" pivotButton="0" quotePrefix="0" xfId="4">
      <alignment horizontal="center" vertical="center" textRotation="90" wrapText="1"/>
    </xf>
    <xf numFmtId="0" fontId="23" fillId="29" borderId="1" applyAlignment="1" pivotButton="0" quotePrefix="0" xfId="4">
      <alignment horizontal="center" vertical="center" textRotation="90" wrapText="1"/>
    </xf>
    <xf numFmtId="0" fontId="23" fillId="29" borderId="24" applyAlignment="1" pivotButton="0" quotePrefix="0" xfId="4">
      <alignment horizontal="center" vertical="center" textRotation="90" wrapText="1"/>
    </xf>
    <xf numFmtId="0" fontId="23" fillId="29" borderId="5" applyAlignment="1" pivotButton="0" quotePrefix="0" xfId="4">
      <alignment horizontal="center" vertical="center" textRotation="90" wrapText="1"/>
    </xf>
    <xf numFmtId="0" fontId="1" fillId="31" borderId="18" applyAlignment="1" pivotButton="0" quotePrefix="0" xfId="0">
      <alignment horizontal="right" vertical="center"/>
    </xf>
    <xf numFmtId="0" fontId="1" fillId="31" borderId="1" applyAlignment="1" pivotButton="0" quotePrefix="0" xfId="0">
      <alignment horizontal="right" vertical="center"/>
    </xf>
    <xf numFmtId="165" fontId="1" fillId="31" borderId="17" applyAlignment="1" pivotButton="0" quotePrefix="0" xfId="0">
      <alignment horizontal="center" wrapText="1"/>
    </xf>
    <xf numFmtId="0" fontId="9" fillId="0" borderId="1" pivotButton="0" quotePrefix="0" xfId="0"/>
    <xf numFmtId="165" fontId="1" fillId="7" borderId="8" applyAlignment="1" pivotButton="0" quotePrefix="0" xfId="0">
      <alignment horizontal="center" wrapText="1"/>
    </xf>
    <xf numFmtId="0" fontId="28" fillId="0" borderId="0" applyAlignment="1" pivotButton="0" quotePrefix="0" xfId="4">
      <alignment horizontal="center" vertical="center" wrapText="1"/>
    </xf>
    <xf numFmtId="0" fontId="0" fillId="0" borderId="28" applyAlignment="1" pivotButton="0" quotePrefix="0" xfId="0">
      <alignment horizontal="center" vertical="center"/>
    </xf>
    <xf numFmtId="0" fontId="0" fillId="0" borderId="10" applyAlignment="1" pivotButton="0" quotePrefix="0" xfId="0">
      <alignment horizontal="center" vertical="center"/>
    </xf>
    <xf numFmtId="0" fontId="0" fillId="6" borderId="0" pivotButton="0" quotePrefix="0" xfId="0"/>
    <xf numFmtId="0" fontId="5" fillId="6" borderId="0" applyAlignment="1" pivotButton="0" quotePrefix="0" xfId="0">
      <alignment horizontal="left" vertical="center" indent="16"/>
    </xf>
    <xf numFmtId="0" fontId="4" fillId="6" borderId="0" applyAlignment="1" pivotButton="0" quotePrefix="0" xfId="0">
      <alignment horizontal="left" vertical="center" indent="16"/>
    </xf>
    <xf numFmtId="0" fontId="29" fillId="6" borderId="0" applyAlignment="1" pivotButton="0" quotePrefix="0" xfId="0">
      <alignment horizontal="left" vertical="center" indent="16"/>
    </xf>
    <xf numFmtId="0" fontId="3" fillId="0" borderId="0" applyAlignment="1" pivotButton="0" quotePrefix="0" xfId="0">
      <alignment horizontal="center"/>
    </xf>
    <xf numFmtId="0" fontId="27" fillId="0" borderId="0" applyAlignment="1" pivotButton="0" quotePrefix="0" xfId="0">
      <alignment horizontal="center" vertical="center"/>
    </xf>
    <xf numFmtId="0" fontId="0" fillId="0" borderId="0" applyAlignment="1" pivotButton="0" quotePrefix="0" xfId="0">
      <alignment wrapText="1"/>
    </xf>
    <xf numFmtId="0" fontId="16" fillId="0" borderId="1" pivotButton="0" quotePrefix="0" xfId="0"/>
    <xf numFmtId="0" fontId="16" fillId="0" borderId="1" applyAlignment="1" pivotButton="0" quotePrefix="0" xfId="0">
      <alignment horizontal="center" vertical="center"/>
    </xf>
    <xf numFmtId="0" fontId="0" fillId="0" borderId="1" applyAlignment="1" applyProtection="1" pivotButton="0" quotePrefix="0" xfId="0">
      <alignment horizontal="center" vertical="center"/>
      <protection locked="0" hidden="0"/>
    </xf>
    <xf numFmtId="0" fontId="16" fillId="36" borderId="1" applyAlignment="1" pivotButton="0" quotePrefix="0" xfId="0">
      <alignment vertical="center"/>
    </xf>
    <xf numFmtId="164" fontId="14" fillId="36" borderId="1" applyAlignment="1" pivotButton="0" quotePrefix="0" xfId="0">
      <alignment horizontal="right" vertical="center"/>
    </xf>
    <xf numFmtId="164" fontId="17" fillId="36" borderId="1" applyAlignment="1" pivotButton="0" quotePrefix="0" xfId="0">
      <alignment vertical="center"/>
    </xf>
    <xf numFmtId="164" fontId="1" fillId="31" borderId="15" applyAlignment="1" pivotButton="0" quotePrefix="0" xfId="3">
      <alignment horizontal="right" vertical="center"/>
    </xf>
    <xf numFmtId="164" fontId="1" fillId="31" borderId="5" applyAlignment="1" pivotButton="0" quotePrefix="0" xfId="3">
      <alignment horizontal="right" vertical="center"/>
    </xf>
    <xf numFmtId="164" fontId="1" fillId="31" borderId="2" applyAlignment="1" pivotButton="0" quotePrefix="0" xfId="3">
      <alignment horizontal="right" vertical="center"/>
    </xf>
    <xf numFmtId="0" fontId="1" fillId="8" borderId="10" pivotButton="0" quotePrefix="0" xfId="0"/>
    <xf numFmtId="0" fontId="1" fillId="31" borderId="10" applyAlignment="1" pivotButton="0" quotePrefix="0" xfId="0">
      <alignment horizontal="right"/>
    </xf>
    <xf numFmtId="0" fontId="0" fillId="0" borderId="21" pivotButton="0" quotePrefix="0" xfId="0"/>
    <xf numFmtId="4" fontId="11" fillId="5" borderId="1" applyAlignment="1" pivotButton="0" quotePrefix="0" xfId="0">
      <alignment vertical="center"/>
    </xf>
    <xf numFmtId="0" fontId="1" fillId="31" borderId="29" applyAlignment="1" pivotButton="0" quotePrefix="0" xfId="0">
      <alignment horizontal="center" vertical="center"/>
    </xf>
    <xf numFmtId="0" fontId="0" fillId="27" borderId="24" pivotButton="0" quotePrefix="0" xfId="0"/>
    <xf numFmtId="0" fontId="0" fillId="13" borderId="24" applyProtection="1" pivotButton="0" quotePrefix="0" xfId="0">
      <protection locked="0" hidden="0"/>
    </xf>
    <xf numFmtId="9" fontId="0" fillId="13" borderId="24" applyProtection="1" pivotButton="0" quotePrefix="0" xfId="0">
      <protection locked="0" hidden="0"/>
    </xf>
    <xf numFmtId="0" fontId="2" fillId="8" borderId="29" applyAlignment="1" pivotButton="0" quotePrefix="0" xfId="0">
      <alignment horizontal="center"/>
    </xf>
    <xf numFmtId="0" fontId="2" fillId="8" borderId="30" applyAlignment="1" pivotButton="0" quotePrefix="0" xfId="0">
      <alignment horizontal="center"/>
    </xf>
    <xf numFmtId="0" fontId="2" fillId="8" borderId="31" applyAlignment="1" pivotButton="0" quotePrefix="0" xfId="0">
      <alignment horizontal="center"/>
    </xf>
    <xf numFmtId="0" fontId="0" fillId="27" borderId="24" applyAlignment="1" pivotButton="0" quotePrefix="0" xfId="0">
      <alignment horizontal="center"/>
    </xf>
    <xf numFmtId="0" fontId="25" fillId="21" borderId="1" applyAlignment="1" pivotButton="0" quotePrefix="0" xfId="0">
      <alignment horizontal="center" vertical="center"/>
    </xf>
    <xf numFmtId="1" fontId="23" fillId="30" borderId="25" applyAlignment="1" pivotButton="0" quotePrefix="0" xfId="4">
      <alignment horizontal="center" vertical="center"/>
    </xf>
    <xf numFmtId="1" fontId="25" fillId="21" borderId="1" applyAlignment="1" pivotButton="0" quotePrefix="0" xfId="0">
      <alignment horizontal="center" vertical="center" wrapText="1"/>
    </xf>
    <xf numFmtId="1" fontId="16" fillId="25" borderId="1" applyAlignment="1" pivotButton="0" quotePrefix="0" xfId="0">
      <alignment vertical="center"/>
    </xf>
    <xf numFmtId="1" fontId="16" fillId="36" borderId="1" applyAlignment="1" pivotButton="0" quotePrefix="0" xfId="0">
      <alignment vertical="center"/>
    </xf>
    <xf numFmtId="1" fontId="0" fillId="3" borderId="1" pivotButton="0" quotePrefix="0" xfId="0"/>
    <xf numFmtId="1" fontId="14" fillId="22" borderId="1" applyAlignment="1" pivotButton="0" quotePrefix="0" xfId="0">
      <alignment horizontal="center" vertical="center" wrapText="1"/>
    </xf>
    <xf numFmtId="1" fontId="16" fillId="36" borderId="1" applyAlignment="1" pivotButton="0" quotePrefix="0" xfId="0">
      <alignment horizontal="right" vertical="center"/>
    </xf>
    <xf numFmtId="1" fontId="14" fillId="25" borderId="1" applyAlignment="1" pivotButton="0" quotePrefix="0" xfId="0">
      <alignment horizontal="right" vertical="center"/>
    </xf>
    <xf numFmtId="1" fontId="16" fillId="25" borderId="1" applyAlignment="1" pivotButton="0" quotePrefix="0" xfId="0">
      <alignment horizontal="right" vertical="center"/>
    </xf>
    <xf numFmtId="0" fontId="36" fillId="11" borderId="6" applyAlignment="1" pivotButton="0" quotePrefix="0" xfId="0">
      <alignment horizontal="center" vertical="center" wrapText="1"/>
    </xf>
    <xf numFmtId="0" fontId="36" fillId="11" borderId="7" applyAlignment="1" pivotButton="0" quotePrefix="0" xfId="0">
      <alignment horizontal="center" vertical="center" wrapText="1"/>
    </xf>
    <xf numFmtId="0" fontId="36" fillId="11" borderId="8" applyAlignment="1" pivotButton="0" quotePrefix="0" xfId="0">
      <alignment horizontal="center" vertical="center" wrapText="1"/>
    </xf>
    <xf numFmtId="0" fontId="36" fillId="11" borderId="9" applyAlignment="1" pivotButton="0" quotePrefix="0" xfId="0">
      <alignment horizontal="center" vertical="center" wrapText="1"/>
    </xf>
    <xf numFmtId="0" fontId="0" fillId="0" borderId="0" applyAlignment="1" pivotButton="0" quotePrefix="0" xfId="0">
      <alignment horizontal="center" vertical="center" wrapText="1"/>
    </xf>
    <xf numFmtId="0" fontId="0" fillId="0" borderId="10" applyProtection="1" pivotButton="0" quotePrefix="0" xfId="0">
      <protection locked="0" hidden="0"/>
    </xf>
    <xf numFmtId="14" fontId="0" fillId="0" borderId="1" applyProtection="1" pivotButton="0" quotePrefix="0" xfId="0">
      <protection locked="0" hidden="0"/>
    </xf>
    <xf numFmtId="165" fontId="0" fillId="3" borderId="1" pivotButton="0" quotePrefix="0" xfId="1"/>
    <xf numFmtId="0" fontId="0" fillId="0" borderId="11" applyProtection="1" pivotButton="0" quotePrefix="0" xfId="0">
      <protection locked="0" hidden="0"/>
    </xf>
    <xf numFmtId="0" fontId="0" fillId="0" borderId="12" applyProtection="1" pivotButton="0" quotePrefix="1" xfId="0">
      <protection locked="0" hidden="0"/>
    </xf>
    <xf numFmtId="0" fontId="0" fillId="3" borderId="12" applyProtection="1" pivotButton="0" quotePrefix="0" xfId="0">
      <protection locked="0" hidden="0"/>
    </xf>
    <xf numFmtId="14" fontId="0" fillId="0" borderId="12" applyProtection="1" pivotButton="0" quotePrefix="0" xfId="0">
      <protection locked="0" hidden="0"/>
    </xf>
    <xf numFmtId="165" fontId="0" fillId="3" borderId="12" pivotButton="0" quotePrefix="0" xfId="1"/>
    <xf numFmtId="0" fontId="0" fillId="0" borderId="13" applyProtection="1" pivotButton="0" quotePrefix="0" xfId="0">
      <protection locked="0" hidden="0"/>
    </xf>
    <xf numFmtId="0" fontId="18" fillId="20" borderId="1" applyAlignment="1" applyProtection="1" pivotButton="0" quotePrefix="0" xfId="0">
      <alignment horizontal="center" vertical="center" wrapText="1"/>
      <protection locked="0" hidden="0"/>
    </xf>
    <xf numFmtId="0" fontId="0" fillId="0" borderId="0" applyAlignment="1" pivotButton="0" quotePrefix="0" xfId="0">
      <alignment vertical="center" wrapText="1"/>
    </xf>
    <xf numFmtId="2" fontId="36" fillId="11" borderId="7" applyAlignment="1" pivotButton="0" quotePrefix="0" xfId="0">
      <alignment horizontal="center" vertical="center" wrapText="1"/>
    </xf>
    <xf numFmtId="2" fontId="0" fillId="0" borderId="1" applyProtection="1" pivotButton="0" quotePrefix="0" xfId="0">
      <protection locked="0" hidden="0"/>
    </xf>
    <xf numFmtId="2" fontId="0" fillId="0" borderId="12" applyProtection="1" pivotButton="0" quotePrefix="0" xfId="0">
      <protection locked="0" hidden="0"/>
    </xf>
    <xf numFmtId="2" fontId="0" fillId="0" borderId="0" pivotButton="0" quotePrefix="0" xfId="0"/>
    <xf numFmtId="10" fontId="36" fillId="11" borderId="7" applyAlignment="1" pivotButton="0" quotePrefix="0" xfId="0">
      <alignment horizontal="center" vertical="center" wrapText="1"/>
    </xf>
    <xf numFmtId="10" fontId="0" fillId="0" borderId="1" applyAlignment="1" applyProtection="1" pivotButton="0" quotePrefix="0" xfId="2">
      <alignment horizontal="center"/>
      <protection locked="0" hidden="0"/>
    </xf>
    <xf numFmtId="10" fontId="0" fillId="0" borderId="1" applyAlignment="1" applyProtection="1" pivotButton="0" quotePrefix="0" xfId="0">
      <alignment horizontal="center"/>
      <protection locked="0" hidden="0"/>
    </xf>
    <xf numFmtId="10" fontId="0" fillId="3" borderId="1" applyAlignment="1" applyProtection="1" pivotButton="0" quotePrefix="0" xfId="2">
      <alignment horizontal="center"/>
      <protection locked="0" hidden="0"/>
    </xf>
    <xf numFmtId="10" fontId="0" fillId="0" borderId="12" applyAlignment="1" applyProtection="1" pivotButton="0" quotePrefix="0" xfId="2">
      <alignment horizontal="center"/>
      <protection locked="0" hidden="0"/>
    </xf>
    <xf numFmtId="10" fontId="0" fillId="3" borderId="12" applyAlignment="1" applyProtection="1" pivotButton="0" quotePrefix="0" xfId="2">
      <alignment horizontal="center"/>
      <protection locked="0" hidden="0"/>
    </xf>
    <xf numFmtId="10" fontId="0" fillId="0" borderId="0" pivotButton="0" quotePrefix="0" xfId="0"/>
    <xf numFmtId="10" fontId="35" fillId="31" borderId="1" applyAlignment="1" pivotButton="0" quotePrefix="0" xfId="2">
      <alignment horizontal="center" vertical="center"/>
    </xf>
    <xf numFmtId="166" fontId="11" fillId="5" borderId="1" applyAlignment="1" pivotButton="0" quotePrefix="0" xfId="3">
      <alignment horizontal="right"/>
    </xf>
    <xf numFmtId="166" fontId="1" fillId="31" borderId="2" applyAlignment="1" pivotButton="0" quotePrefix="0" xfId="3">
      <alignment horizontal="right"/>
    </xf>
    <xf numFmtId="166" fontId="1" fillId="31" borderId="5" applyAlignment="1" pivotButton="0" quotePrefix="0" xfId="3">
      <alignment horizontal="right" vertical="center"/>
    </xf>
    <xf numFmtId="166" fontId="1" fillId="31" borderId="15" applyAlignment="1" pivotButton="0" quotePrefix="0" xfId="3">
      <alignment horizontal="right" vertical="center"/>
    </xf>
    <xf numFmtId="166" fontId="11" fillId="27" borderId="1" applyAlignment="1" pivotButton="0" quotePrefix="0" xfId="3">
      <alignment horizontal="right"/>
    </xf>
    <xf numFmtId="166" fontId="25" fillId="21" borderId="1" applyAlignment="1" pivotButton="0" quotePrefix="0" xfId="0">
      <alignment horizontal="right" vertical="center"/>
    </xf>
    <xf numFmtId="166" fontId="25" fillId="25" borderId="1" applyAlignment="1" pivotButton="0" quotePrefix="0" xfId="0">
      <alignment horizontal="right" vertical="center"/>
    </xf>
    <xf numFmtId="166" fontId="25" fillId="36" borderId="1" applyAlignment="1" pivotButton="0" quotePrefix="0" xfId="0">
      <alignment horizontal="right" vertical="center"/>
    </xf>
    <xf numFmtId="166" fontId="14" fillId="36" borderId="1" applyAlignment="1" pivotButton="0" quotePrefix="0" xfId="0">
      <alignment horizontal="right" vertical="center"/>
    </xf>
    <xf numFmtId="166" fontId="14" fillId="25" borderId="1" applyAlignment="1" pivotButton="0" quotePrefix="0" xfId="0">
      <alignment horizontal="right" vertical="center"/>
    </xf>
    <xf numFmtId="166" fontId="14" fillId="22" borderId="1" applyAlignment="1" pivotButton="0" quotePrefix="0" xfId="0">
      <alignment horizontal="right" vertical="center"/>
    </xf>
    <xf numFmtId="166" fontId="17" fillId="18" borderId="1" applyAlignment="1" pivotButton="0" quotePrefix="0" xfId="0">
      <alignment vertical="center"/>
    </xf>
    <xf numFmtId="166" fontId="17" fillId="36" borderId="1" applyAlignment="1" pivotButton="0" quotePrefix="0" xfId="0">
      <alignment vertical="center"/>
    </xf>
    <xf numFmtId="166" fontId="17" fillId="36" borderId="1" applyAlignment="1" pivotButton="0" quotePrefix="0" xfId="0">
      <alignment horizontal="right" vertical="center"/>
    </xf>
    <xf numFmtId="166" fontId="17" fillId="35" borderId="1" applyAlignment="1" pivotButton="0" quotePrefix="0" xfId="0">
      <alignment vertical="center"/>
    </xf>
    <xf numFmtId="2" fontId="16" fillId="36" borderId="1" applyAlignment="1" pivotButton="0" quotePrefix="0" xfId="0">
      <alignment vertical="center"/>
    </xf>
    <xf numFmtId="0" fontId="28" fillId="0" borderId="0" applyAlignment="1" pivotButton="0" quotePrefix="0" xfId="4">
      <alignment horizontal="center" vertical="center" wrapText="1"/>
    </xf>
    <xf numFmtId="0" fontId="1" fillId="5" borderId="16" applyAlignment="1" pivotButton="0" quotePrefix="0" xfId="0">
      <alignment vertical="center"/>
    </xf>
    <xf numFmtId="165" fontId="1" fillId="31" borderId="17" applyAlignment="1" pivotButton="0" quotePrefix="0" xfId="0">
      <alignment horizontal="center" vertical="center" wrapText="1"/>
    </xf>
    <xf numFmtId="0" fontId="1" fillId="31" borderId="1" applyAlignment="1" pivotButton="0" quotePrefix="0" xfId="0">
      <alignment horizontal="center" vertical="center"/>
    </xf>
    <xf numFmtId="165" fontId="1" fillId="7" borderId="8" applyAlignment="1" pivotButton="0" quotePrefix="0" xfId="0">
      <alignment horizontal="center" vertical="center" wrapText="1"/>
    </xf>
    <xf numFmtId="0" fontId="0" fillId="0" borderId="0" applyAlignment="1" applyProtection="1" pivotButton="0" quotePrefix="0" xfId="0">
      <alignment vertical="center"/>
      <protection locked="0" hidden="0"/>
    </xf>
    <xf numFmtId="167" fontId="1" fillId="31" borderId="30" applyAlignment="1" pivotButton="0" quotePrefix="0" xfId="0">
      <alignment horizontal="center" vertical="center"/>
    </xf>
    <xf numFmtId="167" fontId="0" fillId="0" borderId="24" applyAlignment="1" pivotButton="0" quotePrefix="0" xfId="0">
      <alignment horizontal="center" vertical="center"/>
    </xf>
    <xf numFmtId="167" fontId="0" fillId="0" borderId="1" applyAlignment="1" pivotButton="0" quotePrefix="0" xfId="0">
      <alignment horizontal="center" vertical="center"/>
    </xf>
    <xf numFmtId="0" fontId="33" fillId="0" borderId="1" applyAlignment="1" pivotButton="0" quotePrefix="0" xfId="0">
      <alignment vertical="center"/>
    </xf>
    <xf numFmtId="0" fontId="1" fillId="0" borderId="1" pivotButton="0" quotePrefix="0" xfId="0"/>
    <xf numFmtId="0" fontId="26" fillId="0" borderId="26" applyAlignment="1" pivotButton="0" quotePrefix="0" xfId="0">
      <alignment vertical="center" wrapText="1"/>
    </xf>
    <xf numFmtId="0" fontId="26" fillId="0" borderId="27" applyAlignment="1" pivotButton="0" quotePrefix="0" xfId="0">
      <alignment vertical="center" wrapText="1"/>
    </xf>
    <xf numFmtId="0" fontId="14" fillId="0" borderId="1" pivotButton="0" quotePrefix="0" xfId="0"/>
    <xf numFmtId="1" fontId="14" fillId="0" borderId="1" pivotButton="0" quotePrefix="0" xfId="0"/>
    <xf numFmtId="1" fontId="16" fillId="0" borderId="1" applyAlignment="1" pivotButton="0" quotePrefix="0" xfId="0">
      <alignment vertical="center"/>
    </xf>
    <xf numFmtId="166" fontId="39" fillId="0" borderId="1" applyAlignment="1" pivotButton="0" quotePrefix="0" xfId="0">
      <alignment horizontal="right" vertical="center"/>
    </xf>
    <xf numFmtId="1" fontId="16" fillId="0" borderId="1" applyAlignment="1" pivotButton="0" quotePrefix="0" xfId="0">
      <alignment horizontal="right" vertical="center"/>
    </xf>
    <xf numFmtId="166" fontId="17" fillId="0" borderId="1" applyAlignment="1" pivotButton="0" quotePrefix="0" xfId="0">
      <alignment horizontal="right" vertical="center"/>
    </xf>
    <xf numFmtId="0" fontId="24" fillId="0" borderId="1" applyAlignment="1" pivotButton="0" quotePrefix="0" xfId="0">
      <alignment vertical="center"/>
    </xf>
    <xf numFmtId="166" fontId="14" fillId="0" borderId="1" applyAlignment="1" pivotButton="0" quotePrefix="0" xfId="0">
      <alignment horizontal="right" vertical="center"/>
    </xf>
    <xf numFmtId="0" fontId="39" fillId="0" borderId="1" applyAlignment="1" pivotButton="0" quotePrefix="0" xfId="0">
      <alignment vertical="center"/>
    </xf>
    <xf numFmtId="0" fontId="16" fillId="26" borderId="1" applyAlignment="1" pivotButton="0" quotePrefix="0" xfId="0">
      <alignment vertical="center"/>
    </xf>
    <xf numFmtId="1" fontId="16" fillId="26" borderId="1" applyAlignment="1" pivotButton="0" quotePrefix="0" xfId="0">
      <alignment vertical="center"/>
    </xf>
    <xf numFmtId="0" fontId="39" fillId="23" borderId="1" applyAlignment="1" pivotButton="0" quotePrefix="0" xfId="0">
      <alignment horizontal="center" vertical="center"/>
    </xf>
    <xf numFmtId="1" fontId="39" fillId="23" borderId="1" applyAlignment="1" pivotButton="0" quotePrefix="0" xfId="0">
      <alignment vertical="center"/>
    </xf>
    <xf numFmtId="0" fontId="39" fillId="23" borderId="1" applyAlignment="1" pivotButton="0" quotePrefix="0" xfId="0">
      <alignment horizontal="right" vertical="center"/>
    </xf>
    <xf numFmtId="0" fontId="16" fillId="23" borderId="1" applyAlignment="1" pivotButton="0" quotePrefix="0" xfId="0">
      <alignment vertical="center"/>
    </xf>
    <xf numFmtId="0" fontId="17" fillId="23" borderId="1" applyAlignment="1" pivotButton="0" quotePrefix="0" xfId="0">
      <alignment vertical="center"/>
    </xf>
    <xf numFmtId="0" fontId="39" fillId="23" borderId="1" applyAlignment="1" pivotButton="0" quotePrefix="0" xfId="0">
      <alignment vertical="center"/>
    </xf>
    <xf numFmtId="0" fontId="39" fillId="0" borderId="1" pivotButton="0" quotePrefix="0" xfId="0"/>
    <xf numFmtId="1" fontId="39" fillId="0" borderId="1" pivotButton="0" quotePrefix="0" xfId="0"/>
    <xf numFmtId="168" fontId="16" fillId="28" borderId="1" applyAlignment="1" applyProtection="1" pivotButton="0" quotePrefix="0" xfId="0">
      <alignment vertical="center"/>
      <protection locked="0" hidden="0"/>
    </xf>
    <xf numFmtId="168" fontId="16" fillId="25" borderId="1" applyAlignment="1" pivotButton="0" quotePrefix="0" xfId="0">
      <alignment vertical="center"/>
    </xf>
    <xf numFmtId="168" fontId="16" fillId="36" borderId="1" applyAlignment="1" pivotButton="0" quotePrefix="0" xfId="0">
      <alignment vertical="center"/>
    </xf>
    <xf numFmtId="168" fontId="14" fillId="25" borderId="1" applyAlignment="1" pivotButton="0" quotePrefix="0" xfId="0">
      <alignment vertical="center"/>
    </xf>
    <xf numFmtId="168" fontId="16" fillId="0" borderId="1" applyAlignment="1" pivotButton="0" quotePrefix="0" xfId="0">
      <alignment vertical="center"/>
    </xf>
    <xf numFmtId="168" fontId="16" fillId="36" borderId="1" applyAlignment="1" pivotButton="0" quotePrefix="0" xfId="0">
      <alignment horizontal="right" vertical="center"/>
    </xf>
    <xf numFmtId="168" fontId="14" fillId="25" borderId="1" applyAlignment="1" pivotButton="0" quotePrefix="0" xfId="0">
      <alignment horizontal="right" vertical="center"/>
    </xf>
    <xf numFmtId="168" fontId="16" fillId="0" borderId="1" applyAlignment="1" pivotButton="0" quotePrefix="0" xfId="0">
      <alignment horizontal="right" vertical="center"/>
    </xf>
    <xf numFmtId="168" fontId="16" fillId="25" borderId="1" applyAlignment="1" pivotButton="0" quotePrefix="0" xfId="0">
      <alignment horizontal="right" vertical="center"/>
    </xf>
    <xf numFmtId="168" fontId="24" fillId="21" borderId="1" applyAlignment="1" pivotButton="0" quotePrefix="0" xfId="0">
      <alignment vertical="center"/>
    </xf>
    <xf numFmtId="168" fontId="24" fillId="25" borderId="1" applyAlignment="1" pivotButton="0" quotePrefix="0" xfId="0">
      <alignment vertical="center"/>
    </xf>
    <xf numFmtId="168" fontId="24" fillId="36" borderId="1" applyAlignment="1" pivotButton="0" quotePrefix="0" xfId="0">
      <alignment vertical="center"/>
    </xf>
    <xf numFmtId="168" fontId="39" fillId="0" borderId="1" pivotButton="0" quotePrefix="0" xfId="0"/>
    <xf numFmtId="168" fontId="16" fillId="22" borderId="1" applyAlignment="1" pivotButton="0" quotePrefix="0" xfId="0">
      <alignment vertical="center"/>
    </xf>
    <xf numFmtId="0" fontId="0" fillId="12" borderId="1" applyAlignment="1" applyProtection="1" pivotButton="0" quotePrefix="0" xfId="0">
      <alignment horizontal="center"/>
      <protection locked="0" hidden="0"/>
    </xf>
    <xf numFmtId="0" fontId="0" fillId="12" borderId="1" applyAlignment="1" applyProtection="1" pivotButton="0" quotePrefix="0" xfId="0">
      <alignment horizontal="right"/>
      <protection locked="0" hidden="0"/>
    </xf>
    <xf numFmtId="0" fontId="0" fillId="12" borderId="1" applyProtection="1" pivotButton="0" quotePrefix="0" xfId="0">
      <protection locked="0" hidden="0"/>
    </xf>
    <xf numFmtId="0" fontId="38" fillId="12" borderId="1" applyProtection="1" pivotButton="0" quotePrefix="0" xfId="0">
      <protection locked="0" hidden="0"/>
    </xf>
    <xf numFmtId="164" fontId="0" fillId="2" borderId="1" applyProtection="1" pivotButton="0" quotePrefix="0" xfId="0">
      <protection locked="0" hidden="0"/>
    </xf>
    <xf numFmtId="164" fontId="0" fillId="4" borderId="1" applyProtection="1" pivotButton="0" quotePrefix="0" xfId="0">
      <protection locked="0" hidden="0"/>
    </xf>
    <xf numFmtId="164" fontId="6" fillId="10" borderId="1" applyProtection="1" pivotButton="0" quotePrefix="0" xfId="0">
      <protection locked="0" hidden="0"/>
    </xf>
    <xf numFmtId="0" fontId="1" fillId="14" borderId="1" applyAlignment="1" applyProtection="1" pivotButton="0" quotePrefix="0" xfId="0">
      <alignment vertical="center"/>
      <protection locked="0" hidden="0"/>
    </xf>
    <xf numFmtId="164" fontId="1" fillId="14" borderId="1" applyAlignment="1" applyProtection="1" pivotButton="0" quotePrefix="0" xfId="0">
      <alignment vertical="center"/>
      <protection locked="0" hidden="0"/>
    </xf>
    <xf numFmtId="168" fontId="1" fillId="2" borderId="1" applyAlignment="1" applyProtection="1" pivotButton="0" quotePrefix="0" xfId="0">
      <alignment horizontal="right"/>
      <protection locked="0" hidden="0"/>
    </xf>
    <xf numFmtId="168" fontId="0" fillId="14" borderId="1" applyProtection="1" pivotButton="0" quotePrefix="0" xfId="0">
      <protection locked="0" hidden="0"/>
    </xf>
    <xf numFmtId="168" fontId="1" fillId="14" borderId="1" applyAlignment="1" applyProtection="1" pivotButton="0" quotePrefix="0" xfId="0">
      <alignment vertical="center"/>
      <protection locked="0" hidden="0"/>
    </xf>
    <xf numFmtId="168" fontId="0" fillId="0" borderId="1" applyProtection="1" pivotButton="0" quotePrefix="0" xfId="0">
      <protection locked="0" hidden="0"/>
    </xf>
    <xf numFmtId="168" fontId="1" fillId="4" borderId="1" applyAlignment="1" applyProtection="1" pivotButton="0" quotePrefix="0" xfId="0">
      <alignment horizontal="right"/>
      <protection locked="0" hidden="0"/>
    </xf>
    <xf numFmtId="168" fontId="1" fillId="14" borderId="1" applyAlignment="1" applyProtection="1" pivotButton="0" quotePrefix="0" xfId="0">
      <alignment horizontal="right"/>
      <protection locked="0" hidden="0"/>
    </xf>
    <xf numFmtId="2" fontId="6" fillId="10" borderId="1" applyProtection="1" pivotButton="0" quotePrefix="0" xfId="0">
      <protection locked="0" hidden="0"/>
    </xf>
    <xf numFmtId="2" fontId="1" fillId="14" borderId="1" applyAlignment="1" applyProtection="1" pivotButton="0" quotePrefix="0" xfId="0">
      <alignment horizontal="right"/>
      <protection locked="0" hidden="0"/>
    </xf>
    <xf numFmtId="2" fontId="1" fillId="14" borderId="1" applyAlignment="1" applyProtection="1" pivotButton="0" quotePrefix="0" xfId="0">
      <alignment vertical="center"/>
      <protection locked="0" hidden="0"/>
    </xf>
    <xf numFmtId="2" fontId="1" fillId="4" borderId="1" applyAlignment="1" applyProtection="1" pivotButton="0" quotePrefix="0" xfId="0">
      <alignment horizontal="right"/>
      <protection locked="0" hidden="0"/>
    </xf>
    <xf numFmtId="2" fontId="0" fillId="4" borderId="1" applyProtection="1" pivotButton="0" quotePrefix="0" xfId="0">
      <protection locked="0" hidden="0"/>
    </xf>
    <xf numFmtId="2" fontId="0" fillId="14" borderId="1" applyProtection="1" pivotButton="0" quotePrefix="0" xfId="0">
      <protection locked="0" hidden="0"/>
    </xf>
    <xf numFmtId="2" fontId="0" fillId="2" borderId="1" applyProtection="1" pivotButton="0" quotePrefix="0" xfId="0">
      <protection locked="0" hidden="0"/>
    </xf>
    <xf numFmtId="2" fontId="1" fillId="2" borderId="1" applyAlignment="1" applyProtection="1" pivotButton="0" quotePrefix="0" xfId="0">
      <alignment horizontal="right"/>
      <protection locked="0" hidden="0"/>
    </xf>
    <xf numFmtId="1" fontId="14" fillId="25" borderId="1" applyAlignment="1" pivotButton="0" quotePrefix="0" xfId="0">
      <alignment vertical="center"/>
    </xf>
    <xf numFmtId="166" fontId="14" fillId="25" borderId="1" applyAlignment="1" pivotButton="0" quotePrefix="0" xfId="0">
      <alignment vertical="center"/>
    </xf>
    <xf numFmtId="2" fontId="25" fillId="21" borderId="1" applyAlignment="1" pivotButton="0" quotePrefix="0" xfId="0">
      <alignment horizontal="right" vertical="center"/>
    </xf>
    <xf numFmtId="2" fontId="14" fillId="22" borderId="1" applyAlignment="1" pivotButton="0" quotePrefix="0" xfId="0">
      <alignment horizontal="right" vertical="center"/>
    </xf>
    <xf numFmtId="2" fontId="17" fillId="18" borderId="1" applyAlignment="1" pivotButton="0" quotePrefix="0" xfId="0">
      <alignment vertical="center"/>
    </xf>
    <xf numFmtId="0" fontId="40" fillId="37" borderId="25" applyAlignment="1" pivotButton="0" quotePrefix="0" xfId="4">
      <alignment horizontal="center" vertical="center" wrapText="1" shrinkToFit="1"/>
    </xf>
    <xf numFmtId="0" fontId="2" fillId="6" borderId="22" applyAlignment="1" pivotButton="0" quotePrefix="0" xfId="0">
      <alignment horizontal="center" vertical="center"/>
    </xf>
    <xf numFmtId="0" fontId="2" fillId="6" borderId="12" applyAlignment="1" pivotButton="0" quotePrefix="0" xfId="0">
      <alignment horizontal="center" vertical="center" wrapText="1"/>
    </xf>
    <xf numFmtId="0" fontId="2" fillId="6" borderId="12" applyAlignment="1" pivotButton="0" quotePrefix="0" xfId="0">
      <alignment horizontal="center" vertical="center"/>
    </xf>
    <xf numFmtId="0" fontId="2" fillId="6" borderId="13" applyAlignment="1" pivotButton="0" quotePrefix="0" xfId="0">
      <alignment horizontal="left" vertical="center"/>
    </xf>
    <xf numFmtId="0" fontId="12" fillId="0" borderId="0" applyAlignment="1" pivotButton="0" quotePrefix="0" xfId="0">
      <alignment horizontal="center" vertical="center"/>
    </xf>
    <xf numFmtId="1" fontId="0" fillId="0" borderId="1" applyAlignment="1" applyProtection="1" pivotButton="0" quotePrefix="0" xfId="0">
      <alignment horizontal="center" vertical="center"/>
      <protection locked="0" hidden="0"/>
    </xf>
    <xf numFmtId="1" fontId="32" fillId="30" borderId="25" applyAlignment="1" pivotButton="0" quotePrefix="0" xfId="4">
      <alignment horizontal="center" vertical="center"/>
    </xf>
    <xf numFmtId="0" fontId="0" fillId="0" borderId="0" applyAlignment="1" pivotButton="0" quotePrefix="0" xfId="0">
      <alignment horizontal="left"/>
    </xf>
    <xf numFmtId="0" fontId="42" fillId="0" borderId="0" applyAlignment="1" pivotButton="0" quotePrefix="0" xfId="0">
      <alignment horizontal="left"/>
    </xf>
    <xf numFmtId="49" fontId="0" fillId="0" borderId="24" applyAlignment="1" pivotButton="0" quotePrefix="0" xfId="0">
      <alignment horizontal="left" vertical="top" wrapText="1"/>
    </xf>
    <xf numFmtId="49" fontId="1" fillId="31" borderId="30" applyAlignment="1" pivotButton="0" quotePrefix="0" xfId="0">
      <alignment horizontal="center" vertical="top" wrapText="1"/>
    </xf>
    <xf numFmtId="49" fontId="0" fillId="0" borderId="1" applyAlignment="1" pivotButton="0" quotePrefix="0" xfId="0">
      <alignment horizontal="left" vertical="top" wrapText="1"/>
    </xf>
    <xf numFmtId="1" fontId="16" fillId="28" borderId="1" applyAlignment="1" applyProtection="1" pivotButton="0" quotePrefix="0" xfId="0">
      <alignment vertical="center"/>
      <protection locked="0" hidden="0"/>
    </xf>
    <xf numFmtId="1" fontId="24" fillId="21" borderId="1" applyAlignment="1" pivotButton="0" quotePrefix="0" xfId="0">
      <alignment vertical="center"/>
    </xf>
    <xf numFmtId="1" fontId="24" fillId="25" borderId="1" applyAlignment="1" pivotButton="0" quotePrefix="0" xfId="0">
      <alignment vertical="center"/>
    </xf>
    <xf numFmtId="1" fontId="24" fillId="36" borderId="1" applyAlignment="1" pivotButton="0" quotePrefix="0" xfId="0">
      <alignment vertical="center"/>
    </xf>
    <xf numFmtId="1" fontId="16" fillId="22" borderId="1" applyAlignment="1" pivotButton="0" quotePrefix="0" xfId="0">
      <alignment vertical="center"/>
    </xf>
    <xf numFmtId="9" fontId="0" fillId="0" borderId="0" pivotButton="0" quotePrefix="0" xfId="0"/>
    <xf numFmtId="169" fontId="0" fillId="0" borderId="0" pivotButton="0" quotePrefix="0" xfId="0"/>
    <xf numFmtId="0" fontId="28" fillId="0" borderId="0" applyAlignment="1" pivotButton="0" quotePrefix="0" xfId="4">
      <alignment vertical="center"/>
    </xf>
    <xf numFmtId="2" fontId="24" fillId="21" borderId="1" applyAlignment="1" pivotButton="0" quotePrefix="0" xfId="0">
      <alignment vertical="center"/>
    </xf>
    <xf numFmtId="2" fontId="16" fillId="22" borderId="1" applyAlignment="1" pivotButton="0" quotePrefix="0" xfId="0">
      <alignment vertical="center"/>
    </xf>
    <xf numFmtId="0" fontId="44" fillId="6" borderId="0" applyAlignment="1" pivotButton="0" quotePrefix="0" xfId="0">
      <alignment horizontal="left" vertical="center" indent="16"/>
    </xf>
    <xf numFmtId="0" fontId="32" fillId="38" borderId="25" applyAlignment="1" pivotButton="0" quotePrefix="0" xfId="4">
      <alignment horizontal="center" vertical="center"/>
    </xf>
    <xf numFmtId="0" fontId="1" fillId="15" borderId="1" applyAlignment="1" applyProtection="1" pivotButton="0" quotePrefix="0" xfId="0">
      <alignment wrapText="1"/>
      <protection locked="0" hidden="0"/>
    </xf>
    <xf numFmtId="0" fontId="45" fillId="15" borderId="36" applyAlignment="1" applyProtection="1" pivotButton="0" quotePrefix="0" xfId="0">
      <alignment horizontal="justify" vertical="center" wrapText="1"/>
      <protection locked="0" hidden="0"/>
    </xf>
    <xf numFmtId="11" fontId="41" fillId="0" borderId="1" applyAlignment="1" pivotButton="0" quotePrefix="0" xfId="0">
      <alignment vertical="center"/>
    </xf>
    <xf numFmtId="0" fontId="18" fillId="39" borderId="1" applyAlignment="1" applyProtection="1" pivotButton="0" quotePrefix="0" xfId="0">
      <alignment horizontal="center" vertical="center" wrapText="1"/>
      <protection locked="0" hidden="0"/>
    </xf>
    <xf numFmtId="0" fontId="32" fillId="30" borderId="25" applyAlignment="1" pivotButton="0" quotePrefix="0" xfId="4">
      <alignment horizontal="center" vertical="center"/>
    </xf>
    <xf numFmtId="0" fontId="41" fillId="0" borderId="1" applyAlignment="1" pivotButton="0" quotePrefix="0" xfId="0">
      <alignment vertical="center"/>
    </xf>
    <xf numFmtId="0" fontId="47" fillId="15" borderId="36" applyAlignment="1" applyProtection="1" pivotButton="0" quotePrefix="0" xfId="0">
      <alignment horizontal="justify" vertical="center" wrapText="1"/>
      <protection locked="0" hidden="0"/>
    </xf>
    <xf numFmtId="49" fontId="1" fillId="8" borderId="10" applyAlignment="1" pivotButton="0" quotePrefix="0" xfId="0">
      <alignment horizontal="left" vertical="center"/>
    </xf>
    <xf numFmtId="49" fontId="1" fillId="4" borderId="8" applyAlignment="1" pivotButton="0" quotePrefix="0" xfId="0">
      <alignment horizontal="center" wrapText="1"/>
    </xf>
    <xf numFmtId="49" fontId="1" fillId="8" borderId="10" pivotButton="0" quotePrefix="0" xfId="0"/>
    <xf numFmtId="4" fontId="11" fillId="27" borderId="1" applyAlignment="1" pivotButton="0" quotePrefix="0" xfId="0">
      <alignment vertical="center"/>
    </xf>
    <xf numFmtId="49" fontId="1" fillId="4" borderId="8" applyAlignment="1" pivotButton="0" quotePrefix="0" xfId="0">
      <alignment horizontal="center" vertical="center" wrapText="1"/>
    </xf>
    <xf numFmtId="0" fontId="19" fillId="24" borderId="1" applyAlignment="1" pivotButton="0" quotePrefix="0" xfId="0">
      <alignment horizontal="center" vertical="center"/>
    </xf>
    <xf numFmtId="0" fontId="15" fillId="18" borderId="1" applyAlignment="1" pivotButton="0" quotePrefix="0" xfId="0">
      <alignment horizontal="center" vertical="center" wrapText="1"/>
    </xf>
    <xf numFmtId="0" fontId="15" fillId="18" borderId="24" applyAlignment="1" pivotButton="0" quotePrefix="0" xfId="0">
      <alignment horizontal="center" vertical="center" wrapText="1"/>
    </xf>
    <xf numFmtId="0" fontId="0" fillId="6" borderId="1" applyAlignment="1" pivotButton="0" quotePrefix="0" xfId="0">
      <alignment horizontal="left" vertical="center" wrapText="1"/>
    </xf>
    <xf numFmtId="0" fontId="3" fillId="0" borderId="0" applyAlignment="1" pivotButton="0" quotePrefix="0" xfId="0">
      <alignment horizontal="center"/>
    </xf>
    <xf numFmtId="0" fontId="31" fillId="29" borderId="5" applyAlignment="1" pivotButton="0" quotePrefix="0" xfId="0">
      <alignment horizontal="center" vertical="center" textRotation="90" wrapText="1"/>
    </xf>
    <xf numFmtId="0" fontId="31" fillId="29" borderId="24" applyAlignment="1" pivotButton="0" quotePrefix="0" xfId="0">
      <alignment horizontal="center" vertical="center" textRotation="90" wrapText="1"/>
    </xf>
    <xf numFmtId="0" fontId="0" fillId="6" borderId="1" applyAlignment="1" pivotButton="0" quotePrefix="0" xfId="0">
      <alignment vertical="center" wrapText="1"/>
    </xf>
    <xf numFmtId="0" fontId="0" fillId="5" borderId="1" applyAlignment="1" pivotButton="0" quotePrefix="0" xfId="0">
      <alignment horizontal="left" vertical="center" wrapText="1"/>
    </xf>
    <xf numFmtId="0" fontId="31" fillId="33" borderId="5" applyAlignment="1" pivotButton="0" quotePrefix="0" xfId="0">
      <alignment horizontal="center" vertical="center" textRotation="90" wrapText="1"/>
    </xf>
    <xf numFmtId="0" fontId="31" fillId="33" borderId="23" applyAlignment="1" pivotButton="0" quotePrefix="0" xfId="0">
      <alignment horizontal="center" vertical="center" textRotation="90" wrapText="1"/>
    </xf>
    <xf numFmtId="0" fontId="22" fillId="6" borderId="2" applyAlignment="1" pivotButton="0" quotePrefix="0" xfId="4">
      <alignment horizontal="left" vertical="center" wrapText="1"/>
    </xf>
    <xf numFmtId="0" fontId="22" fillId="6" borderId="3" applyAlignment="1" pivotButton="0" quotePrefix="0" xfId="4">
      <alignment horizontal="left" vertical="center" wrapText="1"/>
    </xf>
    <xf numFmtId="0" fontId="22" fillId="6" borderId="4" applyAlignment="1" pivotButton="0" quotePrefix="0" xfId="4">
      <alignment horizontal="left" vertical="center" wrapText="1"/>
    </xf>
    <xf numFmtId="0" fontId="0" fillId="5" borderId="2" applyAlignment="1" pivotButton="0" quotePrefix="0" xfId="0">
      <alignment horizontal="left" vertical="center" wrapText="1"/>
    </xf>
    <xf numFmtId="0" fontId="0" fillId="5" borderId="3" applyAlignment="1" pivotButton="0" quotePrefix="0" xfId="0">
      <alignment horizontal="left" vertical="center" wrapText="1"/>
    </xf>
    <xf numFmtId="0" fontId="0" fillId="5" borderId="4" applyAlignment="1" pivotButton="0" quotePrefix="0" xfId="0">
      <alignment horizontal="left" vertical="center" wrapText="1"/>
    </xf>
    <xf numFmtId="0" fontId="9" fillId="8" borderId="32" applyAlignment="1" pivotButton="0" quotePrefix="0" xfId="0">
      <alignment horizontal="center"/>
    </xf>
    <xf numFmtId="0" fontId="9" fillId="8" borderId="33" applyAlignment="1" pivotButton="0" quotePrefix="0" xfId="0">
      <alignment horizontal="center"/>
    </xf>
    <xf numFmtId="0" fontId="0" fillId="0" borderId="34" applyAlignment="1" pivotButton="0" quotePrefix="0" xfId="0">
      <alignment horizontal="center"/>
    </xf>
    <xf numFmtId="0" fontId="9" fillId="9" borderId="1" applyAlignment="1" pivotButton="0" quotePrefix="0" xfId="0">
      <alignment horizontal="center"/>
    </xf>
    <xf numFmtId="0" fontId="10" fillId="17" borderId="14" applyAlignment="1" pivotButton="0" quotePrefix="0" xfId="0">
      <alignment horizontal="center" vertical="center" wrapText="1"/>
    </xf>
    <xf numFmtId="0" fontId="10" fillId="17" borderId="0" applyAlignment="1" pivotButton="0" quotePrefix="0" xfId="0">
      <alignment horizontal="center" vertical="center"/>
    </xf>
    <xf numFmtId="0" fontId="34" fillId="17" borderId="19" applyAlignment="1" pivotButton="0" quotePrefix="0" xfId="0">
      <alignment horizontal="center" vertical="center" wrapText="1"/>
    </xf>
    <xf numFmtId="0" fontId="34" fillId="17" borderId="20" applyAlignment="1" pivotButton="0" quotePrefix="0" xfId="0">
      <alignment horizontal="center" vertical="center" wrapText="1"/>
    </xf>
    <xf numFmtId="0" fontId="9" fillId="11" borderId="2" applyAlignment="1" applyProtection="1" pivotButton="0" quotePrefix="0" xfId="0">
      <alignment horizontal="center"/>
      <protection locked="0" hidden="0"/>
    </xf>
    <xf numFmtId="0" fontId="9" fillId="11" borderId="3" applyAlignment="1" applyProtection="1" pivotButton="0" quotePrefix="0" xfId="0">
      <alignment horizontal="center"/>
      <protection locked="0" hidden="0"/>
    </xf>
    <xf numFmtId="0" fontId="9" fillId="11" borderId="4" applyAlignment="1" applyProtection="1" pivotButton="0" quotePrefix="0" xfId="0">
      <alignment horizontal="center"/>
      <protection locked="0" hidden="0"/>
    </xf>
    <xf numFmtId="0" fontId="1" fillId="2" borderId="1" applyAlignment="1" applyProtection="1" pivotButton="0" quotePrefix="0" xfId="0">
      <alignment horizontal="center" vertical="center" wrapText="1"/>
      <protection locked="0" hidden="0"/>
    </xf>
    <xf numFmtId="0" fontId="8" fillId="5" borderId="1" applyAlignment="1" applyProtection="1" pivotButton="0" quotePrefix="0" xfId="0">
      <alignment horizontal="center" vertical="center"/>
      <protection locked="0" hidden="0"/>
    </xf>
    <xf numFmtId="0" fontId="1" fillId="2" borderId="1" applyAlignment="1" applyProtection="1" pivotButton="0" quotePrefix="0" xfId="0">
      <alignment horizontal="center" vertical="center" wrapText="1" shrinkToFit="1"/>
      <protection locked="0" hidden="0"/>
    </xf>
    <xf numFmtId="0" fontId="0" fillId="0" borderId="1" applyAlignment="1" pivotButton="0" quotePrefix="0" xfId="0">
      <alignment horizontal="center" vertical="center" wrapText="1" shrinkToFit="1"/>
    </xf>
    <xf numFmtId="0" fontId="14" fillId="19" borderId="1" applyAlignment="1" pivotButton="0" quotePrefix="0" xfId="0">
      <alignment horizontal="center" vertical="center" wrapText="1"/>
    </xf>
    <xf numFmtId="0" fontId="33" fillId="34" borderId="1" applyAlignment="1" pivotButton="0" quotePrefix="0" xfId="0">
      <alignment horizontal="center" vertical="center" wrapText="1"/>
    </xf>
    <xf numFmtId="0" fontId="9" fillId="16" borderId="0" applyAlignment="1" pivotButton="0" quotePrefix="0" xfId="0">
      <alignment horizontal="center"/>
    </xf>
    <xf numFmtId="0" fontId="30" fillId="32" borderId="16" applyAlignment="1" pivotButton="0" quotePrefix="0" xfId="0">
      <alignment horizontal="center" vertical="center"/>
    </xf>
    <xf numFmtId="0" fontId="30" fillId="32" borderId="8" applyAlignment="1" pivotButton="0" quotePrefix="0" xfId="0">
      <alignment horizontal="center" vertical="center"/>
    </xf>
    <xf numFmtId="0" fontId="30" fillId="32" borderId="17" applyAlignment="1" pivotButton="0" quotePrefix="0" xfId="0">
      <alignment horizontal="center" vertical="center"/>
    </xf>
    <xf numFmtId="0" fontId="3" fillId="31" borderId="32" applyAlignment="1" pivotButton="0" quotePrefix="0" xfId="0">
      <alignment horizontal="center" vertical="center"/>
    </xf>
    <xf numFmtId="0" fontId="3" fillId="31" borderId="33" applyAlignment="1" pivotButton="0" quotePrefix="0" xfId="0">
      <alignment horizontal="center" vertical="center"/>
    </xf>
    <xf numFmtId="0" fontId="3" fillId="31" borderId="35" applyAlignment="1" pivotButton="0" quotePrefix="0" xfId="0">
      <alignment horizontal="center" vertical="center"/>
    </xf>
    <xf numFmtId="0" fontId="31" fillId="29" borderId="1" applyAlignment="1" pivotButton="0" quotePrefix="0" xfId="0">
      <alignment horizontal="center" vertical="center" textRotation="90" wrapText="1"/>
    </xf>
    <xf numFmtId="0" fontId="0" fillId="0" borderId="3" pivotButton="0" quotePrefix="0" xfId="0"/>
    <xf numFmtId="0" fontId="0" fillId="0" borderId="4" pivotButton="0" quotePrefix="0" xfId="0"/>
    <xf numFmtId="0" fontId="0" fillId="0" borderId="24" pivotButton="0" quotePrefix="0" xfId="0"/>
    <xf numFmtId="0" fontId="0" fillId="0" borderId="23" pivotButton="0" quotePrefix="0" xfId="0"/>
    <xf numFmtId="0" fontId="22" fillId="6" borderId="1" applyAlignment="1" pivotButton="0" quotePrefix="0" xfId="4">
      <alignment horizontal="left" vertical="center" wrapText="1"/>
    </xf>
    <xf numFmtId="0" fontId="9" fillId="8" borderId="25" applyAlignment="1" pivotButton="0" quotePrefix="0" xfId="0">
      <alignment horizontal="center"/>
    </xf>
    <xf numFmtId="0" fontId="0" fillId="0" borderId="33" pivotButton="0" quotePrefix="0" xfId="0"/>
    <xf numFmtId="0" fontId="0" fillId="0" borderId="34" pivotButton="0" quotePrefix="0" xfId="0"/>
    <xf numFmtId="165" fontId="0" fillId="0" borderId="0" pivotButton="0" quotePrefix="0" xfId="0"/>
    <xf numFmtId="165" fontId="1" fillId="7" borderId="8" applyAlignment="1" pivotButton="0" quotePrefix="0" xfId="0">
      <alignment horizontal="center" wrapText="1"/>
    </xf>
    <xf numFmtId="165" fontId="1" fillId="31" borderId="17" applyAlignment="1" pivotButton="0" quotePrefix="0" xfId="0">
      <alignment horizontal="center" wrapText="1"/>
    </xf>
    <xf numFmtId="164" fontId="1" fillId="31" borderId="2" applyAlignment="1" pivotButton="0" quotePrefix="0" xfId="3">
      <alignment horizontal="right" vertical="center"/>
    </xf>
    <xf numFmtId="164" fontId="1" fillId="31" borderId="5" applyAlignment="1" pivotButton="0" quotePrefix="0" xfId="3">
      <alignment horizontal="right" vertical="center"/>
    </xf>
    <xf numFmtId="164" fontId="1" fillId="31" borderId="15" applyAlignment="1" pivotButton="0" quotePrefix="0" xfId="3">
      <alignment horizontal="right" vertical="center"/>
    </xf>
    <xf numFmtId="0" fontId="0" fillId="0" borderId="20" pivotButton="0" quotePrefix="0" xfId="0"/>
    <xf numFmtId="165" fontId="1" fillId="7" borderId="8" applyAlignment="1" pivotButton="0" quotePrefix="0" xfId="0">
      <alignment horizontal="center" vertical="center" wrapText="1"/>
    </xf>
    <xf numFmtId="165" fontId="1" fillId="31" borderId="17" applyAlignment="1" pivotButton="0" quotePrefix="0" xfId="0">
      <alignment horizontal="center" vertical="center" wrapText="1"/>
    </xf>
    <xf numFmtId="166" fontId="11" fillId="5" borderId="1" applyAlignment="1" pivotButton="0" quotePrefix="0" xfId="3">
      <alignment horizontal="right"/>
    </xf>
    <xf numFmtId="166" fontId="1" fillId="31" borderId="2" applyAlignment="1" pivotButton="0" quotePrefix="0" xfId="3">
      <alignment horizontal="right"/>
    </xf>
    <xf numFmtId="166" fontId="1" fillId="31" borderId="5" applyAlignment="1" pivotButton="0" quotePrefix="0" xfId="3">
      <alignment horizontal="right" vertical="center"/>
    </xf>
    <xf numFmtId="166" fontId="1" fillId="31" borderId="15" applyAlignment="1" pivotButton="0" quotePrefix="0" xfId="3">
      <alignment horizontal="right" vertical="center"/>
    </xf>
    <xf numFmtId="166" fontId="11" fillId="27" borderId="1" applyAlignment="1" pivotButton="0" quotePrefix="0" xfId="3">
      <alignment horizontal="right"/>
    </xf>
    <xf numFmtId="0" fontId="9" fillId="11" borderId="1" applyAlignment="1" applyProtection="1" pivotButton="0" quotePrefix="0" xfId="0">
      <alignment horizontal="center"/>
      <protection locked="0" hidden="0"/>
    </xf>
    <xf numFmtId="0" fontId="0" fillId="0" borderId="3" applyProtection="1" pivotButton="0" quotePrefix="0" xfId="0">
      <protection locked="0" hidden="0"/>
    </xf>
    <xf numFmtId="0" fontId="0" fillId="0" borderId="4" applyProtection="1" pivotButton="0" quotePrefix="0" xfId="0">
      <protection locked="0" hidden="0"/>
    </xf>
    <xf numFmtId="164" fontId="0" fillId="14" borderId="1" applyProtection="1" pivotButton="0" quotePrefix="0" xfId="0">
      <protection locked="0" hidden="0"/>
    </xf>
    <xf numFmtId="164" fontId="1" fillId="14" borderId="1" applyAlignment="1" applyProtection="1" pivotButton="0" quotePrefix="0" xfId="0">
      <alignment horizontal="right"/>
      <protection locked="0" hidden="0"/>
    </xf>
    <xf numFmtId="168" fontId="1" fillId="2" borderId="1" applyAlignment="1" applyProtection="1" pivotButton="0" quotePrefix="0" xfId="0">
      <alignment horizontal="right"/>
      <protection locked="0" hidden="0"/>
    </xf>
    <xf numFmtId="168" fontId="1" fillId="4" borderId="1" applyAlignment="1" applyProtection="1" pivotButton="0" quotePrefix="0" xfId="0">
      <alignment horizontal="right"/>
      <protection locked="0" hidden="0"/>
    </xf>
    <xf numFmtId="164" fontId="6" fillId="10" borderId="1" applyProtection="1" pivotButton="0" quotePrefix="0" xfId="0">
      <protection locked="0" hidden="0"/>
    </xf>
    <xf numFmtId="168" fontId="0" fillId="14" borderId="1" applyProtection="1" pivotButton="0" quotePrefix="0" xfId="0">
      <protection locked="0" hidden="0"/>
    </xf>
    <xf numFmtId="168" fontId="1" fillId="14" borderId="1" applyAlignment="1" applyProtection="1" pivotButton="0" quotePrefix="0" xfId="0">
      <alignment horizontal="right"/>
      <protection locked="0" hidden="0"/>
    </xf>
    <xf numFmtId="168" fontId="16" fillId="36" borderId="1" applyAlignment="1" pivotButton="0" quotePrefix="0" xfId="0">
      <alignment vertical="center"/>
    </xf>
    <xf numFmtId="168" fontId="1" fillId="14" borderId="1" applyAlignment="1" applyProtection="1" pivotButton="0" quotePrefix="0" xfId="0">
      <alignment vertical="center"/>
      <protection locked="0" hidden="0"/>
    </xf>
    <xf numFmtId="164" fontId="1" fillId="14" borderId="1" applyAlignment="1" applyProtection="1" pivotButton="0" quotePrefix="0" xfId="0">
      <alignment vertical="center"/>
      <protection locked="0" hidden="0"/>
    </xf>
    <xf numFmtId="168" fontId="0" fillId="0" borderId="1" applyProtection="1" pivotButton="0" quotePrefix="0" xfId="0">
      <protection locked="0" hidden="0"/>
    </xf>
    <xf numFmtId="164" fontId="0" fillId="2" borderId="1" applyProtection="1" pivotButton="0" quotePrefix="0" xfId="0">
      <protection locked="0" hidden="0"/>
    </xf>
    <xf numFmtId="164" fontId="1" fillId="2" borderId="1" applyAlignment="1" applyProtection="1" pivotButton="0" quotePrefix="0" xfId="0">
      <alignment horizontal="right"/>
      <protection locked="0" hidden="0"/>
    </xf>
    <xf numFmtId="164" fontId="0" fillId="4" borderId="1" applyProtection="1" pivotButton="0" quotePrefix="0" xfId="0">
      <protection locked="0" hidden="0"/>
    </xf>
    <xf numFmtId="164" fontId="1" fillId="4" borderId="1" applyAlignment="1" applyProtection="1" pivotButton="0" quotePrefix="0" xfId="0">
      <alignment horizontal="right"/>
      <protection locked="0" hidden="0"/>
    </xf>
    <xf numFmtId="164" fontId="14" fillId="25" borderId="1" applyAlignment="1" pivotButton="0" quotePrefix="0" xfId="0">
      <alignment horizontal="right" vertical="center"/>
    </xf>
    <xf numFmtId="164" fontId="14" fillId="36" borderId="1" applyAlignment="1" pivotButton="0" quotePrefix="0" xfId="0">
      <alignment horizontal="right" vertical="center"/>
    </xf>
    <xf numFmtId="164" fontId="17" fillId="36" borderId="1" applyAlignment="1" pivotButton="0" quotePrefix="0" xfId="0">
      <alignment vertical="center"/>
    </xf>
    <xf numFmtId="168" fontId="16" fillId="28" borderId="1" applyAlignment="1" applyProtection="1" pivotButton="0" quotePrefix="0" xfId="0">
      <alignment vertical="center"/>
      <protection locked="0" hidden="0"/>
    </xf>
    <xf numFmtId="168" fontId="16" fillId="25" borderId="1" applyAlignment="1" pivotButton="0" quotePrefix="0" xfId="0">
      <alignment vertical="center"/>
    </xf>
    <xf numFmtId="166" fontId="25" fillId="25" borderId="1" applyAlignment="1" pivotButton="0" quotePrefix="0" xfId="0">
      <alignment horizontal="right" vertical="center"/>
    </xf>
    <xf numFmtId="166" fontId="14" fillId="25" borderId="1" applyAlignment="1" pivotButton="0" quotePrefix="0" xfId="0">
      <alignment horizontal="right" vertical="center"/>
    </xf>
    <xf numFmtId="166" fontId="25" fillId="21" borderId="1" applyAlignment="1" pivotButton="0" quotePrefix="0" xfId="0">
      <alignment horizontal="right" vertical="center"/>
    </xf>
    <xf numFmtId="166" fontId="14" fillId="22" borderId="1" applyAlignment="1" pivotButton="0" quotePrefix="0" xfId="0">
      <alignment horizontal="right" vertical="center"/>
    </xf>
    <xf numFmtId="166" fontId="17" fillId="18" borderId="1" applyAlignment="1" pivotButton="0" quotePrefix="0" xfId="0">
      <alignment vertical="center"/>
    </xf>
    <xf numFmtId="166" fontId="25" fillId="36" borderId="1" applyAlignment="1" pivotButton="0" quotePrefix="0" xfId="0">
      <alignment horizontal="right" vertical="center"/>
    </xf>
    <xf numFmtId="166" fontId="14" fillId="36" borderId="1" applyAlignment="1" pivotButton="0" quotePrefix="0" xfId="0">
      <alignment horizontal="right" vertical="center"/>
    </xf>
    <xf numFmtId="166" fontId="17" fillId="36" borderId="1" applyAlignment="1" pivotButton="0" quotePrefix="0" xfId="0">
      <alignment vertical="center"/>
    </xf>
    <xf numFmtId="168" fontId="16" fillId="36" borderId="1" applyAlignment="1" pivotButton="0" quotePrefix="0" xfId="0">
      <alignment horizontal="right" vertical="center"/>
    </xf>
    <xf numFmtId="166" fontId="17" fillId="36" borderId="1" applyAlignment="1" pivotButton="0" quotePrefix="0" xfId="0">
      <alignment horizontal="right" vertical="center"/>
    </xf>
    <xf numFmtId="168" fontId="14" fillId="25" borderId="1" applyAlignment="1" pivotButton="0" quotePrefix="0" xfId="0">
      <alignment vertical="center"/>
    </xf>
    <xf numFmtId="168" fontId="14" fillId="25" borderId="1" applyAlignment="1" pivotButton="0" quotePrefix="0" xfId="0">
      <alignment horizontal="right" vertical="center"/>
    </xf>
    <xf numFmtId="166" fontId="17" fillId="35" borderId="1" applyAlignment="1" pivotButton="0" quotePrefix="0" xfId="0">
      <alignment vertical="center"/>
    </xf>
    <xf numFmtId="168" fontId="16" fillId="0" borderId="1" applyAlignment="1" pivotButton="0" quotePrefix="0" xfId="0">
      <alignment vertical="center"/>
    </xf>
    <xf numFmtId="166" fontId="39" fillId="0" borderId="1" applyAlignment="1" pivotButton="0" quotePrefix="0" xfId="0">
      <alignment horizontal="right" vertical="center"/>
    </xf>
    <xf numFmtId="168" fontId="16" fillId="0" borderId="1" applyAlignment="1" pivotButton="0" quotePrefix="0" xfId="0">
      <alignment horizontal="right" vertical="center"/>
    </xf>
    <xf numFmtId="166" fontId="17" fillId="0" borderId="1" applyAlignment="1" pivotButton="0" quotePrefix="0" xfId="0">
      <alignment horizontal="right" vertical="center"/>
    </xf>
    <xf numFmtId="168" fontId="16" fillId="25" borderId="1" applyAlignment="1" pivotButton="0" quotePrefix="0" xfId="0">
      <alignment horizontal="right" vertical="center"/>
    </xf>
    <xf numFmtId="166" fontId="14" fillId="0" borderId="1" applyAlignment="1" pivotButton="0" quotePrefix="0" xfId="0">
      <alignment horizontal="right" vertical="center"/>
    </xf>
    <xf numFmtId="168" fontId="24" fillId="21" borderId="1" applyAlignment="1" pivotButton="0" quotePrefix="0" xfId="0">
      <alignment vertical="center"/>
    </xf>
    <xf numFmtId="168" fontId="16" fillId="22" borderId="1" applyAlignment="1" pivotButton="0" quotePrefix="0" xfId="0">
      <alignment vertical="center"/>
    </xf>
    <xf numFmtId="168" fontId="24" fillId="25" borderId="1" applyAlignment="1" pivotButton="0" quotePrefix="0" xfId="0">
      <alignment vertical="center"/>
    </xf>
    <xf numFmtId="168" fontId="24" fillId="36" borderId="1" applyAlignment="1" pivotButton="0" quotePrefix="0" xfId="0">
      <alignment vertical="center"/>
    </xf>
    <xf numFmtId="166" fontId="14" fillId="25" borderId="1" applyAlignment="1" pivotButton="0" quotePrefix="0" xfId="0">
      <alignment vertical="center"/>
    </xf>
    <xf numFmtId="168" fontId="39" fillId="0" borderId="1" pivotButton="0" quotePrefix="0" xfId="0"/>
    <xf numFmtId="165" fontId="0" fillId="3" borderId="1" pivotButton="0" quotePrefix="0" xfId="1"/>
    <xf numFmtId="165" fontId="0" fillId="3" borderId="12" pivotButton="0" quotePrefix="0" xfId="1"/>
    <xf numFmtId="0" fontId="0" fillId="0" borderId="41" pivotButton="0" quotePrefix="0" xfId="0"/>
    <xf numFmtId="0" fontId="0" fillId="0" borderId="42" pivotButton="0" quotePrefix="0" xfId="0"/>
    <xf numFmtId="167" fontId="0" fillId="0" borderId="1" applyAlignment="1" pivotButton="0" quotePrefix="0" xfId="0">
      <alignment horizontal="center" vertical="center"/>
    </xf>
    <xf numFmtId="0" fontId="3" fillId="31" borderId="29" applyAlignment="1" pivotButton="0" quotePrefix="0" xfId="0">
      <alignment horizontal="center" vertical="center"/>
    </xf>
    <xf numFmtId="0" fontId="0" fillId="0" borderId="35" pivotButton="0" quotePrefix="0" xfId="0"/>
    <xf numFmtId="167" fontId="1" fillId="31" borderId="30" applyAlignment="1" pivotButton="0" quotePrefix="0" xfId="0">
      <alignment horizontal="center" vertical="center"/>
    </xf>
    <xf numFmtId="167" fontId="0" fillId="0" borderId="24" applyAlignment="1" pivotButton="0" quotePrefix="0" xfId="0">
      <alignment horizontal="center" vertical="center"/>
    </xf>
    <xf numFmtId="169" fontId="0" fillId="0" borderId="0" pivotButton="0" quotePrefix="0" xfId="0"/>
  </cellXfs>
  <cellStyles count="8">
    <cellStyle name="Normal" xfId="0" builtinId="0"/>
    <cellStyle name="Currency" xfId="1" builtinId="4"/>
    <cellStyle name="Percent" xfId="2" builtinId="5"/>
    <cellStyle name="Comma" xfId="3" builtinId="3"/>
    <cellStyle name="Hyperlink" xfId="4" builtinId="8"/>
    <cellStyle name="Comma 2" xfId="5"/>
    <cellStyle name="Comma 3" xfId="6"/>
    <cellStyle name="Normal 4" xfId="7"/>
  </cellStyle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externalLink" Target="/xl/externalLinks/externalLink1.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externalLinks/_rels/externalLink1.xml.rels><Relationships xmlns="http://schemas.openxmlformats.org/package/2006/relationships"><Relationship Type="http://schemas.openxmlformats.org/officeDocument/2006/relationships/externalLinkPath" Target="https://sintef.sharepoint.com/D1-ITDvlpmt/MyTasks/C-dpt/Tpl_Detailed%20Budget%20Table%20(HE%20Lump%20Sum)%20230221b.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ChangeLog"/>
      <sheetName val="Instructions"/>
      <sheetName val="BE list"/>
      <sheetName val="WP list"/>
      <sheetName val="BE-WP Tmpl"/>
      <sheetName val="Lump sum breakdown"/>
      <sheetName val="Budget for proposal"/>
      <sheetName val="Budget for proposal tmpl"/>
      <sheetName val="Proposal BudgetIA Tmpl"/>
      <sheetName val="Proposal Budget (RIA-CSA)"/>
      <sheetName val="Proposal Budget (IA)"/>
      <sheetName val="Person-months overview tpl"/>
      <sheetName val="Person-months overview"/>
      <sheetName val="Summary per WP"/>
      <sheetName val="Summary per WP tmpl"/>
      <sheetName val="BE Template"/>
      <sheetName val="BE1"/>
      <sheetName val="Depreciation costs"/>
      <sheetName val="Any comments"/>
      <sheetName val="CountryList"/>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ec.europa.eu/info/funding-tenders/opportunities/portal/screen/programmes/horizon/lump-sum" TargetMode="External" Id="rId1" /><Relationship Type="http://schemas.openxmlformats.org/officeDocument/2006/relationships/hyperlink" Target="https://ec.europa.eu/info/funding-tenders/opportunities/docs/2021-2027/horizon/guidance/ls-funding-what-do-i-need-to-know_he_en.pdf" TargetMode="External" Id="rId2" /><Relationship Type="http://schemas.openxmlformats.org/officeDocument/2006/relationships/hyperlink" Target="https://ec.europa.eu/info/funding-tenders/opportunities/portal/screen/programmes/horizon/lump-sum/dashboard" TargetMode="External" Id="rId3" /><Relationship Type="http://schemas.openxmlformats.org/officeDocument/2006/relationships/hyperlink" Target="https://ec.europa.eu/info/funding-tenders/opportunities/docs/2021-2027/common/guidance/aga_en.pdf" TargetMode="External" Id="rId4" /><Relationship Type="http://schemas.openxmlformats.org/officeDocument/2006/relationships/hyperlink" Target="https://europa.eu/!KTYwkw" TargetMode="External" Id="rId5" /></Relationships>
</file>

<file path=xl/worksheets/_rels/sheet10.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General001">
    <tabColor theme="3" tint="0.7999816888943144"/>
    <outlinePr summaryBelow="1" summaryRight="1"/>
    <pageSetUpPr fitToPage="1"/>
  </sheetPr>
  <dimension ref="A1:F19"/>
  <sheetViews>
    <sheetView zoomScale="90" zoomScaleNormal="90" workbookViewId="0">
      <pane ySplit="8" topLeftCell="A9" activePane="bottomLeft" state="frozenSplit"/>
      <selection pane="bottomLeft" activeCell="B7" sqref="B7"/>
    </sheetView>
  </sheetViews>
  <sheetFormatPr baseColWidth="8" defaultColWidth="8.7109375" defaultRowHeight="14.45"/>
  <cols>
    <col width="7.28515625" customWidth="1" min="1" max="1"/>
    <col width="44.7109375" customWidth="1" min="2" max="2"/>
    <col width="59.7109375" customWidth="1" min="3" max="3"/>
    <col width="44.7109375" customWidth="1" min="4" max="4"/>
    <col width="40.5703125" bestFit="1" customWidth="1" min="5" max="5"/>
    <col width="36.85546875" customWidth="1" min="6" max="6"/>
  </cols>
  <sheetData>
    <row r="1" ht="15.6" customHeight="1">
      <c r="A1" s="79" t="n"/>
      <c r="B1" s="80" t="n"/>
      <c r="C1" s="79" t="n"/>
      <c r="D1" s="79" t="n"/>
    </row>
    <row r="2" ht="15.75" customHeight="1">
      <c r="A2" s="79" t="n"/>
      <c r="B2" s="80" t="inlineStr">
        <is>
          <t>Horizon Europe Programme</t>
        </is>
      </c>
      <c r="C2" s="79" t="n"/>
      <c r="D2" s="79" t="n"/>
    </row>
    <row r="3" ht="15" customHeight="1" thickBot="1">
      <c r="A3" s="79" t="n"/>
      <c r="B3" s="81" t="n"/>
      <c r="C3" s="79" t="n"/>
      <c r="D3" s="79" t="n"/>
    </row>
    <row r="4" ht="36" customHeight="1" thickBot="1">
      <c r="A4" s="79" t="n"/>
      <c r="B4" s="82" t="inlineStr">
        <is>
          <t>Detailed lump sum budget</t>
        </is>
      </c>
      <c r="C4" s="79" t="n"/>
      <c r="D4" s="62" t="inlineStr">
        <is>
          <t>Generate the Excel file in macro-free format 
Ready for the online submission system</t>
        </is>
      </c>
    </row>
    <row r="5" ht="22.9" customHeight="1">
      <c r="A5" s="79" t="n"/>
      <c r="B5" s="258" t="inlineStr">
        <is>
          <t>Version 3.3 (applicable to topics with opening date from 14 May 2025)</t>
        </is>
      </c>
      <c r="C5" s="79" t="n"/>
      <c r="D5" s="79" t="n"/>
    </row>
    <row r="6" ht="21.6" customHeight="1" thickBot="1">
      <c r="A6" s="276" t="inlineStr">
        <is>
          <t>Instructions</t>
        </is>
      </c>
    </row>
    <row r="7" ht="33" customHeight="1" thickBot="1">
      <c r="A7" s="276" t="n"/>
      <c r="B7" s="55" t="inlineStr">
        <is>
          <t>Go to Beneficiaries and Affiliated Entities list</t>
        </is>
      </c>
      <c r="C7" s="84" t="inlineStr">
        <is>
          <t>! Double click buttons !</t>
        </is>
      </c>
      <c r="D7" s="55" t="inlineStr">
        <is>
          <t>Go to Work packages list</t>
        </is>
      </c>
    </row>
    <row r="8" ht="12" customHeight="1"/>
    <row r="9" ht="180" customFormat="1" customHeight="1" s="85">
      <c r="A9" s="313" t="inlineStr">
        <is>
          <t>GENERAL INSTRUCTIONS</t>
        </is>
      </c>
      <c r="B9" s="279" t="inlineStr">
        <is>
          <t>This workbook enables you to present the detailed estimation of costs of your lump sum project and to calculate the lump sum breakdown per beneficiary and per work package. It must be uploaded as an additional document at the ‘Proposal forms’ step of proposal submission. This is mandatory. If you do not upload the Excel workbook, the proposal submission will be blocked.
You must not change the structure of this workbook (e.g., do not add, remove or modify rows, columns or tabs).
Comprehensive guidance and background on lump sum funding under Horizon Europe is available on the Funding &amp; Tenders Portal. To get started, we recommend to read the guide Lump sum funding – what do I need to know. This includes details on how to complete this Excel workbook. The weblinks are provided in column E.
We recommend using Excel 2013 (Windows) / Excel 2016 (Mac OS) or more recent.</t>
        </is>
      </c>
      <c r="C9" s="314" t="n"/>
      <c r="D9" s="315" t="n"/>
      <c r="E9" s="161" t="inlineStr">
        <is>
          <t xml:space="preserve">Lump sum funding under Horizon Europe
</t>
        </is>
      </c>
      <c r="F9" s="161" t="n"/>
    </row>
    <row r="10" ht="144" customFormat="1" customHeight="1" s="85">
      <c r="A10" s="316" t="n"/>
      <c r="B10" s="275" t="inlineStr">
        <is>
          <t>The only currency used in this workbook is EURO.
You must complete the following sheets: ‘BE list’ – ‘WP list’ – ‘BE’ (one sheet for each beneficiary) – ‘Depreciation costs’ (if any). The appropriate number of individual beneficiary sheets (‘BEx’) will be generated automatically with data from the ‘BE list’ and ‘WP list’ sheets.
The information in this workbook must correspond to the main proposal. For example, the list of beneficiaries and affiliated entities and the list of work packages must be the same. Likewise, the tables in section 3.1 of Part B of the proposal must be in line with the budget presented here (e.g., table 3.1h ‘purchase costs’, and table 3.1i ‘internally invoiced goods and services’).</t>
        </is>
      </c>
      <c r="C10" s="314" t="n"/>
      <c r="D10" s="315" t="n"/>
      <c r="E10" s="161" t="inlineStr">
        <is>
          <t>Lump sum funding - what do I need to know</t>
        </is>
      </c>
      <c r="F10" s="161" t="n"/>
    </row>
    <row r="11" ht="312" customFormat="1" customHeight="1" s="85">
      <c r="A11" s="67" t="inlineStr">
        <is>
          <t>BE LIST</t>
        </is>
      </c>
      <c r="B11" s="280" t="inlineStr">
        <is>
          <t>In the ‘BE list’, add the beneficiaries and affiliated entities. They must be the same as in the main proposal and listed in the same order. To add beneficiaries, click on the "Add BE" button. To add an affiliated entity, click on the “Add AE” button next to the beneficiary concerned.
The detailed lump sum budget table covers exclusively those participants that receive EU funding. Associated partners do not complete it.
For each beneficiary and each affiliated entity, you must select the country and the appropriate funding rate in the drop-down menus. The funding rates are used in the automatic calculation of the lump sum breakdown. For RIA and CSA topics, the funding rate is always 100%. For IA topics, the funding rate is 70% (exceptionally 60%), except for non-profit legal entities, where a rate of up to 100% applies. For more information on the funding rate, please refer to your topic description.
Once you have completed the ‘BE list’ sheet, click the “Apply changes” button. This generates one sheet for each beneficiary (e.g., BE1, BE2, BE3, etc.). Affiliated entities have no separate sheets, they are included in the beneficiary sheets.
To delete a beneficiary from the ‘BE list’, click the “Clear BE” button next to it. Likewise, to delete an affiliated entity, click the “Clear AE” button next to it. The first beneficiary BE1 (the coordinator) cannot be deleted, but its details can be modified. Click “Apply changes” to delete the corresponding sheets from the workbook. Deleted beneficiary sheets then appear as a backup and are excluded from the calculation. Data of deleted affiliated entities are not saved as a backup.
To finally remove the backup sheets for deleted beneficiaries, click the “Delete OLD_BEx” button. There should be no backup sheets in the file you submit.</t>
        </is>
      </c>
      <c r="C11" s="314" t="n"/>
      <c r="D11" s="315" t="n"/>
    </row>
    <row r="12" ht="99.75" customFormat="1" customHeight="1" s="85">
      <c r="A12" s="68" t="inlineStr">
        <is>
          <t>WP LIST</t>
        </is>
      </c>
      <c r="B12" s="275" t="inlineStr">
        <is>
          <t>In the ‘WP list’, add the work packages. They must correspond to the list of work packages in the main proposal (Table 3.1a) and be presented in the same order. To add work packages, click the "Add WP" button. Once you have completed the ‘WP list’ sheet, click the “Apply changes” button.
To delete a work package, click the “Clear WP” button next to it and then “Apply changes”. The first work package WP1 cannot be deleted, but its details can be modified. There is no back-up for deleted work packages.</t>
        </is>
      </c>
      <c r="C12" s="314" t="n"/>
      <c r="D12" s="315" t="n"/>
    </row>
    <row r="13" ht="409.5" customFormat="1" customHeight="1" s="85">
      <c r="A13" s="281" t="inlineStr">
        <is>
          <t>BEx</t>
        </is>
      </c>
      <c r="B13" s="280" t="inlineStr">
        <is>
          <t xml:space="preserve">You must complete one ‘BEx’ sheet per beneficiary. This sheet includes one section for each work package. Each work package section contains the full list of cost categories. Complete the information for each work package in which the beneficiary participates. 
If there is an affiliated entity to a given beneficiary, the sheet will include a second table for the cost estimations of the affiliated entity. Complete the information for each work package in which the affiliated entity participates.
For the cost categories used, you must enter the number of items and the cost per item in Euro (yellow cells). The total cost per cost category is calculated automatically. If a cost category is not used leave cells blank. 
Preferably use whole numbers for the costs per item (no Euro cents). The number of items can be a fraction (e.g., 0.5 items).
Lump sum proposals may contain only costs that are eligible under Horizon Europe (same eligibility rules as for actual cost grants).
Enter your personnel costs in section “A. DIRECT PERSONNEL COSTS”. For personnel costs, the number of items is the number of person-months (e.g., 10 items correspond to 10 person-months).
A senior scientist corresponds to career stages A and B in the Researcher Table in Part A of the proposal, or to an equivalent position in the private sector. A junior scientist corresponds to career stage C and D in the Researcher Table in Part A of the proposal, or to an equivalent position in the private sector.
A staff category can contain more than one employee (e.g., two junior scientists in the same organisation and working on the same work package). In this case, the cost per item is the average monthly personnel cost of all employees concerned, and the number of items is the combined number of person-months. No more detailed information is required in this sheet.
Experts use the Horizon dashboard for lump sum evaluations to help judging if personnel costs in the proposal are reasonable. Personnel costs that lie above the dashboard values can be accepted if they are justifed by the proposal. You can compare the personnel costs in your proposal with the values shown in the dashboard. If you have high personnel costs, please justify them in the 'Any comments" tab (e.g., high staff effort, need for senior staff, or high monthly rates).
In section “A.4 SME Owner and natural person beneficiaries”, the cost per item is prefilled in the workbook. When using this category, only enter the number of items.
</t>
        </is>
      </c>
      <c r="C13" s="314" t="n"/>
      <c r="D13" s="315" t="n"/>
      <c r="E13" s="255" t="inlineStr">
        <is>
          <t>Horizon Dashboard for lump sum evaluations</t>
        </is>
      </c>
    </row>
    <row r="14" ht="409.5" customFormat="1" customHeight="1" s="85">
      <c r="A14" s="317" t="n"/>
      <c r="B14" s="280" t="inlineStr">
        <is>
          <t>Enter your subcontracting costs in section “B. DIRECT SUBCONTRACTING COSTS”.
A beneficiary can have more than one subcontract associated to a work package. In this case, the cost per item is the average cost of all subcontracts, and the number of items is the number of subcontracts.
In section “C. DIRECT PURCHASE COSTS”, complete the categories “C.1 Travel and subsistence”, “C.2 Equipment”, and “C.3 Other goods, works and services”, if applicable.
A category can contain more than one item (e.g., several travels, or two pieces of equipment). In this case, the cost per item is the average cost of all items. No more detailed information is required in this sheet.
For category “C.2 Equipment” (equipment, infrastructure, other assets), use the sheet ‘Depreciation costs’ as a tool to calculate the depreciation costs to be charged for the whole duration of the project (see below).
Certain topics specify that the purchase of equipment, infrastructure and other assets may be declared as full capitalised costs. If this is the case for the topic you are applying to, enter the full capitalised costs in section “C.2 Equipment” (i.e., the full equipment costs). Likewise, if you have costs for renting or leasing equipment, enter them in section “C.2 Equipment”. There is no need to fill in the ‘Depreciation costs’ sheet in these cases, but you should leave a comment in the ‘Any comments’ sheet to clarify that full equipment costs or rental costs were included in the budget.
In section “D. OTHER DIRECT COSTS”, complete section “D.2 Internally invoiced goods and services”, if applicable.
All other cost categories in section D. can be used only if they are explicitly allowed in the specific conditions of the topic.
-	“D.1 Financial support to third parties”
-	“D.3 Transnational access to research infrastructure unit costs”
-	“D.4 Virtual access to research infrastructure unit costs”
-	“D.5 PCP/PPI procurement costs"
In section “E. INDIRECT COSTS”, the indirect costs will be calculated automatically.</t>
        </is>
      </c>
      <c r="C14" s="314" t="n"/>
      <c r="D14" s="315" t="n"/>
      <c r="E14" s="132" t="n"/>
    </row>
    <row r="15" ht="212.1" customFormat="1" customHeight="1" s="85">
      <c r="A15" s="69" t="inlineStr">
        <is>
          <t>DEPRECIATION COSTS</t>
        </is>
      </c>
      <c r="B15" s="318" t="inlineStr">
        <is>
          <t>To calculate the depreciation costs, you need to:
- Enter the price of the equipment in the column “Purchase costs”
- Enter the percentage of usage of the equipment for the project in the column “% used for the project”
- Complete the column “% of useful life of the equipment in the project”. To obtain the correct value, divide the period (in months) during which the equipment is used for the project by the depreciation period (in months) for the equipment. Multiply the result by 100%.
The resulting amount is NOT automatically transferred to the respective ‘BEx’ sheet. You must add it manually in category “C.2 Equipment” under the appropriate work package in the ‘BEx’ sheet of the beneficiary concerned. If you have several items in the ‘Depreciation costs’ sheet to be encoded in one row (same beneficiary, same work package, and same resource type), you must enter the average cost and the number of items.
More information on calculating depreciation costs is available in the Annotated Model Grant Agreement. The rules on actual depreciation costs apply equally to lump sum grants except that the calculation is based on estimations and the result is included in the lump sum budget at proposal stage.</t>
        </is>
      </c>
      <c r="C15" s="314" t="n"/>
      <c r="D15" s="315" t="n"/>
      <c r="E15" s="161" t="inlineStr">
        <is>
          <t>Annotated Model Grant Agreement</t>
        </is>
      </c>
    </row>
    <row r="16" ht="111.95" customFormat="1" customHeight="1" s="85">
      <c r="A16" s="67" t="inlineStr">
        <is>
          <t>ANY COMMENTS</t>
        </is>
      </c>
      <c r="B16" s="280" t="inlineStr">
        <is>
          <t>If needed, explain specific cost estimations or other aspects of the budget in the ‘Any comments’ sheet.
For example,
- justify high personnel costs
- clarify the nature of equipment costs (e.g., depreciation, or rental, or full equipment costs)
- explain any discrepancies between the lump sum calculated in this workbook and the requested amount in the Part A budget table (e.g., due to an operating grant, or the use of own resources). For more information, see section ‘Part A budget table’ below.</t>
        </is>
      </c>
      <c r="C16" s="314" t="n"/>
      <c r="D16" s="315" t="n"/>
    </row>
    <row r="17" ht="84" customFormat="1" customHeight="1" s="85">
      <c r="A17" s="70" t="inlineStr">
        <is>
          <t>SUMMARY TABLES</t>
        </is>
      </c>
      <c r="B17" s="318" t="inlineStr">
        <is>
          <t>The summary tables (‘Lump sum breakdown’, ‘Person-months overview’ and ‘Summary per WP’) are generated automatically. They are for your information and will be used during evaluation.</t>
        </is>
      </c>
      <c r="C17" s="314" t="n"/>
      <c r="D17" s="315" t="n"/>
    </row>
    <row r="18" ht="150" customFormat="1" customHeight="1" s="85">
      <c r="A18" s="67" t="inlineStr">
        <is>
          <t>SUBMISSION</t>
        </is>
      </c>
      <c r="B18" s="280" t="inlineStr">
        <is>
          <t>The format of this Excel workbook is .xlsm because it uses macros to generate sheets and make calculations automatically. 
Always save it as .xlsm.
However, this format cannot be uploaded to the submission system for security reasons.
Therefore, to submit the completed workbook, save a copy as an .xlsx or .xls document (and not as .xlsm) and upload it to the proposal submission tool at Step 5 of the submission process. 
Always keep a copy of the original .xlsm file.
To save the workbook as .xlsx document, use the action button in the sheet “Instructions”. Alternatively, click on “File” and then “Save as”; in the “Save as” dialog box, choose “.xlsx” or “.xls” from the “Save as type” dropdown list.</t>
        </is>
      </c>
      <c r="C18" s="314" t="n"/>
      <c r="D18" s="315" t="n"/>
    </row>
    <row r="19" ht="260.1" customFormat="1" customHeight="1" s="85">
      <c r="A19" s="70" t="inlineStr">
        <is>
          <t>PART A BUDGET TABLE</t>
        </is>
      </c>
      <c r="B19" s="318" t="inlineStr">
        <is>
          <t>After you completed this Excel workbook, you must also complete the table ‘Budget for the proposal’ in Part A of the proposal, entering the requested grant amount for each participant.
This workbook calculates the maximum grant amount. The ‘Lump sum breakdown’ sheet provides the maximum amount for the grant and, individually for each participant, in the column ‘Total’.
The requested grant amount that you enter for each participant in the Part A budget table is, in many cases, the same as the maximum grant amount calculated here. If this is the case, fill the Part A budget table using the total for each beneficiary and affiliated entity from the sheet ‘Lump sum breakdown’.
There are two cases when the amount requested for a given participant in the Part A budget table may be lower than the maximum amount calculated here.
(a) If the participant receives an operating grant, the indirect costs are not eligible for funding. They must be subtracted from the maximum amount.
(b) If the participant has own resources, financial contributions, or income generated by the action, the requested amount may need to be lower than the maximum to have a balanced budget (for details see the FAQ on own resources in lump sum proposals).</t>
        </is>
      </c>
      <c r="C19" s="314" t="n"/>
      <c r="D19" s="315" t="n"/>
      <c r="E19" s="161" t="inlineStr">
        <is>
          <t>FAQ on own resources 
in lump sum proposals</t>
        </is>
      </c>
    </row>
  </sheetData>
  <sheetProtection selectLockedCells="0" selectUnlockedCells="0" algorithmName="SHA-512" sheet="1" objects="1" insertRows="1" insertHyperlinks="1" autoFilter="1" scenarios="1" formatColumns="1" deleteColumns="1" insertColumns="1" pivotTables="1" deleteRows="1" formatCells="1" saltValue="DVbKzIqp6pLYd00oCShwVA==" formatRows="1" sort="1" spinCount="100000" hashValue="sXBm4xSVet9rAgSGqOSjeFas1wBjrvrordRPi+dE2w1aSFdPT1v0bQ00+O+CFJQ2Wf59k2toVu1kUnMml+qzNw=="/>
  <mergeCells count="14">
    <mergeCell ref="B10:D10"/>
    <mergeCell ref="B11:D11"/>
    <mergeCell ref="B19:D19"/>
    <mergeCell ref="B14:D14"/>
    <mergeCell ref="B15:D15"/>
    <mergeCell ref="A6:D6"/>
    <mergeCell ref="A9:A10"/>
    <mergeCell ref="A13:A14"/>
    <mergeCell ref="B17:D17"/>
    <mergeCell ref="B18:D18"/>
    <mergeCell ref="B13:D13"/>
    <mergeCell ref="B9:D9"/>
    <mergeCell ref="B12:D12"/>
    <mergeCell ref="B16:D16"/>
  </mergeCells>
  <hyperlinks>
    <hyperlink ref="D4" location="Instructions!D4" tooltip="Double click to save the file ready for the online submission system" display="Instructions!D4"/>
    <hyperlink ref="B7" location="Instructions!B7" tooltip="Double click to switch to Beneficiaries and Affiliated Entities list" display="Go to Beneficiaries and Affiliated Entities list"/>
    <hyperlink ref="D7" location="Instructions!D7" tooltip="Double click to switch to Work packages list" display="Go to Work packages list"/>
    <hyperlink xmlns:r="http://schemas.openxmlformats.org/officeDocument/2006/relationships" ref="E9" tooltip="Lump sum funding under Horizon Europe" display="Lump sum funding under Horizon Europe" r:id="rId1"/>
    <hyperlink xmlns:r="http://schemas.openxmlformats.org/officeDocument/2006/relationships" ref="E10" r:id="rId2"/>
    <hyperlink ref="A11" location="Instructions!A10" tooltip="Double click to switch to Beneficiaries and Affiliated Entities list" display="BE LIST"/>
    <hyperlink ref="A12" location="Instructions!A11" tooltip="Double click to switch to Work packages list" display="WP LIST"/>
    <hyperlink xmlns:r="http://schemas.openxmlformats.org/officeDocument/2006/relationships" ref="E13" r:id="rId3"/>
    <hyperlink ref="A15" location="Instructions!A18" tooltip="Double click to switch to Depreciation costs table" display="DEPRECIATION COSTS"/>
    <hyperlink xmlns:r="http://schemas.openxmlformats.org/officeDocument/2006/relationships" ref="E15" location="page=66" tooltip="Annotated Model Grant Agreement" r:id="rId4"/>
    <hyperlink ref="A16" location="Instructions!A19" tooltip="Double click to switch to Any comments table" display="ANY COMMENTS"/>
    <hyperlink ref="A17" location="Instructions!A20" tooltip="Double click to switch to Lump sum breakdown table" display="SUMMARY TABLES"/>
    <hyperlink ref="A18" location="Instructions!A20" tooltip="Double click to switch to Lump sum breakdown table" display="SUMMARY TABLES"/>
    <hyperlink xmlns:r="http://schemas.openxmlformats.org/officeDocument/2006/relationships" ref="E19" display="https://europa.eu/!KTYwkw" r:id="rId5"/>
  </hyperlinks>
  <pageMargins left="0.25" right="0.25" top="0.75" bottom="0.75" header="0.3" footer="0.3"/>
  <pageSetup orientation="portrait" paperSize="9" scale="71" fitToHeight="0"/>
</worksheet>
</file>

<file path=xl/worksheets/sheet2.xml><?xml version="1.0" encoding="utf-8"?>
<worksheet xmlns="http://schemas.openxmlformats.org/spreadsheetml/2006/main">
  <sheetPr codeName="Sheet101">
    <tabColor rgb="FFCCFF66"/>
    <outlinePr summaryBelow="1" summaryRight="1"/>
    <pageSetUpPr fitToPage="1"/>
  </sheetPr>
  <dimension ref="A2:L7"/>
  <sheetViews>
    <sheetView zoomScaleNormal="100" workbookViewId="0">
      <pane ySplit="3" topLeftCell="A4" activePane="bottomLeft" state="frozenSplit"/>
      <selection pane="bottomLeft" activeCell="A1" sqref="A1"/>
      <selection activeCell="B7" sqref="B7"/>
    </sheetView>
  </sheetViews>
  <sheetFormatPr baseColWidth="8" defaultColWidth="8.7109375" defaultRowHeight="14.45"/>
  <cols>
    <col width="9.7109375" customWidth="1" min="1" max="1"/>
    <col width="16.7109375" customWidth="1" min="2" max="2"/>
    <col width="40.7109375" customWidth="1" min="3" max="3"/>
    <col width="15.7109375" customWidth="1" min="4" max="4"/>
    <col width="22" customWidth="1" min="5" max="5"/>
    <col width="12.85546875" bestFit="1" customWidth="1" min="6" max="6"/>
    <col width="9.7109375" customWidth="1" style="243" min="7" max="7"/>
    <col width="18.7109375" customWidth="1" style="63" min="8" max="8"/>
    <col width="3.7109375" customWidth="1" min="9" max="9"/>
    <col width="20.7109375" customWidth="1" min="10" max="10"/>
    <col width="3.7109375" customWidth="1" min="11" max="11"/>
    <col width="18.7109375" customWidth="1" style="243" min="12" max="12"/>
    <col width="7.7109375" customWidth="1" min="13" max="15"/>
    <col width="11.42578125" customWidth="1" min="16" max="16"/>
  </cols>
  <sheetData>
    <row r="1" ht="3" customHeight="1" thickBot="1"/>
    <row r="2" ht="24" customHeight="1" thickBot="1">
      <c r="A2" s="319" t="inlineStr">
        <is>
          <t>List of beneficiaries (BE) and affiliated entities (AE)</t>
        </is>
      </c>
      <c r="B2" s="320" t="n"/>
      <c r="C2" s="320" t="n"/>
      <c r="D2" s="320" t="n"/>
      <c r="E2" s="320" t="n"/>
      <c r="F2" s="321" t="n"/>
      <c r="H2" s="55" t="inlineStr">
        <is>
          <t>Add BE</t>
        </is>
      </c>
      <c r="I2" s="172" t="n"/>
      <c r="J2" s="235" t="inlineStr">
        <is>
          <t>Delete OLD_BEx 
backup sheets</t>
        </is>
      </c>
      <c r="K2" s="173" t="n"/>
      <c r="L2" s="55" t="inlineStr">
        <is>
          <t>Apply changes</t>
        </is>
      </c>
    </row>
    <row r="3" ht="15" customHeight="1" thickBot="1">
      <c r="A3" s="103" t="inlineStr">
        <is>
          <t>BE/AE nr</t>
        </is>
      </c>
      <c r="B3" s="104" t="inlineStr">
        <is>
          <t>Role</t>
        </is>
      </c>
      <c r="C3" s="104" t="inlineStr">
        <is>
          <t>BE/AE name</t>
        </is>
      </c>
      <c r="D3" s="104" t="inlineStr">
        <is>
          <t>Acronym</t>
        </is>
      </c>
      <c r="E3" s="104" t="inlineStr">
        <is>
          <t>Country</t>
        </is>
      </c>
      <c r="F3" s="105" t="inlineStr">
        <is>
          <t>Funding rate</t>
        </is>
      </c>
      <c r="I3" s="63" t="n"/>
    </row>
    <row r="4" ht="16.5" customHeight="1" thickBot="1">
      <c r="A4" s="100" t="inlineStr">
        <is>
          <t>BE1</t>
        </is>
      </c>
      <c r="B4" s="106" t="inlineStr">
        <is>
          <t>Coordinator</t>
        </is>
      </c>
      <c r="C4" s="101" t="inlineStr">
        <is>
          <t>SINTEF AS</t>
        </is>
      </c>
      <c r="D4" s="101" t="inlineStr">
        <is>
          <t>SINTEF</t>
        </is>
      </c>
      <c r="E4" s="101" t="inlineStr">
        <is>
          <t>Norway (NO)</t>
        </is>
      </c>
      <c r="F4" s="102" t="n">
        <v>1</v>
      </c>
      <c r="I4" s="63" t="n"/>
      <c r="J4" s="264" t="inlineStr">
        <is>
          <t>Add AE to BE1</t>
        </is>
      </c>
      <c r="L4" s="244" t="inlineStr">
        <is>
          <t>00000001-0001-0001-0001-000000000001</t>
        </is>
      </c>
    </row>
    <row r="5" ht="16.5" customHeight="1" thickBot="1">
      <c r="A5" s="100" t="inlineStr">
        <is>
          <t>BE2</t>
        </is>
      </c>
      <c r="B5" s="106" t="inlineStr">
        <is>
          <t>Beneficiary</t>
        </is>
      </c>
      <c r="C5" s="101" t="inlineStr">
        <is>
          <t>Sunlit Sea AS</t>
        </is>
      </c>
      <c r="D5" s="101" t="inlineStr">
        <is>
          <t>SiS</t>
        </is>
      </c>
      <c r="E5" s="101" t="inlineStr">
        <is>
          <t>Norway (NO)</t>
        </is>
      </c>
      <c r="F5" s="102" t="n">
        <v>1</v>
      </c>
      <c r="H5" s="259" t="inlineStr">
        <is>
          <t>Clear BE2</t>
        </is>
      </c>
      <c r="I5" s="63" t="n"/>
      <c r="J5" s="264" t="inlineStr">
        <is>
          <t>Add AE to BE2</t>
        </is>
      </c>
      <c r="L5" s="244" t="inlineStr">
        <is>
          <t>31d41e36-11c8-417b-8afb-c410d4391898</t>
        </is>
      </c>
    </row>
    <row r="6" ht="16.5" customHeight="1" thickBot="1">
      <c r="A6" s="100" t="inlineStr">
        <is>
          <t>BE3</t>
        </is>
      </c>
      <c r="B6" s="106" t="inlineStr">
        <is>
          <t>Beneficiary</t>
        </is>
      </c>
      <c r="C6" s="101" t="inlineStr">
        <is>
          <t>Clement Gmbh</t>
        </is>
      </c>
      <c r="D6" s="101" t="inlineStr">
        <is>
          <t>Clement</t>
        </is>
      </c>
      <c r="E6" s="101" t="inlineStr">
        <is>
          <t>Germany (DE)</t>
        </is>
      </c>
      <c r="F6" s="102" t="n">
        <v>1</v>
      </c>
      <c r="H6" s="259" t="inlineStr">
        <is>
          <t>Clear BE3</t>
        </is>
      </c>
      <c r="I6" s="63" t="n"/>
      <c r="J6" s="264" t="inlineStr">
        <is>
          <t>Add AE to BE3</t>
        </is>
      </c>
      <c r="L6" s="244" t="inlineStr">
        <is>
          <t>7dc3a242-67b2-4358-905a-1652beedfa8a</t>
        </is>
      </c>
    </row>
    <row r="7" ht="16.5" customHeight="1" thickBot="1">
      <c r="A7" s="100" t="inlineStr">
        <is>
          <t>BE4</t>
        </is>
      </c>
      <c r="B7" s="106" t="inlineStr">
        <is>
          <t>Beneficiary</t>
        </is>
      </c>
      <c r="C7" s="101" t="inlineStr">
        <is>
          <t>EDP</t>
        </is>
      </c>
      <c r="D7" s="101" t="inlineStr">
        <is>
          <t>EDP</t>
        </is>
      </c>
      <c r="E7" s="101" t="inlineStr">
        <is>
          <t>Portugal (PT)</t>
        </is>
      </c>
      <c r="F7" s="102" t="n">
        <v>1</v>
      </c>
      <c r="H7" s="259" t="inlineStr">
        <is>
          <t>Clear BE4</t>
        </is>
      </c>
      <c r="I7" s="63" t="n"/>
      <c r="J7" s="264" t="inlineStr">
        <is>
          <t>Add AE to BE4</t>
        </is>
      </c>
      <c r="L7" s="244" t="inlineStr">
        <is>
          <t>8739748b-662d-46c1-9f51-2965498f6dfd</t>
        </is>
      </c>
    </row>
  </sheetData>
  <sheetProtection selectLockedCells="0" selectUnlockedCells="0" algorithmName="SHA-512" sheet="1" objects="1" insertRows="1" insertHyperlinks="1" autoFilter="1" scenarios="1" formatColumns="1" deleteColumns="1" insertColumns="1" pivotTables="1" deleteRows="1" formatCells="1" saltValue="XYRd0zgPLL9f6UCxKcC8WQ==" formatRows="1" sort="1" spinCount="100000" hashValue="3HiFw/35R0qAT35UwMRvSychNvqUWheNiNKBmd6NSpnyCzrzHslG3TRpzrim0w1hkwk2khrWxFUZdwH7IuwPaw=="/>
  <mergeCells count="1">
    <mergeCell ref="A2:F2"/>
  </mergeCells>
  <dataValidations count="1">
    <dataValidation sqref="F4:F7" showDropDown="0" showInputMessage="1" showErrorMessage="1" allowBlank="1" type="list">
      <formula1>"70%,100%"</formula1>
    </dataValidation>
  </dataValidations>
  <hyperlinks>
    <hyperlink ref="H2" location="'BE list'!H2" tooltip="Double click to add a Beneficiary" display="Add BE"/>
    <hyperlink ref="J2" location="'BE list'!J2" tooltip="Double click to delete backup budget sheets." display="'BE list'!J2"/>
    <hyperlink ref="L2" location="'BE list'!L2" tooltip="Double click to apply all changes" display="Apply changes"/>
    <hyperlink ref="J4" tooltip="Double click to add an Affiliated entity to the selected beneficiary"/>
    <hyperlink ref="H5" tooltip="Double click to clear the selected Beneficiary"/>
    <hyperlink ref="J5" tooltip="Double click to add an Affiliated entity to the selected beneficiary"/>
    <hyperlink ref="H6" tooltip="Double click to clear the selected Beneficiary"/>
    <hyperlink ref="J6" tooltip="Double click to add an Affiliated entity to the selected beneficiary"/>
    <hyperlink ref="H7" tooltip="Double click to clear the selected Beneficiary"/>
    <hyperlink ref="J7" tooltip="Double click to add an Affiliated entity to the selected beneficiary"/>
  </hyperlinks>
  <pageMargins left="0.5118110236220472" right="0.5118110236220472" top="0.5511811023622047" bottom="0.5511811023622047" header="0.3149606299212598" footer="0.3149606299212598"/>
  <pageSetup orientation="landscape" paperSize="9" scale="74" fitToHeight="3"/>
</worksheet>
</file>

<file path=xl/worksheets/sheet3.xml><?xml version="1.0" encoding="utf-8"?>
<worksheet xmlns="http://schemas.openxmlformats.org/spreadsheetml/2006/main">
  <sheetPr codeName="Sheet102">
    <tabColor rgb="FFCCFF66"/>
    <outlinePr summaryBelow="1" summaryRight="1"/>
    <pageSetUpPr/>
  </sheetPr>
  <dimension ref="A1:J9"/>
  <sheetViews>
    <sheetView workbookViewId="0">
      <pane ySplit="3" topLeftCell="A4" activePane="bottomLeft" state="frozenSplit"/>
      <selection pane="bottomLeft" activeCell="F2" sqref="F2"/>
      <selection activeCell="B7" sqref="B7"/>
    </sheetView>
  </sheetViews>
  <sheetFormatPr baseColWidth="8" defaultColWidth="8.7109375" defaultRowHeight="14.45"/>
  <cols>
    <col width="12.28515625" customWidth="1" min="1" max="1"/>
    <col width="40.7109375" customWidth="1" min="2" max="2"/>
    <col width="6" customWidth="1" min="3" max="3"/>
    <col width="12.7109375" customWidth="1" min="4" max="4"/>
    <col width="21.7109375" customWidth="1" min="5" max="5"/>
    <col width="18.7109375" customWidth="1" min="6" max="6"/>
  </cols>
  <sheetData>
    <row r="1" ht="3" customHeight="1" thickBot="1">
      <c r="A1" s="74" t="n"/>
      <c r="B1" s="1" t="n"/>
    </row>
    <row r="2" ht="24" customHeight="1" thickBot="1">
      <c r="A2" s="292" t="inlineStr">
        <is>
          <t>List of Work Packages</t>
        </is>
      </c>
      <c r="B2" s="315" t="n"/>
      <c r="D2" s="55" t="inlineStr">
        <is>
          <t>Add WP</t>
        </is>
      </c>
      <c r="E2" s="64" t="inlineStr">
        <is>
          <t>! Double click buttons !</t>
        </is>
      </c>
      <c r="F2" s="55" t="inlineStr">
        <is>
          <t>Apply changes</t>
        </is>
      </c>
      <c r="H2" s="45" t="n"/>
      <c r="J2" s="45" t="n"/>
    </row>
    <row r="3">
      <c r="A3" s="46" t="inlineStr">
        <is>
          <t>WP number</t>
        </is>
      </c>
      <c r="B3" s="47" t="inlineStr">
        <is>
          <t>WP name</t>
        </is>
      </c>
    </row>
    <row r="4" ht="15" customHeight="1" thickBot="1">
      <c r="A4" s="3" t="inlineStr">
        <is>
          <t>WP1</t>
        </is>
      </c>
      <c r="B4" s="5" t="inlineStr">
        <is>
          <t>Management, IP and Innovation Management</t>
        </is>
      </c>
    </row>
    <row r="5" ht="29.45" customHeight="1" thickBot="1">
      <c r="A5" s="3" t="inlineStr">
        <is>
          <t>WP2</t>
        </is>
      </c>
      <c r="B5" s="260" t="inlineStr">
        <is>
          <t>Site Characterisation and Demonstrator Engineering</t>
        </is>
      </c>
      <c r="E5" s="259" t="inlineStr">
        <is>
          <t>Clear WP2</t>
        </is>
      </c>
    </row>
    <row r="6" ht="15" customHeight="1" thickBot="1">
      <c r="A6" s="3" t="inlineStr">
        <is>
          <t>WP3</t>
        </is>
      </c>
      <c r="B6" s="260" t="inlineStr">
        <is>
          <t>Design Verification and Model Validation</t>
        </is>
      </c>
      <c r="E6" s="259" t="inlineStr">
        <is>
          <t>Clear WP3</t>
        </is>
      </c>
    </row>
    <row r="7" ht="29.45" customHeight="1" thickBot="1">
      <c r="A7" s="3" t="inlineStr">
        <is>
          <t>WP4</t>
        </is>
      </c>
      <c r="B7" s="261" t="inlineStr">
        <is>
          <t>Manufacturing, Instrumentation and Factory Acceptance</t>
        </is>
      </c>
      <c r="E7" s="259" t="inlineStr">
        <is>
          <t>Clear WP4</t>
        </is>
      </c>
    </row>
    <row r="8" ht="29.45" customHeight="1" thickBot="1">
      <c r="A8" s="3" t="inlineStr">
        <is>
          <t>WP5</t>
        </is>
      </c>
      <c r="B8" s="260" t="inlineStr">
        <is>
          <t>Deployment, Operation and Validation Campaign</t>
        </is>
      </c>
      <c r="E8" s="259" t="inlineStr">
        <is>
          <t>Clear WP5</t>
        </is>
      </c>
    </row>
    <row r="9" ht="29.45" customHeight="1" thickBot="1">
      <c r="A9" s="3" t="inlineStr">
        <is>
          <t>WP6</t>
        </is>
      </c>
      <c r="B9" s="266" t="inlineStr">
        <is>
          <t>Business Validation, Exploitation and Dissemination</t>
        </is>
      </c>
      <c r="E9" s="259" t="inlineStr">
        <is>
          <t>Clear WP6</t>
        </is>
      </c>
    </row>
  </sheetData>
  <sheetProtection selectLockedCells="0" selectUnlockedCells="0" algorithmName="SHA-512" sheet="1" objects="1" insertRows="1" insertHyperlinks="1" autoFilter="1" scenarios="1" formatColumns="1" deleteColumns="1" insertColumns="1" pivotTables="1" deleteRows="1" formatCells="1" saltValue="cU8c8JhewYKPe2ShkEaHfA==" formatRows="1" sort="1" spinCount="100000" hashValue="DNy5BbW7XtJ5m9bcP2YeTEq8/k5Qm99jn18flWl+3QBnTN/BO6U/mOHbSLb+00tiPR1ppQPBhMwc9dpmMan8Tg=="/>
  <mergeCells count="1">
    <mergeCell ref="A2:B2"/>
  </mergeCells>
  <hyperlinks>
    <hyperlink ref="D2" location="'WP list'!D2" tooltip="Double click to add a Work Package (WP)" display="Add WP"/>
    <hyperlink ref="F2" location="'WP list'!F2" tooltip="Double click to apply all changes" display="Apply changes"/>
    <hyperlink ref="E5" tooltip="Double click to clear the selected Work Package" display="Clear WP2"/>
    <hyperlink ref="E6" tooltip="Double click to clear the selected Work Package" display="Clear WP3"/>
    <hyperlink ref="E7" tooltip="Double click to clear the selected Work Package" display="Clear WP4"/>
    <hyperlink ref="E8" tooltip="Double click to clear the selected Work Package" display="Clear WP5"/>
    <hyperlink ref="E9" tooltip="Double click to clear the selected Work Package" display="Clear WP6"/>
  </hyperlinks>
  <pageMargins left="0.7" right="0.7" top="0.75" bottom="0.75" header="0.3" footer="0.3"/>
  <pageSetup orientation="landscape" paperSize="9"/>
</worksheet>
</file>

<file path=xl/worksheets/sheet4.xml><?xml version="1.0" encoding="utf-8"?>
<worksheet xmlns="http://schemas.openxmlformats.org/spreadsheetml/2006/main">
  <sheetPr codeName="Sheet103">
    <tabColor theme="4" tint="0.7999816888943144"/>
    <outlinePr summaryBelow="1" summaryRight="1"/>
    <pageSetUpPr fitToPage="1"/>
  </sheetPr>
  <dimension ref="A1:D5"/>
  <sheetViews>
    <sheetView zoomScale="80" zoomScaleNormal="80" workbookViewId="0">
      <selection activeCell="A1" sqref="A1:D1"/>
    </sheetView>
  </sheetViews>
  <sheetFormatPr baseColWidth="8" defaultColWidth="8.7109375" defaultRowHeight="14.45"/>
  <cols>
    <col width="44.7109375" customWidth="1" min="1" max="1"/>
    <col width="28.7109375" customWidth="1" style="322" min="2" max="2"/>
    <col width="21.85546875" customWidth="1" min="3" max="3"/>
    <col width="9.7109375" customWidth="1" min="4" max="4"/>
  </cols>
  <sheetData>
    <row r="1" ht="49.15" customHeight="1" thickBot="1">
      <c r="A1" s="293" t="inlineStr">
        <is>
          <t>ESTIMATED BREAKDOWN OF THE LUMP SUM</t>
        </is>
      </c>
    </row>
    <row r="2" ht="56.1" customHeight="1">
      <c r="A2" s="43" t="inlineStr">
        <is>
          <t>BENEFICIARIES \ WORK PACKAGES</t>
        </is>
      </c>
      <c r="B2" s="323" t="inlineStr">
        <is>
          <t>WPx name</t>
        </is>
      </c>
      <c r="C2" s="324" t="inlineStr">
        <is>
          <t>Total</t>
        </is>
      </c>
      <c r="D2" s="324" t="inlineStr">
        <is>
          <t>Pct %</t>
        </is>
      </c>
    </row>
    <row r="3">
      <c r="A3" s="44" t="inlineStr">
        <is>
          <t>BEx: BEx name</t>
        </is>
      </c>
      <c r="B3" s="98" t="n"/>
      <c r="C3" s="325" t="n"/>
      <c r="D3" s="144">
        <f>IF(C$4&gt;0,C3/C$4," ")</f>
        <v/>
      </c>
    </row>
    <row r="4">
      <c r="A4" s="71" t="inlineStr">
        <is>
          <t xml:space="preserve">Total: </t>
        </is>
      </c>
      <c r="B4" s="326" t="n"/>
      <c r="C4" s="327" t="n"/>
      <c r="D4" s="144">
        <f>IF(C$4&gt;0,C4/C$4," ")</f>
        <v/>
      </c>
    </row>
    <row r="5">
      <c r="A5" s="72" t="inlineStr">
        <is>
          <t xml:space="preserve">Percentage: </t>
        </is>
      </c>
      <c r="B5" s="144">
        <f>IF($C4&gt;0,B4/$C4," ")</f>
        <v/>
      </c>
      <c r="C5" s="144">
        <f>IF($C4&gt;0,C4/$C4," ")</f>
        <v/>
      </c>
      <c r="D5" s="61" t="n"/>
    </row>
  </sheetData>
  <sheetProtection selectLockedCells="0" selectUnlockedCells="0" algorithmName="SHA-512" sheet="1" objects="1" insertRows="1" insertHyperlinks="1" autoFilter="1" scenarios="1" formatColumns="1" deleteColumns="1" insertColumns="1" pivotTables="1" deleteRows="1" formatCells="1" saltValue="9QQrOHrR1M8Z9lemTbihnw==" formatRows="1" sort="1" spinCount="100000" hashValue="9KG9H3RLYbZPgoEP3NC0un0TzIMqvFfW1+DCq+u0NJyGfWI6nZVRNIuCrZMs4B/KXR5DOkOrkib0Y+X5b1mdcg=="/>
  <mergeCells count="1">
    <mergeCell ref="A1:D1"/>
  </mergeCells>
  <pageMargins left="0.7" right="0.7" top="0.75" bottom="0.75" header="0.3" footer="0.3"/>
  <pageSetup orientation="landscape" paperSize="32767" scale="99"/>
</worksheet>
</file>

<file path=xl/worksheets/sheet5.xml><?xml version="1.0" encoding="utf-8"?>
<worksheet xmlns="http://schemas.openxmlformats.org/spreadsheetml/2006/main">
  <sheetPr codeName="Sheet104">
    <tabColor theme="3" tint="0.7999816888943144"/>
    <outlinePr summaryBelow="1" summaryRight="1"/>
    <pageSetUpPr fitToPage="1"/>
  </sheetPr>
  <dimension ref="A1:I8"/>
  <sheetViews>
    <sheetView topLeftCell="G1" zoomScale="80" zoomScaleNormal="80" workbookViewId="0">
      <pane ySplit="2" topLeftCell="A3" activePane="bottomLeft" state="frozenSplit"/>
      <selection pane="bottomLeft" activeCell="A1" sqref="A1:I1"/>
      <selection activeCell="B7" sqref="B7"/>
    </sheetView>
  </sheetViews>
  <sheetFormatPr baseColWidth="8" defaultColWidth="8.7109375" defaultRowHeight="14.45"/>
  <cols>
    <col width="44.7109375" customWidth="1" min="1" max="1"/>
    <col width="28.7109375" customWidth="1" min="2" max="7"/>
    <col width="21.85546875" customWidth="1" min="8" max="8"/>
    <col width="9.7109375" customWidth="1" min="9" max="9"/>
    <col width="28.7109375" customWidth="1" min="10" max="12"/>
    <col width="21.85546875" customWidth="1" min="13" max="13"/>
    <col width="9.7109375" customWidth="1" min="14" max="14"/>
    <col width="28.7109375" customWidth="1" min="15" max="25"/>
    <col width="21.85546875" customWidth="1" min="26" max="26"/>
    <col width="9.7109375" customWidth="1" min="27" max="27"/>
    <col width="28.7109375" customWidth="1" min="28" max="38"/>
    <col width="21.85546875" customWidth="1" min="39" max="39"/>
    <col width="9.7109375" customWidth="1" min="40" max="40"/>
    <col width="28.7109375" customWidth="1" min="41" max="51"/>
    <col width="21.85546875" customWidth="1" min="52" max="52"/>
    <col width="9.7109375" customWidth="1" min="53" max="53"/>
    <col width="28.7109375" customWidth="1" min="54" max="64"/>
    <col width="21.85546875" customWidth="1" min="65" max="65"/>
    <col width="9.7109375" customWidth="1" min="66" max="66"/>
    <col width="28.7109375" customWidth="1" min="67" max="77"/>
    <col width="21.85546875" customWidth="1" min="78" max="78"/>
    <col width="9.7109375" customWidth="1" min="79" max="79"/>
    <col width="28.7109375" customWidth="1" min="80" max="90"/>
    <col width="21.85546875" customWidth="1" min="91" max="91"/>
    <col width="9.7109375" customWidth="1" min="92" max="92"/>
    <col width="28.7109375" customWidth="1" min="93" max="103"/>
    <col width="21.85546875" customWidth="1" min="104" max="104"/>
    <col width="9.7109375" customWidth="1" min="105" max="105"/>
    <col width="28.7109375" customWidth="1" min="106" max="116"/>
    <col width="21.85546875" customWidth="1" min="117" max="117"/>
    <col width="9.7109375" customWidth="1" min="118" max="118"/>
    <col width="28.7109375" customWidth="1" min="119" max="129"/>
    <col width="21.85546875" customWidth="1" min="130" max="130"/>
    <col width="9.7109375" customWidth="1" min="131" max="131"/>
    <col width="28.7109375" customWidth="1" min="132" max="142"/>
    <col width="21.85546875" customWidth="1" min="143" max="143"/>
    <col width="9.7109375" customWidth="1" min="144" max="144"/>
    <col width="28.7109375" customWidth="1" min="145" max="156"/>
    <col width="21.85546875" customWidth="1" min="157" max="157"/>
    <col width="9.7109375" customWidth="1" min="158" max="158"/>
    <col width="28.7109375" customWidth="1" min="159" max="170"/>
    <col width="21.85546875" customWidth="1" min="171" max="171"/>
    <col width="9.7109375" customWidth="1" min="172" max="172"/>
    <col width="28.7109375" customWidth="1" min="173" max="184"/>
    <col width="21.85546875" customWidth="1" min="185" max="185"/>
    <col width="9.7109375" customWidth="1" min="186" max="186"/>
    <col width="28.7109375" customWidth="1" min="187" max="198"/>
    <col width="21.85546875" customWidth="1" min="199" max="199"/>
    <col width="9.7109375" customWidth="1" min="200" max="200"/>
    <col width="28.7109375" customWidth="1" min="201" max="212"/>
    <col width="21.85546875" customWidth="1" min="213" max="213"/>
    <col width="9.7109375" customWidth="1" min="214" max="214"/>
    <col width="28.7109375" customWidth="1" min="215" max="226"/>
    <col width="21.85546875" customWidth="1" min="227" max="227"/>
    <col width="9.7109375" customWidth="1" min="228" max="228"/>
    <col width="28.7109375" customWidth="1" min="229" max="236"/>
    <col width="21.85546875" customWidth="1" min="237" max="237"/>
    <col width="9.7109375" customWidth="1" min="238" max="238"/>
    <col width="28.7109375" customWidth="1" min="239" max="244"/>
    <col width="21.85546875" customWidth="1" min="245" max="245"/>
    <col width="9.7109375" customWidth="1" min="246" max="246"/>
    <col width="28.7109375" customWidth="1" min="247" max="248"/>
    <col width="21.85546875" customWidth="1" min="249" max="249"/>
    <col width="9.7109375" customWidth="1" min="250" max="250"/>
    <col width="28.7109375" customWidth="1" min="251" max="252"/>
    <col width="21.85546875" customWidth="1" min="253" max="253"/>
    <col width="9.7109375" customWidth="1" min="254" max="255"/>
    <col width="28.7109375" customWidth="1" min="256" max="258"/>
    <col width="21.85546875" customWidth="1" min="259" max="259"/>
    <col width="9.7109375" customWidth="1" min="260" max="260"/>
    <col width="28.7109375" customWidth="1" min="261" max="263"/>
    <col width="21.85546875" customWidth="1" min="264" max="264"/>
    <col width="9.7109375" customWidth="1" min="265" max="265"/>
    <col width="28.7109375" customWidth="1" min="266" max="268"/>
    <col width="21.85546875" customWidth="1" min="269" max="269"/>
    <col width="9.7109375" customWidth="1" min="270" max="270"/>
    <col width="28.7109375" customWidth="1" min="271" max="273"/>
    <col width="21.85546875" customWidth="1" min="274" max="274"/>
    <col width="9.7109375" customWidth="1" min="275" max="275"/>
    <col width="28.7109375" customWidth="1" min="276" max="278"/>
    <col width="21.85546875" customWidth="1" min="279" max="279"/>
    <col width="9.7109375" customWidth="1" min="280" max="280"/>
    <col width="28.7109375" customWidth="1" min="281" max="283"/>
    <col width="21.85546875" customWidth="1" min="284" max="284"/>
    <col width="9.7109375" customWidth="1" min="285" max="285"/>
    <col width="28.7109375" customWidth="1" min="286" max="288"/>
    <col width="21.85546875" customWidth="1" min="289" max="289"/>
    <col width="9.7109375" customWidth="1" min="290" max="290"/>
    <col width="28.7109375" customWidth="1" min="291" max="293"/>
    <col width="21.85546875" customWidth="1" min="294" max="294"/>
    <col width="9.7109375" customWidth="1" min="295" max="295"/>
    <col width="28.7109375" customWidth="1" min="296" max="298"/>
    <col width="21.85546875" customWidth="1" min="299" max="299"/>
    <col width="9.7109375" customWidth="1" min="300" max="300"/>
    <col width="28.7109375" customWidth="1" min="301" max="303"/>
    <col width="21.85546875" customWidth="1" min="304" max="304"/>
    <col width="9.7109375" customWidth="1" min="305" max="305"/>
    <col width="28.7109375" customWidth="1" min="306" max="307"/>
    <col width="21.85546875" customWidth="1" min="308" max="308"/>
    <col width="9.7109375" customWidth="1" min="309" max="309"/>
    <col width="28.7109375" customWidth="1" min="310" max="311"/>
    <col width="21.85546875" customWidth="1" min="312" max="312"/>
    <col width="9.7109375" customWidth="1" min="313" max="313"/>
    <col width="28.7109375" customWidth="1" min="314" max="315"/>
    <col width="21.85546875" customWidth="1" min="316" max="316"/>
    <col width="9.7109375" customWidth="1" min="317" max="317"/>
    <col width="28.7109375" customWidth="1" min="318" max="320"/>
    <col width="21.85546875" customWidth="1" min="321" max="321"/>
    <col width="9.7109375" customWidth="1" min="322" max="322"/>
    <col width="28.7109375" customWidth="1" min="323" max="325"/>
    <col width="21.85546875" customWidth="1" min="326" max="326"/>
    <col width="9.7109375" customWidth="1" min="327" max="327"/>
    <col width="28.7109375" customWidth="1" min="328" max="330"/>
    <col width="21.85546875" customWidth="1" min="331" max="331"/>
    <col width="9.7109375" customWidth="1" min="332" max="332"/>
    <col width="28.7109375" customWidth="1" min="333" max="334"/>
    <col width="21.85546875" customWidth="1" min="335" max="335"/>
    <col width="9.7109375" customWidth="1" min="336" max="336"/>
    <col width="28.7109375" customWidth="1" min="337" max="338"/>
    <col width="21.85546875" customWidth="1" min="339" max="339"/>
    <col width="9.7109375" customWidth="1" min="340" max="340"/>
    <col width="28.7109375" customWidth="1" min="341" max="343"/>
    <col width="21.85546875" customWidth="1" min="344" max="344"/>
    <col width="9.7109375" customWidth="1" min="345" max="345"/>
    <col width="28.7109375" customWidth="1" min="346" max="348"/>
    <col width="21.85546875" customWidth="1" min="349" max="349"/>
    <col width="9.7109375" customWidth="1" min="350" max="350"/>
    <col width="28.7109375" customWidth="1" min="351" max="353"/>
    <col width="21.85546875" customWidth="1" min="354" max="354"/>
    <col width="9.7109375" customWidth="1" min="355" max="355"/>
    <col width="28.7109375" customWidth="1" min="356" max="357"/>
    <col width="21.85546875" customWidth="1" min="358" max="358"/>
    <col width="9.7109375" customWidth="1" min="359" max="359"/>
    <col width="28.7109375" customWidth="1" min="360" max="361"/>
    <col width="21.85546875" customWidth="1" min="362" max="362"/>
    <col width="9.7109375" customWidth="1" min="363" max="363"/>
    <col width="28.7109375" customWidth="1" min="364" max="365"/>
    <col width="21.85546875" customWidth="1" min="366" max="366"/>
    <col width="9.7109375" customWidth="1" min="367" max="367"/>
    <col width="28.7109375" customWidth="1" min="368" max="369"/>
    <col width="21.85546875" customWidth="1" min="370" max="370"/>
    <col width="9.7109375" customWidth="1" min="371" max="371"/>
    <col width="28.7109375" customWidth="1" min="372" max="376"/>
    <col width="21.85546875" customWidth="1" min="377" max="377"/>
    <col width="9.7109375" customWidth="1" min="378" max="378"/>
    <col width="28.7109375" customWidth="1" min="379" max="382"/>
    <col width="21.85546875" customWidth="1" min="383" max="383"/>
    <col width="9.7109375" customWidth="1" min="384" max="384"/>
    <col width="28.7109375" customWidth="1" min="385" max="387"/>
    <col width="21.85546875" customWidth="1" min="388" max="388"/>
    <col width="9.7109375" customWidth="1" min="389" max="389"/>
    <col width="28.7109375" customWidth="1" min="390" max="392"/>
    <col width="21.85546875" customWidth="1" min="393" max="393"/>
    <col width="9.7109375" customWidth="1" min="394" max="394"/>
    <col width="28.7109375" customWidth="1" min="395" max="395"/>
    <col width="21.85546875" customWidth="1" min="396" max="396"/>
    <col width="9.7109375" customWidth="1" min="397" max="397"/>
    <col width="28.7109375" customWidth="1" min="398" max="400"/>
    <col width="21.85546875" customWidth="1" min="401" max="401"/>
    <col width="9.7109375" customWidth="1" min="402" max="402"/>
    <col width="28.7109375" customWidth="1" min="403" max="404"/>
    <col width="21.85546875" customWidth="1" min="405" max="405"/>
    <col width="9.7109375" customWidth="1" min="406" max="406"/>
    <col width="28.7109375" customWidth="1" min="407" max="408"/>
    <col width="21.85546875" customWidth="1" min="409" max="409"/>
    <col width="9.7109375" customWidth="1" min="410" max="410"/>
    <col width="28.7109375" customWidth="1" min="411" max="412"/>
    <col width="21.85546875" customWidth="1" min="413" max="413"/>
    <col width="9.7109375" customWidth="1" min="414" max="414"/>
    <col width="28.7109375" customWidth="1" min="415" max="415"/>
    <col width="21.85546875" customWidth="1" min="416" max="416"/>
    <col width="9.7109375" customWidth="1" min="417" max="419"/>
    <col width="28.7109375" customWidth="1" min="420" max="420"/>
    <col width="21.85546875" customWidth="1" min="421" max="421"/>
    <col width="9.7109375" customWidth="1" min="422" max="423"/>
    <col width="28.7109375" customWidth="1" min="424" max="425"/>
    <col width="21.85546875" customWidth="1" min="426" max="426"/>
    <col width="9.7109375" customWidth="1" min="427" max="427"/>
    <col width="28.7109375" customWidth="1" min="428" max="428"/>
    <col width="21.85546875" customWidth="1" min="429" max="429"/>
    <col width="9.7109375" customWidth="1" min="430" max="430"/>
    <col width="28.7109375" customWidth="1" min="431" max="431"/>
    <col width="21.85546875" customWidth="1" min="432" max="432"/>
    <col width="9.7109375" customWidth="1" min="433" max="433"/>
    <col width="21.85546875" customWidth="1" min="434" max="434"/>
    <col width="9.7109375" customWidth="1" min="435" max="436"/>
    <col width="21.85546875" customWidth="1" min="437" max="437"/>
    <col width="9.7109375" customWidth="1" min="438" max="438"/>
    <col width="21.85546875" customWidth="1" min="439" max="439"/>
    <col width="9.7109375" customWidth="1" min="440" max="440"/>
    <col width="21.85546875" customWidth="1" min="441" max="441"/>
    <col width="9.7109375" customWidth="1" min="442" max="443"/>
    <col width="21.85546875" customWidth="1" min="444" max="444"/>
    <col width="9.7109375" customWidth="1" min="445" max="445"/>
    <col width="21.85546875" customWidth="1" min="446" max="446"/>
    <col width="9.7109375" customWidth="1" min="447" max="447"/>
    <col width="21.85546875" customWidth="1" min="448" max="448"/>
    <col width="9.7109375" customWidth="1" min="449" max="449"/>
    <col width="21.85546875" customWidth="1" min="450" max="450"/>
    <col width="9.7109375" customWidth="1" min="451" max="451"/>
    <col width="21.85546875" customWidth="1" min="452" max="452"/>
    <col width="9.7109375" customWidth="1" min="453" max="453"/>
    <col width="28.7109375" customWidth="1" min="454" max="454"/>
    <col width="21.85546875" customWidth="1" min="455" max="455"/>
    <col width="9.7109375" customWidth="1" min="456" max="456"/>
    <col width="28.7109375" customWidth="1" min="457" max="458"/>
    <col width="21.85546875" customWidth="1" min="459" max="459"/>
    <col width="9.7109375" customWidth="1" min="460" max="460"/>
    <col width="28.7109375" customWidth="1" min="461" max="462"/>
    <col width="21.85546875" customWidth="1" min="463" max="463"/>
    <col width="9.7109375" customWidth="1" min="464" max="464"/>
    <col width="28.7109375" customWidth="1" min="465" max="466"/>
    <col width="21.85546875" customWidth="1" min="467" max="467"/>
    <col width="9.7109375" customWidth="1" min="468" max="468"/>
    <col width="28.7109375" customWidth="1" min="469" max="470"/>
    <col width="21.85546875" customWidth="1" min="471" max="471"/>
    <col width="9.7109375" customWidth="1" min="472" max="472"/>
    <col width="28.7109375" customWidth="1" min="473" max="474"/>
    <col width="21.85546875" customWidth="1" min="475" max="475"/>
    <col width="9.7109375" customWidth="1" min="476" max="476"/>
    <col width="28.7109375" customWidth="1" min="477" max="478"/>
    <col width="21.85546875" customWidth="1" min="479" max="479"/>
    <col width="9.7109375" customWidth="1" min="480" max="480"/>
    <col width="28.7109375" customWidth="1" min="481" max="482"/>
    <col width="21.85546875" customWidth="1" min="483" max="483"/>
    <col width="9.7109375" customWidth="1" min="484" max="484"/>
    <col width="28.7109375" customWidth="1" min="485" max="486"/>
    <col width="21.85546875" customWidth="1" min="487" max="487"/>
    <col width="9.7109375" customWidth="1" min="488" max="488"/>
    <col width="28.7109375" customWidth="1" min="489" max="490"/>
    <col width="21.85546875" customWidth="1" min="491" max="491"/>
    <col width="9.7109375" customWidth="1" min="492" max="492"/>
    <col width="21.85546875" customWidth="1" min="493" max="493"/>
    <col width="9.7109375" customWidth="1" min="494" max="494"/>
    <col width="28.7109375" customWidth="1" min="495" max="495"/>
    <col width="21.85546875" customWidth="1" min="496" max="496"/>
    <col width="9.7109375" customWidth="1" min="497" max="497"/>
    <col width="28.7109375" customWidth="1" min="498" max="499"/>
    <col width="21.85546875" customWidth="1" min="500" max="500"/>
    <col width="9.7109375" customWidth="1" min="501" max="501"/>
    <col width="28.7109375" customWidth="1" min="502" max="503"/>
    <col width="21.85546875" customWidth="1" min="504" max="504"/>
    <col width="9.7109375" customWidth="1" min="505" max="505"/>
    <col width="28.7109375" customWidth="1" min="506" max="507"/>
    <col width="21.85546875" customWidth="1" min="508" max="508"/>
    <col width="9.7109375" customWidth="1" min="509" max="509"/>
    <col width="21.85546875" customWidth="1" min="510" max="510"/>
    <col width="9.7109375" customWidth="1" min="511" max="511"/>
    <col width="28.7109375" customWidth="1" min="512" max="513"/>
    <col width="21.85546875" customWidth="1" min="514" max="514"/>
    <col width="9.7109375" customWidth="1" min="515" max="515"/>
    <col width="28.7109375" customWidth="1" min="516" max="517"/>
    <col width="21.85546875" customWidth="1" min="518" max="518"/>
    <col width="9.7109375" customWidth="1" min="519" max="519"/>
    <col width="28.7109375" customWidth="1" min="520" max="521"/>
    <col width="21.85546875" customWidth="1" min="522" max="522"/>
    <col width="9.7109375" customWidth="1" min="523" max="523"/>
    <col width="28.7109375" customWidth="1" min="524" max="525"/>
    <col width="21.85546875" customWidth="1" min="526" max="526"/>
    <col width="9.7109375" customWidth="1" min="527" max="527"/>
    <col width="28.7109375" customWidth="1" min="528" max="529"/>
    <col width="21.85546875" customWidth="1" min="530" max="530"/>
    <col width="9.7109375" customWidth="1" min="531" max="531"/>
    <col width="28.7109375" customWidth="1" min="532" max="533"/>
    <col width="21.85546875" customWidth="1" min="534" max="534"/>
    <col width="9.7109375" customWidth="1" min="535" max="535"/>
    <col width="28.7109375" customWidth="1" min="536" max="537"/>
    <col width="21.85546875" customWidth="1" min="538" max="538"/>
    <col width="9.7109375" customWidth="1" min="539" max="539"/>
    <col width="28.7109375" customWidth="1" min="540" max="541"/>
    <col width="21.85546875" customWidth="1" min="542" max="542"/>
    <col width="9.7109375" customWidth="1" min="543" max="543"/>
    <col width="21.85546875" customWidth="1" min="544" max="544"/>
    <col width="9.7109375" customWidth="1" min="545" max="545"/>
    <col width="28.7109375" customWidth="1" min="546" max="547"/>
    <col width="21.85546875" customWidth="1" min="548" max="548"/>
    <col width="9.7109375" customWidth="1" min="549" max="549"/>
    <col width="28.7109375" customWidth="1" min="550" max="551"/>
    <col width="21.85546875" customWidth="1" min="552" max="552"/>
    <col width="9.7109375" customWidth="1" min="553" max="553"/>
    <col width="28.7109375" customWidth="1" min="554" max="555"/>
    <col width="21.85546875" customWidth="1" min="556" max="556"/>
    <col width="9.7109375" customWidth="1" min="557" max="557"/>
    <col width="21.85546875" customWidth="1" min="558" max="558"/>
    <col width="9.7109375" customWidth="1" min="559" max="559"/>
    <col width="28.7109375" customWidth="1" min="560" max="561"/>
    <col width="21.85546875" customWidth="1" min="562" max="562"/>
    <col width="9.7109375" customWidth="1" min="563" max="563"/>
    <col width="28.7109375" customWidth="1" min="564" max="565"/>
    <col width="21.85546875" customWidth="1" min="566" max="566"/>
    <col width="9.7109375" customWidth="1" min="567" max="567"/>
    <col width="21.85546875" customWidth="1" min="568" max="568"/>
    <col width="9.7109375" customWidth="1" min="569" max="569"/>
    <col width="28.7109375" customWidth="1" min="570" max="571"/>
    <col width="21.85546875" customWidth="1" min="572" max="572"/>
    <col width="9.7109375" customWidth="1" min="573" max="573"/>
    <col width="28.7109375" customWidth="1" min="574" max="575"/>
    <col width="21.85546875" customWidth="1" min="576" max="576"/>
    <col width="9.7109375" customWidth="1" min="577" max="577"/>
    <col width="28.7109375" customWidth="1" min="578" max="579"/>
    <col width="21.85546875" customWidth="1" min="580" max="580"/>
    <col width="9.7109375" customWidth="1" min="581" max="581"/>
    <col width="28.7109375" customWidth="1" min="582" max="583"/>
    <col width="21.85546875" customWidth="1" min="584" max="584"/>
    <col width="9.7109375" customWidth="1" min="585" max="585"/>
    <col width="28.7109375" customWidth="1" min="586" max="587"/>
    <col width="21.85546875" customWidth="1" min="588" max="588"/>
    <col width="9.7109375" customWidth="1" min="589" max="589"/>
    <col width="28.7109375" customWidth="1" min="590" max="591"/>
    <col width="21.85546875" customWidth="1" min="592" max="592"/>
    <col width="9.7109375" customWidth="1" min="593" max="593"/>
    <col width="28.7109375" customWidth="1" min="594" max="595"/>
    <col width="21.85546875" customWidth="1" min="596" max="596"/>
    <col width="9.7109375" customWidth="1" min="597" max="597"/>
    <col width="28.7109375" customWidth="1" min="598" max="599"/>
    <col width="21.85546875" customWidth="1" min="600" max="600"/>
    <col width="9.7109375" customWidth="1" min="601" max="601"/>
    <col width="28.7109375" customWidth="1" min="602" max="603"/>
    <col width="21.85546875" customWidth="1" min="604" max="604"/>
    <col width="9.7109375" customWidth="1" min="605" max="605"/>
    <col width="28.7109375" customWidth="1" min="606" max="607"/>
    <col width="21.85546875" customWidth="1" min="608" max="608"/>
    <col width="9.7109375" customWidth="1" min="609" max="610"/>
    <col width="21.85546875" customWidth="1" min="611" max="611"/>
    <col width="9.7109375" customWidth="1" min="612" max="612"/>
    <col width="28.7109375" customWidth="1" min="613" max="613"/>
    <col width="21.85546875" customWidth="1" min="614" max="614"/>
    <col width="9.7109375" customWidth="1" min="615" max="615"/>
    <col width="28.7109375" customWidth="1" min="616" max="616"/>
    <col width="21.85546875" customWidth="1" min="617" max="617"/>
    <col width="9.7109375" customWidth="1" min="618" max="618"/>
    <col width="28.7109375" customWidth="1" min="619" max="619"/>
    <col width="21.85546875" customWidth="1" min="620" max="620"/>
    <col width="9.7109375" customWidth="1" min="621" max="621"/>
    <col width="28.7109375" customWidth="1" min="622" max="622"/>
    <col width="21.85546875" customWidth="1" min="623" max="623"/>
    <col width="9.7109375" customWidth="1" min="624" max="624"/>
    <col width="28.7109375" customWidth="1" min="625" max="625"/>
    <col width="21.85546875" customWidth="1" min="626" max="626"/>
    <col width="9.7109375" customWidth="1" min="627" max="627"/>
    <col width="28.7109375" customWidth="1" min="628" max="628"/>
    <col width="21.85546875" customWidth="1" min="629" max="629"/>
    <col width="9.7109375" customWidth="1" min="630" max="630"/>
    <col width="28.7109375" customWidth="1" min="631" max="631"/>
    <col width="21.85546875" customWidth="1" min="632" max="632"/>
    <col width="9.7109375" customWidth="1" min="633" max="633"/>
    <col width="28.7109375" customWidth="1" min="634" max="634"/>
    <col width="21.85546875" customWidth="1" min="635" max="635"/>
    <col width="9.7109375" customWidth="1" min="636" max="636"/>
    <col width="28.7109375" customWidth="1" min="637" max="637"/>
    <col width="21.85546875" customWidth="1" min="638" max="638"/>
    <col width="9.7109375" customWidth="1" min="639" max="639"/>
    <col width="28.7109375" customWidth="1" min="640" max="640"/>
    <col width="21.85546875" customWidth="1" min="641" max="641"/>
    <col width="9.7109375" customWidth="1" min="642" max="642"/>
    <col width="28.7109375" customWidth="1" min="643" max="643"/>
    <col width="21.85546875" customWidth="1" min="644" max="644"/>
    <col width="9.7109375" customWidth="1" min="645" max="645"/>
    <col width="28.7109375" customWidth="1" min="646" max="646"/>
    <col width="21.85546875" customWidth="1" min="647" max="647"/>
    <col width="9.7109375" customWidth="1" min="648" max="648"/>
    <col width="28.7109375" customWidth="1" min="649" max="649"/>
    <col width="21.85546875" customWidth="1" min="650" max="650"/>
    <col width="9.7109375" customWidth="1" min="651" max="651"/>
    <col width="28.7109375" customWidth="1" min="652" max="652"/>
    <col width="21.85546875" customWidth="1" min="653" max="653"/>
    <col width="9.7109375" customWidth="1" min="654" max="654"/>
    <col width="28.7109375" customWidth="1" min="655" max="655"/>
    <col width="21.85546875" customWidth="1" min="656" max="656"/>
    <col width="9.7109375" customWidth="1" min="657" max="657"/>
    <col width="28.7109375" customWidth="1" min="658" max="658"/>
    <col width="21.85546875" customWidth="1" min="659" max="659"/>
    <col width="9.7109375" customWidth="1" min="660" max="660"/>
    <col width="28.7109375" customWidth="1" min="661" max="661"/>
    <col width="21.85546875" customWidth="1" min="662" max="662"/>
    <col width="9.7109375" customWidth="1" min="663" max="663"/>
    <col width="28.7109375" customWidth="1" min="664" max="664"/>
    <col width="21.85546875" customWidth="1" min="665" max="665"/>
    <col width="9.7109375" customWidth="1" min="666" max="666"/>
    <col width="28.7109375" customWidth="1" min="667" max="667"/>
    <col width="21.85546875" customWidth="1" min="668" max="668"/>
    <col width="9.7109375" customWidth="1" min="669" max="669"/>
    <col width="28.7109375" customWidth="1" min="670" max="670"/>
    <col width="21.85546875" customWidth="1" min="671" max="671"/>
    <col width="9.7109375" customWidth="1" min="672" max="672"/>
    <col width="28.7109375" customWidth="1" min="673" max="673"/>
    <col width="21.85546875" customWidth="1" min="674" max="674"/>
    <col width="9.7109375" customWidth="1" min="675" max="675"/>
    <col width="28.7109375" customWidth="1" min="676" max="676"/>
    <col width="21.85546875" customWidth="1" min="677" max="677"/>
    <col width="9.7109375" customWidth="1" min="678" max="678"/>
    <col width="28.7109375" customWidth="1" min="679" max="679"/>
    <col width="21.85546875" customWidth="1" min="680" max="680"/>
    <col width="9.7109375" customWidth="1" min="681" max="681"/>
    <col width="28.7109375" customWidth="1" min="682" max="682"/>
    <col width="21.85546875" customWidth="1" min="683" max="683"/>
    <col width="9.7109375" customWidth="1" min="684" max="684"/>
    <col width="28.7109375" customWidth="1" min="685" max="685"/>
    <col width="21.85546875" customWidth="1" min="686" max="686"/>
    <col width="9.7109375" customWidth="1" min="687" max="687"/>
    <col width="28.7109375" customWidth="1" min="688" max="688"/>
    <col width="21.85546875" customWidth="1" min="689" max="689"/>
    <col width="9.7109375" customWidth="1" min="690" max="690"/>
    <col width="28.7109375" customWidth="1" min="691" max="691"/>
    <col width="21.85546875" customWidth="1" min="692" max="692"/>
    <col width="9.7109375" customWidth="1" min="693" max="693"/>
    <col width="28.7109375" customWidth="1" min="694" max="694"/>
    <col width="21.85546875" customWidth="1" min="695" max="695"/>
    <col width="9.7109375" customWidth="1" min="696" max="696"/>
    <col width="28.7109375" customWidth="1" min="697" max="697"/>
    <col width="21.85546875" customWidth="1" min="698" max="698"/>
    <col width="9.7109375" customWidth="1" min="699" max="699"/>
    <col width="28.7109375" customWidth="1" min="700" max="700"/>
    <col width="21.85546875" customWidth="1" min="701" max="701"/>
    <col width="9.7109375" customWidth="1" min="702" max="702"/>
    <col width="28.7109375" customWidth="1" min="703" max="703"/>
    <col width="21.85546875" customWidth="1" min="704" max="704"/>
    <col width="9.7109375" customWidth="1" min="705" max="705"/>
    <col width="28.7109375" customWidth="1" min="706" max="706"/>
    <col width="21.85546875" customWidth="1" min="707" max="707"/>
    <col width="9.7109375" customWidth="1" min="708" max="708"/>
    <col width="28.7109375" customWidth="1" min="709" max="709"/>
    <col width="21.85546875" customWidth="1" min="710" max="710"/>
    <col width="9.7109375" customWidth="1" min="711" max="711"/>
    <col width="28.7109375" customWidth="1" min="712" max="712"/>
    <col width="21.85546875" customWidth="1" min="713" max="713"/>
    <col width="9.7109375" customWidth="1" min="714" max="714"/>
    <col width="28.7109375" customWidth="1" min="715" max="716"/>
    <col width="21.85546875" customWidth="1" min="717" max="717"/>
    <col width="9.7109375" customWidth="1" min="718" max="718"/>
    <col width="28.7109375" customWidth="1" min="719" max="719"/>
    <col width="21.85546875" customWidth="1" min="720" max="720"/>
    <col width="9.7109375" customWidth="1" min="721" max="721"/>
    <col width="28.7109375" customWidth="1" min="722" max="722"/>
    <col width="21.85546875" customWidth="1" min="723" max="723"/>
    <col width="9.7109375" customWidth="1" min="724" max="724"/>
    <col width="28.7109375" customWidth="1" min="725" max="725"/>
    <col width="21.85546875" customWidth="1" min="726" max="726"/>
    <col width="9.7109375" customWidth="1" min="727" max="727"/>
    <col width="28.7109375" customWidth="1" min="728" max="728"/>
    <col width="21.85546875" customWidth="1" min="729" max="729"/>
    <col width="9.7109375" customWidth="1" min="730" max="730"/>
    <col width="28.7109375" customWidth="1" min="731" max="731"/>
    <col width="21.85546875" customWidth="1" min="732" max="732"/>
    <col width="9.7109375" customWidth="1" min="733" max="733"/>
    <col width="28.7109375" customWidth="1" min="734" max="734"/>
    <col width="21.85546875" customWidth="1" min="735" max="735"/>
    <col width="9.7109375" customWidth="1" min="736" max="736"/>
    <col width="28.7109375" customWidth="1" min="737" max="738"/>
    <col width="21.85546875" customWidth="1" min="739" max="739"/>
    <col width="9.7109375" customWidth="1" min="740" max="740"/>
    <col width="28.7109375" customWidth="1" min="741" max="742"/>
    <col width="21.85546875" customWidth="1" min="743" max="743"/>
    <col width="9.7109375" customWidth="1" min="744" max="744"/>
    <col width="28.7109375" customWidth="1" min="745" max="745"/>
    <col width="21.85546875" customWidth="1" min="746" max="746"/>
    <col width="9.7109375" customWidth="1" min="747" max="747"/>
    <col width="28.7109375" customWidth="1" min="748" max="748"/>
    <col width="21.85546875" customWidth="1" min="749" max="749"/>
    <col width="9.7109375" customWidth="1" min="750" max="750"/>
    <col width="28.7109375" customWidth="1" min="751" max="751"/>
    <col width="21.85546875" customWidth="1" min="752" max="752"/>
    <col width="9.7109375" customWidth="1" min="753" max="753"/>
    <col width="28.7109375" customWidth="1" min="754" max="754"/>
    <col width="21.85546875" customWidth="1" min="755" max="755"/>
    <col width="9.7109375" customWidth="1" min="756" max="756"/>
    <col width="28.7109375" customWidth="1" min="757" max="757"/>
    <col width="21.85546875" customWidth="1" min="758" max="758"/>
    <col width="9.7109375" customWidth="1" min="759" max="759"/>
    <col width="28.7109375" customWidth="1" min="760" max="760"/>
    <col width="21.85546875" customWidth="1" min="761" max="761"/>
    <col width="9.7109375" customWidth="1" min="762" max="762"/>
    <col width="28.7109375" customWidth="1" min="763" max="763"/>
    <col width="21.85546875" customWidth="1" min="764" max="764"/>
    <col width="9.7109375" customWidth="1" min="765" max="765"/>
    <col width="28.7109375" customWidth="1" min="766" max="766"/>
    <col width="21.85546875" customWidth="1" min="767" max="767"/>
    <col width="9.7109375" customWidth="1" min="768" max="815"/>
    <col width="21.85546875" customWidth="1" min="816" max="816"/>
    <col width="9.7109375" customWidth="1" min="817" max="818"/>
    <col width="21.85546875" customWidth="1" min="819" max="819"/>
    <col width="9.7109375" customWidth="1" min="820" max="829"/>
    <col width="21.85546875" customWidth="1" min="830" max="830"/>
    <col width="9.7109375" customWidth="1" min="831" max="845"/>
    <col width="21.85546875" customWidth="1" min="846" max="846"/>
    <col width="9.7109375" customWidth="1" min="847" max="847"/>
    <col width="21.85546875" customWidth="1" min="848" max="848"/>
    <col width="9.7109375" customWidth="1" min="849" max="849"/>
    <col width="21.85546875" customWidth="1" min="850" max="850"/>
    <col width="9.7109375" customWidth="1" min="851" max="851"/>
    <col width="21.85546875" customWidth="1" min="852" max="852"/>
    <col width="9.7109375" customWidth="1" min="853" max="853"/>
    <col width="21.85546875" customWidth="1" min="854" max="854"/>
    <col width="9.7109375" customWidth="1" min="855" max="855"/>
    <col width="21.85546875" customWidth="1" min="856" max="856"/>
    <col width="9.7109375" customWidth="1" min="857" max="857"/>
    <col width="21.85546875" customWidth="1" min="858" max="858"/>
    <col width="9.7109375" customWidth="1" min="859" max="859"/>
    <col width="21.85546875" customWidth="1" min="860" max="860"/>
    <col width="9.7109375" customWidth="1" min="861" max="861"/>
    <col width="21.85546875" customWidth="1" min="862" max="862"/>
    <col width="9.7109375" customWidth="1" min="863" max="863"/>
    <col width="21.85546875" customWidth="1" min="864" max="864"/>
    <col width="9.7109375" customWidth="1" min="865" max="865"/>
    <col width="21.85546875" customWidth="1" min="866" max="866"/>
    <col width="9.7109375" customWidth="1" min="867" max="867"/>
    <col width="7.140625" bestFit="1" customWidth="1" min="868" max="868"/>
    <col width="9.7109375" customWidth="1" min="869" max="869"/>
    <col width="12.7109375" customWidth="1" min="870" max="870"/>
    <col width="9.7109375" customWidth="1" min="871" max="871"/>
    <col width="12.7109375" customWidth="1" min="872" max="872"/>
    <col width="9.7109375" customWidth="1" min="873" max="873"/>
    <col width="12.7109375" customWidth="1" min="874" max="874"/>
    <col width="9.7109375" customWidth="1" min="875" max="875"/>
    <col width="12.7109375" customWidth="1" min="876" max="876"/>
    <col width="9.7109375" customWidth="1" min="877" max="877"/>
    <col width="12.7109375" customWidth="1" min="878" max="878"/>
    <col width="9.7109375" customWidth="1" min="879" max="879"/>
    <col width="12.7109375" customWidth="1" min="880" max="880"/>
    <col width="9.7109375" customWidth="1" min="881" max="881"/>
    <col width="12.7109375" customWidth="1" min="882" max="882"/>
    <col width="9.7109375" customWidth="1" min="883" max="883"/>
    <col width="12.7109375" customWidth="1" min="884" max="884"/>
    <col width="9.7109375" customWidth="1" min="885" max="885"/>
    <col width="12.7109375" customWidth="1" min="886" max="886"/>
    <col width="9.7109375" customWidth="1" min="887" max="887"/>
    <col width="12.7109375" customWidth="1" min="888" max="888"/>
    <col width="9.7109375" customWidth="1" min="889" max="889"/>
    <col width="12.7109375" customWidth="1" min="890" max="890"/>
    <col width="9.7109375" customWidth="1" min="891" max="891"/>
    <col width="12.7109375" customWidth="1" min="892" max="892"/>
    <col width="9.7109375" customWidth="1" min="893" max="893"/>
    <col width="12.7109375" customWidth="1" min="894" max="894"/>
    <col width="9.7109375" customWidth="1" min="895" max="899"/>
    <col width="12.7109375" customWidth="1" min="900" max="900"/>
    <col width="9.7109375" customWidth="1" min="901" max="903"/>
    <col width="12.7109375" customWidth="1" min="904" max="904"/>
    <col width="9.7109375" customWidth="1" min="905" max="905"/>
    <col width="12.7109375" customWidth="1" min="906" max="906"/>
    <col width="9.7109375" customWidth="1" min="907" max="907"/>
    <col width="28.7109375" customWidth="1" min="908" max="908"/>
    <col width="12.7109375" customWidth="1" min="909" max="909"/>
    <col width="9.7109375" customWidth="1" min="910" max="911"/>
    <col width="12.7109375" customWidth="1" min="912" max="912"/>
    <col width="9.7109375" customWidth="1" min="913" max="914"/>
    <col width="12.7109375" customWidth="1" min="915" max="915"/>
    <col width="9.7109375" customWidth="1" min="916" max="920"/>
    <col width="12.7109375" customWidth="1" min="921" max="921"/>
    <col width="9.7109375" customWidth="1" min="922" max="922"/>
    <col width="12.7109375" customWidth="1" min="923" max="923"/>
    <col width="9.7109375" customWidth="1" min="924" max="924"/>
    <col width="12.7109375" customWidth="1" min="925" max="925"/>
    <col width="9.7109375" customWidth="1" min="926" max="927"/>
    <col width="12.7109375" customWidth="1" min="928" max="928"/>
    <col width="9.7109375" customWidth="1" min="929" max="929"/>
    <col width="12.7109375" customWidth="1" min="930" max="930"/>
    <col width="9.7109375" customWidth="1" min="931" max="931"/>
    <col width="12.7109375" customWidth="1" min="932" max="932"/>
    <col width="9.7109375" customWidth="1" min="933" max="933"/>
    <col width="12.7109375" customWidth="1" min="934" max="934"/>
    <col width="9.7109375" customWidth="1" min="935" max="935"/>
    <col width="12.7109375" customWidth="1" min="936" max="936"/>
    <col width="9.7109375" customWidth="1" min="937" max="937"/>
    <col width="12.7109375" customWidth="1" min="938" max="938"/>
    <col width="9.7109375" customWidth="1" min="939" max="939"/>
    <col width="12.7109375" customWidth="1" min="940" max="940"/>
    <col width="9.7109375" customWidth="1" min="941" max="941"/>
    <col width="12.7109375" customWidth="1" min="942" max="942"/>
    <col width="9.7109375" customWidth="1" min="943" max="943"/>
    <col width="12.7109375" customWidth="1" min="944" max="944"/>
    <col width="9.7109375" customWidth="1" min="945" max="986"/>
    <col width="28.7109375" customWidth="1" min="987" max="988"/>
    <col width="12.7109375" customWidth="1" min="989" max="989"/>
    <col width="9.7109375" customWidth="1" min="990" max="990"/>
    <col width="28.7109375" customWidth="1" min="991" max="992"/>
    <col width="12.7109375" customWidth="1" min="993" max="993"/>
    <col width="9.7109375" customWidth="1" min="994" max="994"/>
    <col width="28.7109375" customWidth="1" min="995" max="996"/>
    <col width="12.7109375" customWidth="1" min="997" max="997"/>
    <col width="9.7109375" customWidth="1" min="998" max="998"/>
    <col width="28.7109375" customWidth="1" min="999" max="1000"/>
    <col width="12.7109375" customWidth="1" min="1001" max="1001"/>
    <col width="9.7109375" customWidth="1" min="1002" max="1002"/>
    <col width="28.7109375" customWidth="1" min="1003" max="1004"/>
    <col width="12.7109375" customWidth="1" min="1005" max="1005"/>
    <col width="9.7109375" customWidth="1" min="1006" max="1006"/>
    <col width="28.7109375" customWidth="1" min="1007" max="1008"/>
    <col width="12.7109375" customWidth="1" min="1009" max="1009"/>
    <col width="9.7109375" customWidth="1" min="1010" max="1010"/>
    <col width="28.7109375" customWidth="1" min="1011" max="1012"/>
    <col width="12.7109375" customWidth="1" min="1013" max="1013"/>
    <col width="9.7109375" customWidth="1" min="1014" max="1014"/>
    <col width="28.7109375" customWidth="1" min="1015" max="1016"/>
    <col width="12.7109375" customWidth="1" min="1017" max="1017"/>
    <col width="9.7109375" customWidth="1" min="1018" max="1018"/>
    <col width="28.7109375" customWidth="1" min="1019" max="1020"/>
    <col width="12.7109375" customWidth="1" min="1021" max="1021"/>
    <col width="9.7109375" customWidth="1" min="1022" max="1022"/>
    <col width="12.7109375" customWidth="1" min="1023" max="1023"/>
    <col width="9.7109375" customWidth="1" min="1024" max="1024"/>
    <col width="12.7109375" customWidth="1" min="1025" max="1025"/>
    <col width="9.7109375" customWidth="1" min="1026" max="1026"/>
    <col width="12.7109375" customWidth="1" min="1027" max="1027"/>
    <col width="9.7109375" customWidth="1" min="1028" max="1028"/>
    <col width="12.7109375" customWidth="1" min="1029" max="1029"/>
    <col width="9.7109375" customWidth="1" min="1030" max="1030"/>
    <col width="12.7109375" customWidth="1" min="1031" max="1031"/>
    <col width="9.7109375" customWidth="1" min="1032" max="1032"/>
    <col width="28.7109375" customWidth="1" min="1033" max="1033"/>
    <col width="12.7109375" customWidth="1" min="1034" max="1034"/>
    <col width="9.7109375" customWidth="1" min="1035" max="1035"/>
    <col width="28.7109375" customWidth="1" min="1036" max="1036"/>
    <col width="12.7109375" customWidth="1" min="1037" max="1037"/>
    <col width="9.7109375" customWidth="1" min="1038" max="1038"/>
    <col width="28.7109375" customWidth="1" min="1039" max="1039"/>
    <col width="12.7109375" customWidth="1" min="1040" max="1040"/>
    <col width="9.7109375" customWidth="1" min="1041" max="1041"/>
    <col width="28.7109375" customWidth="1" min="1042" max="1042"/>
    <col width="12.7109375" customWidth="1" min="1043" max="1043"/>
    <col width="9.7109375" customWidth="1" min="1044" max="1044"/>
    <col width="28.7109375" customWidth="1" min="1045" max="1045"/>
    <col width="12.7109375" customWidth="1" min="1046" max="1046"/>
    <col width="9.7109375" customWidth="1" min="1047" max="1047"/>
    <col width="28.7109375" customWidth="1" min="1048" max="1048"/>
    <col width="12.7109375" customWidth="1" min="1049" max="1049"/>
    <col width="9.7109375" customWidth="1" min="1050" max="1050"/>
    <col width="28.7109375" customWidth="1" min="1051" max="1051"/>
    <col width="12.7109375" customWidth="1" min="1052" max="1052"/>
    <col width="9.7109375" customWidth="1" min="1053" max="1053"/>
    <col width="28.7109375" customWidth="1" min="1054" max="1054"/>
    <col width="12.7109375" customWidth="1" min="1055" max="1055"/>
    <col width="9.7109375" customWidth="1" min="1056" max="1056"/>
    <col width="28.7109375" customWidth="1" min="1057" max="1057"/>
    <col width="12.7109375" customWidth="1" min="1058" max="1058"/>
    <col width="9.7109375" customWidth="1" min="1059" max="1059"/>
    <col width="28.7109375" customWidth="1" min="1060" max="1060"/>
    <col width="12.7109375" customWidth="1" min="1061" max="1061"/>
    <col width="9.7109375" customWidth="1" min="1062" max="1062"/>
    <col width="28.7109375" customWidth="1" min="1063" max="1063"/>
    <col width="12.7109375" customWidth="1" min="1064" max="1064"/>
    <col width="9.7109375" customWidth="1" min="1065" max="1065"/>
    <col width="28.7109375" customWidth="1" min="1066" max="1066"/>
    <col width="12.7109375" customWidth="1" min="1067" max="1067"/>
    <col width="9.7109375" customWidth="1" min="1068" max="1068"/>
    <col width="28.7109375" customWidth="1" min="1069" max="1069"/>
    <col width="12.7109375" customWidth="1" min="1070" max="1070"/>
    <col width="9.7109375" customWidth="1" min="1071" max="1071"/>
    <col width="28.7109375" customWidth="1" min="1072" max="1072"/>
    <col width="12.7109375" customWidth="1" min="1073" max="1073"/>
    <col width="9.7109375" customWidth="1" min="1074" max="1074"/>
    <col width="28.7109375" customWidth="1" min="1075" max="1075"/>
    <col width="12.7109375" customWidth="1" min="1076" max="1076"/>
    <col width="9.7109375" customWidth="1" min="1077" max="1077"/>
    <col width="28.7109375" customWidth="1" min="1078" max="1078"/>
    <col width="12.7109375" customWidth="1" min="1079" max="1079"/>
    <col width="9.7109375" customWidth="1" min="1080" max="1080"/>
    <col width="28.7109375" customWidth="1" min="1081" max="1081"/>
    <col width="12.7109375" customWidth="1" min="1082" max="1082"/>
    <col width="9.7109375" customWidth="1" min="1083" max="1083"/>
    <col width="28.7109375" customWidth="1" min="1084" max="1084"/>
    <col width="12.7109375" customWidth="1" min="1085" max="1085"/>
    <col width="9.7109375" customWidth="1" min="1086" max="1103"/>
    <col width="8.7109375" customWidth="1" min="1104" max="1107"/>
    <col width="16" customWidth="1" min="1108" max="1109"/>
    <col width="8.7109375" customWidth="1" min="1110" max="1110"/>
    <col width="16" customWidth="1" min="1111" max="1112"/>
    <col width="8.7109375" customWidth="1" min="1113" max="1113"/>
    <col width="16" customWidth="1" min="1114" max="1115"/>
    <col width="8.7109375" customWidth="1" min="1116" max="1116"/>
    <col width="16" customWidth="1" min="1117" max="1118"/>
    <col width="8.7109375" customWidth="1" min="1119" max="1119"/>
    <col width="16" customWidth="1" min="1120" max="1121"/>
    <col width="8.7109375" customWidth="1" min="1122" max="1122"/>
    <col width="16" customWidth="1" min="1123" max="1124"/>
    <col width="8.7109375" customWidth="1" min="1125" max="1125"/>
    <col width="16" customWidth="1" min="1126" max="1127"/>
    <col width="8.7109375" customWidth="1" min="1128" max="1128"/>
    <col width="16" customWidth="1" min="1129" max="1130"/>
    <col width="8.7109375" customWidth="1" min="1131" max="1131"/>
    <col width="16" customWidth="1" min="1132" max="1133"/>
    <col width="8.7109375" customWidth="1" min="1134" max="1134"/>
    <col width="16" customWidth="1" min="1135" max="1136"/>
    <col width="8.7109375" customWidth="1" min="1137" max="1137"/>
    <col width="16" customWidth="1" min="1138" max="1139"/>
    <col width="8.7109375" customWidth="1" min="1140" max="1140"/>
    <col width="16" customWidth="1" min="1141" max="1142"/>
    <col width="8.7109375" customWidth="1" min="1143" max="1143"/>
    <col width="16" customWidth="1" min="1144" max="1145"/>
    <col width="8.7109375" customWidth="1" min="1146" max="1146"/>
    <col width="16" customWidth="1" min="1147" max="1148"/>
    <col width="8.7109375" customWidth="1" min="1149" max="1149"/>
    <col width="16" customWidth="1" min="1150" max="1151"/>
    <col width="8.7109375" customWidth="1" min="1152" max="1152"/>
    <col width="16" customWidth="1" min="1153" max="1154"/>
    <col width="8.7109375" customWidth="1" min="1155" max="1155"/>
    <col width="16" customWidth="1" min="1156" max="1157"/>
    <col width="8.7109375" customWidth="1" min="1158" max="1158"/>
    <col width="16" customWidth="1" min="1159" max="1160"/>
    <col width="8.7109375" customWidth="1" min="1161" max="1161"/>
    <col width="16" customWidth="1" min="1162" max="1163"/>
    <col width="8.7109375" customWidth="1" min="1164" max="1164"/>
    <col width="16" customWidth="1" min="1165" max="1166"/>
    <col width="8.7109375" customWidth="1" min="1167" max="1167"/>
    <col width="16" customWidth="1" min="1168" max="1169"/>
    <col width="8.7109375" customWidth="1" min="1170" max="1170"/>
    <col width="16" customWidth="1" min="1171" max="1172"/>
    <col width="8.7109375" customWidth="1" min="1173" max="1175"/>
    <col width="16" customWidth="1" min="1176" max="1176"/>
    <col width="8.7109375" customWidth="1" min="1177" max="1180"/>
    <col width="16" customWidth="1" min="1181" max="1181"/>
    <col width="8.7109375" customWidth="1" min="1182" max="1182"/>
    <col width="16" customWidth="1" min="1183" max="1183"/>
    <col width="8.7109375" customWidth="1" min="1184" max="1184"/>
    <col width="16" customWidth="1" min="1185" max="1185"/>
    <col width="8.7109375" customWidth="1" min="1186" max="1186"/>
    <col width="16" customWidth="1" min="1187" max="1188"/>
    <col width="8.7109375" customWidth="1" min="1189" max="1189"/>
    <col width="16" customWidth="1" min="1190" max="1190"/>
    <col width="8.7109375" customWidth="1" min="1191" max="1192"/>
    <col width="16" customWidth="1" min="1193" max="1194"/>
    <col width="8.7109375" customWidth="1" min="1195" max="1195"/>
    <col width="16" customWidth="1" min="1196" max="1197"/>
    <col width="8.7109375" customWidth="1" min="1198" max="1198"/>
    <col width="16" customWidth="1" min="1199" max="1201"/>
    <col width="8.7109375" customWidth="1" min="1202" max="1202"/>
    <col width="16" customWidth="1" min="1203" max="1204"/>
    <col width="8.7109375" customWidth="1" min="1205" max="1205"/>
    <col width="16" customWidth="1" min="1206" max="1207"/>
    <col width="8.7109375" customWidth="1" min="1208" max="1208"/>
    <col width="16" customWidth="1" min="1209" max="1211"/>
    <col width="8.7109375" customWidth="1" min="1212" max="1212"/>
    <col width="16" customWidth="1" min="1213" max="1214"/>
    <col width="8.7109375" customWidth="1" min="1215" max="1215"/>
    <col width="16" customWidth="1" min="1216" max="1216"/>
    <col width="8.7109375" customWidth="1" min="1217" max="1217"/>
    <col width="16" customWidth="1" min="1218" max="1218"/>
    <col width="8.7109375" customWidth="1" min="1219" max="1219"/>
    <col width="16" customWidth="1" min="1220" max="1220"/>
    <col width="8.7109375" customWidth="1" min="1221" max="1221"/>
    <col width="16" customWidth="1" min="1222" max="1222"/>
    <col width="8.7109375" customWidth="1" min="1223" max="1223"/>
    <col width="16" customWidth="1" min="1224" max="1224"/>
    <col width="8.7109375" customWidth="1" min="1225" max="1225"/>
    <col width="16" customWidth="1" min="1226" max="1227"/>
    <col width="8.7109375" customWidth="1" min="1228" max="1228"/>
    <col width="16" customWidth="1" min="1229" max="1229"/>
    <col width="8.7109375" customWidth="1" min="1230" max="1230"/>
    <col width="16" customWidth="1" min="1231" max="1231"/>
    <col width="8.7109375" customWidth="1" min="1232" max="1232"/>
    <col width="16" customWidth="1" min="1233" max="1233"/>
    <col width="8.7109375" customWidth="1" min="1234" max="1234"/>
    <col width="16" customWidth="1" min="1235" max="1235"/>
    <col width="8.7109375" customWidth="1" min="1236" max="1236"/>
    <col width="16" customWidth="1" min="1237" max="1238"/>
    <col width="8.7109375" customWidth="1" min="1239" max="1239"/>
    <col width="16" customWidth="1" min="1240" max="1242"/>
    <col width="8.7109375" customWidth="1" min="1243" max="1257"/>
    <col width="16" customWidth="1" min="1258" max="1258"/>
    <col width="8.7109375" customWidth="1" min="1259" max="1261"/>
    <col width="16" customWidth="1" min="1262" max="1262"/>
    <col width="8.7109375" customWidth="1" min="1263" max="1263"/>
    <col width="16" customWidth="1" min="1264" max="1264"/>
    <col width="8.7109375" customWidth="1" min="1265" max="1265"/>
    <col width="16" customWidth="1" min="1266" max="1266"/>
    <col width="8.7109375" customWidth="1" min="1267" max="1267"/>
    <col width="16" customWidth="1" min="1268" max="1268"/>
    <col width="8.7109375" customWidth="1" min="1269" max="1269"/>
    <col width="16" customWidth="1" min="1270" max="1270"/>
    <col width="8.7109375" customWidth="1" min="1271" max="1271"/>
    <col width="16" customWidth="1" min="1272" max="1272"/>
    <col width="8.7109375" customWidth="1" min="1273" max="1274"/>
    <col width="16" customWidth="1" min="1275" max="1276"/>
    <col width="8.7109375" customWidth="1" min="1277" max="1277"/>
    <col width="16" customWidth="1" min="1278" max="1279"/>
    <col width="8.7109375" customWidth="1" min="1280" max="1280"/>
    <col width="16" customWidth="1" min="1281" max="1281"/>
    <col width="8.7109375" customWidth="1" min="1282" max="1282"/>
    <col width="16" customWidth="1" min="1283" max="1283"/>
    <col width="8.7109375" customWidth="1" min="1284" max="1284"/>
    <col width="16" customWidth="1" min="1285" max="1285"/>
    <col width="8.7109375" customWidth="1" min="1286" max="1286"/>
    <col width="16" customWidth="1" min="1287" max="1287"/>
    <col width="8.7109375" customWidth="1" min="1288" max="1288"/>
    <col width="16" customWidth="1" min="1289" max="1289"/>
    <col width="8.7109375" customWidth="1" min="1290" max="1290"/>
    <col width="16" customWidth="1" min="1291" max="1291"/>
    <col width="8.7109375" customWidth="1" min="1292" max="1292"/>
    <col width="16" customWidth="1" min="1293" max="1293"/>
    <col width="8.7109375" customWidth="1" min="1294" max="1294"/>
    <col width="16" customWidth="1" min="1295" max="1295"/>
    <col width="8.7109375" customWidth="1" min="1296" max="1296"/>
    <col width="16" customWidth="1" min="1297" max="1297"/>
    <col width="8.7109375" customWidth="1" min="1298" max="1298"/>
    <col width="16" customWidth="1" min="1299" max="1299"/>
    <col width="8.7109375" customWidth="1" min="1300" max="1300"/>
    <col width="16" customWidth="1" min="1301" max="1301"/>
    <col width="8.7109375" customWidth="1" min="1302" max="1302"/>
    <col width="16" customWidth="1" min="1303" max="1303"/>
    <col width="8.7109375" customWidth="1" min="1304" max="1304"/>
    <col width="16" customWidth="1" min="1305" max="1305"/>
    <col width="8.7109375" customWidth="1" min="1306" max="1306"/>
    <col width="16" customWidth="1" min="1307" max="1308"/>
    <col width="8.7109375" customWidth="1" min="1309" max="1309"/>
    <col width="16" customWidth="1" min="1310" max="1310"/>
    <col width="8.7109375" customWidth="1" min="1311" max="1311"/>
    <col width="16" customWidth="1" min="1312" max="1312"/>
    <col width="8.7109375" customWidth="1" min="1313" max="1313"/>
    <col width="16" customWidth="1" min="1314" max="1314"/>
    <col width="8.7109375" customWidth="1" min="1315" max="1315"/>
    <col width="16" customWidth="1" min="1316" max="1316"/>
    <col width="8.7109375" customWidth="1" min="1317" max="1317"/>
    <col width="16" customWidth="1" min="1318" max="1318"/>
    <col width="8.7109375" customWidth="1" min="1319" max="1319"/>
    <col width="16" customWidth="1" min="1320" max="1320"/>
    <col width="8.7109375" customWidth="1" min="1321" max="1321"/>
    <col width="16" customWidth="1" min="1322" max="1322"/>
    <col width="8.7109375" customWidth="1" min="1323" max="1323"/>
    <col width="16" customWidth="1" min="1324" max="1324"/>
    <col width="8.7109375" customWidth="1" min="1325" max="1325"/>
    <col width="16" customWidth="1" min="1326" max="1326"/>
    <col width="8.7109375" customWidth="1" min="1327" max="1327"/>
    <col width="16" customWidth="1" min="1328" max="1328"/>
    <col width="8.7109375" customWidth="1" min="1329" max="1329"/>
    <col width="16" customWidth="1" min="1330" max="1330"/>
    <col width="8.7109375" customWidth="1" min="1331" max="1331"/>
    <col width="16" customWidth="1" min="1332" max="1332"/>
    <col width="8.7109375" customWidth="1" min="1333" max="1333"/>
    <col width="16" customWidth="1" min="1334" max="1335"/>
    <col width="8.7109375" customWidth="1" min="1336" max="1338"/>
    <col width="16" customWidth="1" min="1339" max="1339"/>
    <col width="8.7109375" customWidth="1" min="1340" max="1341"/>
    <col width="16" customWidth="1" min="1342" max="1342"/>
    <col width="8.7109375" customWidth="1" min="1343" max="1345"/>
    <col width="16" customWidth="1" min="1346" max="1347"/>
    <col width="8.7109375" customWidth="1" min="1348" max="1348"/>
    <col width="16" customWidth="1" min="1349" max="1350"/>
    <col width="8.7109375" customWidth="1" min="1351" max="1351"/>
    <col width="16" customWidth="1" min="1352" max="1353"/>
    <col width="8.7109375" customWidth="1" min="1354" max="1354"/>
    <col width="16" customWidth="1" min="1355" max="1356"/>
    <col width="8.7109375" customWidth="1" min="1357" max="1357"/>
    <col width="16" customWidth="1" min="1358" max="1360"/>
    <col width="8.7109375" customWidth="1" min="1361" max="1361"/>
    <col width="16" customWidth="1" min="1362" max="1364"/>
    <col width="8.7109375" customWidth="1" min="1365" max="1365"/>
    <col width="16" customWidth="1" min="1366" max="1368"/>
    <col width="8.7109375" customWidth="1" min="1369" max="1369"/>
    <col width="16" customWidth="1" min="1370" max="1372"/>
    <col width="8.7109375" customWidth="1" min="1373" max="1373"/>
    <col width="16" customWidth="1" min="1374" max="1376"/>
    <col width="8.7109375" customWidth="1" min="1377" max="1377"/>
    <col width="16" customWidth="1" min="1378" max="1380"/>
    <col width="8.7109375" customWidth="1" min="1381" max="1381"/>
    <col width="16" customWidth="1" min="1382" max="1384"/>
    <col width="8.7109375" customWidth="1" min="1385" max="1385"/>
    <col width="16" customWidth="1" min="1386" max="1387"/>
    <col width="8.7109375" customWidth="1" min="1388" max="1388"/>
    <col width="16" customWidth="1" min="1389" max="1391"/>
    <col width="8.7109375" customWidth="1" min="1392" max="1392"/>
    <col width="16" customWidth="1" min="1393" max="1393"/>
    <col width="8.7109375" customWidth="1" min="1394" max="1394"/>
    <col width="16" customWidth="1" min="1395" max="1395"/>
    <col width="8.7109375" customWidth="1" min="1396" max="1396"/>
    <col width="16" customWidth="1" min="1397" max="1397"/>
    <col width="8.7109375" customWidth="1" min="1398" max="1398"/>
    <col width="16" customWidth="1" min="1399" max="1399"/>
    <col width="8.7109375" customWidth="1" min="1400" max="1400"/>
    <col width="16" customWidth="1" min="1401" max="1402"/>
    <col width="8.7109375" customWidth="1" min="1403" max="1403"/>
    <col width="16" customWidth="1" min="1404" max="1405"/>
    <col width="8.7109375" customWidth="1" min="1406" max="1406"/>
    <col width="16" customWidth="1" min="1407" max="1408"/>
    <col width="8.7109375" customWidth="1" min="1409" max="1409"/>
    <col width="16" customWidth="1" min="1410" max="1411"/>
    <col width="8.7109375" customWidth="1" min="1412" max="1412"/>
    <col width="16" customWidth="1" min="1413" max="1414"/>
    <col width="8.7109375" customWidth="1" min="1415" max="1415"/>
    <col width="16" customWidth="1" min="1416" max="1417"/>
    <col width="8.7109375" customWidth="1" min="1418" max="1418"/>
    <col width="16" customWidth="1" min="1419" max="1420"/>
    <col width="8.7109375" customWidth="1" min="1421" max="1421"/>
    <col width="16" customWidth="1" min="1422" max="1423"/>
    <col width="8.7109375" customWidth="1" min="1424" max="1424"/>
    <col width="16" customWidth="1" min="1425" max="1426"/>
    <col width="8.7109375" customWidth="1" min="1427" max="1427"/>
    <col width="16" customWidth="1" min="1428" max="1429"/>
    <col width="8.7109375" customWidth="1" min="1430" max="1430"/>
    <col width="16" customWidth="1" min="1431" max="1432"/>
    <col width="8.7109375" customWidth="1" min="1433" max="1433"/>
    <col width="16" customWidth="1" min="1434" max="1435"/>
    <col width="8.7109375" customWidth="1" min="1436" max="1436"/>
    <col width="16" customWidth="1" min="1437" max="1439"/>
    <col width="8.7109375" customWidth="1" min="1440" max="1440"/>
    <col width="16" customWidth="1" min="1441" max="1442"/>
    <col width="8.7109375" customWidth="1" min="1443" max="1443"/>
    <col width="16" customWidth="1" min="1444" max="1445"/>
    <col width="8.7109375" customWidth="1" min="1446" max="1446"/>
    <col width="16" customWidth="1" min="1447" max="1448"/>
    <col width="8.7109375" customWidth="1" min="1449" max="1449"/>
    <col width="16" customWidth="1" min="1450" max="1451"/>
    <col width="8.7109375" customWidth="1" min="1452" max="1452"/>
    <col width="16" customWidth="1" min="1453" max="1454"/>
    <col width="8.7109375" customWidth="1" min="1455" max="1455"/>
    <col width="16" customWidth="1" min="1456" max="1457"/>
    <col width="8.7109375" customWidth="1" min="1458" max="1458"/>
    <col width="16" customWidth="1" min="1459" max="1459"/>
    <col width="8.7109375" customWidth="1" min="1460" max="1460"/>
    <col width="16" customWidth="1" min="1461" max="1461"/>
    <col width="8.7109375" customWidth="1" min="1462" max="1462"/>
    <col width="16" customWidth="1" min="1463" max="1463"/>
    <col width="8.7109375" customWidth="1" min="1464" max="1464"/>
    <col width="16" customWidth="1" min="1465" max="1465"/>
    <col width="8.7109375" customWidth="1" min="1466" max="1466"/>
    <col width="16" customWidth="1" min="1467" max="1467"/>
    <col width="8.7109375" customWidth="1" min="1468" max="1468"/>
    <col width="16" customWidth="1" min="1469" max="1469"/>
    <col width="8.7109375" customWidth="1" min="1470" max="1470"/>
    <col width="16" customWidth="1" min="1471" max="1471"/>
    <col width="8.7109375" customWidth="1" min="1472" max="1472"/>
    <col width="16" customWidth="1" min="1473" max="1473"/>
    <col width="8.7109375" customWidth="1" min="1474" max="1474"/>
    <col width="16" customWidth="1" min="1475" max="1475"/>
    <col width="8.7109375" customWidth="1" min="1476" max="1476"/>
    <col width="16" customWidth="1" min="1477" max="1477"/>
    <col width="8.7109375" customWidth="1" min="1478" max="1478"/>
    <col width="16" customWidth="1" min="1479" max="1479"/>
    <col width="8.7109375" customWidth="1" min="1480" max="1480"/>
    <col width="16" customWidth="1" min="1481" max="1481"/>
    <col width="8.7109375" customWidth="1" min="1482" max="1482"/>
    <col width="16" customWidth="1" min="1483" max="1483"/>
    <col width="8.7109375" customWidth="1" min="1484" max="1484"/>
    <col width="16" customWidth="1" min="1485" max="1485"/>
    <col width="8.7109375" customWidth="1" min="1486" max="1486"/>
    <col width="16" customWidth="1" min="1487" max="1487"/>
    <col width="8.7109375" customWidth="1" min="1488" max="1488"/>
    <col width="16" customWidth="1" min="1489" max="1489"/>
    <col width="8.7109375" customWidth="1" min="1490" max="1490"/>
    <col width="16" customWidth="1" min="1491" max="1491"/>
    <col width="8.7109375" customWidth="1" min="1492" max="1492"/>
    <col width="16" customWidth="1" min="1493" max="1493"/>
    <col width="8.7109375" customWidth="1" min="1494" max="1494"/>
    <col width="16" customWidth="1" min="1495" max="1495"/>
    <col width="8.7109375" customWidth="1" min="1496" max="1496"/>
    <col width="16" customWidth="1" min="1497" max="1497"/>
    <col width="8.7109375" customWidth="1" min="1498" max="1498"/>
    <col width="16" customWidth="1" min="1499" max="1499"/>
    <col width="8.7109375" customWidth="1" min="1500" max="1500"/>
    <col width="16" customWidth="1" min="1501" max="1501"/>
    <col width="8.7109375" customWidth="1" min="1502" max="1502"/>
    <col width="16" customWidth="1" min="1503" max="1503"/>
    <col width="8.7109375" customWidth="1" min="1504" max="1504"/>
    <col width="16" customWidth="1" min="1505" max="1505"/>
    <col width="8.7109375" customWidth="1" min="1506" max="1506"/>
    <col width="16" customWidth="1" min="1507" max="1507"/>
    <col width="8.7109375" customWidth="1" min="1508" max="1508"/>
    <col width="16" customWidth="1" min="1509" max="1509"/>
    <col width="8.7109375" customWidth="1" min="1510" max="1510"/>
    <col width="16" customWidth="1" min="1511" max="1511"/>
    <col width="8.7109375" customWidth="1" min="1512" max="1512"/>
    <col width="16" customWidth="1" min="1513" max="1513"/>
    <col width="8.7109375" customWidth="1" min="1514" max="1514"/>
    <col width="16" customWidth="1" min="1515" max="1515"/>
    <col width="8.7109375" customWidth="1" min="1516" max="1516"/>
    <col width="16" customWidth="1" min="1517" max="1517"/>
    <col width="8.7109375" customWidth="1" min="1518" max="1518"/>
    <col width="16" customWidth="1" min="1519" max="1519"/>
    <col width="8.7109375" customWidth="1" min="1520" max="1520"/>
    <col width="16" customWidth="1" min="1521" max="1521"/>
    <col width="8.7109375" customWidth="1" min="1522" max="1528"/>
    <col width="16" customWidth="1" min="1529" max="1529"/>
    <col width="8.7109375" customWidth="1" min="1530" max="1530"/>
    <col width="16" customWidth="1" min="1531" max="1531"/>
    <col width="8.7109375" customWidth="1" min="1532" max="1532"/>
    <col width="16" customWidth="1" min="1533" max="1533"/>
    <col width="8.7109375" customWidth="1" min="1534" max="1535"/>
    <col width="16" customWidth="1" min="1536" max="1536"/>
    <col width="8.7109375" customWidth="1" min="1537" max="1537"/>
    <col width="16" customWidth="1" min="1538" max="1538"/>
    <col width="8.7109375" customWidth="1" min="1539" max="1539"/>
    <col width="16" customWidth="1" min="1540" max="1540"/>
    <col width="8.7109375" customWidth="1" min="1541" max="1541"/>
    <col width="16" customWidth="1" min="1542" max="1542"/>
    <col width="8.7109375" customWidth="1" min="1543" max="1543"/>
    <col width="16" customWidth="1" min="1544" max="1545"/>
    <col width="8.7109375" customWidth="1" min="1546" max="1546"/>
    <col width="16" customWidth="1" min="1547" max="1547"/>
    <col width="8.7109375" customWidth="1" min="1548" max="1548"/>
    <col width="16" customWidth="1" min="1549" max="1550"/>
    <col width="8.7109375" customWidth="1" min="1551" max="1554"/>
    <col width="16" customWidth="1" min="1555" max="1555"/>
    <col width="8.7109375" customWidth="1" min="1556" max="1556"/>
    <col width="16" customWidth="1" min="1557" max="1557"/>
    <col width="8.7109375" customWidth="1" min="1558" max="1558"/>
    <col width="16" customWidth="1" min="1559" max="1559"/>
    <col width="8.7109375" customWidth="1" min="1560" max="1560"/>
    <col width="16" customWidth="1" min="1561" max="1561"/>
    <col width="8.7109375" customWidth="1" min="1562" max="1562"/>
    <col width="16" customWidth="1" min="1563" max="1563"/>
    <col width="8.7109375" customWidth="1" min="1564" max="1564"/>
    <col width="16" customWidth="1" min="1565" max="1565"/>
    <col width="8.7109375" customWidth="1" min="1566" max="1566"/>
    <col width="16" customWidth="1" min="1567" max="1567"/>
    <col width="8.7109375" customWidth="1" min="1568" max="1568"/>
    <col width="16" customWidth="1" min="1569" max="1569"/>
    <col width="8.7109375" customWidth="1" min="1570" max="1570"/>
    <col width="16" customWidth="1" min="1571" max="1571"/>
    <col width="8.7109375" customWidth="1" min="1572" max="1572"/>
    <col width="16" customWidth="1" min="1573" max="1573"/>
    <col width="8.7109375" customWidth="1" min="1574" max="1578"/>
    <col width="16" customWidth="1" min="1579" max="1579"/>
    <col width="8.7109375" customWidth="1" min="1580" max="1580"/>
    <col width="16" customWidth="1" min="1581" max="1581"/>
    <col width="8.7109375" customWidth="1" min="1582" max="1583"/>
    <col width="16" customWidth="1" min="1584" max="1584"/>
    <col width="8.7109375" customWidth="1" min="1585" max="1586"/>
    <col width="16" customWidth="1" min="1587" max="1587"/>
    <col width="8.7109375" customWidth="1" min="1588" max="1590"/>
    <col width="16" customWidth="1" min="1591" max="1592"/>
    <col width="8.7109375" customWidth="1" min="1593" max="1593"/>
    <col width="16" customWidth="1" min="1594" max="1595"/>
    <col width="8.7109375" customWidth="1" min="1596" max="1598"/>
    <col width="16" customWidth="1" min="1599" max="1599"/>
    <col width="8.7109375" customWidth="1" min="1600" max="1601"/>
    <col width="16" customWidth="1" min="1602" max="1604"/>
    <col width="8.7109375" customWidth="1" min="1605" max="1605"/>
    <col width="16" customWidth="1" min="1606" max="1606"/>
    <col width="8.7109375" customWidth="1" min="1607" max="1607"/>
    <col width="16" customWidth="1" min="1608" max="1608"/>
    <col width="8.7109375" customWidth="1" min="1609" max="1609"/>
    <col width="16" customWidth="1" min="1610" max="1612"/>
    <col width="8.7109375" customWidth="1" min="1613" max="1614"/>
    <col width="16" customWidth="1" min="1615" max="1615"/>
    <col width="8.7109375" customWidth="1" min="1616" max="1616"/>
    <col width="16" customWidth="1" min="1617" max="1617"/>
    <col width="8.7109375" customWidth="1" min="1618" max="1618"/>
    <col width="16" customWidth="1" min="1619" max="1619"/>
    <col width="8.7109375" customWidth="1" min="1620" max="1620"/>
    <col width="16" customWidth="1" min="1621" max="1621"/>
    <col width="8.7109375" customWidth="1" min="1622" max="1622"/>
    <col width="16" customWidth="1" min="1623" max="1623"/>
    <col width="8.7109375" customWidth="1" min="1624" max="1624"/>
    <col width="16" customWidth="1" min="1625" max="1625"/>
    <col width="8.7109375" customWidth="1" min="1626" max="1626"/>
    <col width="16" customWidth="1" min="1627" max="1628"/>
    <col width="8.7109375" customWidth="1" min="1629" max="1629"/>
    <col width="16" customWidth="1" min="1630" max="1630"/>
    <col width="8.7109375" customWidth="1" min="1631" max="1631"/>
    <col width="16" customWidth="1" min="1632" max="1634"/>
    <col width="8.7109375" customWidth="1" min="1635" max="1637"/>
    <col width="16" customWidth="1" min="1638" max="1638"/>
    <col width="8.7109375" customWidth="1" min="1639" max="1641"/>
    <col width="16" customWidth="1" min="1642" max="1642"/>
    <col width="8.7109375" customWidth="1" min="1643" max="1657"/>
    <col width="16" customWidth="1" min="1658" max="1658"/>
    <col width="8.7109375" customWidth="1" min="1659" max="1659"/>
    <col width="16" customWidth="1" min="1660" max="1660"/>
    <col width="8.7109375" customWidth="1" min="1661" max="1661"/>
    <col width="16" customWidth="1" min="1662" max="1662"/>
    <col width="8.7109375" customWidth="1" min="1663" max="1663"/>
    <col width="16" customWidth="1" min="1664" max="1664"/>
    <col width="8.7109375" customWidth="1" min="1665" max="1665"/>
    <col width="16" customWidth="1" min="1666" max="1666"/>
    <col width="8.7109375" customWidth="1" min="1667" max="1667"/>
    <col width="16" customWidth="1" min="1668" max="1668"/>
    <col width="8.7109375" customWidth="1" min="1669" max="1669"/>
    <col width="16" customWidth="1" min="1670" max="1670"/>
    <col width="8.7109375" customWidth="1" min="1671" max="1671"/>
    <col width="16" customWidth="1" min="1672" max="1672"/>
    <col width="8.7109375" customWidth="1" min="1673" max="1673"/>
    <col width="16" customWidth="1" min="1674" max="1674"/>
    <col width="8.7109375" customWidth="1" min="1675" max="1675"/>
    <col width="16" customWidth="1" min="1676" max="1676"/>
    <col width="8.7109375" customWidth="1" min="1677" max="1677"/>
    <col width="16" customWidth="1" min="1678" max="1678"/>
    <col width="8.7109375" customWidth="1" min="1679" max="1679"/>
    <col width="16" customWidth="1" min="1680" max="1680"/>
    <col width="8.7109375" customWidth="1" min="1681" max="1681"/>
    <col width="16" customWidth="1" min="1682" max="1682"/>
    <col width="8.7109375" customWidth="1" min="1683" max="1683"/>
    <col width="16" customWidth="1" min="1684" max="1684"/>
    <col width="8.7109375" customWidth="1" min="1685" max="1685"/>
    <col width="16" customWidth="1" min="1686" max="1686"/>
    <col width="8.7109375" customWidth="1" min="1687" max="1687"/>
    <col width="16" customWidth="1" min="1688" max="1688"/>
    <col width="8.7109375" customWidth="1" min="1689" max="1689"/>
    <col width="16" customWidth="1" min="1690" max="1690"/>
    <col width="8.7109375" customWidth="1" min="1691" max="1691"/>
    <col width="16" customWidth="1" min="1692" max="1692"/>
    <col width="8.7109375" customWidth="1" min="1693" max="1693"/>
    <col width="16" customWidth="1" min="1694" max="1694"/>
    <col width="8.7109375" customWidth="1" min="1695" max="1695"/>
    <col width="16" customWidth="1" min="1696" max="1696"/>
    <col width="8.7109375" customWidth="1" min="1697" max="1697"/>
    <col width="16" customWidth="1" min="1698" max="1698"/>
    <col width="8.7109375" customWidth="1" min="1699" max="1699"/>
    <col width="16" customWidth="1" min="1700" max="1700"/>
    <col width="8.7109375" customWidth="1" min="1701" max="1701"/>
    <col width="16" customWidth="1" min="1702" max="1702"/>
    <col width="8.7109375" customWidth="1" min="1703" max="1703"/>
    <col width="16" customWidth="1" min="1704" max="1704"/>
    <col width="8.7109375" customWidth="1" min="1705" max="1705"/>
    <col width="16" customWidth="1" min="1706" max="1706"/>
    <col width="8.7109375" customWidth="1" min="1707" max="1707"/>
    <col width="16" customWidth="1" min="1708" max="1708"/>
    <col width="8.7109375" customWidth="1" min="1709" max="1709"/>
    <col width="16" customWidth="1" min="1710" max="1710"/>
    <col width="8.7109375" customWidth="1" min="1711" max="1711"/>
    <col width="16" customWidth="1" min="1712" max="1712"/>
    <col width="8.7109375" customWidth="1" min="1713" max="1713"/>
    <col width="16" customWidth="1" min="1714" max="1714"/>
    <col width="8.7109375" customWidth="1" min="1715" max="1715"/>
    <col width="16" customWidth="1" min="1716" max="1716"/>
    <col width="8.7109375" customWidth="1" min="1717" max="1717"/>
    <col width="16" customWidth="1" min="1718" max="1718"/>
    <col width="8.7109375" customWidth="1" min="1719" max="1719"/>
    <col width="16" customWidth="1" min="1720" max="1720"/>
    <col width="8.7109375" customWidth="1" min="1721" max="1721"/>
    <col width="16" customWidth="1" min="1722" max="1722"/>
    <col width="8.7109375" customWidth="1" min="1723" max="1723"/>
    <col width="16" customWidth="1" min="1724" max="1724"/>
    <col width="8.7109375" customWidth="1" min="1725" max="1725"/>
    <col width="16" customWidth="1" min="1726" max="1726"/>
    <col width="8.7109375" customWidth="1" min="1727" max="1727"/>
    <col width="16" customWidth="1" min="1728" max="1728"/>
    <col width="8.7109375" customWidth="1" min="1729" max="1729"/>
    <col width="16" customWidth="1" min="1730" max="1730"/>
    <col width="8.7109375" customWidth="1" min="1731" max="1731"/>
    <col width="16" customWidth="1" min="1732" max="1732"/>
    <col width="8.7109375" customWidth="1" min="1733" max="1733"/>
    <col width="16" customWidth="1" min="1734" max="1734"/>
    <col width="8.7109375" customWidth="1" min="1735" max="1735"/>
    <col width="16" customWidth="1" min="1736" max="1737"/>
    <col width="8.7109375" customWidth="1" min="1738" max="1738"/>
    <col width="16" customWidth="1" min="1739" max="1740"/>
    <col width="8.7109375" customWidth="1" min="1741" max="1741"/>
    <col width="16" customWidth="1" min="1742" max="1743"/>
    <col width="8.7109375" customWidth="1" min="1744" max="1744"/>
    <col width="16" customWidth="1" min="1745" max="1746"/>
    <col width="8.7109375" customWidth="1" min="1747" max="1747"/>
    <col width="16" customWidth="1" min="1748" max="1749"/>
    <col width="8.7109375" customWidth="1" min="1750" max="1750"/>
    <col width="16" customWidth="1" min="1751" max="1752"/>
    <col width="8.7109375" customWidth="1" min="1753" max="1753"/>
    <col width="16" customWidth="1" min="1754" max="1755"/>
    <col width="8.7109375" customWidth="1" min="1756" max="1757"/>
    <col width="16" customWidth="1" min="1758" max="1758"/>
    <col width="8.7109375" customWidth="1" min="1759" max="1759"/>
    <col width="16" customWidth="1" min="1760" max="1760"/>
    <col width="8.7109375" customWidth="1" min="1761" max="1761"/>
    <col width="16" customWidth="1" min="1762" max="1762"/>
    <col width="8.7109375" customWidth="1" min="1763" max="1763"/>
    <col width="16" customWidth="1" min="1764" max="1764"/>
    <col width="8.7109375" customWidth="1" min="1765" max="1765"/>
    <col width="16" customWidth="1" min="1766" max="1766"/>
    <col width="8.7109375" customWidth="1" min="1767" max="1767"/>
    <col width="16" customWidth="1" min="1768" max="1768"/>
    <col width="8.7109375" customWidth="1" min="1769" max="1769"/>
    <col width="16" customWidth="1" min="1770" max="1770"/>
    <col width="8.7109375" customWidth="1" min="1771" max="1771"/>
    <col width="16" customWidth="1" min="1772" max="1772"/>
    <col width="8.7109375" customWidth="1" min="1773" max="1773"/>
    <col width="16" customWidth="1" min="1774" max="1774"/>
    <col width="8.7109375" customWidth="1" min="1775" max="1775"/>
    <col width="16" customWidth="1" min="1776" max="1776"/>
    <col width="8.7109375" customWidth="1" min="1777" max="1777"/>
    <col width="16" customWidth="1" min="1778" max="1778"/>
    <col width="8.7109375" customWidth="1" min="1779" max="1779"/>
    <col width="16" customWidth="1" min="1780" max="1780"/>
    <col width="8.7109375" customWidth="1" min="1781" max="1781"/>
    <col width="16" customWidth="1" min="1782" max="1782"/>
    <col width="8.7109375" customWidth="1" min="1783" max="1783"/>
    <col width="16" customWidth="1" min="1784" max="1784"/>
    <col width="8.7109375" customWidth="1" min="1785" max="1785"/>
    <col width="16" customWidth="1" min="1786" max="1786"/>
    <col width="8.7109375" customWidth="1" min="1787" max="1787"/>
    <col width="16" customWidth="1" min="1788" max="1788"/>
    <col width="8.7109375" customWidth="1" min="1789" max="1789"/>
    <col width="16" customWidth="1" min="1790" max="1790"/>
    <col width="8.7109375" customWidth="1" min="1791" max="1791"/>
    <col width="16" customWidth="1" min="1792" max="1792"/>
    <col width="8.7109375" customWidth="1" min="1793" max="1793"/>
    <col width="16" customWidth="1" min="1794" max="1794"/>
    <col width="8.7109375" customWidth="1" min="1795" max="1795"/>
    <col width="16" customWidth="1" min="1796" max="1796"/>
    <col width="8.7109375" customWidth="1" min="1797" max="1797"/>
    <col width="16" customWidth="1" min="1798" max="1798"/>
    <col width="8.7109375" customWidth="1" min="1799" max="1799"/>
    <col width="16" customWidth="1" min="1800" max="1800"/>
    <col width="8.7109375" customWidth="1" min="1801" max="1801"/>
    <col width="16" customWidth="1" min="1802" max="1802"/>
    <col width="8.7109375" customWidth="1" min="1803" max="1803"/>
    <col width="16" customWidth="1" min="1804" max="1804"/>
    <col width="8.7109375" customWidth="1" min="1805" max="1805"/>
    <col width="16" customWidth="1" min="1806" max="1806"/>
    <col width="8.7109375" customWidth="1" min="1807" max="1807"/>
    <col width="16" customWidth="1" min="1808" max="1808"/>
    <col width="8.7109375" customWidth="1" min="1809" max="1809"/>
    <col width="16" customWidth="1" min="1810" max="1810"/>
    <col width="8.7109375" customWidth="1" min="1811" max="1811"/>
    <col width="16" customWidth="1" min="1812" max="1812"/>
    <col width="8.7109375" customWidth="1" min="1813" max="1813"/>
    <col width="16" customWidth="1" min="1814" max="1814"/>
    <col width="8.7109375" customWidth="1" min="1815" max="1815"/>
    <col width="16" customWidth="1" min="1816" max="1816"/>
    <col width="8.7109375" customWidth="1" min="1817" max="1817"/>
    <col width="16" customWidth="1" min="1818" max="1818"/>
    <col width="8.7109375" customWidth="1" min="1819" max="1820"/>
    <col width="16" customWidth="1" min="1821" max="1821"/>
    <col width="8.7109375" customWidth="1" min="1822" max="1836"/>
    <col width="16" customWidth="1" min="1837" max="1837"/>
    <col width="8.7109375" customWidth="1" min="1838" max="1838"/>
    <col width="16" customWidth="1" min="1839" max="1839"/>
    <col width="8.7109375" customWidth="1" min="1840" max="1840"/>
    <col width="16" customWidth="1" min="1841" max="1841"/>
    <col width="8.7109375" customWidth="1" min="1842" max="1842"/>
    <col width="16" customWidth="1" min="1843" max="1843"/>
    <col width="8.7109375" customWidth="1" min="1844" max="1844"/>
    <col width="16" customWidth="1" min="1845" max="1845"/>
    <col width="8.7109375" customWidth="1" min="1846" max="1846"/>
    <col width="16" customWidth="1" min="1847" max="1847"/>
    <col width="8.7109375" customWidth="1" min="1848" max="1848"/>
    <col width="16" customWidth="1" min="1849" max="1849"/>
    <col width="8.7109375" customWidth="1" min="1850" max="1850"/>
    <col width="16" customWidth="1" min="1851" max="1851"/>
    <col width="8.7109375" customWidth="1" min="1852" max="1852"/>
    <col width="16" customWidth="1" min="1853" max="1853"/>
    <col width="8.7109375" customWidth="1" min="1854" max="1854"/>
    <col width="16" customWidth="1" min="1855" max="1855"/>
    <col width="8.7109375" customWidth="1" min="1856" max="1856"/>
    <col width="16" customWidth="1" min="1857" max="1857"/>
    <col width="8.7109375" customWidth="1" min="1858" max="1858"/>
    <col width="16" customWidth="1" min="1859" max="1859"/>
    <col width="8.7109375" customWidth="1" min="1860" max="1860"/>
    <col width="16" customWidth="1" min="1861" max="1861"/>
    <col width="8.7109375" customWidth="1" min="1862" max="1862"/>
    <col width="16" customWidth="1" min="1863" max="1863"/>
    <col width="8.7109375" customWidth="1" min="1864" max="1864"/>
    <col width="16" customWidth="1" min="1865" max="1865"/>
    <col width="8.7109375" customWidth="1" min="1866" max="1866"/>
    <col width="16" customWidth="1" min="1867" max="1867"/>
    <col width="8.7109375" customWidth="1" min="1868" max="1868"/>
    <col width="16" customWidth="1" min="1869" max="1869"/>
    <col width="8.7109375" customWidth="1" min="1870" max="1870"/>
    <col width="16" customWidth="1" min="1871" max="1871"/>
    <col width="8.7109375" customWidth="1" min="1872" max="1872"/>
    <col width="16" customWidth="1" min="1873" max="1873"/>
    <col width="8.7109375" customWidth="1" min="1874" max="1874"/>
    <col width="16" customWidth="1" min="1875" max="1876"/>
    <col width="8.7109375" customWidth="1" min="1877" max="1877"/>
    <col width="16" customWidth="1" min="1878" max="1878"/>
    <col width="8.7109375" customWidth="1" min="1879" max="1880"/>
    <col width="16" customWidth="1" min="1881" max="1881"/>
    <col width="8.7109375" customWidth="1" min="1882" max="1882"/>
    <col width="16" customWidth="1" min="1883" max="1883"/>
    <col width="8.7109375" customWidth="1" min="1884" max="1884"/>
    <col width="16" customWidth="1" min="1885" max="1885"/>
    <col width="8.7109375" customWidth="1" min="1886" max="1886"/>
    <col width="16" customWidth="1" min="1887" max="1887"/>
    <col width="8.7109375" customWidth="1" min="1888" max="1888"/>
    <col width="16" customWidth="1" min="1889" max="1889"/>
    <col width="8.7109375" customWidth="1" min="1890" max="1890"/>
    <col width="16" customWidth="1" min="1891" max="1891"/>
    <col width="8.7109375" customWidth="1" min="1892" max="1892"/>
    <col width="16" customWidth="1" min="1893" max="1893"/>
    <col width="8.7109375" customWidth="1" min="1894" max="1894"/>
    <col width="16" customWidth="1" min="1895" max="1895"/>
    <col width="8.7109375" customWidth="1" min="1896" max="1896"/>
    <col width="16" customWidth="1" min="1897" max="1897"/>
    <col width="8.7109375" customWidth="1" min="1898" max="1898"/>
    <col width="16" customWidth="1" min="1899" max="1899"/>
    <col width="8.7109375" customWidth="1" min="1900" max="1900"/>
    <col width="16" customWidth="1" min="1901" max="1901"/>
    <col width="8.7109375" customWidth="1" min="1902" max="1902"/>
    <col width="16" customWidth="1" min="1903" max="1903"/>
    <col width="8.7109375" customWidth="1" min="1904" max="1904"/>
    <col width="16" customWidth="1" min="1905" max="1905"/>
    <col width="8.7109375" customWidth="1" min="1906" max="1906"/>
    <col width="16" customWidth="1" min="1907" max="1907"/>
    <col width="8.7109375" customWidth="1" min="1908" max="1908"/>
    <col width="16" customWidth="1" min="1909" max="1909"/>
    <col width="8.7109375" customWidth="1" min="1910" max="1910"/>
    <col width="16" customWidth="1" min="1911" max="1911"/>
    <col width="8.7109375" customWidth="1" min="1912" max="1912"/>
    <col width="16" customWidth="1" min="1913" max="1913"/>
    <col width="8.7109375" customWidth="1" min="1914" max="1914"/>
    <col width="16" customWidth="1" min="1915" max="1915"/>
    <col width="8.7109375" customWidth="1" min="1916" max="1916"/>
    <col width="16" customWidth="1" min="1917" max="1917"/>
    <col width="8.7109375" customWidth="1" min="1918" max="1918"/>
    <col width="16" customWidth="1" min="1919" max="1919"/>
    <col width="8.7109375" customWidth="1" min="1920" max="1920"/>
    <col width="16" customWidth="1" min="1921" max="1921"/>
    <col width="8.7109375" customWidth="1" min="1922" max="1922"/>
    <col width="16" customWidth="1" min="1923" max="1923"/>
    <col width="8.7109375" customWidth="1" min="1924" max="1924"/>
    <col width="16" customWidth="1" min="1925" max="1925"/>
    <col width="8.7109375" customWidth="1" min="1926" max="1926"/>
    <col width="16" customWidth="1" min="1927" max="1927"/>
    <col width="8.7109375" customWidth="1" min="1928" max="1928"/>
    <col width="16" customWidth="1" min="1929" max="1929"/>
    <col width="8.7109375" customWidth="1" min="1930" max="1930"/>
    <col width="16" customWidth="1" min="1931" max="1931"/>
    <col width="8.7109375" customWidth="1" min="1932" max="1932"/>
    <col width="16" customWidth="1" min="1933" max="1933"/>
    <col width="8.7109375" customWidth="1" min="1934" max="1934"/>
    <col width="16" customWidth="1" min="1935" max="1935"/>
    <col width="8.7109375" customWidth="1" min="1936" max="1936"/>
    <col width="16" customWidth="1" min="1937" max="1937"/>
    <col width="8.7109375" customWidth="1" min="1938" max="1938"/>
    <col width="16" customWidth="1" min="1939" max="1939"/>
    <col width="8.7109375" customWidth="1" min="1940" max="1941"/>
    <col width="16" customWidth="1" min="1942" max="1942"/>
    <col width="8.7109375" customWidth="1" min="1943" max="1943"/>
    <col width="16" customWidth="1" min="1944" max="1944"/>
    <col width="8.7109375" customWidth="1" min="1945" max="1945"/>
    <col width="16" customWidth="1" min="1946" max="1946"/>
    <col width="8.7109375" customWidth="1" min="1947" max="1947"/>
    <col width="16" customWidth="1" min="1948" max="1948"/>
    <col width="8.7109375" customWidth="1" min="1949" max="1949"/>
    <col width="16" customWidth="1" min="1950" max="1950"/>
    <col width="8.7109375" customWidth="1" min="1951" max="1951"/>
    <col width="16" customWidth="1" min="1952" max="1952"/>
    <col width="8.7109375" customWidth="1" min="1953" max="1953"/>
    <col width="16" customWidth="1" min="1954" max="1954"/>
    <col width="8.7109375" customWidth="1" min="1955" max="1956"/>
    <col width="16" customWidth="1" min="1957" max="1959"/>
    <col width="8.7109375" customWidth="1" min="1960" max="1962"/>
    <col width="16" customWidth="1" min="1963" max="1963"/>
    <col width="8.7109375" customWidth="1" min="1964" max="1964"/>
    <col width="16" customWidth="1" min="1965" max="1965"/>
    <col width="8.7109375" customWidth="1" min="1966" max="1966"/>
    <col width="16" customWidth="1" min="1967" max="1967"/>
    <col width="8.7109375" customWidth="1" min="1968" max="1968"/>
    <col width="16" customWidth="1" min="1969" max="1970"/>
    <col width="8.7109375" customWidth="1" min="1971" max="1971"/>
    <col width="16" customWidth="1" min="1972" max="1972"/>
    <col width="8.7109375" customWidth="1" min="1973" max="1973"/>
    <col width="16" customWidth="1" min="1974" max="1974"/>
    <col width="8.7109375" customWidth="1" min="1975" max="1975"/>
    <col width="16" customWidth="1" min="1976" max="1976"/>
    <col width="8.7109375" customWidth="1" min="1977" max="1977"/>
    <col width="16" customWidth="1" min="1978" max="1978"/>
    <col width="8.7109375" customWidth="1" min="1979" max="1979"/>
    <col width="16" customWidth="1" min="1980" max="1980"/>
    <col width="8.7109375" customWidth="1" min="1981" max="1981"/>
    <col width="16" customWidth="1" min="1982" max="1982"/>
    <col width="8.7109375" customWidth="1" min="1983" max="1983"/>
    <col width="16" customWidth="1" min="1984" max="1984"/>
    <col width="8.7109375" customWidth="1" min="1985" max="1985"/>
    <col width="16" customWidth="1" min="1986" max="1986"/>
    <col width="8.7109375" customWidth="1" min="1987" max="1987"/>
    <col width="16" customWidth="1" min="1988" max="1988"/>
    <col width="8.7109375" customWidth="1" min="1989" max="1989"/>
    <col width="16" customWidth="1" min="1990" max="1990"/>
    <col width="8.7109375" customWidth="1" min="1991" max="1991"/>
    <col width="16" customWidth="1" min="1992" max="1992"/>
    <col width="8.7109375" customWidth="1" min="1993" max="1993"/>
    <col width="16" customWidth="1" min="1994" max="1994"/>
    <col width="8.7109375" customWidth="1" min="1995" max="1995"/>
    <col width="16" customWidth="1" min="1996" max="1996"/>
    <col width="8.7109375" customWidth="1" min="1997" max="1997"/>
    <col width="16" customWidth="1" min="1998" max="1998"/>
    <col width="8.7109375" customWidth="1" min="1999" max="1999"/>
    <col width="16" customWidth="1" min="2000" max="2000"/>
    <col width="8.7109375" customWidth="1" min="2001" max="2001"/>
    <col width="16" customWidth="1" min="2002" max="2002"/>
    <col width="8.7109375" customWidth="1" min="2003" max="2003"/>
    <col width="16" customWidth="1" min="2004" max="2004"/>
    <col width="8.7109375" customWidth="1" min="2005" max="2005"/>
    <col width="16" customWidth="1" min="2006" max="2006"/>
    <col width="8.7109375" customWidth="1" min="2007" max="2007"/>
    <col width="16" customWidth="1" min="2008" max="2008"/>
    <col width="8.7109375" customWidth="1" min="2009" max="2009"/>
    <col width="16" customWidth="1" min="2010" max="2010"/>
    <col width="8.7109375" customWidth="1" min="2011" max="2011"/>
    <col width="16" customWidth="1" min="2012" max="2013"/>
    <col width="8.7109375" customWidth="1" min="2014" max="2014"/>
    <col width="16" customWidth="1" min="2015" max="2015"/>
    <col width="8.7109375" customWidth="1" min="2016" max="2016"/>
    <col width="16" customWidth="1" min="2017" max="2017"/>
    <col width="8.7109375" customWidth="1" min="2018" max="2018"/>
    <col width="16" customWidth="1" min="2019" max="2019"/>
    <col width="8.7109375" customWidth="1" min="2020" max="2020"/>
    <col width="16" customWidth="1" min="2021" max="2021"/>
    <col width="8.7109375" customWidth="1" min="2022" max="2022"/>
    <col width="16" customWidth="1" min="2023" max="2023"/>
    <col width="8.7109375" customWidth="1" min="2024" max="2024"/>
    <col width="16" customWidth="1" min="2025" max="2025"/>
    <col width="8.7109375" customWidth="1" min="2026" max="2026"/>
    <col width="16" customWidth="1" min="2027" max="2027"/>
    <col width="8.7109375" customWidth="1" min="2028" max="2028"/>
    <col width="16" customWidth="1" min="2029" max="2029"/>
    <col width="8.7109375" customWidth="1" min="2030" max="2030"/>
    <col width="16" customWidth="1" min="2031" max="2031"/>
    <col width="8.7109375" customWidth="1" min="2032" max="2032"/>
    <col width="16" customWidth="1" min="2033" max="2034"/>
    <col width="8.7109375" customWidth="1" min="2035" max="2035"/>
    <col width="16" customWidth="1" min="2036" max="2037"/>
    <col width="8.7109375" customWidth="1" min="2038" max="2038"/>
    <col width="16" customWidth="1" min="2039" max="2039"/>
    <col width="8.7109375" customWidth="1" min="2040" max="2040"/>
    <col width="16" customWidth="1" min="2041" max="2041"/>
    <col width="8.7109375" customWidth="1" min="2042" max="2042"/>
    <col width="16" customWidth="1" min="2043" max="2043"/>
    <col width="8.7109375" customWidth="1" min="2044" max="2044"/>
    <col width="16" customWidth="1" min="2045" max="2045"/>
    <col width="8.7109375" customWidth="1" min="2046" max="2046"/>
    <col width="16" customWidth="1" min="2047" max="2047"/>
    <col width="8.7109375" customWidth="1" min="2048" max="2048"/>
    <col width="16" customWidth="1" min="2049" max="2049"/>
    <col width="8.7109375" customWidth="1" min="2050" max="2050"/>
    <col width="16" customWidth="1" min="2051" max="2051"/>
    <col width="8.7109375" customWidth="1" min="2052" max="2052"/>
    <col width="16" customWidth="1" min="2053" max="2053"/>
    <col width="8.7109375" customWidth="1" min="2054" max="2054"/>
    <col width="16" customWidth="1" min="2055" max="2056"/>
    <col width="8.7109375" customWidth="1" min="2057" max="2057"/>
    <col width="16" customWidth="1" min="2058" max="2059"/>
    <col width="8.7109375" customWidth="1" min="2060" max="2060"/>
    <col width="16" customWidth="1" min="2061" max="2062"/>
    <col width="8.7109375" customWidth="1" min="2063" max="2063"/>
    <col width="16" customWidth="1" min="2064" max="2065"/>
    <col width="8.7109375" customWidth="1" min="2066" max="2066"/>
    <col width="16" customWidth="1" min="2067" max="2068"/>
    <col width="8.7109375" customWidth="1" min="2069" max="2069"/>
    <col width="16" customWidth="1" min="2070" max="2071"/>
    <col width="8.7109375" customWidth="1" min="2072" max="2072"/>
    <col width="16" customWidth="1" min="2073" max="2074"/>
    <col width="8.7109375" customWidth="1" min="2075" max="2075"/>
    <col width="16" customWidth="1" min="2076" max="2077"/>
    <col width="8.7109375" customWidth="1" min="2078" max="2078"/>
    <col width="16" customWidth="1" min="2079" max="2080"/>
    <col width="8.7109375" customWidth="1" min="2081" max="2081"/>
    <col width="16" customWidth="1" min="2082" max="2083"/>
    <col width="8.7109375" customWidth="1" min="2084" max="2084"/>
    <col width="16" customWidth="1" min="2085" max="2086"/>
    <col width="8.7109375" customWidth="1" min="2087" max="2087"/>
    <col width="16" customWidth="1" min="2088" max="2089"/>
    <col width="8.7109375" customWidth="1" min="2090" max="2090"/>
    <col width="16" customWidth="1" min="2091" max="2092"/>
    <col width="8.7109375" customWidth="1" min="2093" max="2093"/>
    <col width="16" customWidth="1" min="2094" max="2095"/>
    <col width="8.7109375" customWidth="1" min="2096" max="2096"/>
    <col width="16" customWidth="1" min="2097" max="2098"/>
    <col width="8.7109375" customWidth="1" min="2099" max="2099"/>
    <col width="16" customWidth="1" min="2100" max="2101"/>
    <col width="8.7109375" customWidth="1" min="2102" max="2102"/>
    <col width="16" customWidth="1" min="2103" max="2104"/>
    <col width="8.7109375" customWidth="1" min="2105" max="2105"/>
    <col width="16" customWidth="1" min="2106" max="2107"/>
    <col width="8.7109375" customWidth="1" min="2108" max="2108"/>
    <col width="16" customWidth="1" min="2109" max="2110"/>
    <col width="8.7109375" customWidth="1" min="2111" max="2111"/>
    <col width="16" customWidth="1" min="2112" max="2113"/>
    <col width="8.7109375" customWidth="1" min="2114" max="2114"/>
    <col width="16" customWidth="1" min="2115" max="2116"/>
    <col width="8.7109375" customWidth="1" min="2117" max="2117"/>
    <col width="16" customWidth="1" min="2118" max="2119"/>
    <col width="8.7109375" customWidth="1" min="2120" max="2120"/>
    <col width="16" customWidth="1" min="2121" max="2122"/>
    <col width="8.7109375" customWidth="1" min="2123" max="2123"/>
    <col width="16" customWidth="1" min="2124" max="2125"/>
    <col width="8.7109375" customWidth="1" min="2126" max="2126"/>
    <col width="16" customWidth="1" min="2127" max="2128"/>
    <col width="8.7109375" customWidth="1" min="2129" max="2129"/>
    <col width="16" customWidth="1" min="2130" max="2131"/>
    <col width="8.7109375" customWidth="1" min="2132" max="2132"/>
    <col width="16" customWidth="1" min="2133" max="2134"/>
    <col width="8.7109375" customWidth="1" min="2135" max="2135"/>
    <col width="16" customWidth="1" min="2136" max="2137"/>
    <col width="8.7109375" customWidth="1" min="2138" max="2138"/>
    <col width="16" customWidth="1" min="2139" max="2140"/>
    <col width="8.7109375" customWidth="1" min="2141" max="2141"/>
    <col width="16" customWidth="1" min="2142" max="2143"/>
    <col width="8.7109375" customWidth="1" min="2144" max="2144"/>
    <col width="16" customWidth="1" min="2145" max="2146"/>
    <col width="8.7109375" customWidth="1" min="2147" max="2147"/>
    <col width="16" customWidth="1" min="2148" max="2149"/>
    <col width="8.7109375" customWidth="1" min="2150" max="2150"/>
    <col width="16" customWidth="1" min="2151" max="2152"/>
    <col width="8.7109375" customWidth="1" min="2153" max="2153"/>
    <col width="16" customWidth="1" min="2154" max="2155"/>
    <col width="8.7109375" customWidth="1" min="2156" max="2156"/>
    <col width="16" customWidth="1" min="2157" max="2158"/>
    <col width="8.7109375" customWidth="1" min="2159" max="2159"/>
    <col width="16" customWidth="1" min="2160" max="2161"/>
    <col width="8.7109375" customWidth="1" min="2162" max="2162"/>
    <col width="16" customWidth="1" min="2163" max="2164"/>
    <col width="8.7109375" customWidth="1" min="2165" max="2165"/>
    <col width="16" customWidth="1" min="2166" max="2167"/>
    <col width="8.7109375" customWidth="1" min="2168" max="2168"/>
    <col width="16" customWidth="1" min="2169" max="2170"/>
    <col width="8.7109375" customWidth="1" min="2171" max="2171"/>
    <col width="16" customWidth="1" min="2172" max="2173"/>
    <col width="8.7109375" customWidth="1" min="2174" max="2174"/>
    <col width="16" customWidth="1" min="2175" max="2176"/>
    <col width="8.7109375" customWidth="1" min="2177" max="2177"/>
    <col width="16" customWidth="1" min="2178" max="2179"/>
    <col width="8.7109375" customWidth="1" min="2180" max="2180"/>
    <col width="16" customWidth="1" min="2181" max="2182"/>
    <col width="8.7109375" customWidth="1" min="2183" max="2183"/>
    <col width="16" customWidth="1" min="2184" max="2185"/>
    <col width="8.7109375" customWidth="1" min="2186" max="2186"/>
    <col width="16" customWidth="1" min="2187" max="2188"/>
    <col width="8.7109375" customWidth="1" min="2189" max="2189"/>
    <col width="16" customWidth="1" min="2190" max="2191"/>
    <col width="8.7109375" customWidth="1" min="2192" max="2192"/>
    <col width="16" customWidth="1" min="2193" max="2194"/>
    <col width="8.7109375" customWidth="1" min="2195" max="2195"/>
    <col width="16" customWidth="1" min="2196" max="2197"/>
    <col width="8.7109375" customWidth="1" min="2198" max="2198"/>
    <col width="16" customWidth="1" min="2199" max="2200"/>
    <col width="8.7109375" customWidth="1" min="2201" max="2201"/>
    <col width="16" customWidth="1" min="2202" max="2203"/>
    <col width="8.7109375" customWidth="1" min="2204" max="2204"/>
    <col width="16" customWidth="1" min="2205" max="2206"/>
    <col width="8.7109375" customWidth="1" min="2207" max="2207"/>
    <col width="16" customWidth="1" min="2208" max="2209"/>
    <col width="8.7109375" customWidth="1" min="2210" max="2210"/>
    <col width="16" customWidth="1" min="2211" max="2212"/>
    <col width="8.7109375" customWidth="1" min="2213" max="2213"/>
    <col width="16" customWidth="1" min="2214" max="2215"/>
    <col width="8.7109375" customWidth="1" min="2216" max="2216"/>
    <col width="16" customWidth="1" min="2217" max="2218"/>
    <col width="8.7109375" customWidth="1" min="2219" max="2219"/>
    <col width="16" customWidth="1" min="2220" max="2221"/>
    <col width="8.7109375" customWidth="1" min="2222" max="2222"/>
    <col width="16" customWidth="1" min="2223" max="2224"/>
    <col width="8.7109375" customWidth="1" min="2225" max="2225"/>
    <col width="16" customWidth="1" min="2226" max="2227"/>
    <col width="8.7109375" customWidth="1" min="2228" max="2228"/>
    <col width="16" customWidth="1" min="2229" max="2230"/>
    <col width="8.7109375" customWidth="1" min="2231" max="2234"/>
    <col width="16" customWidth="1" min="2235" max="2235"/>
    <col width="8.7109375" customWidth="1" min="2236" max="2236"/>
    <col width="16" customWidth="1" min="2237" max="2239"/>
    <col width="8.7109375" customWidth="1" min="2240" max="2240"/>
    <col width="16" customWidth="1" min="2241" max="2242"/>
    <col width="8.7109375" customWidth="1" min="2243" max="2243"/>
    <col width="16" customWidth="1" min="2244" max="2246"/>
    <col width="8.7109375" customWidth="1" min="2247" max="2248"/>
    <col width="16" customWidth="1" min="2249" max="2249"/>
    <col width="8.7109375" customWidth="1" min="2250" max="2251"/>
    <col width="16" customWidth="1" min="2252" max="2253"/>
    <col width="8.7109375" customWidth="1" min="2254" max="2255"/>
    <col width="16" customWidth="1" min="2256" max="2257"/>
    <col width="8.7109375" customWidth="1" min="2258" max="2258"/>
    <col width="16" customWidth="1" min="2259" max="2260"/>
    <col width="8.7109375" customWidth="1" min="2261" max="2261"/>
    <col width="16" customWidth="1" min="2262" max="2263"/>
    <col width="8.7109375" customWidth="1" min="2264" max="2265"/>
    <col width="16" customWidth="1" min="2266" max="2267"/>
    <col width="8.7109375" customWidth="1" min="2268" max="2268"/>
    <col width="16" customWidth="1" min="2269" max="2270"/>
    <col width="8.7109375" customWidth="1" min="2271" max="2272"/>
    <col width="16" customWidth="1" min="2273" max="2274"/>
    <col width="8.7109375" customWidth="1" min="2275" max="2276"/>
    <col width="16" customWidth="1" min="2277" max="2278"/>
    <col width="8.7109375" customWidth="1" min="2279" max="2279"/>
    <col width="16" customWidth="1" min="2280" max="2280"/>
    <col width="8.7109375" customWidth="1" min="2281" max="2281"/>
    <col width="16" customWidth="1" min="2282" max="2282"/>
    <col width="8.7109375" customWidth="1" min="2283" max="2284"/>
    <col width="16" customWidth="1" min="2285" max="2285"/>
    <col width="8.7109375" customWidth="1" min="2286" max="2286"/>
    <col width="16" customWidth="1" min="2287" max="2287"/>
    <col width="8.7109375" customWidth="1" min="2288" max="2288"/>
    <col width="16" customWidth="1" min="2289" max="2290"/>
    <col width="8.7109375" customWidth="1" min="2291" max="2291"/>
    <col width="16" customWidth="1" min="2292" max="2293"/>
    <col width="8.7109375" customWidth="1" min="2294" max="2295"/>
    <col width="16" customWidth="1" min="2296" max="2297"/>
    <col width="8.7109375" customWidth="1" min="2298" max="2298"/>
    <col width="16" customWidth="1" min="2299" max="2299"/>
    <col width="8.7109375" customWidth="1" min="2300" max="2300"/>
    <col width="16" customWidth="1" min="2301" max="2301"/>
    <col width="8.7109375" customWidth="1" min="2302" max="2302"/>
    <col width="16" customWidth="1" min="2303" max="2303"/>
    <col width="8.7109375" customWidth="1" min="2304" max="2304"/>
    <col width="16" customWidth="1" min="2305" max="2305"/>
    <col width="8.7109375" customWidth="1" min="2306" max="2306"/>
    <col width="16" customWidth="1" min="2307" max="2307"/>
    <col width="8.7109375" customWidth="1" min="2308" max="2308"/>
    <col width="16" customWidth="1" min="2309" max="2309"/>
    <col width="8.7109375" customWidth="1" min="2310" max="2310"/>
    <col width="16" customWidth="1" min="2311" max="2311"/>
    <col width="8.7109375" customWidth="1" min="2312" max="2312"/>
    <col width="16" customWidth="1" min="2313" max="2313"/>
    <col width="8.7109375" customWidth="1" min="2314" max="2314"/>
    <col width="16" customWidth="1" min="2315" max="2316"/>
    <col width="8.7109375" customWidth="1" min="2317" max="2317"/>
    <col width="16" customWidth="1" min="2318" max="2318"/>
    <col width="8.7109375" customWidth="1" min="2319" max="2319"/>
    <col width="16" customWidth="1" min="2320" max="2322"/>
    <col width="8.7109375" customWidth="1" min="2323" max="2323"/>
    <col width="16" customWidth="1" min="2324" max="2327"/>
    <col width="8.7109375" customWidth="1" min="2328" max="2328"/>
    <col width="16" customWidth="1" min="2329" max="2332"/>
    <col width="8.7109375" customWidth="1" min="2333" max="2333"/>
    <col width="16" customWidth="1" min="2334" max="2340"/>
    <col width="8.7109375" customWidth="1" min="2341" max="2342"/>
    <col width="16" customWidth="1" min="2343" max="2343"/>
    <col width="8.7109375" customWidth="1" min="2344" max="2344"/>
    <col width="16" customWidth="1" min="2345" max="2345"/>
    <col width="8.7109375" customWidth="1" min="2346" max="2346"/>
    <col width="16" customWidth="1" min="2347" max="2347"/>
    <col width="8.7109375" customWidth="1" min="2348" max="2348"/>
    <col width="16" customWidth="1" min="2349" max="2349"/>
    <col width="8.7109375" customWidth="1" min="2350" max="2350"/>
    <col width="16" customWidth="1" min="2351" max="2351"/>
    <col width="8.7109375" customWidth="1" min="2352" max="2352"/>
    <col width="16" customWidth="1" min="2353" max="2353"/>
    <col width="8.7109375" customWidth="1" min="2354" max="2354"/>
    <col width="16" customWidth="1" min="2355" max="2355"/>
    <col width="8.7109375" customWidth="1" min="2356" max="2356"/>
    <col width="16" customWidth="1" min="2357" max="2357"/>
    <col width="8.7109375" customWidth="1" min="2358" max="2358"/>
    <col width="16" customWidth="1" min="2359" max="2359"/>
    <col width="8.7109375" customWidth="1" min="2360" max="2360"/>
    <col width="16" customWidth="1" min="2361" max="2361"/>
    <col width="8.7109375" customWidth="1" min="2362" max="2362"/>
    <col width="16" customWidth="1" min="2363" max="2363"/>
    <col width="8.7109375" customWidth="1" min="2364" max="2364"/>
    <col width="16" customWidth="1" min="2365" max="2365"/>
    <col width="8.7109375" customWidth="1" min="2366" max="2366"/>
    <col width="16" customWidth="1" min="2367" max="2367"/>
    <col width="8.7109375" customWidth="1" min="2368" max="2368"/>
    <col width="16" customWidth="1" min="2369" max="2369"/>
    <col width="8.7109375" customWidth="1" min="2370" max="2370"/>
    <col width="16" customWidth="1" min="2371" max="2371"/>
    <col width="8.7109375" customWidth="1" min="2372" max="2372"/>
    <col width="16" customWidth="1" min="2373" max="2373"/>
    <col width="8.7109375" customWidth="1" min="2374" max="2374"/>
    <col width="16" customWidth="1" min="2375" max="2375"/>
    <col width="8.7109375" customWidth="1" min="2376" max="2376"/>
    <col width="16" customWidth="1" min="2377" max="2377"/>
    <col width="8.7109375" customWidth="1" min="2378" max="2378"/>
    <col width="16" customWidth="1" min="2379" max="2379"/>
    <col width="8.7109375" customWidth="1" min="2380" max="2380"/>
    <col width="16" customWidth="1" min="2381" max="2381"/>
    <col width="8.7109375" customWidth="1" min="2382" max="2382"/>
    <col width="16" customWidth="1" min="2383" max="2383"/>
    <col width="8.7109375" customWidth="1" min="2384" max="2384"/>
    <col width="16" customWidth="1" min="2385" max="2385"/>
    <col width="8.7109375" customWidth="1" min="2386" max="2386"/>
    <col width="16" customWidth="1" min="2387" max="2387"/>
    <col width="8.7109375" customWidth="1" min="2388" max="2389"/>
    <col width="16" customWidth="1" min="2390" max="2390"/>
    <col width="8.7109375" customWidth="1" min="2391" max="2392"/>
    <col width="16" customWidth="1" min="2393" max="2393"/>
    <col width="8.7109375" customWidth="1" min="2394" max="2394"/>
    <col width="16" customWidth="1" min="2395" max="2395"/>
    <col width="8.7109375" customWidth="1" min="2396" max="2417"/>
    <col width="16" customWidth="1" min="2418" max="2418"/>
    <col width="8.7109375" customWidth="1" min="2419" max="2419"/>
    <col width="16" customWidth="1" min="2420" max="2420"/>
    <col width="8.7109375" customWidth="1" min="2421" max="2421"/>
    <col width="16" customWidth="1" min="2422" max="2422"/>
    <col width="8.7109375" customWidth="1" min="2423" max="2423"/>
    <col width="16" customWidth="1" min="2424" max="2424"/>
    <col width="8.7109375" customWidth="1" min="2425" max="2425"/>
    <col width="16" customWidth="1" min="2426" max="2426"/>
    <col width="8.7109375" customWidth="1" min="2427" max="2427"/>
    <col width="16" customWidth="1" min="2428" max="2428"/>
    <col width="8.7109375" customWidth="1" min="2429" max="2429"/>
    <col width="16" customWidth="1" min="2430" max="2430"/>
    <col width="8.7109375" customWidth="1" min="2431" max="2431"/>
    <col width="16" customWidth="1" min="2432" max="2432"/>
    <col width="8.7109375" customWidth="1" min="2433" max="2433"/>
    <col width="16" customWidth="1" min="2434" max="2434"/>
    <col width="8.7109375" customWidth="1" min="2435" max="2435"/>
    <col width="16" customWidth="1" min="2436" max="2436"/>
    <col width="8.7109375" customWidth="1" min="2437" max="2437"/>
    <col width="16" customWidth="1" min="2438" max="2438"/>
    <col width="8.7109375" customWidth="1" min="2439" max="2439"/>
    <col width="16" customWidth="1" min="2440" max="2440"/>
    <col width="8.7109375" customWidth="1" min="2441" max="2441"/>
    <col width="16" customWidth="1" min="2442" max="2442"/>
    <col width="8.7109375" customWidth="1" min="2443" max="2443"/>
    <col width="16" customWidth="1" min="2444" max="2444"/>
    <col width="8.7109375" customWidth="1" min="2445" max="2445"/>
    <col width="16" customWidth="1" min="2446" max="2446"/>
    <col width="8.7109375" customWidth="1" min="2447" max="2447"/>
    <col width="16" customWidth="1" min="2448" max="2448"/>
    <col width="8.7109375" customWidth="1" min="2449" max="2449"/>
    <col width="16" customWidth="1" min="2450" max="2450"/>
    <col width="8.7109375" customWidth="1" min="2451" max="2451"/>
    <col width="16" customWidth="1" min="2452" max="2452"/>
    <col width="8.7109375" customWidth="1" min="2453" max="2453"/>
    <col width="16" customWidth="1" min="2454" max="2454"/>
    <col width="8.7109375" customWidth="1" min="2455" max="2455"/>
    <col width="16" customWidth="1" min="2456" max="2456"/>
    <col width="8.7109375" customWidth="1" min="2457" max="2457"/>
    <col width="16" customWidth="1" min="2458" max="2458"/>
    <col width="8.7109375" customWidth="1" min="2459" max="2459"/>
    <col width="16" customWidth="1" min="2460" max="2460"/>
    <col width="8.7109375" customWidth="1" min="2461" max="2461"/>
    <col width="16" customWidth="1" min="2462" max="2462"/>
    <col width="8.7109375" customWidth="1" min="2463" max="2463"/>
    <col width="16" customWidth="1" min="2464" max="2464"/>
    <col width="8.7109375" customWidth="1" min="2465" max="2465"/>
    <col width="16" customWidth="1" min="2466" max="2466"/>
    <col width="8.7109375" customWidth="1" min="2467" max="2467"/>
    <col width="16" customWidth="1" min="2468" max="2468"/>
    <col width="8.7109375" customWidth="1" min="2469" max="2469"/>
    <col width="16" customWidth="1" min="2470" max="2470"/>
    <col width="8.7109375" customWidth="1" min="2471" max="2471"/>
    <col width="16" customWidth="1" min="2472" max="2472"/>
    <col width="8.7109375" customWidth="1" min="2473" max="2473"/>
    <col width="16" customWidth="1" min="2474" max="2474"/>
    <col width="8.7109375" customWidth="1" min="2475" max="2475"/>
    <col width="16" customWidth="1" min="2476" max="2476"/>
    <col width="8.7109375" customWidth="1" min="2477" max="2477"/>
    <col width="16" customWidth="1" min="2478" max="2478"/>
    <col width="8.7109375" customWidth="1" min="2479" max="2479"/>
    <col width="16" customWidth="1" min="2480" max="2480"/>
    <col width="8.7109375" customWidth="1" min="2481" max="2481"/>
    <col width="16" customWidth="1" min="2482" max="2482"/>
    <col width="8.7109375" customWidth="1" min="2483" max="2483"/>
    <col width="16" customWidth="1" min="2484" max="2484"/>
    <col width="8.7109375" customWidth="1" min="2485" max="2485"/>
    <col width="16" customWidth="1" min="2486" max="2486"/>
    <col width="8.7109375" customWidth="1" min="2487" max="2487"/>
    <col width="16" customWidth="1" min="2488" max="2488"/>
    <col width="8.7109375" customWidth="1" min="2489" max="2489"/>
    <col width="16" customWidth="1" min="2490" max="2490"/>
    <col width="8.7109375" customWidth="1" min="2491" max="2491"/>
    <col width="16" customWidth="1" min="2492" max="2492"/>
    <col width="8.7109375" customWidth="1" min="2493" max="2493"/>
    <col width="16" customWidth="1" min="2494" max="2494"/>
    <col width="8.7109375" customWidth="1" min="2495" max="2495"/>
    <col width="16" customWidth="1" min="2496" max="2496"/>
    <col width="8.7109375" customWidth="1" min="2497" max="2497"/>
    <col width="16" customWidth="1" min="2498" max="2498"/>
    <col width="8.7109375" customWidth="1" min="2499" max="2499"/>
    <col width="16" customWidth="1" min="2500" max="2500"/>
    <col width="8.7109375" customWidth="1" min="2501" max="2501"/>
    <col width="16" customWidth="1" min="2502" max="2502"/>
    <col width="8.7109375" customWidth="1" min="2503" max="2503"/>
    <col width="16" customWidth="1" min="2504" max="2504"/>
    <col width="8.7109375" customWidth="1" min="2505" max="2505"/>
    <col width="16" customWidth="1" min="2506" max="2506"/>
    <col width="8.7109375" customWidth="1" min="2507" max="2507"/>
    <col width="16" customWidth="1" min="2508" max="2508"/>
    <col width="8.7109375" customWidth="1" min="2509" max="2509"/>
    <col width="16" customWidth="1" min="2510" max="2510"/>
    <col width="8.7109375" customWidth="1" min="2511" max="2511"/>
    <col width="16" customWidth="1" min="2512" max="2512"/>
    <col width="8.7109375" customWidth="1" min="2513" max="2513"/>
    <col width="16" customWidth="1" min="2514" max="2514"/>
    <col width="8.7109375" customWidth="1" min="2515" max="2515"/>
    <col width="16" customWidth="1" min="2516" max="2516"/>
    <col width="8.7109375" customWidth="1" min="2517" max="2517"/>
    <col width="16" customWidth="1" min="2518" max="2518"/>
    <col width="8.7109375" customWidth="1" min="2519" max="2519"/>
    <col width="16" customWidth="1" min="2520" max="2520"/>
    <col width="8.7109375" customWidth="1" min="2521" max="2521"/>
    <col width="16" customWidth="1" min="2522" max="2522"/>
    <col width="8.7109375" customWidth="1" min="2523" max="2523"/>
    <col width="16" customWidth="1" min="2524" max="2524"/>
    <col width="8.7109375" customWidth="1" min="2525" max="2525"/>
    <col width="16" customWidth="1" min="2526" max="2526"/>
    <col width="8.7109375" customWidth="1" min="2527" max="2527"/>
    <col width="16" customWidth="1" min="2528" max="2528"/>
    <col width="8.7109375" customWidth="1" min="2529" max="2529"/>
    <col width="16" customWidth="1" min="2530" max="2530"/>
    <col width="8.7109375" customWidth="1" min="2531" max="2531"/>
    <col width="16" customWidth="1" min="2532" max="2532"/>
    <col width="8.7109375" customWidth="1" min="2533" max="2533"/>
    <col width="16" customWidth="1" min="2534" max="2534"/>
    <col width="8.7109375" customWidth="1" min="2535" max="2535"/>
    <col width="16" customWidth="1" min="2536" max="2536"/>
    <col width="8.7109375" customWidth="1" min="2537" max="2537"/>
    <col width="16" customWidth="1" min="2538" max="2538"/>
    <col width="8.7109375" customWidth="1" min="2539" max="2539"/>
    <col width="16" customWidth="1" min="2540" max="2540"/>
    <col width="8.7109375" customWidth="1" min="2541" max="2541"/>
    <col width="16" customWidth="1" min="2542" max="2542"/>
    <col width="8.7109375" customWidth="1" min="2543" max="2543"/>
    <col width="16" customWidth="1" min="2544" max="2544"/>
    <col width="8.7109375" customWidth="1" min="2545" max="2545"/>
    <col width="16" customWidth="1" min="2546" max="2546"/>
    <col width="8.7109375" customWidth="1" min="2547" max="2547"/>
    <col width="16" customWidth="1" min="2548" max="2548"/>
    <col width="8.7109375" customWidth="1" min="2549" max="2549"/>
    <col width="16" customWidth="1" min="2550" max="2550"/>
    <col width="8.7109375" customWidth="1" min="2551" max="2551"/>
    <col width="16" customWidth="1" min="2552" max="2552"/>
    <col width="8.7109375" customWidth="1" min="2553" max="2553"/>
    <col width="16" customWidth="1" min="2554" max="2554"/>
    <col width="8.7109375" customWidth="1" min="2555" max="2555"/>
    <col width="16" customWidth="1" min="2556" max="2556"/>
    <col width="8.7109375" customWidth="1" min="2557" max="2557"/>
    <col width="16" customWidth="1" min="2558" max="2558"/>
    <col width="8.7109375" customWidth="1" min="2559" max="2559"/>
    <col width="16" customWidth="1" min="2560" max="2560"/>
    <col width="8.7109375" customWidth="1" min="2561" max="2561"/>
    <col width="16" customWidth="1" min="2562" max="2562"/>
    <col width="8.7109375" customWidth="1" min="2563" max="2563"/>
    <col width="16" customWidth="1" min="2564" max="2564"/>
    <col width="8.7109375" customWidth="1" min="2565" max="2565"/>
    <col width="16" customWidth="1" min="2566" max="2566"/>
    <col width="8.7109375" customWidth="1" min="2567" max="2567"/>
    <col width="16" customWidth="1" min="2568" max="2568"/>
    <col width="8.7109375" customWidth="1" min="2569" max="2569"/>
    <col width="16" customWidth="1" min="2570" max="2570"/>
    <col width="8.7109375" customWidth="1" min="2571" max="2571"/>
    <col width="16" customWidth="1" min="2572" max="2572"/>
    <col width="8.7109375" customWidth="1" min="2573" max="2573"/>
    <col width="16" customWidth="1" min="2574" max="2574"/>
    <col width="8.7109375" customWidth="1" min="2575" max="2575"/>
    <col width="16" customWidth="1" min="2576" max="2576"/>
    <col width="8.7109375" customWidth="1" min="2577" max="2577"/>
    <col width="16" customWidth="1" min="2578" max="2578"/>
    <col width="8.7109375" customWidth="1" min="2579" max="2579"/>
    <col width="16" customWidth="1" min="2580" max="2580"/>
    <col width="8.7109375" customWidth="1" min="2581" max="2581"/>
    <col width="16" customWidth="1" min="2582" max="2582"/>
    <col width="8.7109375" customWidth="1" min="2583" max="2583"/>
    <col width="16" customWidth="1" min="2584" max="2584"/>
    <col width="8.7109375" customWidth="1" min="2585" max="2585"/>
    <col width="16" customWidth="1" min="2586" max="2586"/>
    <col width="8.7109375" customWidth="1" min="2587" max="2587"/>
    <col width="16" customWidth="1" min="2588" max="2588"/>
    <col width="8.7109375" customWidth="1" min="2589" max="2589"/>
    <col width="16" customWidth="1" min="2590" max="2590"/>
    <col width="8.7109375" customWidth="1" min="2591" max="2591"/>
    <col width="16" customWidth="1" min="2592" max="2592"/>
    <col width="8.7109375" customWidth="1" min="2593" max="2593"/>
    <col width="16" customWidth="1" min="2594" max="2594"/>
    <col width="8.7109375" customWidth="1" min="2595" max="2595"/>
    <col width="16" customWidth="1" min="2596" max="2596"/>
    <col width="8.7109375" customWidth="1" min="2597" max="2597"/>
    <col width="16" customWidth="1" min="2598" max="2598"/>
    <col width="8.7109375" customWidth="1" min="2599" max="2599"/>
    <col width="16" customWidth="1" min="2600" max="2600"/>
    <col width="8.7109375" customWidth="1" min="2601" max="2601"/>
    <col width="16" customWidth="1" min="2602" max="2602"/>
    <col width="8.7109375" customWidth="1" min="2603" max="2603"/>
    <col width="16" customWidth="1" min="2604" max="2604"/>
    <col width="8.7109375" customWidth="1" min="2605" max="2605"/>
    <col width="16" customWidth="1" min="2606" max="2606"/>
    <col width="8.7109375" customWidth="1" min="2607" max="2607"/>
    <col width="16" customWidth="1" min="2608" max="2608"/>
    <col width="8.7109375" customWidth="1" min="2609" max="2609"/>
    <col width="16" customWidth="1" min="2610" max="2610"/>
    <col width="8.7109375" customWidth="1" min="2611" max="2611"/>
    <col width="16" customWidth="1" min="2612" max="2612"/>
    <col width="8.7109375" customWidth="1" min="2613" max="2613"/>
    <col width="16" customWidth="1" min="2614" max="2614"/>
    <col width="8.7109375" customWidth="1" min="2615" max="2615"/>
    <col width="16" customWidth="1" min="2616" max="2616"/>
    <col width="8.7109375" customWidth="1" min="2617" max="2617"/>
    <col width="16" customWidth="1" min="2618" max="2618"/>
    <col width="8.7109375" customWidth="1" min="2619" max="2619"/>
    <col width="16" customWidth="1" min="2620" max="2620"/>
    <col width="8.7109375" customWidth="1" min="2621" max="2621"/>
    <col width="16" customWidth="1" min="2622" max="2622"/>
    <col width="8.7109375" customWidth="1" min="2623" max="2623"/>
    <col width="16" customWidth="1" min="2624" max="2624"/>
    <col width="8.7109375" customWidth="1" min="2625" max="2625"/>
    <col width="16" customWidth="1" min="2626" max="2626"/>
    <col width="8.7109375" customWidth="1" min="2627" max="2627"/>
    <col width="16" customWidth="1" min="2628" max="2628"/>
    <col width="8.7109375" customWidth="1" min="2629" max="2629"/>
    <col width="16" customWidth="1" min="2630" max="2630"/>
    <col width="8.7109375" customWidth="1" min="2631" max="2631"/>
    <col width="16" customWidth="1" min="2632" max="2632"/>
    <col width="8.7109375" customWidth="1" min="2633" max="2633"/>
    <col width="16" customWidth="1" min="2634" max="2634"/>
    <col width="8.7109375" customWidth="1" min="2635" max="2635"/>
    <col width="16" customWidth="1" min="2636" max="2636"/>
    <col width="8.7109375" customWidth="1" min="2637" max="2637"/>
    <col width="16" customWidth="1" min="2638" max="2638"/>
    <col width="8.7109375" customWidth="1" min="2639" max="2639"/>
    <col width="16" customWidth="1" min="2640" max="2640"/>
    <col width="8.7109375" customWidth="1" min="2641" max="2693"/>
    <col width="16" customWidth="1" min="2694" max="2695"/>
    <col width="8.7109375" customWidth="1" min="2696" max="2696"/>
    <col width="16" customWidth="1" min="2697" max="2698"/>
    <col width="8.7109375" customWidth="1" min="2699" max="2699"/>
    <col width="16" customWidth="1" min="2700" max="2701"/>
    <col width="8.7109375" customWidth="1" min="2702" max="2702"/>
    <col width="16" customWidth="1" min="2703" max="2704"/>
    <col width="8.7109375" customWidth="1" min="2705" max="2705"/>
    <col width="16" customWidth="1" min="2706" max="2707"/>
    <col width="8.7109375" customWidth="1" min="2708" max="2708"/>
    <col width="16" customWidth="1" min="2709" max="2710"/>
    <col width="8.7109375" customWidth="1" min="2711" max="2711"/>
    <col width="16" customWidth="1" min="2712" max="2713"/>
    <col width="8.7109375" customWidth="1" min="2714" max="2714"/>
    <col width="16" customWidth="1" min="2715" max="2716"/>
    <col width="8.7109375" customWidth="1" min="2717" max="2717"/>
    <col width="16" customWidth="1" min="2718" max="2719"/>
    <col width="8.7109375" customWidth="1" min="2720" max="2720"/>
    <col width="16" customWidth="1" min="2721" max="2722"/>
    <col width="8.7109375" customWidth="1" min="2723" max="2723"/>
    <col width="16" customWidth="1" min="2724" max="2725"/>
    <col width="8.7109375" customWidth="1" min="2726" max="2726"/>
    <col width="16" customWidth="1" min="2727" max="2728"/>
    <col width="8.7109375" customWidth="1" min="2729" max="2729"/>
    <col width="16" customWidth="1" min="2730" max="2731"/>
    <col width="8.7109375" customWidth="1" min="2732" max="2732"/>
    <col width="16" customWidth="1" min="2733" max="2734"/>
    <col width="8.7109375" customWidth="1" min="2735" max="2735"/>
    <col width="16" customWidth="1" min="2736" max="2737"/>
    <col width="8.7109375" customWidth="1" min="2738" max="2738"/>
    <col width="16" customWidth="1" min="2739" max="2740"/>
    <col width="8.7109375" customWidth="1" min="2741" max="2741"/>
    <col width="16" customWidth="1" min="2742" max="2743"/>
    <col width="8.7109375" customWidth="1" min="2744" max="2744"/>
    <col width="16" customWidth="1" min="2745" max="2746"/>
    <col width="8.7109375" customWidth="1" min="2747" max="2747"/>
    <col width="16" customWidth="1" min="2748" max="2749"/>
    <col width="8.7109375" customWidth="1" min="2750" max="2750"/>
    <col width="16" customWidth="1" min="2751" max="2752"/>
    <col width="8.7109375" customWidth="1" min="2753" max="2753"/>
    <col width="16" customWidth="1" min="2754" max="2755"/>
    <col width="8.7109375" customWidth="1" min="2756" max="2756"/>
    <col width="16" customWidth="1" min="2757" max="2758"/>
    <col width="8.7109375" customWidth="1" min="2759" max="2759"/>
    <col width="16" customWidth="1" min="2760" max="2761"/>
    <col width="8.7109375" customWidth="1" min="2762" max="2762"/>
    <col width="16" customWidth="1" min="2763" max="2764"/>
    <col width="8.7109375" customWidth="1" min="2765" max="2765"/>
    <col width="16" customWidth="1" min="2766" max="2767"/>
    <col width="8.7109375" customWidth="1" min="2768" max="2768"/>
    <col width="16" customWidth="1" min="2769" max="2770"/>
    <col width="8.7109375" customWidth="1" min="2771" max="2771"/>
    <col width="16" customWidth="1" min="2772" max="2773"/>
    <col width="8.7109375" customWidth="1" min="2774" max="2774"/>
    <col width="16" customWidth="1" min="2775" max="2776"/>
    <col width="8.7109375" customWidth="1" min="2777" max="2777"/>
    <col width="16" customWidth="1" min="2778" max="2779"/>
    <col width="8.7109375" customWidth="1" min="2780" max="2780"/>
    <col width="16" customWidth="1" min="2781" max="2782"/>
    <col width="8.7109375" customWidth="1" min="2783" max="2783"/>
    <col width="16" customWidth="1" min="2784" max="2785"/>
    <col width="8.7109375" customWidth="1" min="2786" max="2786"/>
    <col width="16" customWidth="1" min="2787" max="2788"/>
    <col width="8.7109375" customWidth="1" min="2789" max="2789"/>
    <col width="16" customWidth="1" min="2790" max="2791"/>
    <col width="8.7109375" customWidth="1" min="2792" max="2792"/>
    <col width="16" customWidth="1" min="2793" max="2794"/>
    <col width="8.7109375" customWidth="1" min="2795" max="2795"/>
    <col width="16" customWidth="1" min="2796" max="2797"/>
    <col width="8.7109375" customWidth="1" min="2798" max="2798"/>
    <col width="16" customWidth="1" min="2799" max="2800"/>
    <col width="8.7109375" customWidth="1" min="2801" max="2801"/>
    <col width="16" customWidth="1" min="2802" max="2803"/>
    <col width="8.7109375" customWidth="1" min="2804" max="2804"/>
    <col width="16" customWidth="1" min="2805" max="2806"/>
    <col width="8.7109375" customWidth="1" min="2807" max="2807"/>
    <col width="16" customWidth="1" min="2808" max="2809"/>
    <col width="8.7109375" customWidth="1" min="2810" max="2810"/>
    <col width="16" customWidth="1" min="2811" max="2812"/>
    <col width="8.7109375" customWidth="1" min="2813" max="2813"/>
    <col width="16" customWidth="1" min="2814" max="2815"/>
    <col width="8.7109375" customWidth="1" min="2816" max="2816"/>
    <col width="16" customWidth="1" min="2817" max="2818"/>
    <col width="8.7109375" customWidth="1" min="2819" max="2819"/>
    <col width="16" customWidth="1" min="2820" max="2821"/>
    <col width="8.7109375" customWidth="1" min="2822" max="2822"/>
    <col width="16" customWidth="1" min="2823" max="2824"/>
    <col width="8.7109375" customWidth="1" min="2825" max="2825"/>
    <col width="16" customWidth="1" min="2826" max="2827"/>
    <col width="8.7109375" customWidth="1" min="2828" max="2828"/>
    <col width="16" customWidth="1" min="2829" max="2830"/>
    <col width="8.7109375" customWidth="1" min="2831" max="2831"/>
    <col width="16" customWidth="1" min="2832" max="2833"/>
    <col width="8.7109375" customWidth="1" min="2834" max="2834"/>
    <col width="16" customWidth="1" min="2835" max="2836"/>
    <col width="8.7109375" customWidth="1" min="2837" max="2837"/>
    <col width="16" customWidth="1" min="2838" max="2839"/>
    <col width="8.7109375" customWidth="1" min="2840" max="2840"/>
    <col width="16" customWidth="1" min="2841" max="2843"/>
    <col width="8.7109375" customWidth="1" min="2844" max="2844"/>
    <col width="16" customWidth="1" min="2845" max="2847"/>
    <col width="8.7109375" customWidth="1" min="2848" max="2848"/>
    <col width="16" customWidth="1" min="2849" max="2850"/>
    <col width="8.7109375" customWidth="1" min="2851" max="2851"/>
    <col width="16" customWidth="1" min="2852" max="2856"/>
    <col width="8.7109375" customWidth="1" min="2857" max="2857"/>
    <col width="16" customWidth="1" min="2858" max="2862"/>
    <col width="8.7109375" customWidth="1" min="2863" max="2863"/>
    <col width="16" customWidth="1" min="2864" max="2868"/>
    <col width="8.7109375" customWidth="1" min="2869" max="2869"/>
    <col width="16" customWidth="1" min="2870" max="2875"/>
    <col width="8.7109375" customWidth="1" min="2876" max="2876"/>
    <col width="16" customWidth="1" min="2877" max="2882"/>
    <col width="8.7109375" customWidth="1" min="2883" max="2883"/>
    <col width="16" customWidth="1" min="2884" max="2889"/>
    <col width="8.7109375" customWidth="1" min="2890" max="2890"/>
    <col width="16" customWidth="1" min="2891" max="2896"/>
    <col width="8.7109375" customWidth="1" min="2897" max="2897"/>
    <col width="16" customWidth="1" min="2898" max="2903"/>
    <col width="8.7109375" customWidth="1" min="2904" max="2904"/>
    <col width="16" customWidth="1" min="2905" max="2910"/>
    <col width="8.7109375" customWidth="1" min="2911" max="2911"/>
    <col width="16" customWidth="1" min="2912" max="2917"/>
    <col width="8.7109375" customWidth="1" min="2918" max="2918"/>
    <col width="16" customWidth="1" min="2919" max="2924"/>
    <col width="8.7109375" customWidth="1" min="2925" max="2925"/>
    <col width="16" customWidth="1" min="2926" max="2931"/>
    <col width="8.7109375" customWidth="1" min="2932" max="2932"/>
    <col width="16" customWidth="1" min="2933" max="2938"/>
    <col width="8.7109375" customWidth="1" min="2939" max="2939"/>
    <col width="16" customWidth="1" min="2940" max="2945"/>
    <col width="8.7109375" customWidth="1" min="2946" max="2946"/>
    <col width="16" customWidth="1" min="2947" max="2952"/>
    <col width="8.7109375" customWidth="1" min="2953" max="2953"/>
    <col width="16" customWidth="1" min="2954" max="2959"/>
    <col width="8.7109375" customWidth="1" min="2960" max="2960"/>
    <col width="16" customWidth="1" min="2961" max="2966"/>
    <col width="8.7109375" customWidth="1" min="2967" max="2967"/>
    <col width="16" customWidth="1" min="2968" max="2973"/>
    <col width="8.7109375" customWidth="1" min="2974" max="2974"/>
    <col width="16" customWidth="1" min="2975" max="2980"/>
    <col width="8.7109375" customWidth="1" min="2981" max="2981"/>
    <col width="16" customWidth="1" min="2982" max="2987"/>
    <col width="8.7109375" customWidth="1" min="2988" max="2988"/>
    <col width="16" customWidth="1" min="2989" max="2994"/>
    <col width="8.7109375" customWidth="1" min="2995" max="2995"/>
    <col width="16" customWidth="1" min="2996" max="3001"/>
    <col width="8.7109375" customWidth="1" min="3002" max="3002"/>
    <col width="16" customWidth="1" min="3003" max="3008"/>
    <col width="8.7109375" customWidth="1" min="3009" max="3009"/>
    <col width="16" customWidth="1" min="3010" max="3015"/>
    <col width="8.7109375" customWidth="1" min="3016" max="3016"/>
    <col width="16" customWidth="1" min="3017" max="3022"/>
    <col width="8.7109375" customWidth="1" min="3023" max="3023"/>
    <col width="16" customWidth="1" min="3024" max="3029"/>
    <col width="8.7109375" customWidth="1" min="3030" max="3030"/>
    <col width="16" customWidth="1" min="3031" max="3036"/>
    <col width="8.7109375" customWidth="1" min="3037" max="3037"/>
    <col width="16" customWidth="1" min="3038" max="3043"/>
    <col width="8.7109375" customWidth="1" min="3044" max="3044"/>
    <col width="16" customWidth="1" min="3045" max="3050"/>
    <col width="8.7109375" customWidth="1" min="3051" max="3051"/>
    <col width="16" customWidth="1" min="3052" max="3057"/>
    <col width="8.7109375" customWidth="1" min="3058" max="3058"/>
    <col width="16" customWidth="1" min="3059" max="3064"/>
    <col width="8.7109375" customWidth="1" min="3065" max="3065"/>
    <col width="16" customWidth="1" min="3066" max="3071"/>
    <col width="8.7109375" customWidth="1" min="3072" max="3072"/>
    <col width="16" customWidth="1" min="3073" max="3078"/>
    <col width="8.7109375" customWidth="1" min="3079" max="3079"/>
    <col width="16" customWidth="1" min="3080" max="3090"/>
    <col width="8.7109375" customWidth="1" min="3091" max="3091"/>
    <col width="16" customWidth="1" min="3092" max="3097"/>
    <col width="8.7109375" customWidth="1" min="3098" max="3098"/>
    <col width="16" customWidth="1" min="3099" max="3104"/>
    <col width="8.7109375" customWidth="1" min="3105" max="3105"/>
    <col width="16" customWidth="1" min="3106" max="3111"/>
    <col width="8.7109375" customWidth="1" min="3112" max="3112"/>
    <col width="16" customWidth="1" min="3113" max="3118"/>
    <col width="8.7109375" customWidth="1" min="3119" max="3119"/>
    <col width="16" customWidth="1" min="3120" max="3125"/>
    <col width="8.7109375" customWidth="1" min="3126" max="3126"/>
    <col width="16" customWidth="1" min="3127" max="3132"/>
    <col width="8.7109375" customWidth="1" min="3133" max="3133"/>
    <col width="16" customWidth="1" min="3134" max="3139"/>
    <col width="8.7109375" customWidth="1" min="3140" max="3140"/>
    <col width="16" customWidth="1" min="3141" max="3146"/>
    <col width="8.7109375" customWidth="1" min="3147" max="3147"/>
    <col width="16" customWidth="1" min="3148" max="3148"/>
    <col width="8.7109375" customWidth="1" min="3149" max="3149"/>
    <col width="16" customWidth="1" min="3150" max="3155"/>
    <col width="8.7109375" customWidth="1" min="3156" max="3156"/>
    <col width="16" customWidth="1" min="3157" max="3158"/>
    <col width="8.7109375" customWidth="1" min="3159" max="3159"/>
    <col width="16" customWidth="1" min="3160" max="3161"/>
    <col width="8.7109375" customWidth="1" min="3162" max="3162"/>
    <col width="16" customWidth="1" min="3163" max="3165"/>
    <col width="8.7109375" customWidth="1" min="3166" max="3166"/>
    <col width="16" customWidth="1" min="3167" max="3167"/>
    <col width="8.7109375" customWidth="1" min="3168" max="3168"/>
    <col width="16" customWidth="1" min="3169" max="3169"/>
    <col width="8.7109375" customWidth="1" min="3170" max="3170"/>
    <col width="16" customWidth="1" min="3171" max="3171"/>
    <col width="8.7109375" customWidth="1" min="3172" max="3172"/>
    <col width="16" customWidth="1" min="3173" max="3173"/>
    <col width="8.7109375" customWidth="1" min="3174" max="3174"/>
    <col width="16" customWidth="1" min="3175" max="3175"/>
    <col width="8.7109375" customWidth="1" min="3176" max="3176"/>
    <col width="16" customWidth="1" min="3177" max="3177"/>
    <col width="8.7109375" customWidth="1" min="3178" max="3178"/>
    <col width="16" customWidth="1" min="3179" max="3179"/>
    <col width="8.7109375" customWidth="1" min="3180" max="3180"/>
    <col width="16" customWidth="1" min="3181" max="3181"/>
    <col width="8.7109375" customWidth="1" min="3182" max="3182"/>
    <col width="16" customWidth="1" min="3183" max="3183"/>
    <col width="8.7109375" customWidth="1" min="3184" max="3184"/>
    <col width="16" customWidth="1" min="3185" max="3185"/>
    <col width="8.7109375" customWidth="1" min="3186" max="3186"/>
    <col width="16" customWidth="1" min="3187" max="3187"/>
    <col width="8.7109375" customWidth="1" min="3188" max="3188"/>
    <col width="16" customWidth="1" min="3189" max="3189"/>
    <col width="8.7109375" customWidth="1" min="3190" max="3190"/>
    <col width="16" customWidth="1" min="3191" max="3191"/>
    <col width="8.7109375" customWidth="1" min="3192" max="3192"/>
    <col width="16" customWidth="1" min="3193" max="3193"/>
    <col width="8.7109375" customWidth="1" min="3194" max="3194"/>
    <col width="16" customWidth="1" min="3195" max="3195"/>
    <col width="8.7109375" customWidth="1" min="3196" max="3196"/>
    <col width="16" customWidth="1" min="3197" max="3197"/>
    <col width="8.7109375" customWidth="1" min="3198" max="3198"/>
    <col width="16" customWidth="1" min="3199" max="3199"/>
    <col width="8.7109375" customWidth="1" min="3200" max="3200"/>
    <col width="16" customWidth="1" min="3201" max="3201"/>
    <col width="8.7109375" customWidth="1" min="3202" max="3203"/>
    <col width="16" customWidth="1" min="3204" max="3206"/>
    <col width="8.7109375" customWidth="1" min="3207" max="3207"/>
    <col width="16" customWidth="1" min="3208" max="3211"/>
    <col width="8.7109375" customWidth="1" min="3212" max="3212"/>
    <col width="16" customWidth="1" min="3213" max="3216"/>
    <col width="8.7109375" customWidth="1" min="3217" max="3217"/>
    <col width="16" customWidth="1" min="3218" max="3221"/>
    <col width="8.7109375" customWidth="1" min="3222" max="3222"/>
    <col width="16" customWidth="1" min="3223" max="3226"/>
    <col width="8.7109375" customWidth="1" min="3227" max="3227"/>
    <col width="16" customWidth="1" min="3228" max="3231"/>
    <col width="8.7109375" customWidth="1" min="3232" max="3232"/>
    <col width="16" customWidth="1" min="3233" max="3236"/>
    <col width="8.7109375" customWidth="1" min="3237" max="3237"/>
    <col width="16" customWidth="1" min="3238" max="3241"/>
    <col width="8.7109375" customWidth="1" min="3242" max="3242"/>
    <col width="16" customWidth="1" min="3243" max="3246"/>
    <col width="8.7109375" customWidth="1" min="3247" max="3247"/>
    <col width="16" customWidth="1" min="3248" max="3250"/>
    <col width="8.7109375" customWidth="1" min="3251" max="3251"/>
    <col width="16" customWidth="1" min="3252" max="3255"/>
    <col width="8.7109375" customWidth="1" min="3256" max="3256"/>
    <col width="16" customWidth="1" min="3257" max="3261"/>
    <col width="8.7109375" customWidth="1" min="3262" max="3262"/>
    <col width="16" customWidth="1" min="3263" max="3267"/>
    <col width="8.7109375" customWidth="1" min="3268" max="3268"/>
    <col width="16" customWidth="1" min="3269" max="3273"/>
    <col width="8.7109375" customWidth="1" min="3274" max="3274"/>
    <col width="16" customWidth="1" min="3275" max="3279"/>
    <col width="8.7109375" customWidth="1" min="3280" max="3280"/>
    <col width="16" customWidth="1" min="3281" max="3285"/>
    <col width="8.7109375" customWidth="1" min="3286" max="3286"/>
    <col width="16" customWidth="1" min="3287" max="3291"/>
    <col width="8.7109375" customWidth="1" min="3292" max="3292"/>
    <col width="16" customWidth="1" min="3293" max="3297"/>
    <col width="8.7109375" customWidth="1" min="3298" max="3298"/>
    <col width="16" customWidth="1" min="3299" max="3303"/>
    <col width="8.7109375" customWidth="1" min="3304" max="3304"/>
    <col width="16" customWidth="1" min="3305" max="3309"/>
    <col width="8.7109375" customWidth="1" min="3310" max="3310"/>
    <col width="16" customWidth="1" min="3311" max="3315"/>
    <col width="8.7109375" customWidth="1" min="3316" max="3316"/>
    <col width="16" customWidth="1" min="3317" max="3321"/>
    <col width="8.7109375" customWidth="1" min="3322" max="3322"/>
    <col width="16" customWidth="1" min="3323" max="3327"/>
    <col width="8.7109375" customWidth="1" min="3328" max="3328"/>
    <col width="16" customWidth="1" min="3329" max="3333"/>
    <col width="8.7109375" customWidth="1" min="3334" max="3334"/>
    <col width="16" customWidth="1" min="3335" max="3339"/>
    <col width="8.7109375" customWidth="1" min="3340" max="3340"/>
    <col width="16" customWidth="1" min="3341" max="3345"/>
    <col width="8.7109375" customWidth="1" min="3346" max="3346"/>
    <col width="16" customWidth="1" min="3347" max="3351"/>
    <col width="8.7109375" customWidth="1" min="3352" max="3352"/>
    <col width="16" customWidth="1" min="3353" max="3357"/>
    <col width="8.7109375" customWidth="1" min="3358" max="3358"/>
    <col width="16" customWidth="1" min="3359" max="3363"/>
    <col width="8.7109375" customWidth="1" min="3364" max="3364"/>
    <col width="16" customWidth="1" min="3365" max="3369"/>
    <col width="8.7109375" customWidth="1" min="3370" max="3370"/>
    <col width="16" customWidth="1" min="3371" max="3375"/>
    <col width="8.7109375" customWidth="1" min="3376" max="3376"/>
    <col width="16" customWidth="1" min="3377" max="3378"/>
    <col width="8.7109375" customWidth="1" min="3379" max="3379"/>
    <col width="16" customWidth="1" min="3380" max="3381"/>
    <col width="8.7109375" customWidth="1" min="3382" max="3382"/>
    <col width="16" customWidth="1" min="3383" max="3384"/>
    <col width="8.7109375" customWidth="1" min="3385" max="3385"/>
    <col width="16" customWidth="1" min="3386" max="3387"/>
    <col width="8.7109375" customWidth="1" min="3388" max="3388"/>
    <col width="16" customWidth="1" min="3389" max="3390"/>
    <col width="8.7109375" customWidth="1" min="3391" max="3391"/>
    <col width="16" customWidth="1" min="3392" max="3393"/>
    <col width="8.7109375" customWidth="1" min="3394" max="3394"/>
    <col width="16" customWidth="1" min="3395" max="3396"/>
    <col width="8.7109375" customWidth="1" min="3397" max="3397"/>
    <col width="16" customWidth="1" min="3398" max="3399"/>
    <col width="8.7109375" customWidth="1" min="3400" max="3400"/>
    <col width="16" customWidth="1" min="3401" max="3402"/>
    <col width="8.7109375" customWidth="1" min="3403" max="3403"/>
    <col width="16" customWidth="1" min="3404" max="3405"/>
    <col width="8.7109375" customWidth="1" min="3406" max="3406"/>
    <col width="16" customWidth="1" min="3407" max="3408"/>
    <col width="8.7109375" customWidth="1" min="3409" max="3409"/>
    <col width="16" customWidth="1" min="3410" max="3411"/>
    <col width="8.7109375" customWidth="1" min="3412" max="3412"/>
    <col width="16" customWidth="1" min="3413" max="3414"/>
    <col width="8.7109375" customWidth="1" min="3415" max="3415"/>
    <col width="16" customWidth="1" min="3416" max="3417"/>
    <col width="8.7109375" customWidth="1" min="3418" max="3418"/>
    <col width="16" customWidth="1" min="3419" max="3420"/>
    <col width="8.7109375" customWidth="1" min="3421" max="3421"/>
    <col width="16" customWidth="1" min="3422" max="3423"/>
    <col width="8.7109375" customWidth="1" min="3424" max="3424"/>
    <col width="16" customWidth="1" min="3425" max="3426"/>
    <col width="8.7109375" customWidth="1" min="3427" max="3427"/>
    <col width="16" customWidth="1" min="3428" max="3429"/>
    <col width="8.7109375" customWidth="1" min="3430" max="3430"/>
    <col width="16" customWidth="1" min="3431" max="3432"/>
    <col width="8.7109375" customWidth="1" min="3433" max="3433"/>
    <col width="16" customWidth="1" min="3434" max="3435"/>
    <col width="8.7109375" customWidth="1" min="3436" max="3436"/>
    <col width="16" customWidth="1" min="3437" max="3438"/>
    <col width="8.7109375" customWidth="1" min="3439" max="3439"/>
    <col width="16" customWidth="1" min="3440" max="3441"/>
    <col width="8.7109375" customWidth="1" min="3442" max="3442"/>
    <col width="16" customWidth="1" min="3443" max="3444"/>
    <col width="8.7109375" customWidth="1" min="3445" max="3445"/>
    <col width="16" customWidth="1" min="3446" max="3447"/>
    <col width="8.7109375" customWidth="1" min="3448" max="3448"/>
    <col width="16" customWidth="1" min="3449" max="3450"/>
    <col width="8.7109375" customWidth="1" min="3451" max="3451"/>
    <col width="16" customWidth="1" min="3452" max="3453"/>
    <col width="8.7109375" customWidth="1" min="3454" max="3454"/>
    <col width="16" customWidth="1" min="3455" max="3456"/>
    <col width="8.7109375" customWidth="1" min="3457" max="3457"/>
    <col width="16" customWidth="1" min="3458" max="3458"/>
    <col width="8.7109375" customWidth="1" min="3459" max="3459"/>
    <col width="16" customWidth="1" min="3460" max="3460"/>
    <col width="8.7109375" customWidth="1" min="3461" max="3461"/>
    <col width="16" customWidth="1" min="3462" max="3462"/>
    <col width="8.7109375" customWidth="1" min="3463" max="3463"/>
    <col width="16" customWidth="1" min="3464" max="3464"/>
    <col width="8.7109375" customWidth="1" min="3465" max="3465"/>
    <col width="16" customWidth="1" min="3466" max="3466"/>
    <col width="8.7109375" customWidth="1" min="3467" max="3467"/>
    <col width="16" customWidth="1" min="3468" max="3468"/>
    <col width="8.7109375" customWidth="1" min="3469" max="3469"/>
    <col width="16" customWidth="1" min="3470" max="3470"/>
    <col width="8.7109375" customWidth="1" min="3471" max="3471"/>
    <col width="16" customWidth="1" min="3472" max="3472"/>
    <col width="8.7109375" customWidth="1" min="3473" max="3473"/>
    <col width="16" customWidth="1" min="3474" max="3475"/>
    <col width="8.7109375" customWidth="1" min="3476" max="3476"/>
    <col width="16" customWidth="1" min="3477" max="3478"/>
    <col width="8.7109375" customWidth="1" min="3479" max="3479"/>
    <col width="16" customWidth="1" min="3480" max="3480"/>
    <col width="8.7109375" customWidth="1" min="3481" max="3482"/>
    <col width="16" customWidth="1" min="3483" max="3484"/>
    <col width="8.7109375" customWidth="1" min="3485" max="3508"/>
    <col width="16" customWidth="1" min="3509" max="3509"/>
    <col width="8.7109375" customWidth="1" min="3510" max="3510"/>
    <col width="16" customWidth="1" min="3511" max="3511"/>
    <col width="8.7109375" customWidth="1" min="3512" max="3512"/>
    <col width="16" customWidth="1" min="3513" max="3513"/>
    <col width="8.7109375" customWidth="1" min="3514" max="3514"/>
    <col width="16" customWidth="1" min="3515" max="3515"/>
    <col width="8.7109375" customWidth="1" min="3516" max="3516"/>
    <col width="16" customWidth="1" min="3517" max="3517"/>
    <col width="8.7109375" customWidth="1" min="3518" max="3534"/>
    <col width="16" customWidth="1" min="3535" max="3535"/>
    <col width="8.7109375" customWidth="1" min="3536" max="3536"/>
    <col width="16" customWidth="1" min="3537" max="3537"/>
    <col width="8.7109375" customWidth="1" min="3538" max="3538"/>
    <col width="16" customWidth="1" min="3539" max="3539"/>
    <col width="8.7109375" customWidth="1" min="3540" max="3540"/>
    <col width="16" customWidth="1" min="3541" max="3541"/>
    <col width="8.7109375" customWidth="1" min="3542" max="3542"/>
    <col width="16" customWidth="1" min="3543" max="3543"/>
    <col width="8.7109375" customWidth="1" min="3544" max="3544"/>
    <col width="16" customWidth="1" min="3545" max="3545"/>
    <col width="8.7109375" customWidth="1" min="3546" max="3546"/>
    <col width="16" customWidth="1" min="3547" max="3547"/>
    <col width="8.7109375" customWidth="1" min="3548" max="3548"/>
    <col width="16" customWidth="1" min="3549" max="3549"/>
    <col width="8.7109375" customWidth="1" min="3550" max="3550"/>
    <col width="16" customWidth="1" min="3551" max="3551"/>
    <col width="8.7109375" customWidth="1" min="3552" max="3559"/>
    <col width="16" customWidth="1" min="3560" max="3560"/>
    <col width="8.7109375" customWidth="1" min="3561" max="3566"/>
    <col width="16" customWidth="1" min="3567" max="3567"/>
    <col width="8.7109375" customWidth="1" min="3568" max="3568"/>
    <col width="16" customWidth="1" min="3569" max="3569"/>
    <col width="8.7109375" customWidth="1" min="3570" max="3570"/>
    <col width="16" customWidth="1" min="3571" max="3571"/>
    <col width="8.7109375" customWidth="1" min="3572" max="3572"/>
    <col width="16" customWidth="1" min="3573" max="3573"/>
    <col width="8.7109375" customWidth="1" min="3574" max="3574"/>
    <col width="16" customWidth="1" min="3575" max="3575"/>
    <col width="8.7109375" customWidth="1" min="3576" max="3576"/>
    <col width="16" customWidth="1" min="3577" max="3577"/>
    <col width="8.7109375" customWidth="1" min="3578" max="3578"/>
    <col width="16" customWidth="1" min="3579" max="3579"/>
    <col width="8.7109375" customWidth="1" min="3580" max="3580"/>
    <col width="16" customWidth="1" min="3581" max="3581"/>
    <col width="8.7109375" customWidth="1" min="3582" max="3582"/>
    <col width="16" customWidth="1" min="3583" max="3583"/>
    <col width="8.7109375" customWidth="1" min="3584" max="3584"/>
    <col width="16" customWidth="1" min="3585" max="3585"/>
    <col width="8.7109375" customWidth="1" min="3586" max="3586"/>
    <col width="16" customWidth="1" min="3587" max="3587"/>
    <col width="8.7109375" customWidth="1" min="3588" max="3588"/>
    <col width="16" customWidth="1" min="3589" max="3589"/>
    <col width="8.7109375" customWidth="1" min="3590" max="3590"/>
    <col width="16" customWidth="1" min="3591" max="3591"/>
    <col width="8.7109375" customWidth="1" min="3592" max="3592"/>
    <col width="16" customWidth="1" min="3593" max="3593"/>
    <col width="8.28515625" customWidth="1" min="3594" max="3594"/>
    <col width="16" customWidth="1" min="3595" max="3595"/>
    <col width="6.7109375" customWidth="1" min="3596" max="3596"/>
    <col width="16" customWidth="1" min="3597" max="3597"/>
    <col width="6.7109375" customWidth="1" min="3598" max="3598"/>
    <col width="16" customWidth="1" min="3599" max="3599"/>
    <col width="6.7109375" customWidth="1" min="3600" max="3600"/>
    <col width="16" customWidth="1" min="3601" max="3601"/>
    <col width="6.7109375" customWidth="1" min="3602" max="3602"/>
    <col width="16" customWidth="1" min="3603" max="3603"/>
    <col width="6.7109375" customWidth="1" min="3604" max="3604"/>
    <col width="16" customWidth="1" min="3605" max="3605"/>
    <col width="6.7109375" customWidth="1" min="3606" max="3609"/>
    <col width="16" customWidth="1" min="3610" max="3610"/>
    <col width="6.7109375" customWidth="1" min="3611" max="3611"/>
    <col width="16" customWidth="1" min="3612" max="3612"/>
    <col width="6.7109375" customWidth="1" min="3613" max="3613"/>
    <col width="16" customWidth="1" min="3614" max="3614"/>
    <col width="6.7109375" customWidth="1" min="3615" max="3615"/>
    <col width="16" customWidth="1" min="3616" max="3616"/>
    <col width="6.7109375" customWidth="1" min="3617" max="3617"/>
    <col width="16" customWidth="1" min="3618" max="3618"/>
    <col width="6.7109375" customWidth="1" min="3619" max="3619"/>
    <col width="16" customWidth="1" min="3620" max="3620"/>
    <col width="6.7109375" customWidth="1" min="3621" max="3621"/>
    <col width="16" customWidth="1" min="3622" max="3622"/>
    <col width="6.7109375" customWidth="1" min="3623" max="3624"/>
    <col width="16" customWidth="1" min="3625" max="3626"/>
    <col width="6.7109375" customWidth="1" min="3627" max="3628"/>
    <col width="16" customWidth="1" min="3629" max="3629"/>
    <col width="6.7109375" customWidth="1" min="3630" max="3635"/>
    <col width="16" customWidth="1" min="3636" max="3636"/>
    <col width="6.7109375" customWidth="1" min="3637" max="3658"/>
    <col width="16" customWidth="1" min="3659" max="3659"/>
    <col width="6.7109375" customWidth="1" min="3660" max="3660"/>
    <col width="16" customWidth="1" min="3661" max="3661"/>
    <col width="6.7109375" customWidth="1" min="3662" max="3664"/>
    <col width="16" customWidth="1" min="3665" max="3665"/>
    <col width="6.7109375" customWidth="1" min="3666" max="3666"/>
    <col width="16" customWidth="1" min="3667" max="3667"/>
    <col width="6.7109375" customWidth="1" min="3668" max="3668"/>
    <col width="16" customWidth="1" min="3669" max="3669"/>
    <col width="6.7109375" customWidth="1" min="3670" max="3670"/>
    <col width="16" customWidth="1" min="3671" max="3671"/>
    <col width="6.7109375" customWidth="1" min="3672" max="3672"/>
    <col width="16" customWidth="1" min="3673" max="3673"/>
    <col width="6.7109375" customWidth="1" min="3674" max="3674"/>
    <col width="16" customWidth="1" min="3675" max="3675"/>
    <col width="6.7109375" customWidth="1" min="3676" max="3676"/>
    <col width="16" customWidth="1" min="3677" max="3677"/>
    <col width="6.7109375" customWidth="1" min="3678" max="3678"/>
    <col width="16" customWidth="1" min="3679" max="3679"/>
    <col width="6.7109375" customWidth="1" min="3680" max="3680"/>
    <col width="16" customWidth="1" min="3681" max="3682"/>
    <col width="6.7109375" customWidth="1" min="3683" max="3683"/>
    <col width="16" customWidth="1" min="3684" max="3685"/>
    <col width="6.7109375" customWidth="1" min="3686" max="3686"/>
    <col width="16" customWidth="1" min="3687" max="3687"/>
    <col width="6.7109375" customWidth="1" min="3688" max="3688"/>
    <col width="16" customWidth="1" min="3689" max="3690"/>
    <col width="6.7109375" customWidth="1" min="3691" max="3691"/>
    <col width="16" customWidth="1" min="3692" max="3693"/>
    <col width="6.7109375" customWidth="1" min="3694" max="3694"/>
    <col width="16" customWidth="1" min="3695" max="3696"/>
    <col width="6.7109375" customWidth="1" min="3697" max="3697"/>
    <col width="16" customWidth="1" min="3698" max="3699"/>
    <col width="6.7109375" customWidth="1" min="3700" max="3700"/>
    <col width="16" customWidth="1" min="3701" max="3702"/>
    <col width="6.7109375" customWidth="1" min="3703" max="3703"/>
    <col width="16" customWidth="1" min="3704" max="3705"/>
    <col width="6.7109375" customWidth="1" min="3706" max="3706"/>
    <col width="16" customWidth="1" min="3707" max="3708"/>
    <col width="6.7109375" customWidth="1" min="3709" max="3709"/>
    <col width="16" customWidth="1" min="3710" max="3711"/>
    <col width="6.7109375" customWidth="1" min="3712" max="3712"/>
    <col width="16" customWidth="1" min="3713" max="3713"/>
    <col width="6.7109375" customWidth="1" min="3714" max="3714"/>
    <col width="16" customWidth="1" min="3715" max="3717"/>
    <col width="6.7109375" customWidth="1" min="3718" max="3719"/>
    <col width="16" customWidth="1" min="3720" max="3721"/>
    <col width="6.7109375" customWidth="1" min="3722" max="3722"/>
    <col width="16" customWidth="1" min="3723" max="3724"/>
    <col width="6.7109375" customWidth="1" min="3725" max="3725"/>
    <col width="16" customWidth="1" min="3726" max="3727"/>
    <col width="6.7109375" customWidth="1" min="3728" max="3728"/>
    <col width="16" customWidth="1" min="3729" max="3730"/>
    <col width="6.7109375" customWidth="1" min="3731" max="3731"/>
    <col width="16" customWidth="1" min="3732" max="3733"/>
    <col width="6.7109375" customWidth="1" min="3734" max="3734"/>
    <col width="16" customWidth="1" min="3735" max="3735"/>
    <col width="6.7109375" customWidth="1" min="3736" max="3736"/>
    <col width="16" customWidth="1" min="3737" max="3737"/>
    <col width="6.7109375" customWidth="1" min="3738" max="3738"/>
    <col width="16" customWidth="1" min="3739" max="3739"/>
    <col width="6.7109375" customWidth="1" min="3740" max="3740"/>
    <col width="16" customWidth="1" min="3741" max="3741"/>
    <col width="6.7109375" customWidth="1" min="3742" max="3742"/>
    <col width="16" customWidth="1" min="3743" max="3743"/>
    <col width="6.7109375" customWidth="1" min="3744" max="3744"/>
    <col width="16" customWidth="1" min="3745" max="3745"/>
    <col width="6.7109375" customWidth="1" min="3746" max="3746"/>
    <col width="16" customWidth="1" min="3747" max="3747"/>
    <col width="6.7109375" customWidth="1" min="3748" max="3748"/>
    <col width="16" customWidth="1" min="3749" max="3749"/>
    <col width="6.7109375" customWidth="1" min="3750" max="3750"/>
    <col width="16" customWidth="1" min="3751" max="3751"/>
    <col width="6.7109375" customWidth="1" min="3752" max="3752"/>
    <col width="16" customWidth="1" min="3753" max="3754"/>
    <col width="6.7109375" customWidth="1" min="3755" max="3755"/>
    <col width="16" customWidth="1" min="3756" max="3756"/>
    <col width="6.7109375" customWidth="1" min="3757" max="3757"/>
    <col width="16" customWidth="1" min="3758" max="3758"/>
    <col width="6.7109375" customWidth="1" min="3759" max="3759"/>
    <col width="16" customWidth="1" min="3760" max="3760"/>
    <col width="6.7109375" customWidth="1" min="3761" max="3761"/>
    <col width="16" customWidth="1" min="3762" max="3762"/>
    <col width="6.7109375" customWidth="1" min="3763" max="3763"/>
    <col width="16" customWidth="1" min="3764" max="3764"/>
    <col width="6.7109375" customWidth="1" min="3765" max="3765"/>
    <col width="16" customWidth="1" min="3766" max="3766"/>
    <col width="6.7109375" customWidth="1" min="3767" max="3767"/>
    <col width="16" customWidth="1" min="3768" max="3768"/>
    <col width="6.7109375" customWidth="1" min="3769" max="3769"/>
    <col width="16" customWidth="1" min="3770" max="3770"/>
    <col width="6.7109375" customWidth="1" min="3771" max="3771"/>
    <col width="16" customWidth="1" min="3772" max="3772"/>
    <col width="6.7109375" customWidth="1" min="3773" max="3773"/>
    <col width="16" customWidth="1" min="3774" max="3774"/>
    <col width="6.7109375" customWidth="1" min="3775" max="3775"/>
    <col width="16" customWidth="1" min="3776" max="3776"/>
    <col width="6.7109375" customWidth="1" min="3777" max="3777"/>
    <col width="16" customWidth="1" min="3778" max="3778"/>
    <col width="6.7109375" customWidth="1" min="3779" max="3779"/>
    <col width="16" customWidth="1" min="3780" max="3780"/>
    <col width="6.7109375" customWidth="1" min="3781" max="3781"/>
    <col width="16" customWidth="1" min="3782" max="3782"/>
    <col width="6.7109375" customWidth="1" min="3783" max="3783"/>
    <col width="16" customWidth="1" min="3784" max="3784"/>
    <col width="6.7109375" customWidth="1" min="3785" max="3785"/>
    <col width="16" customWidth="1" min="3786" max="3786"/>
    <col width="6.7109375" customWidth="1" min="3787" max="3787"/>
    <col width="16" customWidth="1" min="3788" max="3788"/>
    <col width="6.7109375" customWidth="1" min="3789" max="3789"/>
    <col width="16" customWidth="1" min="3790" max="3790"/>
    <col width="6.7109375" customWidth="1" min="3791" max="3792"/>
    <col width="16" customWidth="1" min="3793" max="3793"/>
    <col width="6.7109375" customWidth="1" min="3794" max="3794"/>
    <col width="16" customWidth="1" min="3795" max="3795"/>
    <col width="6.7109375" customWidth="1" min="3796" max="3796"/>
    <col width="16" customWidth="1" min="3797" max="3797"/>
    <col width="6.7109375" customWidth="1" min="3798" max="3798"/>
    <col width="16" customWidth="1" min="3799" max="3799"/>
    <col width="6.7109375" customWidth="1" min="3800" max="3800"/>
    <col width="16" customWidth="1" min="3801" max="3801"/>
    <col width="6.7109375" customWidth="1" min="3802" max="3802"/>
    <col width="16" customWidth="1" min="3803" max="3803"/>
    <col width="6.7109375" customWidth="1" min="3804" max="3804"/>
    <col width="16" customWidth="1" min="3805" max="3805"/>
    <col width="6.7109375" customWidth="1" min="3806" max="3806"/>
    <col width="16" customWidth="1" min="3807" max="3807"/>
    <col width="6.7109375" customWidth="1" min="3808" max="3808"/>
    <col width="16" customWidth="1" min="3809" max="3809"/>
    <col width="6.7109375" customWidth="1" min="3810" max="3810"/>
    <col width="16" customWidth="1" min="3811" max="3811"/>
    <col width="6.7109375" customWidth="1" min="3812" max="3812"/>
    <col width="16" customWidth="1" min="3813" max="3813"/>
    <col width="6.7109375" customWidth="1" min="3814" max="3814"/>
    <col width="16" customWidth="1" min="3815" max="3815"/>
    <col width="6.7109375" customWidth="1" min="3816" max="3818"/>
    <col width="16" customWidth="1" min="3819" max="3820"/>
    <col width="6.7109375" customWidth="1" min="3821" max="3821"/>
    <col width="16" customWidth="1" min="3822" max="3823"/>
    <col width="6.7109375" customWidth="1" min="3824" max="3824"/>
    <col width="16" customWidth="1" min="3825" max="3826"/>
    <col width="6.7109375" customWidth="1" min="3827" max="3827"/>
    <col width="16" customWidth="1" min="3828" max="3829"/>
    <col width="6.7109375" customWidth="1" min="3830" max="3830"/>
    <col width="16" customWidth="1" min="3831" max="3832"/>
    <col width="6.7109375" customWidth="1" min="3833" max="3833"/>
    <col width="16" customWidth="1" min="3834" max="3835"/>
    <col width="6.7109375" customWidth="1" min="3836" max="3836"/>
    <col width="16" customWidth="1" min="3837" max="3838"/>
    <col width="6.7109375" customWidth="1" min="3839" max="3839"/>
    <col width="16" customWidth="1" min="3840" max="3841"/>
    <col width="6.7109375" customWidth="1" min="3842" max="3842"/>
    <col width="16" customWidth="1" min="3843" max="3844"/>
    <col width="6.7109375" customWidth="1" min="3845" max="3845"/>
    <col width="16" customWidth="1" min="3846" max="3847"/>
    <col width="6.7109375" customWidth="1" min="3848" max="3848"/>
    <col width="16" customWidth="1" min="3849" max="3850"/>
    <col width="6.7109375" customWidth="1" min="3851" max="3851"/>
    <col width="16" customWidth="1" min="3852" max="3853"/>
    <col width="6.7109375" customWidth="1" min="3854" max="3854"/>
    <col width="16" customWidth="1" min="3855" max="3856"/>
    <col width="6.7109375" customWidth="1" min="3857" max="3857"/>
    <col width="16" customWidth="1" min="3858" max="3859"/>
    <col width="6.7109375" customWidth="1" min="3860" max="3860"/>
    <col width="16" customWidth="1" min="3861" max="3862"/>
    <col width="6.7109375" customWidth="1" min="3863" max="3863"/>
    <col width="16" customWidth="1" min="3864" max="3865"/>
    <col width="6.7109375" customWidth="1" min="3866" max="3866"/>
    <col width="16" customWidth="1" min="3867" max="3868"/>
    <col width="6.7109375" customWidth="1" min="3869" max="3869"/>
    <col width="16" customWidth="1" min="3870" max="3871"/>
    <col width="6.7109375" customWidth="1" min="3872" max="3872"/>
    <col width="16" customWidth="1" min="3873" max="3874"/>
    <col width="6.7109375" customWidth="1" min="3875" max="3875"/>
    <col width="16" customWidth="1" min="3876" max="3877"/>
    <col width="6.7109375" customWidth="1" min="3878" max="3878"/>
    <col width="16" customWidth="1" min="3879" max="3880"/>
    <col width="6.7109375" customWidth="1" min="3881" max="3881"/>
    <col width="16" customWidth="1" min="3882" max="3883"/>
    <col width="6.7109375" customWidth="1" min="3884" max="3884"/>
    <col width="16" customWidth="1" min="3885" max="3886"/>
    <col width="6.7109375" customWidth="1" min="3887" max="3887"/>
    <col width="16" customWidth="1" min="3888" max="3889"/>
    <col width="6.7109375" customWidth="1" min="3890" max="3890"/>
    <col width="16" customWidth="1" min="3891" max="3891"/>
    <col width="6.7109375" customWidth="1" min="3892" max="3892"/>
    <col width="16" customWidth="1" min="3893" max="3893"/>
    <col width="6.7109375" customWidth="1" min="3894" max="3894"/>
    <col width="16" customWidth="1" min="3895" max="3895"/>
    <col width="6.7109375" customWidth="1" min="3896" max="3896"/>
    <col width="16" customWidth="1" min="3897" max="3897"/>
    <col width="6.7109375" customWidth="1" min="3898" max="3898"/>
    <col width="16" customWidth="1" min="3899" max="3899"/>
    <col width="6.7109375" customWidth="1" min="3900" max="3900"/>
    <col width="16" customWidth="1" min="3901" max="3901"/>
    <col width="6.7109375" customWidth="1" min="3902" max="3902"/>
    <col width="16" customWidth="1" min="3903" max="3903"/>
    <col width="6.7109375" customWidth="1" min="3904" max="3904"/>
    <col width="16" customWidth="1" min="3905" max="3905"/>
    <col width="6.7109375" customWidth="1" min="3906" max="3906"/>
    <col width="16" customWidth="1" min="3907" max="3907"/>
    <col width="6.7109375" customWidth="1" min="3908" max="3908"/>
    <col width="16" customWidth="1" min="3909" max="3909"/>
    <col width="6.7109375" customWidth="1" min="3910" max="3910"/>
    <col width="16" customWidth="1" min="3911" max="3911"/>
    <col width="6.7109375" customWidth="1" min="3912" max="3912"/>
    <col width="16" customWidth="1" min="3913" max="3913"/>
    <col width="6.7109375" customWidth="1" min="3914" max="3914"/>
    <col width="16" customWidth="1" min="3915" max="3915"/>
    <col width="6.7109375" customWidth="1" min="3916" max="3916"/>
    <col width="16" customWidth="1" min="3917" max="3917"/>
    <col width="6.7109375" customWidth="1" min="3918" max="3937"/>
    <col width="16" customWidth="1" min="3938" max="3938"/>
    <col width="6.7109375" customWidth="1" min="3939" max="3939"/>
    <col width="16" customWidth="1" min="3940" max="3940"/>
    <col width="6.7109375" customWidth="1" min="3941" max="3941"/>
    <col width="16" customWidth="1" min="3942" max="3942"/>
    <col width="6.7109375" customWidth="1" min="3943" max="3945"/>
    <col width="16" customWidth="1" min="3946" max="3946"/>
    <col width="6.7109375" customWidth="1" min="3947" max="3947"/>
    <col width="16" customWidth="1" min="3948" max="3948"/>
    <col width="6.7109375" customWidth="1" min="3949" max="3949"/>
    <col width="16" customWidth="1" min="3950" max="3950"/>
    <col width="6.7109375" customWidth="1" min="3951" max="3951"/>
    <col width="16" customWidth="1" min="3952" max="3952"/>
    <col width="6.7109375" customWidth="1" min="3953" max="3954"/>
    <col width="16" customWidth="1" min="3955" max="3955"/>
    <col width="6.7109375" customWidth="1" min="3956" max="3956"/>
    <col width="16" customWidth="1" min="3957" max="3957"/>
    <col width="6.7109375" customWidth="1" min="3958" max="3958"/>
    <col width="16" customWidth="1" min="3959" max="3959"/>
    <col width="6.7109375" customWidth="1" min="3960" max="3960"/>
    <col width="16" customWidth="1" min="3961" max="3961"/>
    <col width="6.7109375" customWidth="1" min="3962" max="3962"/>
    <col width="16" customWidth="1" min="3963" max="3963"/>
    <col width="6.7109375" customWidth="1" min="3964" max="3965"/>
    <col width="16" customWidth="1" min="3966" max="3966"/>
    <col width="6.7109375" customWidth="1" min="3967" max="3967"/>
    <col width="16" customWidth="1" min="3968" max="3968"/>
    <col width="6.7109375" customWidth="1" min="3969" max="3969"/>
    <col width="16" customWidth="1" min="3970" max="3970"/>
    <col width="6.7109375" customWidth="1" min="3971" max="3971"/>
    <col width="16" customWidth="1" min="3972" max="3972"/>
    <col width="6.7109375" customWidth="1" min="3973" max="3973"/>
    <col width="16" customWidth="1" min="3974" max="3974"/>
    <col width="6.7109375" customWidth="1" min="3975" max="3975"/>
    <col width="16" customWidth="1" min="3976" max="3976"/>
    <col width="6.7109375" customWidth="1" min="3977" max="3977"/>
    <col width="16" customWidth="1" min="3978" max="3978"/>
    <col width="6.7109375" customWidth="1" min="3979" max="3979"/>
    <col width="16" customWidth="1" min="3980" max="3980"/>
    <col width="6.7109375" customWidth="1" min="3981" max="3981"/>
    <col width="16" customWidth="1" min="3982" max="3982"/>
    <col width="6.7109375" customWidth="1" min="3983" max="3983"/>
    <col width="16" customWidth="1" min="3984" max="3984"/>
    <col width="6.7109375" customWidth="1" min="3985" max="3985"/>
    <col width="16" customWidth="1" min="3986" max="3986"/>
    <col width="6.7109375" customWidth="1" min="3987" max="3987"/>
    <col width="16" customWidth="1" min="3988" max="3988"/>
    <col width="6.7109375" customWidth="1" min="3989" max="3989"/>
    <col width="16" customWidth="1" min="3990" max="3990"/>
    <col width="6.7109375" customWidth="1" min="3991" max="3991"/>
    <col width="16" customWidth="1" min="3992" max="3992"/>
    <col width="6.7109375" customWidth="1" min="3993" max="3993"/>
    <col width="16" customWidth="1" min="3994" max="3994"/>
    <col width="6.7109375" customWidth="1" min="3995" max="3995"/>
    <col width="16" customWidth="1" min="3996" max="3996"/>
    <col width="6.7109375" customWidth="1" min="3997" max="3997"/>
    <col width="16" customWidth="1" min="3998" max="3998"/>
    <col width="6.7109375" customWidth="1" min="3999" max="3999"/>
    <col width="16" customWidth="1" min="4000" max="4000"/>
    <col width="6.7109375" customWidth="1" min="4001" max="4001"/>
    <col width="16" customWidth="1" min="4002" max="4002"/>
    <col width="6.7109375" customWidth="1" min="4003" max="4003"/>
    <col width="16" customWidth="1" min="4004" max="4005"/>
    <col width="6.7109375" customWidth="1" min="4006" max="4006"/>
    <col width="16" customWidth="1" min="4007" max="4008"/>
    <col width="6.7109375" customWidth="1" min="4009" max="4009"/>
    <col width="16" customWidth="1" min="4010" max="4011"/>
    <col width="6.7109375" customWidth="1" min="4012" max="4013"/>
    <col width="16" customWidth="1" min="4014" max="4014"/>
    <col width="6.7109375" customWidth="1" min="4015" max="4015"/>
    <col width="16" customWidth="1" min="4016" max="4017"/>
    <col width="6.7109375" customWidth="1" min="4018" max="4024"/>
  </cols>
  <sheetData>
    <row r="1" ht="49.35" customHeight="1" thickBot="1">
      <c r="A1" s="293" t="inlineStr">
        <is>
          <t>ESTIMATED BREAKDOWN OF THE LUMP SUM</t>
        </is>
      </c>
    </row>
    <row r="2" ht="56.25" customHeight="1">
      <c r="A2" s="43" t="inlineStr">
        <is>
          <t>BENEFICIARIES \ WORK PACKAGES</t>
        </is>
      </c>
      <c r="B2" s="268" t="inlineStr">
        <is>
          <t>WP1_x000D_
Management, IP and Innovation Management</t>
        </is>
      </c>
      <c r="C2" s="268" t="inlineStr">
        <is>
          <t>WP2_x000D_
Site Characterisation and Demonstrator Engineering</t>
        </is>
      </c>
      <c r="D2" s="268" t="inlineStr">
        <is>
          <t>WP3_x000D_
Design Verification and Model Validation</t>
        </is>
      </c>
      <c r="E2" s="268" t="inlineStr">
        <is>
          <t>WP4_x000D_
Manufacturing, Instrumentation and Factory Acceptance</t>
        </is>
      </c>
      <c r="F2" s="268" t="inlineStr">
        <is>
          <t>WP5_x000D_
Deployment, Operation and Validation Campaign</t>
        </is>
      </c>
      <c r="G2" s="268" t="inlineStr">
        <is>
          <t>WP6_x000D_
Business Validation, Exploitation and Dissemination</t>
        </is>
      </c>
      <c r="H2" s="324" t="inlineStr">
        <is>
          <t>Total</t>
        </is>
      </c>
      <c r="I2" s="324" t="inlineStr">
        <is>
          <t>Pct %</t>
        </is>
      </c>
    </row>
    <row r="3" ht="14.45" customHeight="1">
      <c r="A3" s="267" t="inlineStr">
        <is>
          <t>BE1: SINTEF AS</t>
        </is>
      </c>
      <c r="B3" s="270">
        <f>'BE1'!D43*'BE list'!F4</f>
        <v/>
      </c>
      <c r="C3" s="270">
        <f>'BE1'!D84*'BE list'!F4</f>
        <v/>
      </c>
      <c r="D3" s="270">
        <f>'BE1'!D125*'BE list'!F4</f>
        <v/>
      </c>
      <c r="E3" s="270">
        <f>'BE1'!D166*'BE list'!F4</f>
        <v/>
      </c>
      <c r="F3" s="270">
        <f>'BE1'!D207*'BE list'!F4</f>
        <v/>
      </c>
      <c r="G3" s="270">
        <f>'BE1'!D248*'BE list'!F4</f>
        <v/>
      </c>
      <c r="H3" s="325">
        <f>SUM(B3:G3)</f>
        <v/>
      </c>
      <c r="I3" s="144">
        <f>IF(H$7&gt;0,H3/H$7," ")</f>
        <v/>
      </c>
    </row>
    <row r="4" ht="14.45" customHeight="1">
      <c r="A4" s="267" t="inlineStr">
        <is>
          <t>BE2: Sunlit Sea AS</t>
        </is>
      </c>
      <c r="B4" s="270">
        <f>'BE2'!D43*'BE list'!F5</f>
        <v/>
      </c>
      <c r="C4" s="270">
        <f>'BE2'!D84*'BE list'!F5</f>
        <v/>
      </c>
      <c r="D4" s="270">
        <f>'BE2'!D125*'BE list'!F5</f>
        <v/>
      </c>
      <c r="E4" s="270">
        <f>'BE2'!D166*'BE list'!F5</f>
        <v/>
      </c>
      <c r="F4" s="270">
        <f>'BE2'!D207*'BE list'!F5</f>
        <v/>
      </c>
      <c r="G4" s="270">
        <f>'BE2'!D248*'BE list'!F5</f>
        <v/>
      </c>
      <c r="H4" s="325">
        <f>SUM(B4:G4)</f>
        <v/>
      </c>
      <c r="I4" s="144">
        <f>IF(H$7&gt;0,H4/H$7," ")</f>
        <v/>
      </c>
    </row>
    <row r="5" ht="14.45" customHeight="1">
      <c r="A5" s="267" t="inlineStr">
        <is>
          <t>BE3: Clement Gmbh</t>
        </is>
      </c>
      <c r="B5" s="270">
        <f>'BE3'!D43*'BE list'!F6</f>
        <v/>
      </c>
      <c r="C5" s="270">
        <f>'BE3'!D84*'BE list'!F6</f>
        <v/>
      </c>
      <c r="D5" s="270">
        <f>'BE3'!D125*'BE list'!F6</f>
        <v/>
      </c>
      <c r="E5" s="270">
        <f>'BE3'!D166*'BE list'!F6</f>
        <v/>
      </c>
      <c r="F5" s="270">
        <f>'BE3'!D207*'BE list'!F6</f>
        <v/>
      </c>
      <c r="G5" s="270">
        <f>'BE3'!D248*'BE list'!F6</f>
        <v/>
      </c>
      <c r="H5" s="325">
        <f>SUM(B5:G5)</f>
        <v/>
      </c>
      <c r="I5" s="144">
        <f>IF(H$7&gt;0,H5/H$7," ")</f>
        <v/>
      </c>
    </row>
    <row r="6" ht="14.45" customHeight="1">
      <c r="A6" s="267" t="inlineStr">
        <is>
          <t>BE4: EDP</t>
        </is>
      </c>
      <c r="B6" s="270">
        <f>'BE4'!D43*'BE list'!F7</f>
        <v/>
      </c>
      <c r="C6" s="270">
        <f>'BE4'!D84*'BE list'!F7</f>
        <v/>
      </c>
      <c r="D6" s="270">
        <f>'BE4'!D125*'BE list'!F7</f>
        <v/>
      </c>
      <c r="E6" s="270">
        <f>'BE4'!D166*'BE list'!F7</f>
        <v/>
      </c>
      <c r="F6" s="270">
        <f>'BE4'!D207*'BE list'!F7</f>
        <v/>
      </c>
      <c r="G6" s="270">
        <f>'BE4'!D248*'BE list'!F7</f>
        <v/>
      </c>
      <c r="H6" s="325">
        <f>SUM(B6:G6)</f>
        <v/>
      </c>
      <c r="I6" s="144">
        <f>IF(H$7&gt;0,H6/H$7," ")</f>
        <v/>
      </c>
    </row>
    <row r="7" ht="14.45" customHeight="1">
      <c r="A7" s="71" t="inlineStr">
        <is>
          <t xml:space="preserve">Total: </t>
        </is>
      </c>
      <c r="B7" s="326">
        <f>SUM(B3:B6)</f>
        <v/>
      </c>
      <c r="C7" s="326">
        <f>SUM(C3:C6)</f>
        <v/>
      </c>
      <c r="D7" s="326">
        <f>SUM(D3:D6)</f>
        <v/>
      </c>
      <c r="E7" s="326">
        <f>SUM(E3:E6)</f>
        <v/>
      </c>
      <c r="F7" s="326">
        <f>SUM(F3:F6)</f>
        <v/>
      </c>
      <c r="G7" s="326">
        <f>SUM(G3:G6)</f>
        <v/>
      </c>
      <c r="H7" s="327">
        <f>SUM(B3:G6)</f>
        <v/>
      </c>
      <c r="I7" s="144">
        <f>IF(H$7&gt;0,H7/H$7," ")</f>
        <v/>
      </c>
    </row>
    <row r="8" ht="14.45" customHeight="1">
      <c r="A8" s="72" t="inlineStr">
        <is>
          <t xml:space="preserve">Percentage: </t>
        </is>
      </c>
      <c r="B8" s="144">
        <f>IF($H7&gt;0,B7/$H7," ")</f>
        <v/>
      </c>
      <c r="C8" s="144">
        <f>IF($H7&gt;0,C7/$H7," ")</f>
        <v/>
      </c>
      <c r="D8" s="144">
        <f>IF($H7&gt;0,D7/$H7," ")</f>
        <v/>
      </c>
      <c r="E8" s="144">
        <f>IF($H7&gt;0,E7/$H7," ")</f>
        <v/>
      </c>
      <c r="F8" s="144">
        <f>IF($H7&gt;0,F7/$H7," ")</f>
        <v/>
      </c>
      <c r="G8" s="144">
        <f>IF($H7&gt;0,G7/$H7," ")</f>
        <v/>
      </c>
      <c r="H8" s="144">
        <f>IF($H7&gt;0,H7/$H7," ")</f>
        <v/>
      </c>
      <c r="I8" s="61" t="n"/>
    </row>
    <row r="9" ht="14.45" customHeight="1"/>
    <row r="10" ht="14.45" customHeight="1"/>
    <row r="11" ht="14.45" customHeight="1"/>
    <row r="12" ht="14.45" customHeight="1"/>
    <row r="13" ht="14.45" customHeight="1"/>
    <row r="14" ht="14.45" customHeight="1"/>
    <row r="15" ht="14.45" customHeight="1"/>
    <row r="16" ht="14.45" customHeight="1"/>
    <row r="17" ht="14.45" customHeight="1"/>
    <row r="18" ht="14.45" customHeight="1"/>
    <row r="19" ht="14.45" customHeight="1"/>
    <row r="20" ht="14.45" customHeight="1"/>
    <row r="21" ht="14.45" customHeight="1"/>
    <row r="22" ht="14.45" customHeight="1"/>
    <row r="23" ht="14.45" customHeight="1"/>
    <row r="24" ht="14.45" customHeight="1"/>
    <row r="25" ht="14.45" customHeight="1"/>
    <row r="26" ht="14.45" customHeight="1"/>
    <row r="27" ht="14.45" customHeight="1"/>
    <row r="28" ht="14.45" customHeight="1"/>
    <row r="29" ht="14.45" customHeight="1"/>
    <row r="30" ht="14.45" customHeight="1"/>
    <row r="31" ht="14.45" customHeight="1"/>
    <row r="32" ht="14.45" customHeight="1"/>
    <row r="33" ht="14.45" customHeight="1"/>
    <row r="34" ht="14.45" customHeight="1"/>
    <row r="35" ht="14.45" customHeight="1"/>
    <row r="36" ht="14.45" customHeight="1"/>
    <row r="37" ht="14.45" customHeight="1"/>
    <row r="38" ht="14.45" customHeight="1"/>
    <row r="39" ht="14.45" customHeight="1"/>
    <row r="40" ht="14.45" customHeight="1"/>
    <row r="41" ht="14.45" customHeight="1"/>
    <row r="42" ht="14.45" customHeight="1"/>
    <row r="43" ht="14.45" customHeight="1"/>
    <row r="44" ht="14.45" customHeight="1"/>
    <row r="45" ht="14.45" customHeight="1"/>
    <row r="46" ht="14.45" customHeight="1"/>
    <row r="47" ht="14.45" customHeight="1"/>
    <row r="48" ht="14.45" customHeight="1"/>
    <row r="49" ht="14.45" customHeight="1"/>
    <row r="50" ht="14.45" customHeight="1"/>
    <row r="51" ht="14.45" customHeight="1"/>
    <row r="52" ht="14.45" customHeight="1"/>
    <row r="53" ht="14.45" customHeight="1"/>
    <row r="54" ht="14.45" customHeight="1"/>
    <row r="55" ht="14.45" customHeight="1"/>
    <row r="56" ht="14.45" customHeight="1"/>
    <row r="57" ht="14.45" customHeight="1"/>
    <row r="58" ht="14.45" customHeight="1"/>
    <row r="59" ht="14.45" customHeight="1"/>
    <row r="60" ht="14.45" customHeight="1"/>
    <row r="61" ht="14.45" customHeight="1"/>
    <row r="62" ht="14.45" customHeight="1"/>
    <row r="63" ht="14.45" customHeight="1"/>
    <row r="64" ht="14.45" customHeight="1"/>
    <row r="65" ht="14.45" customHeight="1"/>
    <row r="66" ht="14.45" customHeight="1"/>
    <row r="67" ht="14.45" customHeight="1"/>
    <row r="68" ht="14.45" customHeight="1"/>
    <row r="69" ht="14.45" customHeight="1"/>
    <row r="70" ht="14.45" customHeight="1"/>
    <row r="71" ht="14.45" customHeight="1"/>
    <row r="72" ht="14.45" customHeight="1"/>
    <row r="73" ht="14.45" customHeight="1"/>
    <row r="74" ht="14.45" customHeight="1"/>
    <row r="75" ht="14.45" customHeight="1"/>
    <row r="76" ht="14.45" customHeight="1"/>
    <row r="77" ht="14.45" customHeight="1"/>
    <row r="78" ht="14.45" customHeight="1"/>
    <row r="79" ht="14.45" customHeight="1"/>
    <row r="80" ht="14.45" customHeight="1"/>
    <row r="81" ht="14.45" customHeight="1"/>
    <row r="82" ht="14.45" customHeight="1"/>
    <row r="83" ht="14.45" customHeight="1"/>
    <row r="84" ht="14.45" customHeight="1"/>
    <row r="85" ht="14.45" customHeight="1"/>
    <row r="86" ht="14.45" customHeight="1"/>
    <row r="87" ht="14.45" customHeight="1"/>
    <row r="88" ht="14.45" customHeight="1"/>
    <row r="89" ht="14.45" customHeight="1"/>
    <row r="90" ht="14.45" customHeight="1"/>
    <row r="91" ht="14.45" customHeight="1"/>
    <row r="92" ht="14.45" customHeight="1"/>
    <row r="93" ht="14.45" customHeight="1"/>
    <row r="94" ht="14.45" customHeight="1"/>
    <row r="95" ht="14.45" customHeight="1"/>
    <row r="96" ht="14.45" customHeight="1"/>
    <row r="97" ht="14.45" customHeight="1"/>
    <row r="98" ht="14.45" customHeight="1"/>
    <row r="99" ht="14.45" customHeight="1"/>
    <row r="100" ht="14.45" customHeight="1"/>
    <row r="101" ht="14.45" customHeight="1"/>
    <row r="102" ht="14.45" customHeight="1"/>
    <row r="103" ht="14.45" customHeight="1"/>
    <row r="104" ht="14.45" customHeight="1"/>
    <row r="105" ht="14.45" customHeight="1"/>
    <row r="106" ht="14.45" customHeight="1"/>
    <row r="107" ht="14.45" customHeight="1"/>
    <row r="108" ht="14.45" customHeight="1"/>
    <row r="109" ht="14.45" customHeight="1"/>
    <row r="110" ht="14.45" customHeight="1"/>
    <row r="111" ht="14.45" customHeight="1"/>
    <row r="112" ht="14.45" customHeight="1"/>
    <row r="113" ht="14.45" customHeight="1"/>
    <row r="114" ht="14.45" customHeight="1"/>
    <row r="115" ht="14.45" customHeight="1"/>
    <row r="116" ht="14.45" customHeight="1"/>
    <row r="117" ht="14.45" customHeight="1"/>
    <row r="118" ht="14.4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4.45" customHeight="1"/>
    <row r="978" ht="14.45" customHeight="1"/>
    <row r="979" ht="14.45" customHeight="1"/>
    <row r="980" ht="14.45" customHeight="1"/>
    <row r="981" ht="14.45" customHeight="1"/>
    <row r="982" ht="14.45" customHeight="1"/>
    <row r="983" ht="14.45" customHeight="1"/>
    <row r="984" ht="14.45" customHeight="1"/>
    <row r="985" ht="14.45" customHeight="1"/>
    <row r="986" ht="14.45" customHeight="1"/>
    <row r="987" ht="14.45" customHeight="1"/>
    <row r="988" ht="14.45" customHeight="1"/>
    <row r="989" ht="14.45" customHeight="1"/>
    <row r="990" ht="14.45" customHeight="1"/>
    <row r="991" ht="14.45" customHeight="1"/>
    <row r="992" ht="14.45" customHeight="1"/>
    <row r="993" ht="14.45" customHeight="1"/>
    <row r="994" ht="14.45" customHeight="1"/>
    <row r="995" ht="14.45" customHeight="1"/>
    <row r="996" ht="14.45" customHeight="1"/>
    <row r="997" ht="14.45" customHeight="1"/>
    <row r="998" ht="14.45" customHeight="1"/>
    <row r="999" ht="14.45" customHeight="1"/>
    <row r="1000" ht="14.45" customHeight="1"/>
    <row r="1001" ht="14.45" customHeight="1"/>
    <row r="1002" ht="14.45" customHeight="1"/>
    <row r="1003" ht="14.45" customHeight="1"/>
    <row r="1004" ht="14.45" customHeight="1"/>
    <row r="1005" ht="14.45" customHeight="1"/>
    <row r="1006" ht="14.45" customHeight="1"/>
    <row r="1007" ht="14.4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800" ht="15" customHeight="1"/>
    <row r="1801" ht="15" customHeight="1"/>
    <row r="1802" ht="20.1" customHeight="1"/>
    <row r="1803" ht="15" customHeight="1"/>
    <row r="1804" ht="15" customHeight="1"/>
    <row r="1805" ht="15" customHeight="1"/>
    <row r="1806" ht="15" customHeight="1"/>
    <row r="1807" ht="15" customHeight="1"/>
    <row r="1808" ht="15" customHeight="1"/>
    <row r="1809" ht="15" customHeight="1"/>
    <row r="1810" ht="20.1" customHeight="1"/>
    <row r="1811" ht="15" customHeight="1"/>
    <row r="1812" ht="15" customHeight="1"/>
    <row r="1813" ht="15" customHeight="1"/>
    <row r="1814" ht="15" customHeight="1"/>
    <row r="1815" ht="15" customHeight="1"/>
    <row r="1816" ht="15" customHeight="1"/>
    <row r="1817" ht="15" customHeight="1"/>
    <row r="1818" ht="20.1" customHeight="1"/>
    <row r="1819" ht="15" customHeight="1"/>
    <row r="1820" ht="15" customHeight="1"/>
    <row r="1821" ht="15" customHeight="1"/>
    <row r="1822" ht="15" customHeight="1"/>
    <row r="1823" ht="15" customHeight="1"/>
    <row r="1824" ht="15" customHeight="1"/>
    <row r="1825" ht="15" customHeight="1"/>
    <row r="1826" ht="20.1" customHeight="1"/>
    <row r="1827" ht="15" customHeight="1"/>
    <row r="1828" ht="15" customHeight="1"/>
    <row r="1829" ht="15" customHeight="1"/>
    <row r="1830" ht="15" customHeight="1"/>
    <row r="1831" ht="15" customHeight="1"/>
    <row r="1832" ht="20.1" customHeight="1"/>
    <row r="1833" ht="15" customHeight="1"/>
    <row r="1834" ht="15" customHeight="1"/>
    <row r="1835" ht="15" customHeight="1"/>
    <row r="1836" ht="15" customHeight="1"/>
    <row r="1837" ht="15" customHeight="1"/>
    <row r="1838" ht="15" customHeight="1"/>
    <row r="1839" ht="15" customHeight="1"/>
    <row r="1840" ht="20.1" customHeight="1"/>
    <row r="1841" ht="15" customHeight="1"/>
    <row r="1842" ht="15" customHeight="1"/>
    <row r="1843" ht="15" customHeight="1"/>
    <row r="1844" ht="15" customHeight="1"/>
    <row r="1845" ht="15" customHeight="1"/>
    <row r="1846" ht="20.1" customHeight="1"/>
    <row r="1847" ht="15" customHeight="1"/>
    <row r="1848" ht="15" customHeight="1"/>
    <row r="1849" ht="20.1" customHeight="1"/>
    <row r="1850" ht="15" customHeight="1"/>
    <row r="1851" ht="15" customHeight="1"/>
    <row r="1852" ht="20.1" customHeight="1"/>
    <row r="1853" ht="15" customHeight="1"/>
    <row r="1854" ht="20.1" customHeight="1"/>
    <row r="1855" ht="15" customHeight="1"/>
    <row r="1856" ht="20.1" customHeight="1"/>
    <row r="1857" ht="15" customHeight="1"/>
    <row r="1858" ht="20.1" customHeight="1"/>
    <row r="1859" ht="15" customHeight="1"/>
    <row r="1860" ht="20.1"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20.1" customHeight="1"/>
    <row r="1871" ht="15" customHeight="1"/>
    <row r="1872" ht="15" customHeight="1"/>
    <row r="1873" ht="15" customHeight="1"/>
    <row r="1874" ht="20.1" customHeight="1"/>
    <row r="1875" ht="15" customHeight="1"/>
    <row r="1876" ht="15" customHeight="1"/>
    <row r="1877" ht="15" customHeight="1"/>
    <row r="1878" ht="20.1" customHeight="1"/>
    <row r="1879" ht="15" customHeight="1"/>
    <row r="1880" ht="15" customHeight="1"/>
    <row r="1881" ht="15" customHeight="1"/>
    <row r="1882" ht="20.1" customHeight="1"/>
    <row r="1883" ht="15" customHeight="1"/>
    <row r="1884" ht="15" customHeight="1"/>
    <row r="1885" ht="15" customHeight="1"/>
    <row r="1886" ht="20.1" customHeight="1"/>
    <row r="1887" ht="15" customHeight="1"/>
    <row r="1888" ht="15" customHeight="1"/>
    <row r="1889" ht="15" customHeight="1"/>
    <row r="1890" ht="20.1" customHeight="1"/>
    <row r="1891" ht="15" customHeight="1"/>
    <row r="1892" ht="15" customHeight="1"/>
    <row r="1893" ht="15" customHeight="1"/>
    <row r="1894" ht="20.1" customHeight="1"/>
    <row r="1895" ht="15" customHeight="1"/>
    <row r="1896" ht="15" customHeight="1"/>
    <row r="1897" ht="15" customHeight="1"/>
    <row r="1898" ht="20.1" customHeight="1"/>
    <row r="1899" ht="15" customHeight="1"/>
    <row r="1900" ht="15" customHeight="1"/>
    <row r="1901" ht="15" customHeight="1"/>
    <row r="1902" ht="20.1" customHeight="1"/>
    <row r="1903" ht="15" customHeight="1"/>
    <row r="1904" ht="15" customHeight="1"/>
    <row r="1905" ht="15" customHeight="1"/>
    <row r="1906" ht="20.1" customHeight="1"/>
    <row r="1907" ht="15" customHeight="1"/>
    <row r="1908" ht="15" customHeight="1"/>
    <row r="1909" ht="15" customHeight="1"/>
    <row r="1910" ht="20.1" customHeight="1"/>
    <row r="1911" ht="15" customHeight="1"/>
    <row r="1912" ht="15" customHeight="1"/>
    <row r="1913" ht="15" customHeight="1"/>
    <row r="1914" ht="20.1" customHeight="1"/>
    <row r="1915" ht="15" customHeight="1"/>
    <row r="1916" ht="15" customHeight="1"/>
    <row r="1917" ht="20.1" customHeight="1"/>
    <row r="1918" ht="15" customHeight="1"/>
    <row r="1919" ht="15" customHeight="1"/>
    <row r="1920" ht="15" customHeight="1"/>
    <row r="1921" ht="20.1" customHeight="1"/>
    <row r="1922" ht="15" customHeight="1"/>
    <row r="1923" ht="15" customHeight="1"/>
    <row r="1924" ht="15" customHeight="1"/>
    <row r="1925" ht="20.1" customHeight="1"/>
    <row r="1926" ht="15" customHeight="1"/>
    <row r="1927" ht="15" customHeight="1"/>
    <row r="1928" ht="15" customHeight="1"/>
    <row r="1929" ht="20.1" customHeight="1"/>
    <row r="1930" ht="15" customHeight="1"/>
    <row r="1931" ht="15" customHeight="1"/>
    <row r="1932" ht="15" customHeight="1"/>
    <row r="1933" ht="20.1" customHeight="1"/>
    <row r="1934" ht="15" customHeight="1"/>
    <row r="1935" ht="15" customHeight="1"/>
    <row r="1936" ht="15" customHeight="1"/>
    <row r="1937" ht="20.1"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20.1" customHeight="1"/>
    <row r="1964" ht="15" customHeight="1"/>
    <row r="1965" ht="15" customHeight="1"/>
    <row r="1966" ht="15" customHeight="1"/>
    <row r="1967" ht="15" customHeight="1"/>
    <row r="1968" ht="15" customHeight="1"/>
    <row r="1969" ht="15" customHeight="1"/>
    <row r="1970" ht="14.65" customHeight="1"/>
    <row r="1971" ht="14.65" customHeight="1"/>
    <row r="1972" ht="14.65" customHeight="1"/>
    <row r="1973" ht="14.65" customHeight="1"/>
    <row r="1974" ht="15" customHeight="1"/>
    <row r="1975" ht="20.1" customHeight="1"/>
    <row r="1976" ht="15" customHeight="1"/>
    <row r="1977" ht="15" customHeight="1"/>
    <row r="1978" ht="15" customHeight="1"/>
    <row r="1979" ht="20.1" customHeight="1"/>
    <row r="1980" ht="15" customHeight="1"/>
    <row r="1981" ht="15" customHeight="1"/>
    <row r="1982" ht="15" customHeight="1"/>
    <row r="1983" ht="20.1" customHeight="1"/>
    <row r="1984" ht="15" customHeight="1"/>
    <row r="1985" ht="15" customHeight="1"/>
    <row r="1986" ht="15" customHeight="1"/>
    <row r="1987" ht="20.1" customHeight="1"/>
    <row r="1988" ht="15" customHeight="1"/>
    <row r="1989" ht="15" customHeight="1"/>
    <row r="1990" ht="15" customHeight="1"/>
    <row r="1991" ht="20.1" customHeight="1"/>
    <row r="1992" ht="15" customHeight="1"/>
    <row r="1993" ht="15" customHeight="1"/>
    <row r="1994" ht="15" customHeight="1"/>
    <row r="1995" ht="20.1" customHeight="1"/>
    <row r="1996" ht="15" customHeight="1"/>
    <row r="1997" ht="15" customHeight="1"/>
    <row r="1998" ht="15" customHeight="1"/>
    <row r="1999" ht="20.1" customHeight="1"/>
    <row r="2000" ht="15" customHeight="1"/>
    <row r="2001" ht="15" customHeight="1"/>
    <row r="2002" ht="15" customHeight="1"/>
    <row r="2003" ht="20.1" customHeight="1"/>
    <row r="2004" ht="15" customHeight="1"/>
    <row r="2005" ht="15" customHeight="1"/>
    <row r="2006" ht="15" customHeight="1"/>
    <row r="2007" ht="20.1" customHeight="1"/>
    <row r="2008" ht="15" customHeight="1"/>
    <row r="2009" ht="15" customHeight="1"/>
    <row r="2010" ht="15" customHeight="1"/>
    <row r="2011" ht="20.1" customHeight="1"/>
    <row r="2012" ht="15" customHeight="1"/>
    <row r="2013" ht="15" customHeight="1"/>
    <row r="2014" ht="15" customHeight="1"/>
    <row r="2015" ht="20.1" customHeight="1"/>
    <row r="2016" ht="15" customHeight="1"/>
    <row r="2017" ht="15" customHeight="1"/>
    <row r="2018" ht="15" customHeight="1"/>
    <row r="2019" ht="15" customHeight="1"/>
    <row r="2020" ht="20.1" customHeight="1"/>
    <row r="2021" ht="15" customHeight="1"/>
    <row r="2022" ht="15" customHeight="1"/>
    <row r="2023" ht="15" customHeight="1"/>
    <row r="2024" ht="20.1" customHeight="1"/>
    <row r="2025" ht="15" customHeight="1"/>
    <row r="2026" ht="15" customHeight="1"/>
    <row r="2027" ht="15" customHeight="1"/>
    <row r="2028" ht="20.1" customHeight="1"/>
    <row r="2029" ht="15" customHeight="1"/>
    <row r="2030" ht="15" customHeight="1"/>
    <row r="2031" ht="15" customHeight="1"/>
    <row r="2032" ht="20.1" customHeight="1"/>
    <row r="2033" ht="15" customHeight="1"/>
    <row r="2034" ht="15" customHeight="1"/>
    <row r="2035" ht="15" customHeight="1"/>
    <row r="2036" ht="20.1" customHeight="1"/>
    <row r="2037" ht="15" customHeight="1"/>
    <row r="2038" ht="15" customHeight="1"/>
    <row r="2039" ht="15" customHeight="1"/>
    <row r="2040" ht="20.1" customHeight="1"/>
    <row r="2041" ht="15" customHeight="1"/>
    <row r="2042" ht="15" customHeight="1"/>
    <row r="2043" ht="15" customHeight="1"/>
    <row r="2044" ht="20.1" customHeight="1"/>
    <row r="2045" ht="15" customHeight="1"/>
    <row r="2046" ht="15" customHeight="1"/>
    <row r="2047" ht="15" customHeight="1"/>
    <row r="2048" ht="20.1" customHeight="1"/>
    <row r="2049" ht="15" customHeight="1"/>
    <row r="2050" ht="15" customHeight="1"/>
    <row r="2051" ht="15" customHeight="1"/>
    <row r="2052" ht="15" customHeight="1"/>
    <row r="2053" ht="20.1" customHeight="1"/>
    <row r="2054" ht="15" customHeight="1"/>
    <row r="2055" ht="15" customHeight="1"/>
    <row r="2056" ht="15" customHeight="1"/>
    <row r="2057" ht="20.1" customHeight="1"/>
    <row r="2058" ht="15" customHeight="1"/>
    <row r="2059" ht="15" customHeight="1"/>
    <row r="2060" ht="15" customHeight="1"/>
    <row r="2061" ht="20.1" customHeight="1"/>
    <row r="2062" ht="15" customHeight="1"/>
    <row r="2063" ht="15" customHeight="1"/>
    <row r="2064" ht="15" customHeight="1"/>
    <row r="2065" ht="20.1" customHeight="1"/>
    <row r="2066" ht="15" customHeight="1"/>
    <row r="2067" ht="15" customHeight="1"/>
    <row r="2068" ht="15" customHeight="1"/>
    <row r="2069" ht="20.1" customHeight="1"/>
    <row r="2070" ht="15" customHeight="1"/>
    <row r="2071" ht="15" customHeight="1"/>
    <row r="2072" ht="15" customHeight="1"/>
    <row r="2073" ht="20.1" customHeight="1"/>
    <row r="2074" ht="15" customHeight="1"/>
    <row r="2075" ht="15" customHeight="1"/>
    <row r="2076" ht="15" customHeight="1"/>
    <row r="2077" ht="15" customHeight="1"/>
    <row r="2078" ht="20.1" customHeight="1"/>
    <row r="2079" ht="15" customHeight="1"/>
    <row r="2080" ht="15" customHeight="1"/>
    <row r="2081" ht="15" customHeight="1"/>
    <row r="2082" ht="20.1" customHeight="1"/>
    <row r="2083" ht="15" customHeight="1"/>
    <row r="2084" ht="15" customHeight="1"/>
    <row r="2085" ht="15" customHeight="1"/>
    <row r="2086" ht="20.1" customHeight="1"/>
    <row r="2087" ht="15" customHeight="1"/>
    <row r="2088" ht="15" customHeight="1"/>
    <row r="2089" ht="15" customHeight="1"/>
    <row r="2090" ht="15" customHeight="1"/>
    <row r="2091" ht="20.1" customHeight="1"/>
    <row r="2092" ht="15" customHeight="1"/>
    <row r="2093" ht="15" customHeight="1"/>
    <row r="2094" ht="15" customHeight="1"/>
    <row r="2095" ht="20.1" customHeight="1"/>
    <row r="2096" ht="15" customHeight="1"/>
    <row r="2097" ht="15" customHeight="1"/>
    <row r="2098" ht="15" customHeight="1"/>
    <row r="2099" ht="20.1" customHeight="1"/>
    <row r="2100" ht="15" customHeight="1"/>
    <row r="2101" ht="15" customHeight="1"/>
    <row r="2102" ht="15" customHeight="1"/>
    <row r="2103" ht="20.1" customHeight="1"/>
    <row r="2104" ht="15" customHeight="1"/>
    <row r="2105" ht="15" customHeight="1"/>
    <row r="2106" ht="15" customHeight="1"/>
    <row r="2107" ht="20.1" customHeight="1"/>
    <row r="2108" ht="15" customHeight="1"/>
    <row r="2109" ht="15" customHeight="1"/>
    <row r="2110" ht="15" customHeight="1"/>
    <row r="2111" ht="15" customHeight="1"/>
    <row r="2112" ht="20.1" customHeight="1"/>
    <row r="2113" ht="15" customHeight="1"/>
    <row r="2114" ht="15" customHeight="1"/>
    <row r="2115" ht="15" customHeight="1"/>
    <row r="2116" ht="20.1" customHeight="1"/>
    <row r="2117" ht="15" customHeight="1"/>
    <row r="2118" ht="15" customHeight="1"/>
    <row r="2119" ht="15" customHeight="1"/>
    <row r="2120" ht="15" customHeight="1"/>
    <row r="2121" ht="20.1" customHeight="1"/>
    <row r="2122" ht="15" customHeight="1"/>
    <row r="2123" ht="15" customHeight="1"/>
    <row r="2124" ht="15" customHeight="1"/>
    <row r="2125" ht="20.1" customHeight="1"/>
    <row r="2126" ht="15" customHeight="1"/>
    <row r="2127" ht="15" customHeight="1"/>
    <row r="2128" ht="15" customHeight="1"/>
    <row r="2129" ht="20.1" customHeight="1"/>
    <row r="2130" ht="15" customHeight="1"/>
    <row r="2131" ht="15" customHeight="1"/>
    <row r="2132" ht="15" customHeight="1"/>
    <row r="2133" ht="20.1" customHeight="1"/>
    <row r="2134" ht="15" customHeight="1"/>
    <row r="2135" ht="15" customHeight="1"/>
    <row r="2136" ht="15" customHeight="1"/>
    <row r="2137" ht="20.1" customHeight="1"/>
    <row r="2138" ht="15" customHeight="1"/>
    <row r="2139" ht="15" customHeight="1"/>
    <row r="2140" ht="15" customHeight="1"/>
    <row r="2141" ht="15" customHeight="1"/>
    <row r="2142" ht="20.1" customHeight="1"/>
    <row r="2143" ht="15" customHeight="1"/>
    <row r="2144" ht="15" customHeight="1"/>
    <row r="2145" ht="15" customHeight="1"/>
    <row r="2146" ht="20.1" customHeight="1"/>
    <row r="2147" ht="15" customHeight="1"/>
    <row r="2148" ht="15" customHeight="1"/>
    <row r="2149" ht="15" customHeight="1"/>
    <row r="2150" ht="15" customHeight="1"/>
    <row r="2151" ht="15" customHeight="1"/>
    <row r="2152" ht="15" customHeight="1"/>
    <row r="2153" ht="15" customHeight="1"/>
    <row r="2154" ht="15" customHeight="1"/>
    <row r="2155" ht="15" customHeight="1"/>
    <row r="2156" ht="15" customHeight="1"/>
    <row r="2157" ht="15" customHeight="1"/>
    <row r="2158" ht="20.1" customHeight="1"/>
    <row r="2159" ht="15" customHeight="1"/>
    <row r="2160" ht="15" customHeight="1"/>
    <row r="2161" ht="15" customHeight="1"/>
    <row r="2162" ht="20.1" customHeight="1"/>
    <row r="2163" ht="15" customHeight="1"/>
    <row r="2164" ht="15" customHeight="1"/>
    <row r="2165" ht="15" customHeight="1"/>
    <row r="2166" ht="20.1" customHeight="1"/>
    <row r="2167" ht="15" customHeight="1"/>
    <row r="2168" ht="15" customHeight="1"/>
    <row r="2169" ht="15" customHeight="1"/>
    <row r="2170" ht="20.1" customHeight="1"/>
    <row r="2171" ht="15" customHeight="1"/>
    <row r="2172" ht="15" customHeight="1"/>
    <row r="2173" ht="15" customHeight="1"/>
    <row r="2174" ht="20.1" customHeight="1"/>
    <row r="2175" ht="15" customHeight="1"/>
    <row r="2176" ht="15" customHeight="1"/>
    <row r="2177" ht="15" customHeight="1"/>
    <row r="2178" ht="20.1" customHeight="1"/>
    <row r="2179" ht="15" customHeight="1"/>
    <row r="2180" ht="15" customHeight="1"/>
    <row r="2181" ht="15" customHeight="1"/>
    <row r="2182" ht="20.1" customHeight="1"/>
    <row r="2183" ht="15" customHeight="1"/>
    <row r="2184" ht="15" customHeight="1"/>
    <row r="2185" ht="15" customHeight="1"/>
    <row r="2186" ht="20.1" customHeight="1"/>
    <row r="2187" ht="15" customHeight="1"/>
    <row r="2188" ht="15" customHeight="1"/>
    <row r="2189" ht="15" customHeight="1"/>
    <row r="2190" ht="15" customHeight="1"/>
    <row r="2191" ht="20.1" customHeight="1"/>
    <row r="2192" ht="15" customHeight="1"/>
    <row r="2193" ht="15" customHeight="1"/>
    <row r="2194" ht="15" customHeight="1"/>
    <row r="2195" ht="20.1" customHeight="1"/>
    <row r="2196" ht="15" customHeight="1"/>
    <row r="2197" ht="15" customHeight="1"/>
    <row r="2198" ht="15" customHeight="1"/>
    <row r="2199" ht="20.1" customHeight="1"/>
    <row r="2200" ht="15" customHeight="1"/>
    <row r="2201" ht="15" customHeight="1"/>
    <row r="2202" ht="15" customHeight="1"/>
    <row r="2203" ht="15" customHeight="1"/>
    <row r="2204" ht="20.1" customHeight="1"/>
    <row r="2205" ht="15" customHeight="1"/>
    <row r="2206" ht="15" customHeight="1"/>
    <row r="2207" ht="15" customHeight="1"/>
    <row r="2208" ht="20.1" customHeight="1"/>
    <row r="2209" ht="15" customHeight="1"/>
    <row r="2210" ht="15" customHeight="1"/>
    <row r="2211" ht="15" customHeight="1"/>
    <row r="2212" ht="20.1" customHeight="1"/>
    <row r="2213" ht="15" customHeight="1"/>
    <row r="2214" ht="15" customHeight="1"/>
    <row r="2215" ht="15" customHeight="1"/>
    <row r="2216" ht="20.1" customHeight="1"/>
    <row r="2217" ht="15" customHeight="1"/>
    <row r="2218" ht="15" customHeight="1"/>
    <row r="2219" ht="15" customHeight="1"/>
    <row r="2220" ht="15" customHeight="1"/>
    <row r="2221" ht="20.1" customHeight="1"/>
    <row r="2222" ht="15" customHeight="1"/>
    <row r="2223" ht="15" customHeight="1"/>
    <row r="2224" ht="15" customHeight="1"/>
    <row r="2225" ht="20.1" customHeight="1"/>
    <row r="2226" ht="15" customHeight="1"/>
    <row r="2227" ht="15" customHeight="1"/>
    <row r="2228" ht="15" customHeight="1"/>
    <row r="2229" ht="20.1" customHeight="1"/>
    <row r="2230" ht="15" customHeight="1"/>
    <row r="2231" ht="15" customHeight="1"/>
    <row r="2232" ht="15" customHeight="1"/>
    <row r="2233" ht="20.1" customHeight="1"/>
    <row r="2234" ht="15" customHeight="1"/>
    <row r="2235" ht="15" customHeight="1"/>
    <row r="2236" ht="15" customHeight="1"/>
    <row r="2237" ht="20.1" customHeight="1"/>
    <row r="2238" ht="15" customHeight="1"/>
    <row r="2239" ht="15" customHeight="1"/>
    <row r="2240" ht="15" customHeight="1"/>
    <row r="2241" ht="20.1" customHeight="1"/>
    <row r="2242" ht="15" customHeight="1"/>
    <row r="2243" ht="15" customHeight="1"/>
    <row r="2244" ht="15" customHeight="1"/>
    <row r="2245" ht="20.1" customHeight="1"/>
    <row r="2246" ht="15" customHeight="1"/>
    <row r="2247" ht="15" customHeight="1"/>
    <row r="2248" ht="15" customHeight="1"/>
    <row r="2249" ht="20.1" customHeight="1"/>
    <row r="2250" ht="15" customHeight="1"/>
    <row r="2251" ht="15" customHeight="1"/>
    <row r="2252" ht="15" customHeight="1"/>
    <row r="2253" ht="20.1" customHeight="1"/>
    <row r="2254" ht="15" customHeight="1"/>
    <row r="2255" ht="15" customHeight="1"/>
    <row r="2256" ht="15" customHeight="1"/>
    <row r="2257" ht="15" customHeight="1"/>
    <row r="2258" ht="15" customHeight="1"/>
    <row r="2259" ht="15" customHeight="1"/>
    <row r="2260" ht="15" customHeight="1"/>
    <row r="2261" ht="15" customHeight="1"/>
    <row r="2262" ht="15" customHeight="1"/>
    <row r="2263" ht="15" customHeight="1"/>
    <row r="2264" ht="15" customHeight="1"/>
    <row r="2265" ht="20.1" customHeight="1"/>
    <row r="2266" ht="15" customHeight="1"/>
    <row r="2267" ht="15" customHeight="1"/>
    <row r="2268" ht="15" customHeight="1"/>
    <row r="2269" ht="20.1" customHeight="1"/>
    <row r="2270" ht="15" customHeight="1"/>
    <row r="2271" ht="15" customHeight="1"/>
    <row r="2272" ht="15" customHeight="1"/>
    <row r="2273" ht="20.1" customHeight="1"/>
    <row r="2274" ht="15" customHeight="1"/>
    <row r="2275" ht="15" customHeight="1"/>
    <row r="2276" ht="15" customHeight="1"/>
    <row r="2277" ht="20.1" customHeight="1"/>
    <row r="2278" ht="15" customHeight="1"/>
    <row r="2279" ht="15" customHeight="1"/>
    <row r="2280" ht="15" customHeight="1"/>
    <row r="2281" ht="20.1" customHeight="1"/>
    <row r="2282" ht="15" customHeight="1"/>
    <row r="2283" ht="15" customHeight="1"/>
    <row r="2284" ht="15" customHeight="1"/>
    <row r="2285" ht="20.1" customHeight="1"/>
    <row r="2286" ht="15" customHeight="1"/>
    <row r="2287" ht="15" customHeight="1"/>
    <row r="2288" ht="15" customHeight="1"/>
    <row r="2289" ht="20.1" customHeight="1"/>
    <row r="2290" ht="15" customHeight="1"/>
    <row r="2291" ht="15" customHeight="1"/>
    <row r="2292" ht="15" customHeight="1"/>
    <row r="2293" ht="20.1" customHeight="1"/>
    <row r="2294" ht="15" customHeight="1"/>
    <row r="2295" ht="15" customHeight="1"/>
    <row r="2296" ht="15" customHeight="1"/>
    <row r="2297" ht="20.1" customHeight="1"/>
    <row r="2298" ht="15" customHeight="1"/>
    <row r="2299" ht="15" customHeight="1"/>
    <row r="2300" ht="15" customHeight="1"/>
    <row r="2301" ht="20.1" customHeight="1"/>
    <row r="2302" ht="15" customHeight="1"/>
    <row r="2303" ht="15" customHeight="1"/>
    <row r="2304" ht="15" customHeight="1"/>
    <row r="2305" ht="20.1" customHeight="1"/>
    <row r="2306" ht="15" customHeight="1"/>
    <row r="2307" ht="15" customHeight="1"/>
    <row r="2308" ht="15" customHeight="1"/>
    <row r="2309" ht="15" customHeight="1"/>
    <row r="2310" ht="20.1" customHeight="1"/>
    <row r="2311" ht="15" customHeight="1"/>
    <row r="2312" ht="15" customHeight="1"/>
    <row r="2313" ht="15" customHeight="1"/>
    <row r="2314" ht="20.1" customHeight="1"/>
    <row r="2315" ht="15" customHeight="1"/>
    <row r="2316" ht="15" customHeight="1"/>
    <row r="2317" ht="15" customHeight="1"/>
    <row r="2318" ht="15" customHeight="1"/>
    <row r="2319" ht="15" customHeight="1"/>
    <row r="2320" ht="15" customHeight="1"/>
    <row r="2321" ht="15" customHeight="1"/>
    <row r="2322" ht="20.1" customHeight="1"/>
    <row r="2323" ht="15" customHeight="1"/>
    <row r="2324" ht="15" customHeight="1"/>
    <row r="2325" ht="15" customHeight="1"/>
    <row r="2326" ht="20.1" customHeight="1"/>
    <row r="2327" ht="15" customHeight="1"/>
    <row r="2328" ht="15" customHeight="1"/>
    <row r="2329" ht="15" customHeight="1"/>
    <row r="2330" ht="20.1" customHeight="1"/>
    <row r="2331" ht="15" customHeight="1"/>
    <row r="2332" ht="15" customHeight="1"/>
    <row r="2333" ht="15" customHeight="1"/>
    <row r="2334" ht="20.1" customHeight="1"/>
    <row r="2335" ht="15" customHeight="1"/>
    <row r="2336" ht="15" customHeight="1"/>
    <row r="2337" ht="15" customHeight="1"/>
    <row r="2338" ht="20.1" customHeight="1"/>
    <row r="2339" ht="15" customHeight="1"/>
    <row r="2340" ht="15" customHeight="1"/>
    <row r="2341" ht="15" customHeight="1"/>
    <row r="2342" ht="20.1" customHeight="1"/>
    <row r="2343" ht="15" customHeight="1"/>
    <row r="2344" ht="15" customHeight="1"/>
    <row r="2345" ht="15" customHeight="1"/>
    <row r="2346" ht="20.1" customHeight="1"/>
    <row r="2347" ht="15" customHeight="1"/>
    <row r="2348" ht="15" customHeight="1"/>
    <row r="2349" ht="15" customHeight="1"/>
    <row r="2350" ht="20.1" customHeight="1"/>
    <row r="2351" ht="15" customHeight="1"/>
    <row r="2352" ht="15" customHeight="1"/>
    <row r="2353" ht="15" customHeight="1"/>
    <row r="2354" ht="15" customHeight="1"/>
    <row r="2355" ht="20.1" customHeight="1"/>
    <row r="2356" ht="15" customHeight="1"/>
    <row r="2357" ht="15" customHeight="1"/>
    <row r="2358" ht="15" customHeight="1"/>
    <row r="2359" ht="20.1" customHeight="1"/>
    <row r="2360" ht="15" customHeight="1"/>
    <row r="2361" ht="15" customHeight="1"/>
    <row r="2362" ht="15" customHeight="1"/>
    <row r="2363" ht="15" customHeight="1"/>
    <row r="2364" ht="20.1" customHeight="1"/>
    <row r="2365" ht="15" customHeight="1"/>
    <row r="2366" ht="15" customHeight="1"/>
    <row r="2367" ht="15" customHeight="1"/>
    <row r="2368" ht="20.1" customHeight="1"/>
    <row r="2369" ht="15" customHeight="1"/>
    <row r="2370" ht="15" customHeight="1"/>
    <row r="2371" ht="15" customHeight="1"/>
    <row r="2372" ht="15" customHeight="1"/>
    <row r="2373" ht="15" customHeight="1"/>
    <row r="2374" ht="15" customHeight="1"/>
    <row r="2375" ht="15" customHeight="1"/>
    <row r="2376" ht="20.1" customHeight="1"/>
    <row r="2377" ht="15" customHeight="1"/>
    <row r="2378" ht="15" customHeight="1"/>
    <row r="2379" ht="15" customHeight="1"/>
    <row r="2380" ht="15" customHeight="1"/>
    <row r="2381" ht="20.1" customHeight="1"/>
    <row r="2382" ht="15" customHeight="1"/>
    <row r="2383" ht="15" customHeight="1"/>
    <row r="2384" ht="15" customHeight="1"/>
    <row r="2385" ht="20.1" customHeight="1"/>
    <row r="2386" ht="15" customHeight="1"/>
    <row r="2387" ht="15" customHeight="1"/>
    <row r="2388" ht="15" customHeight="1"/>
    <row r="2389" ht="20.1" customHeight="1"/>
    <row r="2390" ht="15" customHeight="1"/>
    <row r="2391" ht="15" customHeight="1"/>
    <row r="2392" ht="15" customHeight="1"/>
    <row r="2393" ht="20.1" customHeight="1"/>
    <row r="2394" ht="15" customHeight="1"/>
    <row r="2395" ht="15" customHeight="1"/>
    <row r="2396" ht="15" customHeight="1"/>
    <row r="2397" ht="20.1" customHeight="1"/>
    <row r="2398" ht="15" customHeight="1"/>
    <row r="2399" ht="15" customHeight="1"/>
    <row r="2400" ht="15" customHeight="1"/>
    <row r="2401" ht="20.1" customHeight="1"/>
    <row r="2402" ht="15" customHeight="1"/>
    <row r="2403" ht="15" customHeight="1"/>
    <row r="2404" ht="15" customHeight="1"/>
    <row r="2405" ht="20.1" customHeight="1"/>
    <row r="2406" ht="15" customHeight="1"/>
    <row r="2407" ht="15" customHeight="1"/>
    <row r="2408" ht="15" customHeight="1"/>
    <row r="2409" ht="20.1" customHeight="1"/>
    <row r="2410" ht="15" customHeight="1"/>
    <row r="2411" ht="15" customHeight="1"/>
    <row r="2412" ht="15" customHeight="1"/>
    <row r="2413" ht="20.1" customHeight="1"/>
    <row r="2414" ht="15" customHeight="1"/>
    <row r="2415" ht="15" customHeight="1"/>
    <row r="2416" ht="15" customHeight="1"/>
    <row r="2417" ht="20.1" customHeight="1"/>
    <row r="2418" ht="15" customHeight="1"/>
    <row r="2419" ht="15" customHeight="1"/>
    <row r="2420" ht="15" customHeight="1"/>
    <row r="2421" ht="20.1" customHeight="1"/>
    <row r="2422" ht="15" customHeight="1"/>
    <row r="2423" ht="15" customHeight="1"/>
    <row r="2424" ht="15" customHeight="1"/>
    <row r="2425" ht="20.1" customHeight="1"/>
    <row r="2426" ht="15" customHeight="1"/>
    <row r="2427" ht="15" customHeight="1"/>
    <row r="2428" ht="15" customHeight="1"/>
    <row r="2429" ht="20.1" customHeight="1"/>
    <row r="2430" ht="15" customHeight="1"/>
    <row r="2431" ht="15" customHeight="1"/>
    <row r="2432" ht="15" customHeight="1"/>
    <row r="2433" ht="20.1" customHeight="1"/>
    <row r="2434" ht="15" customHeight="1"/>
    <row r="2435" ht="15" customHeight="1"/>
    <row r="2436" ht="15" customHeight="1"/>
    <row r="2437" ht="20.1" customHeight="1"/>
    <row r="2438" ht="15" customHeight="1"/>
    <row r="2439" ht="15" customHeight="1"/>
    <row r="2440" ht="15" customHeight="1"/>
    <row r="2441" ht="20.1" customHeight="1"/>
    <row r="2442" ht="15" customHeight="1"/>
    <row r="2443" ht="15" customHeight="1"/>
    <row r="2444" ht="15" customHeight="1"/>
    <row r="2445" ht="20.1" customHeight="1"/>
    <row r="2446" ht="15" customHeight="1"/>
    <row r="2447" ht="15" customHeight="1"/>
    <row r="2448" ht="15" customHeight="1"/>
    <row r="2449" ht="20.1" customHeight="1"/>
    <row r="2450" ht="15" customHeight="1"/>
    <row r="2451" ht="15" customHeight="1"/>
    <row r="2452" ht="15" customHeight="1"/>
    <row r="2453" ht="20.1" customHeight="1"/>
    <row r="2454" ht="15" customHeight="1"/>
    <row r="2455" ht="15" customHeight="1"/>
    <row r="2456" ht="15" customHeight="1"/>
    <row r="2457" ht="20.1" customHeight="1"/>
    <row r="2458" ht="15" customHeight="1"/>
    <row r="2459" ht="15" customHeight="1"/>
    <row r="2460" ht="15" customHeight="1"/>
    <row r="2461" ht="20.1" customHeight="1"/>
    <row r="2462" ht="15" customHeight="1"/>
    <row r="2463" ht="15" customHeight="1"/>
    <row r="2464" ht="15" customHeight="1"/>
    <row r="2465" ht="20.1" customHeight="1"/>
    <row r="2466" ht="15" customHeight="1"/>
    <row r="2467" ht="15" customHeight="1"/>
    <row r="2468" ht="15" customHeight="1"/>
    <row r="2469" ht="20.1" customHeight="1"/>
    <row r="2470" ht="15" customHeight="1"/>
    <row r="2471" ht="15" customHeight="1"/>
    <row r="2472" ht="15" customHeight="1"/>
    <row r="2473" ht="20.1" customHeight="1"/>
    <row r="2474" ht="15" customHeight="1"/>
    <row r="2475" ht="15" customHeight="1"/>
    <row r="2476" ht="15" customHeight="1"/>
    <row r="2477" ht="20.1" customHeight="1"/>
    <row r="2478" ht="15" customHeight="1"/>
    <row r="2479" ht="15" customHeight="1"/>
    <row r="2480" ht="15" customHeight="1"/>
    <row r="2481" ht="20.1" customHeight="1"/>
    <row r="2482" ht="15" customHeight="1"/>
    <row r="2483" ht="15" customHeight="1"/>
    <row r="2484" ht="15" customHeight="1"/>
    <row r="2485" ht="20.1" customHeight="1"/>
    <row r="2486" ht="15" customHeight="1"/>
    <row r="2487" ht="15" customHeight="1"/>
    <row r="2488" ht="15" customHeight="1"/>
    <row r="2489" ht="20.1" customHeight="1"/>
    <row r="2490" ht="15" customHeight="1"/>
    <row r="2491" ht="15" customHeight="1"/>
    <row r="2492" ht="15" customHeight="1"/>
    <row r="2493" ht="20.1" customHeight="1"/>
    <row r="2494" ht="15" customHeight="1"/>
    <row r="2495" ht="15" customHeight="1"/>
    <row r="2496" ht="15" customHeight="1"/>
    <row r="2497" ht="20.1" customHeight="1"/>
    <row r="2498" ht="15" customHeight="1"/>
    <row r="2499" ht="15" customHeight="1"/>
    <row r="2500" ht="15" customHeight="1"/>
    <row r="2501" ht="20.1" customHeight="1"/>
    <row r="2502" ht="15" customHeight="1"/>
    <row r="2503" ht="15" customHeight="1"/>
    <row r="2504" ht="15" customHeight="1"/>
    <row r="2505" ht="20.1" customHeight="1"/>
    <row r="2506" ht="15" customHeight="1"/>
    <row r="2507" ht="15" customHeight="1"/>
    <row r="2508" ht="15" customHeight="1"/>
    <row r="2509" ht="20.1" customHeight="1"/>
    <row r="2510" ht="15" customHeight="1"/>
    <row r="2511" ht="15" customHeight="1"/>
    <row r="2512" ht="15" customHeight="1"/>
    <row r="2513" ht="20.1" customHeight="1"/>
    <row r="2514" ht="15" customHeight="1"/>
    <row r="2515" ht="15" customHeight="1"/>
    <row r="2516" ht="15" customHeight="1"/>
    <row r="2517" ht="20.1" customHeight="1"/>
    <row r="2518" ht="15" customHeight="1"/>
    <row r="2519" ht="15" customHeight="1"/>
    <row r="2520" ht="15" customHeight="1"/>
    <row r="2521" ht="20.1" customHeight="1"/>
    <row r="2522" ht="15" customHeight="1"/>
    <row r="2523" ht="15" customHeight="1"/>
    <row r="2524" ht="15" customHeight="1"/>
    <row r="2525" ht="20.1" customHeight="1"/>
    <row r="2526" ht="15" customHeight="1"/>
    <row r="2527" ht="15" customHeight="1"/>
    <row r="2528" ht="15" customHeight="1"/>
    <row r="2529" ht="20.1" customHeight="1"/>
    <row r="2530" ht="15" customHeight="1"/>
    <row r="2531" ht="15" customHeight="1"/>
    <row r="2532" ht="15" customHeight="1"/>
    <row r="2533" ht="20.1" customHeight="1"/>
    <row r="2534" ht="15" customHeight="1"/>
    <row r="2535" ht="15" customHeight="1"/>
    <row r="2536" ht="15" customHeight="1"/>
    <row r="2537" ht="20.1" customHeight="1"/>
    <row r="2538" ht="15" customHeight="1"/>
    <row r="2539" ht="15" customHeight="1"/>
    <row r="2540" ht="15" customHeight="1"/>
    <row r="2541" ht="20.1" customHeight="1"/>
    <row r="2542" ht="15" customHeight="1"/>
    <row r="2543" ht="15" customHeight="1"/>
    <row r="2544" ht="15" customHeight="1"/>
    <row r="2545" ht="20.1" customHeight="1"/>
    <row r="2546" ht="15" customHeight="1"/>
    <row r="2547" ht="15" customHeight="1"/>
    <row r="2548" ht="15" customHeight="1"/>
    <row r="2549" ht="20.1" customHeight="1"/>
    <row r="2550" ht="15" customHeight="1"/>
    <row r="2551" ht="15" customHeight="1"/>
    <row r="2552" ht="15" customHeight="1"/>
    <row r="2553" ht="20.1" customHeight="1"/>
    <row r="2554" ht="15" customHeight="1"/>
    <row r="2555" ht="15" customHeight="1"/>
    <row r="2556" ht="15" customHeight="1"/>
    <row r="2557" ht="20.1" customHeight="1"/>
    <row r="2558" ht="15" customHeight="1"/>
    <row r="2559" ht="15" customHeight="1"/>
    <row r="2560" ht="15" customHeight="1"/>
    <row r="2561" ht="20.1" customHeight="1"/>
    <row r="2562" ht="15" customHeight="1"/>
    <row r="2563" ht="15" customHeight="1"/>
    <row r="2564" ht="15" customHeight="1"/>
    <row r="2565" ht="20.1" customHeight="1"/>
    <row r="2566" ht="15" customHeight="1"/>
    <row r="2567" ht="15" customHeight="1"/>
    <row r="2568" ht="15" customHeight="1"/>
    <row r="2569" ht="20.1" customHeight="1"/>
    <row r="2570" ht="15" customHeight="1"/>
    <row r="2571" ht="15" customHeight="1"/>
    <row r="2572" ht="15" customHeight="1"/>
    <row r="2573" ht="20.1" customHeight="1"/>
    <row r="2574" ht="15" customHeight="1"/>
    <row r="2575" ht="15" customHeight="1"/>
    <row r="2576" ht="15" customHeight="1"/>
    <row r="2577" ht="20.1" customHeight="1"/>
    <row r="2578" ht="15" customHeight="1"/>
    <row r="2579" ht="15" customHeight="1"/>
    <row r="2580" ht="15" customHeight="1"/>
    <row r="2581" ht="20.1" customHeight="1"/>
    <row r="2582" ht="15" customHeight="1"/>
    <row r="2583" ht="15" customHeight="1"/>
    <row r="2584" ht="15" customHeight="1"/>
    <row r="2585" ht="15" customHeight="1"/>
    <row r="2586" ht="20.1" customHeight="1"/>
    <row r="2587" ht="15" customHeight="1"/>
    <row r="2588" ht="15" customHeight="1"/>
    <row r="2589" ht="15" customHeight="1"/>
    <row r="2590" ht="20.1" customHeight="1"/>
    <row r="2591" ht="15" customHeight="1"/>
    <row r="2592" ht="15" customHeight="1"/>
    <row r="2593" ht="15" customHeight="1"/>
    <row r="2594" ht="20.1" customHeight="1"/>
    <row r="2595" ht="15" customHeight="1"/>
    <row r="2596" ht="15" customHeight="1"/>
    <row r="2597" ht="15" customHeight="1"/>
    <row r="2598" ht="20.1" customHeight="1"/>
    <row r="2599" ht="15" customHeight="1"/>
    <row r="2600" ht="15" customHeight="1"/>
    <row r="2601" ht="15" customHeight="1"/>
    <row r="2602" ht="15" customHeight="1"/>
    <row r="2603" ht="15" customHeight="1"/>
    <row r="2604" ht="15" customHeight="1"/>
    <row r="2605" ht="15" customHeight="1"/>
    <row r="2606" ht="15" customHeight="1"/>
    <row r="2607" ht="15" customHeight="1"/>
    <row r="2608" ht="15" customHeight="1"/>
    <row r="2609" ht="15" customHeight="1"/>
    <row r="2610" ht="15" customHeight="1"/>
    <row r="2611" ht="15" customHeight="1"/>
    <row r="2612" ht="15" customHeight="1"/>
    <row r="2613" ht="15" customHeight="1"/>
    <row r="2614" ht="15" customHeight="1"/>
    <row r="2615" ht="15" customHeight="1"/>
    <row r="2616" ht="15" customHeight="1"/>
    <row r="2617" ht="15" customHeight="1"/>
    <row r="2618" ht="15" customHeight="1"/>
    <row r="2619" ht="15" customHeight="1"/>
    <row r="2620" ht="15" customHeight="1"/>
    <row r="2621" ht="15" customHeight="1"/>
    <row r="2622" ht="15" customHeight="1"/>
    <row r="2623" ht="15" customHeight="1"/>
    <row r="2624" ht="15" customHeight="1"/>
    <row r="2625" ht="15" customHeight="1"/>
    <row r="2626" ht="15" customHeight="1"/>
    <row r="2627" ht="15" customHeight="1"/>
    <row r="2628" ht="15" customHeight="1"/>
    <row r="2629" ht="15" customHeight="1"/>
    <row r="2630" ht="15" customHeight="1"/>
    <row r="2631" ht="15" customHeight="1"/>
    <row r="2632" ht="15" customHeight="1"/>
    <row r="2633" ht="15" customHeight="1"/>
    <row r="2634" ht="15" customHeight="1"/>
    <row r="2635" ht="15" customHeight="1"/>
    <row r="2636" ht="15" customHeight="1"/>
    <row r="2637" ht="15" customHeight="1"/>
    <row r="2638" ht="15" customHeight="1"/>
    <row r="2639" ht="15" customHeight="1"/>
    <row r="2640" ht="15" customHeight="1"/>
    <row r="2641" ht="15" customHeight="1"/>
    <row r="2642" ht="15" customHeight="1"/>
    <row r="2643" ht="15" customHeight="1"/>
    <row r="2644" ht="15" customHeight="1"/>
    <row r="2645" ht="15" customHeight="1"/>
    <row r="2646" ht="15" customHeight="1"/>
    <row r="2647" ht="15" customHeight="1"/>
    <row r="2648" ht="15" customHeight="1"/>
    <row r="2649" ht="15" customHeight="1"/>
    <row r="2650" ht="15" customHeight="1"/>
    <row r="2651" ht="15" customHeight="1"/>
    <row r="2652" ht="15" customHeight="1"/>
    <row r="2653" ht="15" customHeight="1"/>
    <row r="2654" ht="20.1" customHeight="1"/>
    <row r="2655" ht="15" customHeight="1"/>
    <row r="2656" ht="15" customHeight="1"/>
    <row r="2657" ht="15" customHeight="1"/>
    <row r="2658" ht="20.1" customHeight="1"/>
    <row r="2659" ht="15" customHeight="1"/>
    <row r="2660" ht="15" customHeight="1"/>
    <row r="2661" ht="15" customHeight="1"/>
    <row r="2662" ht="15" customHeight="1"/>
    <row r="2663" ht="20.1" customHeight="1"/>
    <row r="2664" ht="15" customHeight="1"/>
    <row r="2665" ht="15" customHeight="1"/>
    <row r="2666" ht="15" customHeight="1"/>
    <row r="2667" ht="15" customHeight="1"/>
    <row r="2668" ht="20.1" customHeight="1"/>
    <row r="2669" ht="15" customHeight="1"/>
    <row r="2670" ht="15" customHeight="1"/>
    <row r="2671" ht="15" customHeight="1"/>
    <row r="2672" ht="15" customHeight="1"/>
    <row r="2673" ht="20.1" customHeight="1"/>
    <row r="2674" ht="15" customHeight="1"/>
    <row r="2675" ht="15" customHeight="1"/>
    <row r="2676" ht="15" customHeight="1"/>
    <row r="2677" ht="15" customHeight="1"/>
    <row r="2678" ht="20.1" customHeight="1"/>
    <row r="2679" ht="15" customHeight="1"/>
    <row r="2680" ht="15" customHeight="1"/>
    <row r="2681" ht="15" customHeight="1"/>
    <row r="2682" ht="15" customHeight="1"/>
    <row r="2683" ht="20.1" customHeight="1"/>
    <row r="2684" ht="15" customHeight="1"/>
    <row r="2685" ht="15" customHeight="1"/>
    <row r="2686" ht="15" customHeight="1"/>
    <row r="2687" ht="15" customHeight="1"/>
    <row r="2688" ht="20.1" customHeight="1"/>
    <row r="2689" ht="15" customHeight="1"/>
    <row r="2690" ht="15" customHeight="1"/>
    <row r="2691" ht="15" customHeight="1"/>
    <row r="2692" ht="15" customHeight="1"/>
    <row r="2693" ht="20.1" customHeight="1"/>
    <row r="2694" ht="15" customHeight="1"/>
    <row r="2695" ht="15" customHeight="1"/>
    <row r="2696" ht="15" customHeight="1"/>
    <row r="2697" ht="15" customHeight="1"/>
    <row r="2698" ht="20.1" customHeight="1"/>
    <row r="2699" ht="15" customHeight="1"/>
    <row r="2700" ht="15" customHeight="1"/>
    <row r="2701" ht="15" customHeight="1"/>
    <row r="2702" ht="15" customHeight="1"/>
    <row r="2703" ht="20.1" customHeight="1"/>
    <row r="2704" ht="15" customHeight="1"/>
    <row r="2705" ht="15" customHeight="1"/>
    <row r="2706" ht="15" customHeight="1"/>
    <row r="2707" ht="15" customHeight="1"/>
    <row r="2708" ht="20.1" customHeight="1"/>
    <row r="2709" ht="15" customHeight="1"/>
    <row r="2710" ht="15" customHeight="1"/>
    <row r="2711" ht="15" customHeight="1"/>
    <row r="2712" ht="15" customHeight="1"/>
    <row r="2713" ht="15" customHeight="1"/>
    <row r="2714" ht="15" customHeight="1"/>
    <row r="2715" ht="15" customHeight="1"/>
    <row r="2716" ht="15" customHeight="1"/>
    <row r="2717" ht="15" customHeight="1"/>
    <row r="2718" ht="15" customHeight="1"/>
    <row r="2719" ht="15" customHeight="1"/>
    <row r="2720" ht="15" customHeight="1"/>
    <row r="2721" ht="15" customHeight="1"/>
    <row r="2722" ht="15" customHeight="1"/>
    <row r="2723" ht="15" customHeight="1"/>
    <row r="2724" ht="15" customHeight="1"/>
    <row r="2725" ht="20.1" customHeight="1"/>
    <row r="2726" ht="15" customHeight="1"/>
    <row r="2727" ht="15" customHeight="1"/>
    <row r="2728" ht="15" customHeight="1"/>
    <row r="2729" ht="15" customHeight="1"/>
    <row r="2730" ht="15" customHeight="1"/>
    <row r="2731" ht="15" customHeight="1"/>
    <row r="2732" ht="15" customHeight="1"/>
    <row r="2733" ht="15" customHeight="1"/>
    <row r="2734" ht="20.1" customHeight="1"/>
    <row r="2735" ht="15" customHeight="1"/>
    <row r="2736" ht="15" customHeight="1"/>
    <row r="2737" ht="15" customHeight="1"/>
    <row r="2738" ht="15" customHeight="1"/>
    <row r="2739" ht="15" customHeight="1"/>
    <row r="2740" ht="15" customHeight="1"/>
    <row r="2741" ht="15" customHeight="1"/>
    <row r="2742" ht="15" customHeight="1"/>
    <row r="2743" ht="15" customHeight="1"/>
    <row r="2744" ht="15" customHeight="1"/>
    <row r="2745" ht="15" customHeight="1"/>
    <row r="2746" ht="15" customHeight="1"/>
    <row r="2747" ht="15" customHeight="1"/>
    <row r="2748" ht="15" customHeight="1"/>
    <row r="2749" ht="15" customHeight="1"/>
    <row r="2750" ht="15" customHeight="1"/>
    <row r="2751" ht="15" customHeight="1"/>
    <row r="2752" ht="15" customHeight="1"/>
    <row r="2753" ht="15" customHeight="1"/>
    <row r="2754" ht="15" customHeight="1"/>
    <row r="2755" ht="15" customHeight="1"/>
    <row r="2756" ht="15" customHeight="1"/>
    <row r="2757" ht="15" customHeight="1"/>
    <row r="2758" ht="20.1" customHeight="1"/>
    <row r="2759" ht="15" customHeight="1"/>
    <row r="2760" ht="15" customHeight="1"/>
    <row r="2761" ht="15" customHeight="1"/>
    <row r="2762" ht="20.1" customHeight="1"/>
    <row r="2763" ht="15" customHeight="1"/>
    <row r="2764" ht="15" customHeight="1"/>
    <row r="2765" ht="15" customHeight="1"/>
    <row r="2766" ht="20.1" customHeight="1"/>
    <row r="2767" ht="15" customHeight="1"/>
    <row r="2768" ht="15" customHeight="1"/>
    <row r="2769" ht="15" customHeight="1"/>
    <row r="2770" ht="20.1" customHeight="1"/>
    <row r="2771" ht="15" customHeight="1"/>
    <row r="2772" ht="15" customHeight="1"/>
    <row r="2773" ht="15" customHeight="1"/>
    <row r="2774" ht="20.1" customHeight="1"/>
    <row r="2775" ht="15" customHeight="1"/>
    <row r="2776" ht="15" customHeight="1"/>
    <row r="2777" ht="15" customHeight="1"/>
    <row r="2778" ht="15" customHeight="1"/>
    <row r="2779" ht="20.1" customHeight="1"/>
    <row r="2780" ht="15" customHeight="1"/>
    <row r="2781" ht="15" customHeight="1"/>
    <row r="2782" ht="15" customHeight="1"/>
    <row r="2783" ht="15" customHeight="1"/>
    <row r="2784" ht="20.1" customHeight="1"/>
    <row r="2785" ht="15" customHeight="1"/>
    <row r="2786" ht="15" customHeight="1"/>
    <row r="2787" ht="15" customHeight="1"/>
    <row r="2788" ht="20.1" customHeight="1"/>
    <row r="2789" ht="15" customHeight="1"/>
    <row r="2790" ht="15" customHeight="1"/>
    <row r="2791" ht="15" customHeight="1"/>
    <row r="2792" ht="20.1" customHeight="1"/>
    <row r="2793" ht="15" customHeight="1"/>
    <row r="2794" ht="15" customHeight="1"/>
    <row r="2795" ht="15" customHeight="1"/>
    <row r="2796" ht="20.1" customHeight="1"/>
    <row r="2797" ht="15" customHeight="1"/>
    <row r="2798" ht="15" customHeight="1"/>
    <row r="2799" ht="15" customHeight="1"/>
    <row r="2800" ht="20.1" customHeight="1"/>
    <row r="2801" ht="15" customHeight="1"/>
    <row r="2802" ht="15" customHeight="1"/>
    <row r="2803" ht="15" customHeight="1"/>
    <row r="2804" ht="20.1" customHeight="1"/>
    <row r="2805" ht="15" customHeight="1"/>
    <row r="2806" ht="15" customHeight="1"/>
    <row r="2807" ht="15" customHeight="1"/>
    <row r="2808" ht="20.1" customHeight="1"/>
    <row r="2809" ht="15" customHeight="1"/>
    <row r="2810" ht="15" customHeight="1"/>
    <row r="2811" ht="15" customHeight="1"/>
    <row r="2812" ht="20.1" customHeight="1"/>
    <row r="2813" ht="15" customHeight="1"/>
    <row r="2814" ht="15" customHeight="1"/>
    <row r="2815" ht="15" customHeight="1"/>
    <row r="2816" ht="20.1" customHeight="1"/>
    <row r="2817" ht="15" customHeight="1"/>
    <row r="2818" ht="15" customHeight="1"/>
    <row r="2819" ht="15" customHeight="1"/>
    <row r="2820" ht="20.1" customHeight="1"/>
    <row r="2821" ht="15" customHeight="1"/>
    <row r="2822" ht="15" customHeight="1"/>
    <row r="2823" ht="15" customHeight="1"/>
    <row r="2824" ht="20.1" customHeight="1"/>
    <row r="2825" ht="15" customHeight="1"/>
    <row r="2826" ht="15" customHeight="1"/>
    <row r="2827" ht="15" customHeight="1"/>
    <row r="2828" ht="20.1" customHeight="1"/>
    <row r="2829" ht="15" customHeight="1"/>
    <row r="2830" ht="15" customHeight="1"/>
    <row r="2831" ht="15" customHeight="1"/>
    <row r="2832" ht="20.1" customHeight="1"/>
    <row r="2833" ht="15" customHeight="1"/>
    <row r="2834" ht="15" customHeight="1"/>
    <row r="2835" ht="15" customHeight="1"/>
    <row r="2836" ht="20.1" customHeight="1"/>
    <row r="2837" ht="15" customHeight="1"/>
    <row r="2838" ht="15" customHeight="1"/>
    <row r="2839" ht="15" customHeight="1"/>
    <row r="2840" ht="20.1" customHeight="1"/>
    <row r="2841" ht="15" customHeight="1"/>
    <row r="2842" ht="15" customHeight="1"/>
    <row r="2843" ht="15" customHeight="1"/>
    <row r="2844" ht="20.1" customHeight="1"/>
    <row r="2845" ht="15" customHeight="1"/>
    <row r="2846" ht="15" customHeight="1"/>
    <row r="2847" ht="15" customHeight="1"/>
    <row r="2848" ht="20.1" customHeight="1"/>
    <row r="2849" ht="15" customHeight="1"/>
    <row r="2850" ht="15" customHeight="1"/>
    <row r="2851" ht="15" customHeight="1"/>
    <row r="2852" ht="20.1" customHeight="1"/>
    <row r="2853" ht="15" customHeight="1"/>
    <row r="2854" ht="15" customHeight="1"/>
    <row r="2855" ht="15" customHeight="1"/>
    <row r="2856" ht="20.1" customHeight="1"/>
    <row r="2857" ht="15" customHeight="1"/>
    <row r="2858" ht="15" customHeight="1"/>
    <row r="2859" ht="15" customHeight="1"/>
    <row r="2860" ht="20.1" customHeight="1"/>
    <row r="2861" ht="15" customHeight="1"/>
    <row r="2862" ht="15" customHeight="1"/>
    <row r="2863" ht="15" customHeight="1"/>
    <row r="2864" ht="20.1" customHeight="1"/>
    <row r="2865" ht="15" customHeight="1"/>
    <row r="2866" ht="15" customHeight="1"/>
    <row r="2867" ht="15" customHeight="1"/>
    <row r="2868" ht="20.1" customHeight="1"/>
    <row r="2869" ht="15" customHeight="1"/>
    <row r="2870" ht="15" customHeight="1"/>
    <row r="2871" ht="15" customHeight="1"/>
    <row r="2872" ht="20.1" customHeight="1"/>
    <row r="2873" ht="15" customHeight="1"/>
    <row r="2874" ht="15" customHeight="1"/>
    <row r="2875" ht="15" customHeight="1"/>
    <row r="2876" ht="20.1" customHeight="1"/>
    <row r="2877" ht="15" customHeight="1"/>
    <row r="2878" ht="15" customHeight="1"/>
    <row r="2879" ht="15" customHeight="1"/>
    <row r="2880" ht="20.1" customHeight="1"/>
    <row r="2881" ht="15" customHeight="1"/>
    <row r="2882" ht="15" customHeight="1"/>
    <row r="2883" ht="15" customHeight="1"/>
    <row r="2884" ht="20.1" customHeight="1"/>
    <row r="2885" ht="15" customHeight="1"/>
    <row r="2886" ht="14.65" customHeight="1"/>
    <row r="2887" ht="20.1" customHeight="1"/>
    <row r="2888" ht="15" customHeight="1"/>
    <row r="2889" ht="15" customHeight="1"/>
    <row r="2890" ht="15" customHeight="1"/>
    <row r="2891" ht="15" customHeight="1"/>
    <row r="2892" ht="15" customHeight="1"/>
    <row r="2893" ht="15" customHeight="1"/>
    <row r="2894" ht="15" customHeight="1"/>
    <row r="2895" ht="15" customHeight="1"/>
    <row r="2896" ht="15" customHeight="1"/>
    <row r="2897" ht="15" customHeight="1"/>
    <row r="2898" ht="15" customHeight="1"/>
    <row r="2899" ht="15" customHeight="1"/>
    <row r="2900" ht="15" customHeight="1"/>
    <row r="2901" ht="15" customHeight="1"/>
    <row r="2902" ht="15" customHeight="1"/>
    <row r="2903" ht="15" customHeight="1"/>
    <row r="2904" ht="15" customHeight="1"/>
    <row r="2905" ht="15" customHeight="1"/>
    <row r="2906" ht="15" customHeight="1"/>
    <row r="2907" ht="15" customHeight="1"/>
    <row r="2908" ht="15" customHeight="1"/>
    <row r="2909" ht="15" customHeight="1"/>
    <row r="2910" ht="15" customHeight="1"/>
    <row r="2911" ht="15" customHeight="1"/>
    <row r="2912" ht="15" customHeight="1"/>
    <row r="2913" ht="15" customHeight="1"/>
    <row r="2914" ht="15" customHeight="1"/>
    <row r="2915" ht="15" customHeight="1"/>
    <row r="2916" ht="15" customHeight="1"/>
    <row r="2917" ht="15" customHeight="1"/>
    <row r="2918" ht="15" customHeight="1"/>
    <row r="2919" ht="15" customHeight="1"/>
    <row r="2920" ht="15" customHeight="1"/>
    <row r="2921" ht="15" customHeight="1"/>
    <row r="2922" ht="15" customHeight="1"/>
    <row r="2923" ht="15" customHeight="1"/>
    <row r="2924" ht="15" customHeight="1"/>
    <row r="2925" ht="15" customHeight="1"/>
    <row r="2926" ht="15" customHeight="1"/>
    <row r="2927" ht="20.1" customHeight="1"/>
    <row r="2928" ht="15" customHeight="1"/>
    <row r="2929" ht="15" customHeight="1"/>
    <row r="2930" ht="20.1" customHeight="1"/>
    <row r="2931" ht="15" customHeight="1"/>
    <row r="2932" ht="15" customHeight="1"/>
    <row r="2933" ht="20.1" customHeight="1"/>
    <row r="2934" ht="15" customHeight="1"/>
    <row r="2935" ht="15" customHeight="1"/>
    <row r="2936" ht="15" customHeight="1"/>
    <row r="2937" ht="15" customHeight="1"/>
    <row r="2938" ht="20.1" customHeight="1"/>
    <row r="2939" ht="15" customHeight="1"/>
    <row r="2940" ht="15" customHeight="1"/>
    <row r="2941" ht="15" customHeight="1"/>
    <row r="2942" ht="15" customHeight="1"/>
    <row r="2943" ht="15" customHeight="1"/>
    <row r="2944" ht="15" customHeight="1"/>
    <row r="2945" ht="15" customHeight="1"/>
    <row r="2946" ht="15" customHeight="1"/>
    <row r="2947" ht="15" customHeight="1"/>
    <row r="2948" ht="15" customHeight="1"/>
    <row r="2949" ht="15" customHeight="1"/>
    <row r="2950" ht="15" customHeight="1"/>
    <row r="2951" ht="15" customHeight="1"/>
    <row r="2952" ht="20.1" customHeight="1"/>
    <row r="2953" ht="15" customHeight="1"/>
    <row r="2954" ht="15" customHeight="1"/>
    <row r="2955" ht="15" customHeight="1"/>
    <row r="2956" ht="15" customHeight="1"/>
    <row r="2957" ht="15" customHeight="1"/>
    <row r="2958" ht="20.1" customHeight="1"/>
    <row r="2959" ht="15" customHeight="1"/>
    <row r="2960" ht="15" customHeight="1"/>
    <row r="2961" ht="15" customHeight="1"/>
    <row r="2962" ht="15" customHeight="1"/>
    <row r="2963" ht="15" customHeight="1"/>
    <row r="2964" ht="20.1" customHeight="1"/>
    <row r="2965" ht="15" customHeight="1"/>
    <row r="2966" ht="15" customHeight="1"/>
    <row r="2967" ht="15" customHeight="1"/>
    <row r="2968" ht="15" customHeight="1"/>
    <row r="2969" ht="20.1" customHeight="1"/>
    <row r="2970" ht="15" customHeight="1"/>
    <row r="2971" ht="15" customHeight="1"/>
    <row r="2972" ht="15" customHeight="1"/>
    <row r="2973" ht="15" customHeight="1"/>
    <row r="2974" ht="20.1" customHeight="1"/>
    <row r="2975" ht="15" customHeight="1"/>
    <row r="2976" ht="15" customHeight="1"/>
    <row r="2977" ht="15" customHeight="1"/>
    <row r="2978" ht="15" customHeight="1"/>
    <row r="2979" ht="20.1" customHeight="1"/>
    <row r="2980" ht="15" customHeight="1"/>
    <row r="2981" ht="15" customHeight="1"/>
    <row r="2982" ht="15" customHeight="1"/>
    <row r="2983" ht="15" customHeight="1"/>
    <row r="2984" ht="20.1" customHeight="1"/>
    <row r="2985" ht="15" customHeight="1"/>
    <row r="2986" ht="15" customHeight="1"/>
    <row r="2987" ht="15" customHeight="1"/>
    <row r="2988" ht="15" customHeight="1"/>
    <row r="2989" ht="20.1" customHeight="1"/>
    <row r="2990" ht="15" customHeight="1"/>
    <row r="2991" ht="15" customHeight="1"/>
    <row r="2992" ht="15" customHeight="1"/>
    <row r="2993" ht="15" customHeight="1"/>
    <row r="2994" ht="20.1" customHeight="1"/>
    <row r="2995" ht="15" customHeight="1"/>
    <row r="2996" ht="15" customHeight="1"/>
    <row r="2997" ht="15" customHeight="1"/>
    <row r="2998" ht="15" customHeight="1"/>
    <row r="2999" ht="20.1" customHeight="1"/>
    <row r="3000" ht="15" customHeight="1"/>
    <row r="3001" ht="15" customHeight="1"/>
    <row r="3002" ht="15" customHeight="1"/>
    <row r="3003" ht="15" customHeight="1"/>
    <row r="3004" ht="20.1" customHeight="1"/>
    <row r="3005" ht="15" customHeight="1"/>
    <row r="3006" ht="15" customHeight="1"/>
    <row r="3007" ht="15" customHeight="1"/>
    <row r="3008" ht="15" customHeight="1"/>
    <row r="3009" ht="20.1" customHeight="1"/>
    <row r="3010" ht="15" customHeight="1"/>
    <row r="3011" ht="15" customHeight="1"/>
    <row r="3012" ht="15" customHeight="1"/>
    <row r="3013" ht="15" customHeight="1"/>
    <row r="3014" ht="20.1" customHeight="1"/>
    <row r="3015" ht="15" customHeight="1"/>
    <row r="3016" ht="15" customHeight="1"/>
    <row r="3017" ht="15" customHeight="1"/>
    <row r="3018" ht="15" customHeight="1"/>
    <row r="3019" ht="15" customHeight="1"/>
    <row r="3020" ht="20.1" customHeight="1"/>
    <row r="3021" ht="15" customHeight="1"/>
    <row r="3022" ht="15" customHeight="1"/>
    <row r="3023" ht="15" customHeight="1"/>
    <row r="3024" ht="15" customHeight="1"/>
    <row r="3025" ht="15" customHeight="1"/>
    <row r="3026" ht="15" customHeight="1"/>
    <row r="3027" ht="20.1" customHeight="1"/>
    <row r="3028" ht="15" customHeight="1"/>
    <row r="3029" ht="15" customHeight="1"/>
    <row r="3030" ht="15" customHeight="1"/>
    <row r="3031" ht="15" customHeight="1"/>
    <row r="3032" ht="15" customHeight="1"/>
    <row r="3033" ht="20.1" customHeight="1"/>
    <row r="3034" ht="15" customHeight="1"/>
    <row r="3035" ht="15" customHeight="1"/>
    <row r="3036" ht="15" customHeight="1"/>
    <row r="3037" ht="15" customHeight="1"/>
    <row r="3038" ht="15" customHeight="1"/>
    <row r="3039" ht="15" customHeight="1"/>
    <row r="3040" ht="15" customHeight="1"/>
    <row r="3041" ht="15" customHeight="1"/>
    <row r="3042" ht="15" customHeight="1"/>
    <row r="3043" ht="15" customHeight="1"/>
    <row r="3044" ht="15" customHeight="1"/>
    <row r="3045" ht="15" customHeight="1"/>
    <row r="3046" ht="15" customHeight="1"/>
    <row r="3047" ht="15" customHeight="1"/>
    <row r="3048" ht="15" customHeight="1"/>
    <row r="3049" ht="15" customHeight="1"/>
    <row r="3050" ht="15" customHeight="1"/>
    <row r="3051" ht="15" customHeight="1"/>
    <row r="3052" ht="15" customHeight="1"/>
    <row r="3053" ht="15" customHeight="1"/>
    <row r="3054" ht="15" customHeight="1"/>
    <row r="3055" ht="15" customHeight="1"/>
    <row r="3056" ht="15" customHeight="1"/>
    <row r="3057" ht="15" customHeight="1"/>
    <row r="3058" ht="15" customHeight="1"/>
    <row r="3059" ht="15" customHeight="1"/>
    <row r="3060" ht="20.1" customHeight="1"/>
    <row r="3061" ht="15" customHeight="1"/>
    <row r="3062" ht="15" customHeight="1"/>
    <row r="3063" ht="15" customHeight="1"/>
    <row r="3064" ht="15" customHeight="1"/>
    <row r="3065" ht="20.1" customHeight="1"/>
    <row r="3066" ht="15" customHeight="1"/>
    <row r="3067" ht="15" customHeight="1"/>
    <row r="3068" ht="15" customHeight="1"/>
    <row r="3069" ht="15" customHeight="1"/>
    <row r="3070" ht="20.1" customHeight="1"/>
    <row r="3071" ht="15" customHeight="1"/>
    <row r="3072" ht="15" customHeight="1"/>
    <row r="3073" ht="15" customHeight="1"/>
    <row r="3074" ht="15" customHeight="1"/>
    <row r="3075" ht="15" customHeight="1"/>
    <row r="3076" ht="15" customHeight="1"/>
    <row r="3077" ht="15" customHeight="1"/>
    <row r="3078" ht="15" customHeight="1"/>
    <row r="3079" ht="15" customHeight="1"/>
    <row r="3080" ht="15" customHeight="1"/>
    <row r="3081" ht="15" customHeight="1"/>
    <row r="3082" ht="15" customHeight="1"/>
    <row r="3083" ht="15" customHeight="1"/>
    <row r="3084" ht="15" customHeight="1"/>
    <row r="3085" ht="15" customHeight="1"/>
    <row r="3086" ht="15" customHeight="1"/>
    <row r="3087" ht="15" customHeight="1"/>
    <row r="3088" ht="15" customHeight="1"/>
    <row r="3089" ht="15" customHeight="1"/>
    <row r="3090" ht="15" customHeight="1"/>
    <row r="3091" ht="15" customHeight="1"/>
    <row r="3092" ht="15" customHeight="1"/>
    <row r="3093" ht="20.1" customHeight="1"/>
    <row r="3094" ht="15" customHeight="1"/>
    <row r="3095" ht="15" customHeight="1"/>
    <row r="3096" ht="15" customHeight="1"/>
    <row r="3097" ht="15" customHeight="1"/>
    <row r="3098" ht="15" customHeight="1"/>
    <row r="3099" ht="20.1" customHeight="1"/>
    <row r="3100" ht="15" customHeight="1"/>
    <row r="3101" ht="15" customHeight="1"/>
    <row r="3102" ht="15" customHeight="1"/>
    <row r="3103" ht="15" customHeight="1"/>
    <row r="3104" ht="15" customHeight="1"/>
    <row r="3105" ht="20.1" customHeight="1"/>
    <row r="3106" ht="15" customHeight="1"/>
    <row r="3107" ht="15" customHeight="1"/>
    <row r="3108" ht="15" customHeight="1"/>
    <row r="3109" ht="15" customHeight="1"/>
    <row r="3110" ht="15" customHeight="1"/>
    <row r="3111" ht="20.1" customHeight="1"/>
    <row r="3112" ht="15" customHeight="1"/>
    <row r="3113" ht="15" customHeight="1"/>
    <row r="3114" ht="15" customHeight="1"/>
    <row r="3115" ht="15" customHeight="1"/>
    <row r="3116" ht="15" customHeight="1"/>
    <row r="3117" ht="20.1" customHeight="1"/>
    <row r="3118" ht="15" customHeight="1"/>
    <row r="3119" ht="15" customHeight="1"/>
    <row r="3120" ht="15" customHeight="1"/>
    <row r="3121" ht="15" customHeight="1"/>
    <row r="3122" ht="15" customHeight="1"/>
    <row r="3123" ht="15" customHeight="1"/>
    <row r="3124" ht="15" customHeight="1"/>
    <row r="3125" ht="15" customHeight="1"/>
    <row r="3126" ht="15" customHeight="1"/>
    <row r="3127" ht="15" customHeight="1"/>
    <row r="3128" ht="15" customHeight="1"/>
    <row r="3129" ht="15" customHeight="1"/>
    <row r="3130" ht="15" customHeight="1"/>
    <row r="3131" ht="15" customHeight="1"/>
    <row r="3132" ht="15" customHeight="1"/>
    <row r="3133" ht="15" customHeight="1"/>
    <row r="3134" ht="15" customHeight="1"/>
    <row r="3135" ht="15" customHeight="1"/>
    <row r="3136" ht="15" customHeight="1"/>
    <row r="3137" ht="20.1" customHeight="1"/>
    <row r="3138" ht="15" customHeight="1"/>
    <row r="3139" ht="15" customHeight="1"/>
    <row r="3140" ht="15" customHeight="1"/>
    <row r="3141" ht="15" customHeight="1"/>
    <row r="3142" ht="15" customHeight="1"/>
    <row r="3143" ht="15" customHeight="1"/>
    <row r="3144" ht="20.1" customHeight="1"/>
    <row r="3145" ht="15" customHeight="1"/>
    <row r="3146" ht="15" customHeight="1"/>
    <row r="3147" ht="15" customHeight="1"/>
    <row r="3148" ht="15" customHeight="1"/>
    <row r="3149" ht="15" customHeight="1"/>
    <row r="3150" ht="15" customHeight="1"/>
    <row r="3151" ht="15" customHeight="1"/>
    <row r="3152" ht="20.1" customHeight="1"/>
    <row r="3153" ht="15" customHeight="1"/>
    <row r="3154" ht="15" customHeight="1"/>
    <row r="3155" ht="15" customHeight="1"/>
    <row r="3156" ht="15" customHeight="1"/>
    <row r="3157" ht="15" customHeight="1"/>
    <row r="3158" ht="15" customHeight="1"/>
    <row r="3159" ht="15" customHeight="1"/>
    <row r="3160" ht="15" customHeight="1"/>
    <row r="3161" ht="15" customHeight="1"/>
    <row r="3162" ht="20.1" customHeight="1"/>
    <row r="3163" ht="15" customHeight="1"/>
    <row r="3164" ht="15" customHeight="1"/>
    <row r="3165" ht="15" customHeight="1"/>
    <row r="3166" ht="15" customHeight="1"/>
    <row r="3167" ht="15" customHeight="1"/>
    <row r="3168" ht="20.1" customHeight="1"/>
    <row r="3169" ht="15" customHeight="1"/>
    <row r="3170" ht="15" customHeight="1"/>
    <row r="3171" ht="15" customHeight="1"/>
    <row r="3172" ht="15" customHeight="1"/>
    <row r="3173" ht="15" customHeight="1"/>
    <row r="3174" ht="20.1" customHeight="1"/>
    <row r="3175" ht="15" customHeight="1"/>
    <row r="3176" ht="15" customHeight="1"/>
    <row r="3177" ht="15" customHeight="1"/>
    <row r="3178" ht="15" customHeight="1"/>
    <row r="3179" ht="15" customHeight="1"/>
    <row r="3180" ht="20.1" customHeight="1"/>
    <row r="3181" ht="15" customHeight="1"/>
    <row r="3182" ht="15" customHeight="1"/>
    <row r="3183" ht="15" customHeight="1"/>
    <row r="3184" ht="15" customHeight="1"/>
    <row r="3185" ht="15" customHeight="1"/>
    <row r="3186" ht="20.1" customHeight="1"/>
    <row r="3187" ht="15" customHeight="1"/>
    <row r="3188" ht="15" customHeight="1"/>
    <row r="3189" ht="15" customHeight="1"/>
    <row r="3190" ht="15" customHeight="1"/>
    <row r="3191" ht="15" customHeight="1"/>
    <row r="3192" ht="20.1" customHeight="1"/>
    <row r="3193" ht="15" customHeight="1"/>
    <row r="3194" ht="15" customHeight="1"/>
    <row r="3195" ht="15" customHeight="1"/>
    <row r="3196" ht="15" customHeight="1"/>
    <row r="3197" ht="15" customHeight="1"/>
    <row r="3198" ht="20.1" customHeight="1"/>
    <row r="3199" ht="15" customHeight="1"/>
    <row r="3200" ht="15" customHeight="1"/>
    <row r="3201" ht="15" customHeight="1"/>
    <row r="3202" ht="15" customHeight="1"/>
    <row r="3203" ht="15" customHeight="1"/>
    <row r="3204" ht="20.1" customHeight="1"/>
    <row r="3205" ht="15" customHeight="1"/>
    <row r="3206" ht="15" customHeight="1"/>
    <row r="3207" ht="15" customHeight="1"/>
    <row r="3208" ht="15" customHeight="1"/>
    <row r="3209" ht="15" customHeight="1"/>
    <row r="3210" ht="20.1" customHeight="1"/>
    <row r="3211" ht="15" customHeight="1"/>
    <row r="3212" ht="15" customHeight="1"/>
    <row r="3213" ht="15" customHeight="1"/>
    <row r="3214" ht="15" customHeight="1"/>
    <row r="3215" ht="15" customHeight="1"/>
    <row r="3216" ht="20.1" customHeight="1"/>
    <row r="3217" ht="15" customHeight="1"/>
    <row r="3218" ht="15" customHeight="1"/>
    <row r="3219" ht="15" customHeight="1"/>
    <row r="3220" ht="15" customHeight="1"/>
    <row r="3221" ht="15" customHeight="1"/>
    <row r="3222" ht="20.1" customHeight="1"/>
    <row r="3223" ht="15" customHeight="1"/>
    <row r="3224" ht="15" customHeight="1"/>
    <row r="3225" ht="15" customHeight="1"/>
    <row r="3226" ht="15" customHeight="1"/>
    <row r="3227" ht="15" customHeight="1"/>
    <row r="3228" ht="20.1" customHeight="1"/>
    <row r="3229" ht="15" customHeight="1"/>
    <row r="3230" ht="15" customHeight="1"/>
    <row r="3231" ht="15" customHeight="1"/>
    <row r="3232" ht="15" customHeight="1"/>
    <row r="3233" ht="15" customHeight="1"/>
    <row r="3234" ht="20.1" customHeight="1"/>
    <row r="3235" ht="15" customHeight="1"/>
    <row r="3236" ht="15" customHeight="1"/>
    <row r="3237" ht="15" customHeight="1"/>
    <row r="3238" ht="15" customHeight="1"/>
    <row r="3239" ht="15" customHeight="1"/>
    <row r="3240" ht="20.1" customHeight="1"/>
    <row r="3241" ht="15" customHeight="1"/>
    <row r="3242" ht="15" customHeight="1"/>
    <row r="3243" ht="15" customHeight="1"/>
    <row r="3244" ht="15" customHeight="1"/>
    <row r="3245" ht="15" customHeight="1"/>
    <row r="3246" ht="20.1" customHeight="1"/>
    <row r="3247" ht="15" customHeight="1"/>
    <row r="3248" ht="15" customHeight="1"/>
    <row r="3249" ht="15" customHeight="1"/>
    <row r="3250" ht="15" customHeight="1"/>
    <row r="3251" ht="15" customHeight="1"/>
    <row r="3252" ht="20.1" customHeight="1"/>
    <row r="3253" ht="15" customHeight="1"/>
    <row r="3254" ht="15" customHeight="1"/>
    <row r="3255" ht="15" customHeight="1"/>
    <row r="3256" ht="15" customHeight="1"/>
    <row r="3257" ht="15" customHeight="1"/>
    <row r="3258" ht="20.1" customHeight="1"/>
    <row r="3259" ht="15" customHeight="1"/>
    <row r="3260" ht="15" customHeight="1"/>
    <row r="3261" ht="15" customHeight="1"/>
    <row r="3262" ht="15" customHeight="1"/>
    <row r="3263" ht="15" customHeight="1"/>
    <row r="3264" ht="20.1" customHeight="1"/>
    <row r="3265" ht="15" customHeight="1"/>
    <row r="3266" ht="15" customHeight="1"/>
    <row r="3267" ht="15" customHeight="1"/>
    <row r="3268" ht="15" customHeight="1"/>
    <row r="3269" ht="15" customHeight="1"/>
    <row r="3270" ht="20.1" customHeight="1"/>
    <row r="3271" ht="15" customHeight="1"/>
    <row r="3272" ht="15" customHeight="1"/>
    <row r="3273" ht="15" customHeight="1"/>
    <row r="3274" ht="15" customHeight="1"/>
    <row r="3275" ht="15" customHeight="1"/>
    <row r="3276" ht="20.1" customHeight="1"/>
    <row r="3277" ht="15" customHeight="1"/>
    <row r="3278" ht="15" customHeight="1"/>
    <row r="3279" ht="15" customHeight="1"/>
    <row r="3280" ht="15" customHeight="1"/>
    <row r="3281" ht="15" customHeight="1"/>
    <row r="3282" ht="15" customHeight="1"/>
    <row r="3283" ht="15" customHeight="1"/>
    <row r="3284" ht="15" customHeight="1"/>
    <row r="3285" ht="15" customHeight="1"/>
    <row r="3286" ht="15" customHeight="1"/>
    <row r="3287" ht="15" customHeight="1"/>
    <row r="3288" ht="15" customHeight="1"/>
    <row r="3289" ht="15" customHeight="1"/>
    <row r="3290" ht="15" customHeight="1"/>
    <row r="3291" ht="20.1" customHeight="1"/>
    <row r="3292" ht="15" customHeight="1"/>
    <row r="3293" ht="15" customHeight="1"/>
    <row r="3294" ht="15" customHeight="1"/>
    <row r="3295" ht="15" customHeight="1"/>
    <row r="3296" ht="20.1" customHeight="1"/>
    <row r="3297" ht="15" customHeight="1"/>
    <row r="3298" ht="15" customHeight="1"/>
    <row r="3299" ht="15" customHeight="1"/>
    <row r="3300" ht="15" customHeight="1"/>
    <row r="3301" ht="20.1" customHeight="1"/>
    <row r="3302" ht="15" customHeight="1"/>
    <row r="3303" ht="15" customHeight="1"/>
    <row r="3304" ht="15" customHeight="1"/>
    <row r="3305" ht="15" customHeight="1"/>
    <row r="3306" ht="20.1" customHeight="1"/>
    <row r="3307" ht="15" customHeight="1"/>
    <row r="3308" ht="15" customHeight="1"/>
    <row r="3309" ht="15" customHeight="1"/>
    <row r="3310" ht="15" customHeight="1"/>
    <row r="3311" ht="20.1" customHeight="1"/>
    <row r="3312" ht="15" customHeight="1"/>
    <row r="3313" ht="15" customHeight="1"/>
    <row r="3314" ht="15" customHeight="1"/>
    <row r="3315" ht="15" customHeight="1"/>
    <row r="3316" ht="20.1" customHeight="1"/>
    <row r="3317" ht="15" customHeight="1"/>
    <row r="3318" ht="15" customHeight="1"/>
    <row r="3319" ht="15" customHeight="1"/>
    <row r="3320" ht="15" customHeight="1"/>
    <row r="3321" ht="20.1" customHeight="1"/>
    <row r="3322" ht="15" customHeight="1"/>
    <row r="3323" ht="15" customHeight="1"/>
    <row r="3324" ht="15" customHeight="1"/>
    <row r="3325" ht="15" customHeight="1"/>
    <row r="3326" ht="20.1" customHeight="1"/>
    <row r="3327" ht="15" customHeight="1"/>
    <row r="3328" ht="15" customHeight="1"/>
    <row r="3329" ht="15" customHeight="1"/>
    <row r="3330" ht="15" customHeight="1"/>
    <row r="3331" ht="15" customHeight="1"/>
    <row r="3332" ht="15" customHeight="1"/>
    <row r="3333" ht="20.1" customHeight="1"/>
    <row r="3334" ht="15" customHeight="1"/>
    <row r="3335" ht="15" customHeight="1"/>
    <row r="3336" ht="15" customHeight="1"/>
    <row r="3337" ht="15" customHeight="1"/>
    <row r="3338" ht="15" customHeight="1"/>
    <row r="3339" ht="20.1" customHeight="1"/>
    <row r="3340" ht="15" customHeight="1"/>
    <row r="3341" ht="15" customHeight="1"/>
    <row r="3342" ht="15" customHeight="1"/>
    <row r="3343" ht="15" customHeight="1"/>
    <row r="3344" ht="15" customHeight="1"/>
    <row r="3345" ht="20.1" customHeight="1"/>
    <row r="3346" ht="15" customHeight="1"/>
    <row r="3347" ht="15" customHeight="1"/>
    <row r="3348" ht="15" customHeight="1"/>
    <row r="3349" ht="15" customHeight="1"/>
    <row r="3350" ht="15" customHeight="1"/>
    <row r="3351" ht="15" customHeight="1"/>
    <row r="3352" ht="15" customHeight="1"/>
    <row r="3353" ht="20.1" customHeight="1"/>
    <row r="3354" ht="15" customHeight="1"/>
    <row r="3355" ht="15" customHeight="1"/>
    <row r="3356" ht="15" customHeight="1"/>
    <row r="3357" ht="15" customHeight="1"/>
    <row r="3358" ht="15" customHeight="1"/>
    <row r="3359" ht="15" customHeight="1"/>
    <row r="3360" ht="15" customHeight="1"/>
    <row r="3361" ht="20.1" customHeight="1"/>
    <row r="3362" ht="15" customHeight="1"/>
    <row r="3363" ht="15" customHeight="1"/>
    <row r="3364" ht="15" customHeight="1"/>
    <row r="3365" ht="15" customHeight="1"/>
    <row r="3366" ht="20.1" customHeight="1"/>
    <row r="3367" ht="15" customHeight="1"/>
    <row r="3368" ht="15" customHeight="1"/>
    <row r="3369" ht="15" customHeight="1"/>
    <row r="3370" ht="20.1" customHeight="1"/>
    <row r="3371" ht="15" customHeight="1"/>
    <row r="3372" ht="15" customHeight="1"/>
    <row r="3373" ht="15" customHeight="1"/>
    <row r="3374" ht="20.1" customHeight="1"/>
    <row r="3375" ht="15" customHeight="1"/>
    <row r="3376" ht="15" customHeight="1"/>
    <row r="3377" ht="15" customHeight="1"/>
    <row r="3378" ht="15" customHeight="1"/>
    <row r="3379" ht="15" customHeight="1"/>
    <row r="3380" ht="15" customHeight="1"/>
    <row r="3381" ht="20.1" customHeight="1"/>
    <row r="3382" ht="15" customHeight="1"/>
    <row r="3383" ht="15" customHeight="1"/>
    <row r="3384" ht="15" customHeight="1"/>
    <row r="3385" ht="15" customHeight="1"/>
    <row r="3386" ht="20.1" customHeight="1"/>
    <row r="3387" ht="15" customHeight="1"/>
    <row r="3388" ht="15" customHeight="1"/>
    <row r="3389" ht="15" customHeight="1"/>
    <row r="3390" ht="15" customHeight="1"/>
    <row r="3391" ht="20.1" customHeight="1"/>
    <row r="3392" ht="15" customHeight="1"/>
    <row r="3393" ht="15" customHeight="1"/>
    <row r="3394" ht="15" customHeight="1"/>
    <row r="3395" ht="15" customHeight="1"/>
    <row r="3396" ht="15" customHeight="1"/>
    <row r="3397" ht="20.1" customHeight="1"/>
    <row r="3398" ht="15" customHeight="1"/>
    <row r="3399" ht="15" customHeight="1"/>
    <row r="3400" ht="15" customHeight="1"/>
    <row r="3401" ht="20.1" customHeight="1"/>
    <row r="3402" ht="15" customHeight="1"/>
    <row r="3403" ht="15" customHeight="1"/>
    <row r="3404" ht="15" customHeight="1"/>
    <row r="3405" ht="15" customHeight="1"/>
    <row r="3406" ht="15" customHeight="1"/>
    <row r="3407" ht="15" customHeight="1"/>
    <row r="3408" ht="20.1" customHeight="1"/>
    <row r="3409" ht="15" customHeight="1"/>
    <row r="3410" ht="15" customHeight="1"/>
    <row r="3411" ht="15" customHeight="1"/>
    <row r="3412" ht="15" customHeight="1"/>
    <row r="3413" ht="20.1" customHeight="1"/>
    <row r="3414" ht="15" customHeight="1"/>
    <row r="3415" ht="15" customHeight="1"/>
    <row r="3416" ht="15" customHeight="1"/>
    <row r="3417" ht="15" customHeight="1"/>
    <row r="3418" ht="15" customHeight="1"/>
    <row r="3419" ht="20.1" customHeight="1"/>
    <row r="3420" ht="15" customHeight="1"/>
    <row r="3421" ht="15" customHeight="1"/>
    <row r="3422" ht="15" customHeight="1"/>
    <row r="3423" ht="15" customHeight="1"/>
    <row r="3424" ht="15" customHeight="1"/>
    <row r="3425" ht="20.1" customHeight="1"/>
    <row r="3426" ht="15" customHeight="1"/>
    <row r="3427" ht="15" customHeight="1"/>
    <row r="3428" ht="15" customHeight="1"/>
    <row r="3429" ht="15" customHeight="1"/>
    <row r="3430" ht="20.1" customHeight="1"/>
    <row r="3431" ht="15" customHeight="1"/>
    <row r="3432" ht="15" customHeight="1"/>
    <row r="3433" ht="15" customHeight="1"/>
    <row r="3434" ht="15" customHeight="1"/>
    <row r="3435" ht="20.1" customHeight="1"/>
    <row r="3436" ht="15" customHeight="1"/>
    <row r="3437" ht="15" customHeight="1"/>
    <row r="3438" ht="15" customHeight="1"/>
    <row r="3439" ht="15" customHeight="1"/>
    <row r="3440" ht="20.1" customHeight="1"/>
    <row r="3441" ht="15" customHeight="1"/>
    <row r="3442" ht="15" customHeight="1"/>
    <row r="3443" ht="15" customHeight="1"/>
    <row r="3444" ht="20.1" customHeight="1"/>
    <row r="3445" ht="15" customHeight="1"/>
    <row r="3446" ht="15" customHeight="1"/>
    <row r="3447" ht="15" customHeight="1"/>
    <row r="3448" ht="15" customHeight="1"/>
    <row r="3449" ht="20.1" customHeight="1"/>
    <row r="3450" ht="15" customHeight="1"/>
    <row r="3451" ht="15" customHeight="1"/>
    <row r="3452" ht="15" customHeight="1"/>
    <row r="3453" ht="15" customHeight="1"/>
    <row r="3454" ht="20.1" customHeight="1"/>
    <row r="3455" ht="15" customHeight="1"/>
    <row r="3456" ht="15" customHeight="1"/>
    <row r="3457" ht="15" customHeight="1"/>
    <row r="3458" ht="15" customHeight="1"/>
    <row r="3459" ht="20.1" customHeight="1"/>
    <row r="3460" ht="15" customHeight="1"/>
    <row r="3461" ht="15" customHeight="1"/>
    <row r="3462" ht="15" customHeight="1"/>
    <row r="3463" ht="15" customHeight="1"/>
    <row r="3464" ht="20.1" customHeight="1"/>
    <row r="3465" ht="15" customHeight="1"/>
    <row r="3466" ht="15" customHeight="1"/>
    <row r="3467" ht="15" customHeight="1"/>
    <row r="3468" ht="15" customHeight="1"/>
    <row r="3469" ht="20.1" customHeight="1"/>
    <row r="3470" ht="15" customHeight="1"/>
    <row r="3471" ht="15" customHeight="1"/>
    <row r="3472" ht="15" customHeight="1"/>
    <row r="3473" ht="15" customHeight="1"/>
    <row r="3474" ht="20.1" customHeight="1"/>
    <row r="3475" ht="15" customHeight="1"/>
    <row r="3476" ht="15" customHeight="1"/>
    <row r="3477" ht="15" customHeight="1"/>
    <row r="3478" ht="15" customHeight="1"/>
    <row r="3479" ht="20.1" customHeight="1"/>
    <row r="3480" ht="15" customHeight="1"/>
    <row r="3481" ht="15" customHeight="1"/>
    <row r="3482" ht="15" customHeight="1"/>
    <row r="3483" ht="15" customHeight="1"/>
    <row r="3484" ht="20.1" customHeight="1"/>
    <row r="3485" ht="15" customHeight="1"/>
    <row r="3486" ht="15" customHeight="1"/>
    <row r="3487" ht="15" customHeight="1"/>
    <row r="3488" ht="15" customHeight="1"/>
    <row r="3489" ht="20.1" customHeight="1"/>
    <row r="3490" ht="15" customHeight="1"/>
    <row r="3491" ht="15" customHeight="1"/>
    <row r="3492" ht="15" customHeight="1"/>
    <row r="3493" ht="15" customHeight="1"/>
    <row r="3494" ht="20.1" customHeight="1"/>
    <row r="3495" ht="15" customHeight="1"/>
    <row r="3496" ht="15" customHeight="1"/>
    <row r="3497" ht="15" customHeight="1"/>
    <row r="3498" ht="15" customHeight="1"/>
    <row r="3499" ht="15" customHeight="1"/>
    <row r="3500" ht="15" customHeight="1"/>
    <row r="3501" ht="15" customHeight="1"/>
    <row r="3502" ht="15" customHeight="1"/>
    <row r="3503" ht="15" customHeight="1"/>
    <row r="3504" ht="20.1" customHeight="1"/>
    <row r="3505" ht="15" customHeight="1"/>
    <row r="3506" ht="15" customHeight="1"/>
    <row r="3507" ht="15" customHeight="1"/>
    <row r="3508" ht="15" customHeight="1"/>
    <row r="3509" ht="15" customHeight="1"/>
    <row r="3510" ht="15" customHeight="1"/>
    <row r="3511" ht="20.1" customHeight="1"/>
    <row r="3512" ht="15" customHeight="1"/>
    <row r="3513" ht="15" customHeight="1"/>
    <row r="3514" ht="15" customHeight="1"/>
    <row r="3515" ht="15" customHeight="1"/>
    <row r="3516" ht="20.1" customHeight="1"/>
    <row r="3517" ht="15" customHeight="1"/>
    <row r="3518" ht="15" customHeight="1"/>
    <row r="3519" ht="15" customHeight="1"/>
    <row r="3520" ht="15" customHeight="1"/>
    <row r="3521" ht="15" customHeight="1"/>
    <row r="3522" ht="15" customHeight="1"/>
    <row r="3523" ht="20.1" customHeight="1"/>
    <row r="3524" ht="15" customHeight="1"/>
    <row r="3525" ht="15" customHeight="1"/>
    <row r="3526" ht="20.1" customHeight="1"/>
    <row r="3527" ht="15" customHeight="1"/>
    <row r="3528" ht="15" customHeight="1"/>
    <row r="3529" ht="15" customHeight="1"/>
    <row r="3530" ht="15" customHeight="1"/>
    <row r="3531" ht="15" customHeight="1"/>
    <row r="3532" ht="15" customHeight="1"/>
    <row r="3533" ht="15" customHeight="1"/>
    <row r="3534" ht="15" customHeight="1"/>
    <row r="3535" ht="15" customHeight="1"/>
    <row r="3536" ht="20.1" customHeight="1"/>
    <row r="3537" ht="15" customHeight="1"/>
    <row r="3538" ht="15" customHeight="1"/>
    <row r="3539" ht="15" customHeight="1"/>
    <row r="3540" ht="15" customHeight="1"/>
    <row r="3541" ht="20.1" customHeight="1"/>
    <row r="3542" ht="15" customHeight="1"/>
    <row r="3543" ht="15" customHeight="1"/>
    <row r="3544" ht="15" customHeight="1"/>
    <row r="3545" ht="20.1" customHeight="1"/>
    <row r="3546" ht="15" customHeight="1"/>
    <row r="3547" ht="15" customHeight="1"/>
    <row r="3548" ht="15" customHeight="1"/>
    <row r="3549" ht="15" customHeight="1"/>
    <row r="3550" ht="15" customHeight="1"/>
    <row r="3551" ht="15" customHeight="1"/>
    <row r="3552" ht="15" customHeight="1"/>
    <row r="3553" ht="20.1" customHeight="1"/>
    <row r="3554" ht="15" customHeight="1"/>
    <row r="3555" ht="15" customHeight="1"/>
    <row r="3556" ht="15" customHeight="1"/>
    <row r="3557" ht="20.1" customHeight="1"/>
    <row r="3558" ht="15" customHeight="1"/>
    <row r="3559" ht="15" customHeight="1"/>
    <row r="3560" ht="15" customHeight="1"/>
    <row r="3561" ht="20.1" customHeight="1"/>
    <row r="3562" ht="15" customHeight="1"/>
    <row r="3563" ht="15" customHeight="1"/>
    <row r="3564" ht="15" customHeight="1"/>
    <row r="3565" ht="20.1" customHeight="1"/>
    <row r="3566" ht="15" customHeight="1"/>
    <row r="3567" ht="15" customHeight="1"/>
    <row r="3568" ht="15" customHeight="1"/>
    <row r="3569" ht="20.1" customHeight="1"/>
    <row r="3570" ht="15" customHeight="1"/>
    <row r="3571" ht="15" customHeight="1"/>
    <row r="3572" ht="15" customHeight="1"/>
    <row r="3573" ht="20.1" customHeight="1"/>
    <row r="3574" ht="15" customHeight="1"/>
    <row r="3575" ht="15" customHeight="1"/>
    <row r="3576" ht="15" customHeight="1"/>
    <row r="3577" ht="20.1" customHeight="1"/>
    <row r="3578" ht="15" customHeight="1"/>
    <row r="3579" ht="15" customHeight="1"/>
    <row r="3580" ht="15" customHeight="1"/>
    <row r="3581" ht="20.1" customHeight="1"/>
    <row r="3582" ht="15" customHeight="1"/>
    <row r="3583" ht="15" customHeight="1"/>
    <row r="3584" ht="15" customHeight="1"/>
    <row r="3585" ht="20.1" customHeight="1"/>
    <row r="3586" ht="15" customHeight="1"/>
    <row r="3587" ht="15" customHeight="1"/>
    <row r="3588" ht="15" customHeight="1"/>
    <row r="3589" ht="20.1" customHeight="1"/>
    <row r="3590" ht="15" customHeight="1"/>
    <row r="3591" ht="15" customHeight="1"/>
    <row r="3592" ht="15" customHeight="1"/>
    <row r="3593" ht="20.1" customHeight="1"/>
    <row r="3594" ht="15" customHeight="1"/>
    <row r="3595" ht="15" customHeight="1"/>
    <row r="3596" ht="15" customHeight="1"/>
    <row r="3597" ht="20.1" customHeight="1"/>
    <row r="3598" ht="15" customHeight="1"/>
    <row r="3599" ht="15" customHeight="1"/>
    <row r="3600" ht="15" customHeight="1"/>
    <row r="3601" ht="20.1" customHeight="1"/>
    <row r="3602" ht="15" customHeight="1"/>
    <row r="3603" ht="15" customHeight="1"/>
    <row r="3604" ht="15" customHeight="1"/>
    <row r="3605" ht="20.1" customHeight="1"/>
    <row r="3606" ht="15" customHeight="1"/>
    <row r="3607" ht="15" customHeight="1"/>
    <row r="3608" ht="15" customHeight="1"/>
    <row r="3609" ht="20.1" customHeight="1"/>
    <row r="3610" ht="15" customHeight="1"/>
    <row r="3611" ht="15" customHeight="1"/>
    <row r="3612" ht="15" customHeight="1"/>
    <row r="3613" ht="20.1" customHeight="1"/>
    <row r="3614" ht="15" customHeight="1"/>
    <row r="3615" ht="15" customHeight="1"/>
    <row r="3616" ht="15" customHeight="1"/>
    <row r="3617" ht="15" customHeight="1"/>
    <row r="3618" ht="15" customHeight="1"/>
    <row r="3619" ht="15" customHeight="1"/>
    <row r="3620" ht="15" customHeight="1"/>
    <row r="3621" ht="15" customHeight="1"/>
    <row r="3622" ht="15" customHeight="1"/>
    <row r="3623" ht="15" customHeight="1"/>
    <row r="3624" ht="15" customHeight="1"/>
    <row r="3625" ht="15" customHeight="1"/>
    <row r="3626" ht="15" customHeight="1"/>
    <row r="3627" ht="15" customHeight="1"/>
    <row r="3628" ht="15" customHeight="1"/>
    <row r="3629" ht="15" customHeight="1"/>
    <row r="3630" ht="15" customHeight="1"/>
    <row r="3631" ht="15" customHeight="1"/>
    <row r="3632" ht="15" customHeight="1"/>
    <row r="3633" ht="15" customHeight="1"/>
    <row r="3634" ht="15" customHeight="1"/>
    <row r="3635" ht="15" customHeight="1"/>
    <row r="3636" ht="15" customHeight="1"/>
    <row r="3637" ht="15" customHeight="1"/>
    <row r="3638" ht="15" customHeight="1"/>
    <row r="3639" ht="15" customHeight="1"/>
    <row r="3640" ht="15" customHeight="1"/>
    <row r="3641" ht="15" customHeight="1"/>
    <row r="3642" ht="15" customHeight="1"/>
    <row r="3643" ht="15" customHeight="1"/>
    <row r="3644" ht="15" customHeight="1"/>
    <row r="3645" ht="15" customHeight="1"/>
    <row r="3646" ht="15" customHeight="1"/>
    <row r="3647" ht="15" customHeight="1"/>
    <row r="3648" ht="15" customHeight="1"/>
    <row r="3649" ht="15" customHeight="1"/>
    <row r="3650" ht="15" customHeight="1"/>
    <row r="3651" ht="15" customHeight="1"/>
    <row r="3652" ht="20.1" customHeight="1"/>
    <row r="3653" ht="15" customHeight="1"/>
    <row r="3654" ht="15" customHeight="1"/>
    <row r="3655" ht="15" customHeight="1"/>
    <row r="3656" ht="15" customHeight="1"/>
    <row r="3657" ht="20.1" customHeight="1"/>
    <row r="3658" ht="15" customHeight="1"/>
    <row r="3659" ht="15" customHeight="1"/>
    <row r="3660" ht="15" customHeight="1"/>
    <row r="3661" ht="15" customHeight="1"/>
    <row r="3662" ht="15" customHeight="1"/>
    <row r="3663" ht="20.1" customHeight="1"/>
    <row r="3664" ht="15" customHeight="1"/>
    <row r="3665" ht="15" customHeight="1"/>
    <row r="3666" ht="15" customHeight="1"/>
    <row r="3667" ht="15" customHeight="1"/>
    <row r="3668" ht="15" customHeight="1"/>
    <row r="3669" ht="20.1" customHeight="1"/>
    <row r="3670" ht="15" customHeight="1"/>
    <row r="3671" ht="15" customHeight="1"/>
    <row r="3672" ht="15" customHeight="1"/>
    <row r="3673" ht="15" customHeight="1"/>
    <row r="3674" ht="15" customHeight="1"/>
    <row r="3675" ht="20.1" customHeight="1"/>
    <row r="3676" ht="15" customHeight="1"/>
    <row r="3677" ht="15" customHeight="1"/>
    <row r="3678" ht="15" customHeight="1"/>
    <row r="3679" ht="15" customHeight="1"/>
    <row r="3680" ht="15" customHeight="1"/>
    <row r="3681" ht="20.1" customHeight="1"/>
    <row r="3682" ht="15" customHeight="1"/>
    <row r="3683" ht="15" customHeight="1"/>
    <row r="3684" ht="15" customHeight="1"/>
    <row r="3685" ht="15" customHeight="1"/>
    <row r="3686" ht="15" customHeight="1"/>
    <row r="3687" ht="20.1" customHeight="1"/>
    <row r="3688" ht="15" customHeight="1"/>
    <row r="3689" ht="15" customHeight="1"/>
    <row r="3690" ht="15" customHeight="1"/>
    <row r="3691" ht="15" customHeight="1"/>
    <row r="3692" ht="15" customHeight="1"/>
    <row r="3693" ht="20.1" customHeight="1"/>
    <row r="3694" ht="15" customHeight="1"/>
    <row r="3695" ht="15" customHeight="1"/>
    <row r="3696" ht="15" customHeight="1"/>
    <row r="3697" ht="15" customHeight="1"/>
    <row r="3698" ht="15" customHeight="1"/>
    <row r="3699" ht="15" customHeight="1"/>
    <row r="3700" ht="15" customHeight="1"/>
    <row r="3701" ht="15" customHeight="1"/>
    <row r="3702" ht="15" customHeight="1"/>
    <row r="3703" ht="15" customHeight="1"/>
    <row r="3704" ht="15" customHeight="1"/>
    <row r="3705" ht="15" customHeight="1"/>
    <row r="3706" ht="15" customHeight="1"/>
    <row r="3707" ht="15" customHeight="1"/>
    <row r="3708" ht="15" customHeight="1"/>
    <row r="3709" ht="15" customHeight="1"/>
    <row r="3710" ht="15" customHeight="1"/>
    <row r="3711" ht="15" customHeight="1"/>
    <row r="3712" ht="15" customHeight="1"/>
    <row r="3713" ht="15" customHeight="1"/>
    <row r="3714" ht="15" customHeight="1"/>
    <row r="3715" ht="15" customHeight="1"/>
    <row r="3716" ht="15" customHeight="1"/>
    <row r="3717" ht="15" customHeight="1"/>
    <row r="3718" ht="15" customHeight="1"/>
    <row r="3719" ht="15" customHeight="1"/>
    <row r="3720" ht="15" customHeight="1"/>
    <row r="3721" ht="15" customHeight="1"/>
    <row r="3722" ht="15" customHeight="1"/>
    <row r="3723" ht="15" customHeight="1"/>
    <row r="3724" ht="20.1" customHeight="1"/>
    <row r="3725" ht="15" customHeight="1"/>
    <row r="3726" ht="15" customHeight="1"/>
    <row r="3727" ht="15" customHeight="1"/>
    <row r="3728" ht="15" customHeight="1"/>
    <row r="3729" ht="20.1" customHeight="1"/>
    <row r="3730" ht="15" customHeight="1"/>
    <row r="3731" ht="15" customHeight="1"/>
    <row r="3732" ht="15" customHeight="1"/>
    <row r="3733" ht="15" customHeight="1"/>
    <row r="3734" ht="15" customHeight="1"/>
    <row r="3735" ht="15" customHeight="1"/>
    <row r="3736" ht="15" customHeight="1"/>
    <row r="3737" ht="15" customHeight="1"/>
    <row r="3738" ht="20.1" customHeight="1"/>
    <row r="3739" ht="15" customHeight="1"/>
    <row r="3740" ht="15" customHeight="1"/>
    <row r="3741" ht="15" customHeight="1"/>
    <row r="3742" ht="15" customHeight="1"/>
    <row r="3743" ht="15" customHeight="1"/>
    <row r="3744" ht="15" customHeight="1"/>
    <row r="3745" ht="20.1" customHeight="1"/>
    <row r="3746" ht="15" customHeight="1"/>
    <row r="3747" ht="15" customHeight="1"/>
    <row r="3748" ht="15" customHeight="1"/>
    <row r="3749" ht="15" customHeight="1"/>
    <row r="3750" ht="15" customHeight="1"/>
    <row r="3751" ht="15" customHeight="1"/>
    <row r="3752" ht="15" customHeight="1"/>
    <row r="3753" ht="15" customHeight="1"/>
    <row r="3754" ht="15" customHeight="1"/>
    <row r="3755" ht="15" customHeight="1"/>
    <row r="3756" ht="20.1" customHeight="1"/>
    <row r="3757" ht="15" customHeight="1"/>
    <row r="3758" ht="15" customHeight="1"/>
    <row r="3759" ht="15" customHeight="1"/>
    <row r="3760" ht="15" customHeight="1"/>
    <row r="3761" ht="15" customHeight="1"/>
    <row r="3762" ht="15" customHeight="1"/>
    <row r="3763" ht="15" customHeight="1"/>
    <row r="3764" ht="15" customHeight="1"/>
    <row r="3765" ht="15" customHeight="1"/>
    <row r="3766" ht="15" customHeight="1"/>
    <row r="3767" ht="20.1" customHeight="1"/>
    <row r="3768" ht="15" customHeight="1"/>
    <row r="3769" ht="15" customHeight="1"/>
    <row r="3770" ht="15" customHeight="1"/>
    <row r="3771" ht="15" customHeight="1"/>
    <row r="3772" ht="15" customHeight="1"/>
    <row r="3773" ht="15" customHeight="1"/>
    <row r="3774" ht="15" customHeight="1"/>
    <row r="3775" ht="15" customHeight="1"/>
    <row r="3776" ht="15" customHeight="1"/>
    <row r="3777" ht="15" customHeight="1"/>
    <row r="3778" ht="15" customHeight="1"/>
    <row r="3779" ht="15" customHeight="1"/>
    <row r="3780" ht="15" customHeight="1"/>
    <row r="3781" ht="15" customHeight="1"/>
    <row r="3782" ht="15" customHeight="1"/>
    <row r="3783" ht="15" customHeight="1"/>
    <row r="3784" ht="15" customHeight="1"/>
    <row r="3785" ht="15" customHeight="1"/>
    <row r="3786" ht="15" customHeight="1"/>
    <row r="3787" ht="15" customHeight="1"/>
    <row r="3788" ht="15" customHeight="1"/>
    <row r="3789" ht="15" customHeight="1"/>
    <row r="3790" ht="15" customHeight="1"/>
    <row r="3791" ht="15" customHeight="1"/>
    <row r="3792" ht="15" customHeight="1"/>
    <row r="3793" ht="15" customHeight="1"/>
    <row r="3794" ht="15" customHeight="1"/>
    <row r="3795" ht="15" customHeight="1"/>
    <row r="3796" ht="15" customHeight="1"/>
    <row r="3797" ht="15" customHeight="1"/>
    <row r="3798" ht="15" customHeight="1"/>
    <row r="3799" ht="15" customHeight="1"/>
    <row r="3800" ht="15" customHeight="1"/>
    <row r="3801" ht="15" customHeight="1"/>
    <row r="3802" ht="15" customHeight="1"/>
    <row r="3803" ht="15" customHeight="1"/>
    <row r="3804" ht="15" customHeight="1"/>
    <row r="3805" ht="15" customHeight="1"/>
    <row r="3806" ht="15" customHeight="1"/>
    <row r="3807" ht="15" customHeight="1"/>
    <row r="3808" ht="15" customHeight="1"/>
    <row r="3809" ht="15" customHeight="1"/>
    <row r="3810" ht="15" customHeight="1"/>
    <row r="3811" ht="15" customHeight="1"/>
    <row r="3812" ht="15" customHeight="1"/>
    <row r="3813" ht="15" customHeight="1"/>
    <row r="3814" ht="15" customHeight="1"/>
    <row r="3815" ht="15" customHeight="1"/>
    <row r="3816" ht="15" customHeight="1"/>
    <row r="3817" ht="20.1" customHeight="1"/>
    <row r="3818" ht="15" customHeight="1"/>
    <row r="3819" ht="15" customHeight="1"/>
    <row r="3820" ht="15" customHeight="1"/>
    <row r="3821" ht="15" customHeight="1"/>
    <row r="3822" ht="20.1" customHeight="1"/>
    <row r="3823" ht="15" customHeight="1"/>
    <row r="3824" ht="15" customHeight="1"/>
    <row r="3825" ht="15" customHeight="1"/>
    <row r="3826" ht="15" customHeight="1"/>
    <row r="3827" ht="15" customHeight="1"/>
    <row r="3828" ht="20.1" customHeight="1"/>
    <row r="3829" ht="15" customHeight="1"/>
    <row r="3830" ht="15" customHeight="1"/>
    <row r="3831" ht="15" customHeight="1"/>
    <row r="3832" ht="15" customHeight="1"/>
    <row r="3833" ht="20.1" customHeight="1"/>
    <row r="3834" ht="15" customHeight="1"/>
    <row r="3835" ht="15" customHeight="1"/>
    <row r="3836" ht="15" customHeight="1"/>
    <row r="3837" ht="15" customHeight="1"/>
    <row r="3838" ht="15" customHeight="1"/>
    <row r="3839" ht="20.1" customHeight="1"/>
    <row r="3840" ht="15" customHeight="1"/>
    <row r="3841" ht="15" customHeight="1"/>
    <row r="3842" ht="15" customHeight="1"/>
    <row r="3843" ht="15" customHeight="1"/>
    <row r="3844" ht="20.1" customHeight="1"/>
    <row r="3845" ht="15" customHeight="1"/>
    <row r="3846" ht="15" customHeight="1"/>
    <row r="3847" ht="15" customHeight="1"/>
    <row r="3848" ht="15" customHeight="1"/>
    <row r="3849" ht="15" customHeight="1"/>
    <row r="3850" ht="20.1" customHeight="1"/>
    <row r="3851" ht="15" customHeight="1"/>
    <row r="3852" ht="15" customHeight="1"/>
    <row r="3853" ht="15" customHeight="1"/>
    <row r="3854" ht="15" customHeight="1"/>
    <row r="3855" ht="20.1" customHeight="1"/>
    <row r="3856" ht="15" customHeight="1"/>
    <row r="3857" ht="15" customHeight="1"/>
    <row r="3858" ht="15" customHeight="1"/>
    <row r="3859" ht="15" customHeight="1"/>
    <row r="3860" ht="15" customHeight="1"/>
    <row r="3861" ht="20.1" customHeight="1"/>
    <row r="3862" ht="15" customHeight="1"/>
    <row r="3863" ht="15" customHeight="1"/>
    <row r="3864" ht="15" customHeight="1"/>
    <row r="3865" ht="15" customHeight="1"/>
    <row r="3866" ht="20.1" customHeight="1"/>
    <row r="3867" ht="15" customHeight="1"/>
    <row r="3868" ht="15" customHeight="1"/>
    <row r="3869" ht="15" customHeight="1"/>
    <row r="3870" ht="15" customHeight="1"/>
    <row r="3871" ht="15" customHeight="1"/>
    <row r="3872" ht="20.1" customHeight="1"/>
    <row r="3873" ht="15" customHeight="1"/>
    <row r="3874" ht="15" customHeight="1"/>
    <row r="3875" ht="15" customHeight="1"/>
    <row r="3876" ht="15" customHeight="1"/>
    <row r="3877" ht="20.1" customHeight="1"/>
    <row r="3878" ht="15" customHeight="1"/>
    <row r="3879" ht="15" customHeight="1"/>
    <row r="3880" ht="15" customHeight="1"/>
    <row r="3881" ht="15" customHeight="1"/>
    <row r="3882" ht="20.1" customHeight="1"/>
    <row r="3883" ht="15" customHeight="1"/>
    <row r="3884" ht="15" customHeight="1"/>
    <row r="3885" ht="15" customHeight="1"/>
    <row r="3886" ht="15" customHeight="1"/>
    <row r="3887" ht="15" customHeight="1"/>
    <row r="3888" ht="20.1" customHeight="1"/>
    <row r="3889" ht="15" customHeight="1"/>
    <row r="3890" ht="15" customHeight="1"/>
    <row r="3891" ht="15" customHeight="1"/>
    <row r="3892" ht="15" customHeight="1"/>
    <row r="3893" ht="20.1" customHeight="1"/>
    <row r="3894" ht="15" customHeight="1"/>
    <row r="3895" ht="15" customHeight="1"/>
    <row r="3896" ht="15" customHeight="1"/>
    <row r="3897" ht="15" customHeight="1"/>
    <row r="3898" ht="20.1" customHeight="1"/>
    <row r="3899" ht="15" customHeight="1"/>
    <row r="3900" ht="15" customHeight="1"/>
    <row r="3901" ht="15" customHeight="1"/>
    <row r="3902" ht="15" customHeight="1"/>
    <row r="3903" ht="15" customHeight="1"/>
    <row r="3904" ht="20.1" customHeight="1"/>
    <row r="3905" ht="15" customHeight="1"/>
    <row r="3906" ht="15" customHeight="1"/>
    <row r="3907" ht="15" customHeight="1"/>
    <row r="3908" ht="15" customHeight="1"/>
    <row r="3909" ht="15" customHeight="1"/>
    <row r="3910" ht="20.1" customHeight="1"/>
    <row r="3911" ht="15" customHeight="1"/>
    <row r="3912" ht="15" customHeight="1"/>
    <row r="3913" ht="15" customHeight="1"/>
    <row r="3914" ht="20.1" customHeight="1"/>
    <row r="3915" ht="15" customHeight="1"/>
    <row r="3916" ht="15" customHeight="1"/>
    <row r="3917" ht="15" customHeight="1"/>
    <row r="3918" ht="15" customHeight="1"/>
    <row r="3919" ht="20.1" customHeight="1"/>
    <row r="3920" ht="15" customHeight="1"/>
    <row r="3921" ht="15" customHeight="1"/>
    <row r="3922" ht="15" customHeight="1"/>
    <row r="3923" ht="15" customHeight="1"/>
    <row r="3924" ht="20.1" customHeight="1"/>
    <row r="3925" ht="15" customHeight="1"/>
    <row r="3926" ht="15" customHeight="1"/>
    <row r="3927" ht="15" customHeight="1"/>
    <row r="3928" ht="15" customHeight="1"/>
    <row r="3929" ht="20.1" customHeight="1"/>
    <row r="3930" ht="15" customHeight="1"/>
    <row r="3931" ht="15" customHeight="1"/>
    <row r="3932" ht="15" customHeight="1"/>
    <row r="3933" ht="15" customHeight="1"/>
    <row r="3934" ht="15" customHeight="1"/>
    <row r="3935" ht="15" customHeight="1"/>
    <row r="3936" ht="15" customHeight="1"/>
    <row r="3937" ht="15" customHeight="1"/>
    <row r="3938" ht="15" customHeight="1"/>
    <row r="3939" ht="20.1" customHeight="1"/>
    <row r="3940" ht="15" customHeight="1"/>
    <row r="3941" ht="15" customHeight="1"/>
    <row r="3942" ht="15" customHeight="1"/>
    <row r="3943" ht="15" customHeight="1"/>
    <row r="3944" ht="15" customHeight="1"/>
    <row r="3945" ht="15" customHeight="1"/>
    <row r="3946" ht="15" customHeight="1"/>
    <row r="3947" ht="15" customHeight="1"/>
    <row r="3948" ht="15" customHeight="1"/>
    <row r="3949" ht="20.1" customHeight="1"/>
    <row r="3950" ht="15" customHeight="1"/>
    <row r="3951" ht="15" customHeight="1"/>
    <row r="3952" ht="15" customHeight="1"/>
    <row r="3953" ht="15" customHeight="1"/>
    <row r="3954" ht="20.1" customHeight="1"/>
    <row r="3955" ht="15" customHeight="1"/>
    <row r="3956" ht="15" customHeight="1"/>
    <row r="3957" ht="15" customHeight="1"/>
    <row r="3958" ht="15" customHeight="1"/>
    <row r="3959" ht="20.1" customHeight="1"/>
    <row r="3960" ht="15" customHeight="1"/>
    <row r="3961" ht="15" customHeight="1"/>
    <row r="3962" ht="15" customHeight="1"/>
    <row r="3963" ht="15" customHeight="1"/>
    <row r="3964" ht="20.1" customHeight="1"/>
    <row r="3965" ht="15" customHeight="1"/>
    <row r="3966" ht="15" customHeight="1"/>
    <row r="3967" ht="15" customHeight="1"/>
    <row r="3968" ht="15" customHeight="1"/>
    <row r="3969" ht="20.1" customHeight="1"/>
    <row r="3970" ht="15" customHeight="1"/>
    <row r="3971" ht="15" customHeight="1"/>
    <row r="3972" ht="15" customHeight="1"/>
    <row r="3973" ht="15" customHeight="1"/>
    <row r="3974" ht="20.1" customHeight="1"/>
    <row r="3975" ht="15" customHeight="1"/>
    <row r="3976" ht="15" customHeight="1"/>
    <row r="3977" ht="15" customHeight="1"/>
    <row r="3978" ht="15" customHeight="1"/>
    <row r="3979" ht="20.1" customHeight="1"/>
    <row r="3980" ht="15" customHeight="1"/>
    <row r="3981" ht="15" customHeight="1"/>
    <row r="3982" ht="15" customHeight="1"/>
    <row r="3983" ht="15" customHeight="1"/>
    <row r="3984" ht="20.1" customHeight="1"/>
    <row r="3985" ht="15" customHeight="1"/>
    <row r="3986" ht="15" customHeight="1"/>
    <row r="3987" ht="15" customHeight="1"/>
    <row r="3988" ht="15" customHeight="1"/>
    <row r="3989" ht="20.1" customHeight="1"/>
    <row r="3990" ht="15" customHeight="1"/>
    <row r="3991" ht="15" customHeight="1"/>
    <row r="3992" ht="15" customHeight="1"/>
    <row r="3993" ht="15" customHeight="1"/>
    <row r="3994" ht="20.1" customHeight="1"/>
    <row r="3995" ht="15" customHeight="1"/>
    <row r="3996" ht="15" customHeight="1"/>
    <row r="3997" ht="15" customHeight="1"/>
    <row r="3998" ht="15" customHeight="1"/>
    <row r="3999" ht="20.1" customHeight="1"/>
    <row r="4000" ht="15" customHeight="1"/>
    <row r="4001" ht="15" customHeight="1"/>
    <row r="4002" ht="15" customHeight="1"/>
    <row r="4003" ht="15" customHeight="1"/>
    <row r="4004" ht="20.1" customHeight="1"/>
    <row r="4005" ht="15" customHeight="1"/>
    <row r="4006" ht="15" customHeight="1"/>
    <row r="4007" ht="15" customHeight="1"/>
    <row r="4008" ht="15" customHeight="1"/>
    <row r="4009" ht="20.1" customHeight="1"/>
    <row r="4010" ht="15" customHeight="1"/>
    <row r="4011" ht="15" customHeight="1"/>
    <row r="4012" ht="15" customHeight="1"/>
    <row r="4013" ht="15" customHeight="1"/>
    <row r="4014" ht="20.1" customHeight="1"/>
    <row r="4015" ht="15" customHeight="1"/>
    <row r="4016" ht="15" customHeight="1"/>
    <row r="4017" ht="15" customHeight="1"/>
    <row r="4018" ht="15" customHeight="1"/>
    <row r="4019" ht="20.1" customHeight="1"/>
    <row r="4020" ht="15" customHeight="1"/>
    <row r="4021" ht="15" customHeight="1"/>
    <row r="4022" ht="15" customHeight="1"/>
    <row r="4023" ht="15" customHeight="1"/>
    <row r="4024" ht="20.1" customHeight="1"/>
    <row r="4025" ht="15" customHeight="1"/>
    <row r="4026" ht="15" customHeight="1"/>
    <row r="4027" ht="15" customHeight="1"/>
    <row r="4028" ht="15" customHeight="1"/>
    <row r="4029" ht="20.1" customHeight="1"/>
    <row r="4030" ht="15" customHeight="1"/>
    <row r="4031" ht="15" customHeight="1"/>
    <row r="4032" ht="15" customHeight="1"/>
    <row r="4033" ht="15" customHeight="1"/>
    <row r="4034" ht="20.1" customHeight="1"/>
    <row r="4035" ht="15" customHeight="1"/>
    <row r="4036" ht="15" customHeight="1"/>
    <row r="4037" ht="15" customHeight="1"/>
    <row r="4038" ht="15" customHeight="1"/>
    <row r="4039" ht="20.1" customHeight="1"/>
    <row r="4040" ht="15" customHeight="1"/>
    <row r="4041" ht="15" customHeight="1"/>
    <row r="4042" ht="15" customHeight="1"/>
    <row r="4043" ht="15" customHeight="1"/>
    <row r="4044" ht="20.1" customHeight="1"/>
    <row r="4045" ht="15" customHeight="1"/>
    <row r="4046" ht="15" customHeight="1"/>
    <row r="4047" ht="15" customHeight="1"/>
    <row r="4048" ht="15" customHeight="1"/>
    <row r="4049" ht="20.1" customHeight="1"/>
    <row r="4050" ht="15" customHeight="1"/>
    <row r="4051" ht="15" customHeight="1"/>
    <row r="4052" ht="15" customHeight="1"/>
    <row r="4053" ht="15" customHeight="1"/>
    <row r="4054" ht="20.1" customHeight="1"/>
    <row r="4055" ht="15" customHeight="1"/>
    <row r="4056" ht="15" customHeight="1"/>
    <row r="4057" ht="15" customHeight="1"/>
    <row r="4058" ht="15" customHeight="1"/>
    <row r="4059" ht="20.1" customHeight="1"/>
    <row r="4060" ht="15" customHeight="1"/>
    <row r="4061" ht="15" customHeight="1"/>
    <row r="4062" ht="15" customHeight="1"/>
    <row r="4063" ht="15" customHeight="1"/>
    <row r="4064" ht="20.1" customHeight="1"/>
    <row r="4065" ht="15" customHeight="1"/>
    <row r="4066" ht="15" customHeight="1"/>
    <row r="4067" ht="15" customHeight="1"/>
    <row r="4068" ht="15" customHeight="1"/>
    <row r="4069" ht="20.1" customHeight="1"/>
    <row r="4070" ht="15" customHeight="1"/>
    <row r="4071" ht="15" customHeight="1"/>
    <row r="4072" ht="15" customHeight="1"/>
    <row r="4073" ht="15" customHeight="1"/>
    <row r="4074" ht="20.1" customHeight="1"/>
    <row r="4075" ht="15" customHeight="1"/>
    <row r="4076" ht="15" customHeight="1"/>
    <row r="4077" ht="15" customHeight="1"/>
    <row r="4078" ht="15" customHeight="1"/>
    <row r="4079" ht="20.1" customHeight="1"/>
    <row r="4080" ht="15" customHeight="1"/>
    <row r="4081" ht="15" customHeight="1"/>
    <row r="4082" ht="15" customHeight="1"/>
    <row r="4083" ht="15" customHeight="1"/>
    <row r="4084" ht="20.1" customHeight="1"/>
    <row r="4085" ht="15" customHeight="1"/>
    <row r="4086" ht="15" customHeight="1"/>
    <row r="4087" ht="15" customHeight="1"/>
    <row r="4088" ht="15" customHeight="1"/>
    <row r="4089" ht="20.1" customHeight="1"/>
    <row r="4090" ht="15" customHeight="1"/>
    <row r="4091" ht="15" customHeight="1"/>
    <row r="4092" ht="15" customHeight="1"/>
    <row r="4093" ht="15" customHeight="1"/>
    <row r="4094" ht="20.1" customHeight="1"/>
    <row r="4095" ht="15" customHeight="1"/>
    <row r="4096" ht="15" customHeight="1"/>
    <row r="4097" ht="15" customHeight="1"/>
    <row r="4098" ht="15" customHeight="1"/>
    <row r="4099" ht="20.1" customHeight="1"/>
    <row r="4100" ht="15" customHeight="1"/>
    <row r="4101" ht="15" customHeight="1"/>
    <row r="4102" ht="15" customHeight="1"/>
    <row r="4103" ht="15" customHeight="1"/>
    <row r="4104" ht="20.1" customHeight="1"/>
    <row r="4105" ht="15" customHeight="1"/>
    <row r="4106" ht="15" customHeight="1"/>
    <row r="4107" ht="15" customHeight="1"/>
    <row r="4108" ht="15" customHeight="1"/>
    <row r="4109" ht="20.1" customHeight="1"/>
    <row r="4110" ht="15" customHeight="1"/>
    <row r="4111" ht="15" customHeight="1"/>
    <row r="4112" ht="15" customHeight="1"/>
    <row r="4113" ht="15" customHeight="1"/>
    <row r="4114" ht="20.1" customHeight="1"/>
    <row r="4115" ht="15" customHeight="1"/>
    <row r="4116" ht="15" customHeight="1"/>
    <row r="4117" ht="15" customHeight="1"/>
    <row r="4118" ht="15" customHeight="1"/>
    <row r="4119" ht="15" customHeight="1"/>
    <row r="4120" ht="15" customHeight="1"/>
    <row r="4121" ht="15" customHeight="1"/>
    <row r="4122" ht="15" customHeight="1"/>
    <row r="4123" ht="15" customHeight="1"/>
    <row r="4124" ht="15" customHeight="1"/>
    <row r="4125" ht="15" customHeight="1"/>
    <row r="4126" ht="15" customHeight="1"/>
    <row r="4127" ht="15" customHeight="1"/>
    <row r="4128" ht="15" customHeight="1"/>
    <row r="4129" ht="15" customHeight="1"/>
    <row r="4130" ht="15" customHeight="1"/>
    <row r="4131" ht="15" customHeight="1"/>
    <row r="4132" ht="15" customHeight="1"/>
    <row r="4133" ht="15" customHeight="1"/>
    <row r="4134" ht="15" customHeight="1"/>
    <row r="4135" ht="15" customHeight="1"/>
    <row r="4136" ht="15" customHeight="1"/>
    <row r="4137" ht="15" customHeight="1"/>
    <row r="4138" ht="15" customHeight="1"/>
    <row r="4139" ht="20.1" customHeight="1"/>
    <row r="4140" ht="15" customHeight="1"/>
    <row r="4141" ht="15" customHeight="1"/>
    <row r="4142" ht="15" customHeight="1"/>
    <row r="4143" ht="15" customHeight="1"/>
    <row r="4144" ht="20.1" customHeight="1"/>
    <row r="4145" ht="15" customHeight="1"/>
    <row r="4146" ht="15" customHeight="1"/>
    <row r="4147" ht="15" customHeight="1"/>
    <row r="4148" ht="15" customHeight="1"/>
    <row r="4149" ht="20.1" customHeight="1"/>
    <row r="4150" ht="15" customHeight="1"/>
    <row r="4151" ht="15" customHeight="1"/>
    <row r="4152" ht="15" customHeight="1"/>
    <row r="4153" ht="15" customHeight="1"/>
    <row r="4154" ht="20.1" customHeight="1"/>
    <row r="4155" ht="15" customHeight="1"/>
    <row r="4156" ht="15" customHeight="1"/>
    <row r="4157" ht="15" customHeight="1"/>
    <row r="4158" ht="15" customHeight="1"/>
    <row r="4159" ht="20.1" customHeight="1"/>
    <row r="4160" ht="15" customHeight="1"/>
    <row r="4161" ht="15" customHeight="1"/>
    <row r="4162" ht="15" customHeight="1"/>
    <row r="4163" ht="15" customHeight="1"/>
    <row r="4164" ht="20.1" customHeight="1"/>
    <row r="4165" ht="15" customHeight="1"/>
    <row r="4166" ht="15" customHeight="1"/>
    <row r="4167" ht="15" customHeight="1"/>
    <row r="4168" ht="15" customHeight="1"/>
    <row r="4169" ht="20.1" customHeight="1"/>
    <row r="4170" ht="15" customHeight="1"/>
    <row r="4171" ht="15" customHeight="1"/>
    <row r="4172" ht="15" customHeight="1"/>
    <row r="4173" ht="15" customHeight="1"/>
    <row r="4174" ht="20.1" customHeight="1"/>
    <row r="4175" ht="15" customHeight="1"/>
    <row r="4176" ht="15" customHeight="1"/>
    <row r="4177" ht="15" customHeight="1"/>
    <row r="4178" ht="15" customHeight="1"/>
    <row r="4179" ht="20.1" customHeight="1"/>
    <row r="4180" ht="15" customHeight="1"/>
    <row r="4181" ht="15" customHeight="1"/>
    <row r="4182" ht="15" customHeight="1"/>
    <row r="4183" ht="15" customHeight="1"/>
    <row r="4184" ht="20.1" customHeight="1"/>
    <row r="4185" ht="15" customHeight="1"/>
    <row r="4186" ht="15" customHeight="1"/>
    <row r="4187" ht="15" customHeight="1"/>
    <row r="4188" ht="15" customHeight="1"/>
    <row r="4189" ht="20.1" customHeight="1"/>
    <row r="4190" ht="15" customHeight="1"/>
    <row r="4191" ht="15" customHeight="1"/>
    <row r="4192" ht="15" customHeight="1"/>
    <row r="4193" ht="15" customHeight="1"/>
    <row r="4194" ht="20.1" customHeight="1"/>
    <row r="4195" ht="15" customHeight="1"/>
    <row r="4196" ht="15" customHeight="1"/>
    <row r="4197" ht="15" customHeight="1"/>
    <row r="4198" ht="15" customHeight="1"/>
    <row r="4199" ht="20.1" customHeight="1"/>
    <row r="4200" ht="15" customHeight="1"/>
    <row r="4201" ht="15" customHeight="1"/>
    <row r="4202" ht="15" customHeight="1"/>
    <row r="4203" ht="15" customHeight="1"/>
    <row r="4204" ht="20.1" customHeight="1"/>
    <row r="4205" ht="15" customHeight="1"/>
    <row r="4206" ht="15" customHeight="1"/>
    <row r="4207" ht="15" customHeight="1"/>
    <row r="4208" ht="15" customHeight="1"/>
    <row r="4209" ht="20.1" customHeight="1"/>
    <row r="4210" ht="15" customHeight="1"/>
    <row r="4211" ht="15" customHeight="1"/>
    <row r="4212" ht="15" customHeight="1"/>
    <row r="4213" ht="15" customHeight="1"/>
    <row r="4214" ht="20.1" customHeight="1"/>
    <row r="4215" ht="15" customHeight="1"/>
    <row r="4216" ht="15" customHeight="1"/>
    <row r="4217" ht="15" customHeight="1"/>
    <row r="4218" ht="15" customHeight="1"/>
    <row r="4219" ht="20.1" customHeight="1"/>
    <row r="4220" ht="15" customHeight="1"/>
    <row r="4221" ht="15" customHeight="1"/>
    <row r="4222" ht="15" customHeight="1"/>
    <row r="4223" ht="15" customHeight="1"/>
    <row r="4224" ht="20.1" customHeight="1"/>
    <row r="4225" ht="15" customHeight="1"/>
    <row r="4226" ht="15" customHeight="1"/>
    <row r="4227" ht="15" customHeight="1"/>
    <row r="4228" ht="15" customHeight="1"/>
    <row r="4229" ht="20.1" customHeight="1"/>
    <row r="4230" ht="15" customHeight="1"/>
    <row r="4231" ht="15" customHeight="1"/>
    <row r="4232" ht="15" customHeight="1"/>
    <row r="4233" ht="15" customHeight="1"/>
    <row r="4234" ht="20.1" customHeight="1"/>
    <row r="4235" ht="15" customHeight="1"/>
    <row r="4236" ht="15" customHeight="1"/>
    <row r="4237" ht="15" customHeight="1"/>
    <row r="4238" ht="15" customHeight="1"/>
    <row r="4239" ht="20.1" customHeight="1"/>
    <row r="4240" ht="15" customHeight="1"/>
    <row r="4241" ht="15" customHeight="1"/>
    <row r="4242" ht="15" customHeight="1"/>
    <row r="4243" ht="15" customHeight="1"/>
    <row r="4244" ht="20.1" customHeight="1"/>
    <row r="4245" ht="15" customHeight="1"/>
    <row r="4246" ht="15" customHeight="1"/>
    <row r="4247" ht="15" customHeight="1"/>
    <row r="4248" ht="15" customHeight="1"/>
    <row r="4249" ht="20.1" customHeight="1"/>
    <row r="4250" ht="15" customHeight="1"/>
    <row r="4251" ht="15" customHeight="1"/>
    <row r="4252" ht="15" customHeight="1"/>
    <row r="4253" ht="15" customHeight="1"/>
    <row r="4254" ht="20.1" customHeight="1"/>
    <row r="4255" ht="15" customHeight="1"/>
    <row r="4256" ht="15" customHeight="1"/>
    <row r="4257" ht="15" customHeight="1"/>
    <row r="4258" ht="15" customHeight="1"/>
    <row r="4259" ht="15" customHeight="1"/>
    <row r="4260" ht="20.1" customHeight="1"/>
    <row r="4261" ht="15" customHeight="1"/>
    <row r="4262" ht="15" customHeight="1"/>
    <row r="4263" ht="15" customHeight="1"/>
    <row r="4264" ht="15" customHeight="1"/>
    <row r="4265" ht="20.1" customHeight="1"/>
    <row r="4266" ht="15" customHeight="1"/>
    <row r="4267" ht="15" customHeight="1"/>
    <row r="4268" ht="15" customHeight="1"/>
    <row r="4269" ht="15" customHeight="1"/>
    <row r="4270" ht="20.1" customHeight="1"/>
    <row r="4271" ht="15" customHeight="1"/>
    <row r="4272" ht="15" customHeight="1"/>
    <row r="4273" ht="15" customHeight="1"/>
    <row r="4274" ht="15" customHeight="1"/>
    <row r="4275" ht="20.1" customHeight="1"/>
    <row r="4276" ht="15" customHeight="1"/>
    <row r="4277" ht="15" customHeight="1"/>
    <row r="4278" ht="15" customHeight="1"/>
    <row r="4279" ht="15" customHeight="1"/>
    <row r="4280" ht="20.1" customHeight="1"/>
    <row r="4281" ht="15" customHeight="1"/>
    <row r="4282" ht="15" customHeight="1"/>
    <row r="4283" ht="15" customHeight="1"/>
    <row r="4284" ht="15" customHeight="1"/>
    <row r="4285" ht="20.1" customHeight="1"/>
    <row r="4286" ht="15" customHeight="1"/>
    <row r="4287" ht="15" customHeight="1"/>
    <row r="4288" ht="15" customHeight="1"/>
    <row r="4289" ht="15" customHeight="1"/>
    <row r="4290" ht="20.1" customHeight="1"/>
    <row r="4291" ht="15" customHeight="1"/>
    <row r="4292" ht="15" customHeight="1"/>
    <row r="4293" ht="15" customHeight="1"/>
    <row r="4294" ht="15" customHeight="1"/>
    <row r="4295" ht="15" customHeight="1"/>
    <row r="4296" ht="20.1" customHeight="1"/>
    <row r="4297" ht="15" customHeight="1"/>
    <row r="4298" ht="15" customHeight="1"/>
    <row r="4299" ht="15" customHeight="1"/>
    <row r="4300" ht="15" customHeight="1"/>
    <row r="4301" ht="15" customHeight="1"/>
    <row r="4302" ht="15" customHeight="1"/>
    <row r="4303" ht="20.1" customHeight="1"/>
    <row r="4304" ht="15" customHeight="1"/>
    <row r="4305" ht="15" customHeight="1"/>
    <row r="4306" ht="20.1" customHeight="1"/>
    <row r="4307" ht="15" customHeight="1"/>
    <row r="4308" ht="15" customHeight="1"/>
    <row r="4309" ht="20.1" customHeight="1"/>
    <row r="4310" ht="15" customHeight="1"/>
    <row r="4311" ht="15" customHeight="1"/>
    <row r="4312" ht="20.1" customHeight="1"/>
    <row r="4313" ht="15" customHeight="1"/>
    <row r="4314" ht="15" customHeight="1"/>
    <row r="4315" ht="20.1" customHeight="1"/>
    <row r="4316" ht="15" customHeight="1"/>
    <row r="4317" ht="15" customHeight="1"/>
    <row r="4318" ht="20.1" customHeight="1"/>
    <row r="4319" ht="15" customHeight="1"/>
    <row r="4320" ht="15" customHeight="1"/>
    <row r="4321" ht="15" customHeight="1"/>
    <row r="4322" ht="15" customHeight="1"/>
    <row r="4323" ht="20.1" customHeight="1"/>
    <row r="4324" ht="15" customHeight="1"/>
    <row r="4325" ht="15" customHeight="1"/>
    <row r="4326" ht="15" customHeight="1"/>
    <row r="4327" ht="15" customHeight="1"/>
    <row r="4328" ht="20.1" customHeight="1"/>
    <row r="4329" ht="15" customHeight="1"/>
    <row r="4330" ht="15" customHeight="1"/>
    <row r="4331" ht="15" customHeight="1"/>
    <row r="4332" ht="15" customHeight="1"/>
    <row r="4333" ht="15" customHeight="1"/>
    <row r="4334" ht="20.1" customHeight="1"/>
    <row r="4335" ht="15" customHeight="1"/>
    <row r="4336" ht="15" customHeight="1"/>
    <row r="4337" ht="15" customHeight="1"/>
    <row r="4338" ht="15" customHeight="1"/>
    <row r="4339" ht="15" customHeight="1"/>
    <row r="4340" ht="20.1" customHeight="1"/>
    <row r="4341" ht="15" customHeight="1"/>
    <row r="4342" ht="15" customHeight="1"/>
    <row r="4343" ht="15" customHeight="1"/>
    <row r="4344" ht="15" customHeight="1"/>
    <row r="4345" ht="15" customHeight="1"/>
    <row r="4346" ht="20.1" customHeight="1"/>
    <row r="4347" ht="15" customHeight="1"/>
    <row r="4348" ht="15" customHeight="1"/>
    <row r="4349" ht="15" customHeight="1"/>
    <row r="4350" ht="15" customHeight="1"/>
    <row r="4351" ht="15" customHeight="1"/>
    <row r="4352" ht="20.1" customHeight="1"/>
    <row r="4353" ht="15" customHeight="1"/>
    <row r="4354" ht="15" customHeight="1"/>
    <row r="4355" ht="15" customHeight="1"/>
    <row r="4356" ht="15" customHeight="1"/>
    <row r="4357" ht="15" customHeight="1"/>
    <row r="4358" ht="20.1" customHeight="1"/>
    <row r="4359" ht="15" customHeight="1"/>
    <row r="4360" ht="15" customHeight="1"/>
    <row r="4361" ht="15" customHeight="1"/>
    <row r="4362" ht="15" customHeight="1"/>
    <row r="4363" ht="15" customHeight="1"/>
    <row r="4364" ht="20.1" customHeight="1"/>
    <row r="4365" ht="15" customHeight="1"/>
    <row r="4366" ht="15" customHeight="1"/>
    <row r="4367" ht="15" customHeight="1"/>
    <row r="4368" ht="15" customHeight="1"/>
    <row r="4369" ht="15" customHeight="1"/>
    <row r="4370" ht="20.1" customHeight="1"/>
    <row r="4371" ht="15" customHeight="1"/>
    <row r="4372" ht="15" customHeight="1"/>
    <row r="4373" ht="15" customHeight="1"/>
    <row r="4374" ht="20.1" customHeight="1"/>
    <row r="4375" ht="15" customHeight="1"/>
    <row r="4376" ht="15" customHeight="1"/>
    <row r="4377" ht="15" customHeight="1"/>
    <row r="4378" ht="15" customHeight="1"/>
    <row r="4379" ht="15" customHeight="1"/>
    <row r="4380" ht="15" customHeight="1"/>
    <row r="4381" ht="15" customHeight="1"/>
    <row r="4382" ht="20.1" customHeight="1"/>
    <row r="4383" ht="15" customHeight="1"/>
    <row r="4384" ht="15" customHeight="1"/>
    <row r="4385" ht="15" customHeight="1"/>
    <row r="4386" ht="15" customHeight="1"/>
    <row r="4387" ht="15" customHeight="1"/>
    <row r="4388" ht="20.1" customHeight="1"/>
    <row r="4389" ht="15" customHeight="1"/>
    <row r="4390" ht="15" customHeight="1"/>
    <row r="4391" ht="15" customHeight="1"/>
    <row r="4392" ht="20.1" customHeight="1"/>
    <row r="4393" ht="15" customHeight="1"/>
    <row r="4394" ht="15" customHeight="1"/>
    <row r="4395" ht="15" customHeight="1"/>
    <row r="4396" ht="15" customHeight="1"/>
    <row r="4397" ht="20.1" customHeight="1"/>
    <row r="4398" ht="15" customHeight="1"/>
    <row r="4399" ht="15" customHeight="1"/>
    <row r="4400" ht="15" customHeight="1"/>
    <row r="4401" ht="20.1" customHeight="1"/>
    <row r="4402" ht="15" customHeight="1"/>
    <row r="4403" ht="15" customHeight="1"/>
    <row r="4404" ht="15" customHeight="1"/>
    <row r="4405" ht="15" customHeight="1"/>
    <row r="4406" ht="15" customHeight="1"/>
    <row r="4407" ht="15" customHeight="1"/>
    <row r="4408" ht="15" customHeight="1"/>
    <row r="4409" ht="15" customHeight="1"/>
    <row r="4410" ht="15" customHeight="1"/>
    <row r="4411" ht="20.1" customHeight="1"/>
    <row r="4412" ht="15" customHeight="1"/>
    <row r="4413" ht="15" customHeight="1"/>
    <row r="4414" ht="15" customHeight="1"/>
    <row r="4415" ht="20.1" customHeight="1"/>
    <row r="4416" ht="15" customHeight="1"/>
    <row r="4417" ht="15" customHeight="1"/>
    <row r="4418" ht="15" customHeight="1"/>
    <row r="4419" ht="15" customHeight="1"/>
    <row r="4420" ht="15" customHeight="1"/>
    <row r="4421" ht="15" customHeight="1"/>
    <row r="4422" ht="15" customHeight="1"/>
    <row r="4423" ht="15" customHeight="1"/>
    <row r="4424" ht="15" customHeight="1"/>
    <row r="4425" ht="20.1" customHeight="1"/>
    <row r="4426" ht="15" customHeight="1"/>
    <row r="4427" ht="15" customHeight="1"/>
    <row r="4428" ht="15" customHeight="1"/>
    <row r="4429" ht="15" customHeight="1"/>
    <row r="4430" ht="15" customHeight="1"/>
    <row r="4431" ht="15" customHeight="1"/>
    <row r="4432" ht="15" customHeight="1"/>
    <row r="4433" ht="15" customHeight="1"/>
    <row r="4434" ht="15" customHeight="1"/>
    <row r="4435" ht="15" customHeight="1"/>
    <row r="4436" ht="15" customHeight="1"/>
    <row r="4437" ht="15" customHeight="1"/>
    <row r="4438" ht="15" customHeight="1"/>
    <row r="4439" ht="15" customHeight="1"/>
    <row r="4440" ht="15" customHeight="1"/>
    <row r="4441" ht="20.1" customHeight="1"/>
    <row r="4442" ht="15" customHeight="1"/>
    <row r="4443" ht="15" customHeight="1"/>
    <row r="4444" ht="15" customHeight="1"/>
    <row r="4445" ht="15" customHeight="1"/>
    <row r="4446" ht="15" customHeight="1"/>
    <row r="4447" ht="15" customHeight="1"/>
    <row r="4448" ht="20.1" customHeight="1"/>
    <row r="4449" ht="15" customHeight="1"/>
    <row r="4450" ht="15" customHeight="1"/>
    <row r="4451" ht="15" customHeight="1"/>
    <row r="4452" ht="15" customHeight="1"/>
    <row r="4453" ht="15" customHeight="1"/>
    <row r="4454" ht="15" customHeight="1"/>
    <row r="4455" ht="20.1" customHeight="1"/>
    <row r="4456" ht="15" customHeight="1"/>
    <row r="4457" ht="15" customHeight="1"/>
    <row r="4458" ht="15" customHeight="1"/>
    <row r="4459" ht="15" customHeight="1"/>
    <row r="4460" ht="15" customHeight="1"/>
    <row r="4461" ht="15" customHeight="1"/>
    <row r="4462" ht="20.1" customHeight="1"/>
    <row r="4463" ht="15" customHeight="1"/>
    <row r="4464" ht="15" customHeight="1"/>
    <row r="4465" ht="15" customHeight="1"/>
    <row r="4466" ht="15" customHeight="1"/>
    <row r="4467" ht="15" customHeight="1"/>
    <row r="4468" ht="15" customHeight="1"/>
    <row r="4469" ht="20.1" customHeight="1"/>
    <row r="4470" ht="15" customHeight="1"/>
    <row r="4471" ht="15" customHeight="1"/>
    <row r="4472" ht="15" customHeight="1"/>
    <row r="4473" ht="15" customHeight="1"/>
    <row r="4474" ht="15" customHeight="1"/>
    <row r="4475" ht="15" customHeight="1"/>
    <row r="4476" ht="20.1" customHeight="1"/>
    <row r="4477" ht="15" customHeight="1"/>
    <row r="4478" ht="15" customHeight="1"/>
    <row r="4479" ht="15" customHeight="1"/>
    <row r="4480" ht="20.1" customHeight="1"/>
    <row r="4481" ht="15" customHeight="1"/>
    <row r="4482" ht="15" customHeight="1"/>
    <row r="4483" ht="15" customHeight="1"/>
    <row r="4484" ht="20.1" customHeight="1"/>
    <row r="4485" ht="15" customHeight="1"/>
    <row r="4486" ht="15" customHeight="1"/>
    <row r="4487" ht="15" customHeight="1"/>
    <row r="4488" ht="15" customHeight="1"/>
    <row r="4489" ht="15" customHeight="1"/>
    <row r="4490" ht="15" customHeight="1"/>
    <row r="4491" ht="20.1" customHeight="1"/>
    <row r="4492" ht="15" customHeight="1"/>
    <row r="4493" ht="15" customHeight="1"/>
    <row r="4494" ht="15" customHeight="1"/>
    <row r="4495" ht="15" customHeight="1"/>
    <row r="4496" ht="15" customHeight="1"/>
    <row r="4497" ht="15" customHeight="1"/>
    <row r="4498" ht="20.1" customHeight="1"/>
    <row r="4499" ht="15" customHeight="1"/>
    <row r="4500" ht="15" customHeight="1"/>
    <row r="4501" ht="15" customHeight="1"/>
    <row r="4502" ht="20.1" customHeight="1"/>
    <row r="4503" ht="15" customHeight="1"/>
    <row r="4504" ht="15" customHeight="1"/>
    <row r="4505" ht="15" customHeight="1"/>
    <row r="4506" ht="20.1" customHeight="1"/>
    <row r="4507" ht="15" customHeight="1"/>
    <row r="4508" ht="15" customHeight="1"/>
    <row r="4509" ht="15" customHeight="1"/>
    <row r="4510" ht="20.1" customHeight="1"/>
    <row r="4511" ht="15" customHeight="1"/>
    <row r="4512" ht="15" customHeight="1"/>
    <row r="4513" ht="15" customHeight="1"/>
    <row r="4514" ht="20.1" customHeight="1"/>
    <row r="4515" ht="15" customHeight="1"/>
    <row r="4516" ht="15" customHeight="1"/>
    <row r="4517" ht="15" customHeight="1"/>
    <row r="4518" ht="20.1" customHeight="1"/>
    <row r="4519" ht="15" customHeight="1"/>
    <row r="4520" ht="15" customHeight="1"/>
    <row r="4521" ht="15" customHeight="1"/>
    <row r="4522" ht="20.1" customHeight="1"/>
    <row r="4523" ht="15" customHeight="1"/>
    <row r="4524" ht="15" customHeight="1"/>
    <row r="4525" ht="15" customHeight="1"/>
    <row r="4526" ht="20.1" customHeight="1"/>
    <row r="4527" ht="15" customHeight="1"/>
    <row r="4528" ht="15" customHeight="1"/>
    <row r="4529" ht="15" customHeight="1"/>
    <row r="4530" ht="20.1" customHeight="1"/>
    <row r="4531" ht="15" customHeight="1"/>
    <row r="4532" ht="15" customHeight="1"/>
    <row r="4533" ht="15" customHeight="1"/>
    <row r="4534" ht="20.1" customHeight="1"/>
    <row r="4535" ht="15" customHeight="1"/>
    <row r="4536" ht="15" customHeight="1"/>
    <row r="4537" ht="15" customHeight="1"/>
    <row r="4538" ht="20.1" customHeight="1"/>
    <row r="4539" ht="15" customHeight="1"/>
    <row r="4540" ht="15" customHeight="1"/>
    <row r="4541" ht="15" customHeight="1"/>
    <row r="4542" ht="20.1" customHeight="1"/>
    <row r="4543" ht="15" customHeight="1"/>
    <row r="4544" ht="15" customHeight="1"/>
    <row r="4545" ht="15" customHeight="1"/>
    <row r="4546" ht="15" customHeight="1"/>
    <row r="4547" ht="15" customHeight="1"/>
    <row r="4548" ht="20.1" customHeight="1"/>
    <row r="4549" ht="15" customHeight="1"/>
    <row r="4550" ht="15" customHeight="1"/>
    <row r="4551" ht="15" customHeight="1"/>
    <row r="4552" ht="15" customHeight="1"/>
    <row r="4553" ht="15" customHeight="1"/>
    <row r="4554" ht="15" customHeight="1"/>
    <row r="4555" ht="20.1" customHeight="1"/>
    <row r="4556" ht="15" customHeight="1"/>
    <row r="4557" ht="15" customHeight="1"/>
    <row r="4558" ht="15" customHeight="1"/>
    <row r="4559" ht="15" customHeight="1"/>
    <row r="4560" ht="15" customHeight="1"/>
    <row r="4561" ht="15" customHeight="1"/>
    <row r="4562" ht="15" customHeight="1"/>
    <row r="4563" ht="20.1" customHeight="1"/>
    <row r="4564" ht="15" customHeight="1"/>
    <row r="4565" ht="15" customHeight="1"/>
    <row r="4566" ht="15" customHeight="1"/>
    <row r="4567" ht="15" customHeight="1"/>
    <row r="4568" ht="15" customHeight="1"/>
    <row r="4569" ht="15" customHeight="1"/>
    <row r="4570" ht="15" customHeight="1"/>
    <row r="4571" ht="15" customHeight="1"/>
    <row r="4572" ht="15" customHeight="1"/>
    <row r="4573" ht="15" customHeight="1"/>
    <row r="4574" ht="15" customHeight="1"/>
    <row r="4575" ht="15" customHeight="1"/>
    <row r="4576" ht="15" customHeight="1"/>
    <row r="4577" ht="15" customHeight="1"/>
    <row r="4578" ht="15" customHeight="1"/>
    <row r="4579" ht="15" customHeight="1"/>
    <row r="4580" ht="15" customHeight="1"/>
    <row r="4581" ht="15" customHeight="1"/>
    <row r="4582" ht="15" customHeight="1"/>
    <row r="4583" ht="15" customHeight="1"/>
    <row r="4584" ht="15" customHeight="1"/>
    <row r="4585" ht="15" customHeight="1"/>
    <row r="4586" ht="15" customHeight="1"/>
    <row r="4587" ht="15" customHeight="1"/>
    <row r="4588" ht="15" customHeight="1"/>
    <row r="4589" ht="15" customHeight="1"/>
    <row r="4590" ht="15" customHeight="1"/>
    <row r="4591" ht="15" customHeight="1"/>
    <row r="4592" ht="15" customHeight="1"/>
    <row r="4593" ht="15" customHeight="1"/>
    <row r="4594" ht="15" customHeight="1"/>
    <row r="4595" ht="15" customHeight="1"/>
    <row r="4596" ht="15" customHeight="1"/>
    <row r="4597" ht="15" customHeight="1"/>
    <row r="4598" ht="15" customHeight="1"/>
    <row r="4599" ht="15" customHeight="1"/>
    <row r="4600" ht="15" customHeight="1"/>
    <row r="4601" ht="15" customHeight="1"/>
    <row r="4602" ht="15" customHeight="1"/>
    <row r="4603" ht="15" customHeight="1"/>
    <row r="4604" ht="15" customHeight="1"/>
    <row r="4605" ht="15" customHeight="1"/>
    <row r="4606" ht="15" customHeight="1"/>
    <row r="4607" ht="15" customHeight="1"/>
    <row r="4608" ht="15" customHeight="1"/>
    <row r="4609" ht="15" customHeight="1"/>
    <row r="4610" ht="15" customHeight="1"/>
    <row r="4611" ht="15" customHeight="1"/>
    <row r="4612" ht="15" customHeight="1"/>
    <row r="4613" ht="15" customHeight="1"/>
    <row r="4614" ht="15" customHeight="1"/>
    <row r="4615" ht="15" customHeight="1"/>
    <row r="4616" ht="15" customHeight="1"/>
    <row r="4617" ht="15" customHeight="1"/>
    <row r="4618" ht="15" customHeight="1"/>
    <row r="4619" ht="15" customHeight="1"/>
    <row r="4620" ht="15" customHeight="1"/>
    <row r="4621" ht="15" customHeight="1"/>
    <row r="4622" ht="15" customHeight="1"/>
    <row r="4623" ht="15" customHeight="1"/>
    <row r="4624" ht="15" customHeight="1"/>
    <row r="4625" ht="15" customHeight="1"/>
    <row r="4626" ht="15" customHeight="1"/>
    <row r="4627" ht="15" customHeight="1"/>
    <row r="4628" ht="15" customHeight="1"/>
    <row r="4629" ht="15" customHeight="1"/>
    <row r="4630" ht="15" customHeight="1"/>
    <row r="4631" ht="15" customHeight="1"/>
    <row r="4632" ht="15" customHeight="1"/>
    <row r="4633" ht="15" customHeight="1"/>
    <row r="4634" ht="15" customHeight="1"/>
    <row r="4635" ht="15" customHeight="1"/>
    <row r="4636" ht="15" customHeight="1"/>
    <row r="4637" ht="15" customHeight="1"/>
    <row r="4638" ht="15" customHeight="1"/>
    <row r="4639" ht="15" customHeight="1"/>
    <row r="4640" ht="15" customHeight="1"/>
    <row r="4641" ht="15" customHeight="1"/>
    <row r="4642" ht="15" customHeight="1"/>
    <row r="4643" ht="15" customHeight="1"/>
    <row r="4644" ht="15" customHeight="1"/>
    <row r="4645" ht="15" customHeight="1"/>
    <row r="4646" ht="15" customHeight="1"/>
    <row r="4647" ht="15" customHeight="1"/>
    <row r="4648" ht="20.1" customHeight="1"/>
    <row r="4649" ht="15" customHeight="1"/>
    <row r="4650" ht="15" customHeight="1"/>
    <row r="4651" ht="15" customHeight="1"/>
    <row r="4652" ht="15" customHeight="1"/>
    <row r="4653" ht="15" customHeight="1"/>
    <row r="4654" ht="20.1" customHeight="1"/>
    <row r="4655" ht="15" customHeight="1"/>
    <row r="4656" ht="15" customHeight="1"/>
    <row r="4657" ht="15" customHeight="1"/>
    <row r="4658" ht="15" customHeight="1"/>
    <row r="4659" ht="15" customHeight="1"/>
    <row r="4660" ht="15" customHeight="1"/>
    <row r="4661" ht="15" customHeight="1"/>
    <row r="4662" ht="15" customHeight="1"/>
    <row r="4663" ht="15" customHeight="1"/>
    <row r="4664" ht="15" customHeight="1"/>
    <row r="4665" ht="15" customHeight="1"/>
    <row r="4666" ht="15" customHeight="1"/>
    <row r="4667" ht="15" customHeight="1"/>
    <row r="4668" ht="20.1" customHeight="1"/>
    <row r="4669" ht="15" customHeight="1"/>
    <row r="4670" ht="15" customHeight="1"/>
    <row r="4671" ht="15" customHeight="1"/>
    <row r="4672" ht="15" customHeight="1"/>
    <row r="4673" ht="20.1" customHeight="1"/>
    <row r="4674" ht="15" customHeight="1"/>
    <row r="4675" ht="15" customHeight="1"/>
    <row r="4676" ht="15" customHeight="1"/>
    <row r="4677" ht="15" customHeight="1"/>
    <row r="4678" ht="15" customHeight="1"/>
    <row r="4679" ht="15" customHeight="1"/>
    <row r="4680" ht="20.1" customHeight="1"/>
    <row r="4681" ht="15" customHeight="1"/>
    <row r="4682" ht="15" customHeight="1"/>
    <row r="4683" ht="15" customHeight="1"/>
    <row r="4684" ht="15" customHeight="1"/>
    <row r="4685" ht="15" customHeight="1"/>
    <row r="4686" ht="15" customHeight="1"/>
    <row r="4687" ht="20.1" customHeight="1"/>
    <row r="4688" ht="15" customHeight="1"/>
    <row r="4689" ht="15" customHeight="1"/>
    <row r="4690" ht="15" customHeight="1"/>
    <row r="4691" ht="15" customHeight="1"/>
    <row r="4692" ht="15" customHeight="1"/>
    <row r="4693" ht="15" customHeight="1"/>
    <row r="4694" ht="20.1" customHeight="1"/>
    <row r="4695" ht="15" customHeight="1"/>
    <row r="4696" ht="15" customHeight="1"/>
    <row r="4697" ht="15" customHeight="1"/>
    <row r="4698" ht="15" customHeight="1"/>
    <row r="4699" ht="15" customHeight="1"/>
    <row r="4700" ht="15" customHeight="1"/>
    <row r="4701" ht="20.1" customHeight="1"/>
    <row r="4702" ht="15" customHeight="1"/>
    <row r="4703" ht="15" customHeight="1"/>
    <row r="4704" ht="15" customHeight="1"/>
    <row r="4705" ht="15" customHeight="1"/>
    <row r="4706" ht="15" customHeight="1"/>
    <row r="4707" ht="20.1" customHeight="1"/>
    <row r="4708" ht="15" customHeight="1"/>
    <row r="4709" ht="15" customHeight="1"/>
    <row r="4710" ht="15" customHeight="1"/>
    <row r="4711" ht="15" customHeight="1"/>
    <row r="4712" ht="20.1" customHeight="1"/>
    <row r="4713" ht="15" customHeight="1"/>
    <row r="4714" ht="15" customHeight="1"/>
    <row r="4715" ht="15" customHeight="1"/>
    <row r="4716" ht="15" customHeight="1"/>
    <row r="4717" ht="20.1" customHeight="1"/>
    <row r="4718" ht="15" customHeight="1"/>
    <row r="4719" ht="15" customHeight="1"/>
    <row r="4720" ht="15" customHeight="1"/>
    <row r="4721" ht="15" customHeight="1"/>
    <row r="4722" ht="20.1" customHeight="1"/>
    <row r="4723" ht="15" customHeight="1"/>
    <row r="4724" ht="15" customHeight="1"/>
    <row r="4725" ht="15" customHeight="1"/>
    <row r="4726" ht="20.1" customHeight="1"/>
    <row r="4727" ht="15" customHeight="1"/>
    <row r="4728" ht="15" customHeight="1"/>
    <row r="4729" ht="15" customHeight="1"/>
    <row r="4730" ht="20.1" customHeight="1"/>
    <row r="4731" ht="15" customHeight="1"/>
    <row r="4732" ht="15" customHeight="1"/>
    <row r="4733" ht="15" customHeight="1"/>
    <row r="4734" ht="20.1" customHeight="1"/>
    <row r="4735" ht="15" customHeight="1"/>
    <row r="4736" ht="15" customHeight="1"/>
    <row r="4737" ht="15" customHeight="1"/>
    <row r="4738" ht="20.1" customHeight="1"/>
    <row r="4739" ht="15" customHeight="1"/>
    <row r="4740" ht="15" customHeight="1"/>
    <row r="4741" ht="15" customHeight="1"/>
    <row r="4742" ht="20.1" customHeight="1"/>
    <row r="4743" ht="15" customHeight="1"/>
    <row r="4744" ht="15" customHeight="1"/>
    <row r="4745" ht="15" customHeight="1"/>
    <row r="4746" ht="20.1" customHeight="1"/>
    <row r="4747" ht="15" customHeight="1"/>
    <row r="4748" ht="15" customHeight="1"/>
    <row r="4749" ht="15" customHeight="1"/>
    <row r="4750" ht="15" customHeight="1"/>
    <row r="4751" ht="15" customHeight="1"/>
    <row r="4752" ht="15" customHeight="1"/>
    <row r="4753" ht="15" customHeight="1"/>
    <row r="4754" ht="20.1" customHeight="1"/>
    <row r="4755" ht="15" customHeight="1"/>
    <row r="4756" ht="15" customHeight="1"/>
    <row r="4757" ht="15" customHeight="1"/>
    <row r="4758" ht="15" customHeight="1"/>
    <row r="4759" ht="15" customHeight="1"/>
    <row r="4760" ht="15" customHeight="1"/>
    <row r="4761" ht="15" customHeight="1"/>
    <row r="4762" ht="20.1" customHeight="1"/>
    <row r="4763" ht="15" customHeight="1"/>
    <row r="4764" ht="15" customHeight="1"/>
    <row r="4765" ht="15" customHeight="1"/>
    <row r="4766" ht="15" customHeight="1"/>
    <row r="4767" ht="15" customHeight="1"/>
    <row r="4768" ht="15" customHeight="1"/>
    <row r="4769" ht="15" customHeight="1"/>
    <row r="4770" ht="20.1" customHeight="1"/>
    <row r="4771" ht="15" customHeight="1"/>
    <row r="4772" ht="15" customHeight="1"/>
    <row r="4773" ht="15" customHeight="1"/>
    <row r="4774" ht="15" customHeight="1"/>
    <row r="4775" ht="15" customHeight="1"/>
    <row r="4776" ht="15" customHeight="1"/>
    <row r="4777" ht="15" customHeight="1"/>
    <row r="4778" ht="15" customHeight="1"/>
    <row r="4779" ht="20.1" customHeight="1"/>
    <row r="4780" ht="15" customHeight="1"/>
    <row r="4781" ht="15" customHeight="1"/>
    <row r="4782" ht="15" customHeight="1"/>
    <row r="4783" ht="15" customHeight="1"/>
    <row r="4784" ht="15" customHeight="1"/>
    <row r="4785" ht="15" customHeight="1"/>
    <row r="4786" ht="20.1" customHeight="1"/>
    <row r="4787" ht="15" customHeight="1"/>
    <row r="4788" ht="15" customHeight="1"/>
    <row r="4789" ht="15" customHeight="1"/>
    <row r="4790" ht="15" customHeight="1"/>
    <row r="4791" ht="15" customHeight="1"/>
    <row r="4792" ht="15" customHeight="1"/>
    <row r="4793" ht="15" customHeight="1"/>
    <row r="4794" ht="20.1" customHeight="1"/>
    <row r="4795" ht="15" customHeight="1"/>
    <row r="4796" ht="15" customHeight="1"/>
    <row r="4797" ht="15" customHeight="1"/>
    <row r="4798" ht="15" customHeight="1"/>
    <row r="4799" ht="15" customHeight="1"/>
    <row r="4800" ht="15" customHeight="1"/>
    <row r="4801" ht="15" customHeight="1"/>
    <row r="4802" ht="15" customHeight="1"/>
    <row r="4803" ht="20.1" customHeight="1"/>
    <row r="4804" ht="15" customHeight="1"/>
    <row r="4805" ht="15" customHeight="1"/>
    <row r="4806" ht="15" customHeight="1"/>
    <row r="4807" ht="15" customHeight="1"/>
    <row r="4808" ht="15" customHeight="1"/>
    <row r="4809" ht="15" customHeight="1"/>
    <row r="4810" ht="15" customHeight="1"/>
    <row r="4811" ht="15" customHeight="1"/>
    <row r="4812" ht="20.1" customHeight="1"/>
    <row r="4813" ht="15" customHeight="1"/>
    <row r="4814" ht="15" customHeight="1"/>
    <row r="4815" ht="15" customHeight="1"/>
    <row r="4816" ht="15" customHeight="1"/>
    <row r="4817" ht="15" customHeight="1"/>
    <row r="4818" ht="15" customHeight="1"/>
    <row r="4819" ht="15" customHeight="1"/>
    <row r="4820" ht="15" customHeight="1"/>
    <row r="4821" ht="20.1" customHeight="1"/>
    <row r="4822" ht="15" customHeight="1"/>
    <row r="4823" ht="15" customHeight="1"/>
    <row r="4824" ht="15" customHeight="1"/>
    <row r="4825" ht="15" customHeight="1"/>
    <row r="4826" ht="15" customHeight="1"/>
    <row r="4827" ht="15" customHeight="1"/>
    <row r="4828" ht="15" customHeight="1"/>
    <row r="4829" ht="15" customHeight="1"/>
    <row r="4830" ht="20.1" customHeight="1"/>
    <row r="4831" ht="15" customHeight="1"/>
    <row r="4832" ht="15" customHeight="1"/>
    <row r="4833" ht="15" customHeight="1"/>
    <row r="4834" ht="15" customHeight="1"/>
    <row r="4835" ht="15" customHeight="1"/>
    <row r="4836" ht="20.1" customHeight="1"/>
    <row r="4837" ht="15" customHeight="1"/>
    <row r="4838" ht="15" customHeight="1"/>
    <row r="4839" ht="15" customHeight="1"/>
    <row r="4840" ht="15" customHeight="1"/>
    <row r="4841" ht="15" customHeight="1"/>
    <row r="4842" ht="15" customHeight="1"/>
    <row r="4843" ht="15" customHeight="1"/>
    <row r="4844" ht="15" customHeight="1"/>
    <row r="4845" ht="20.1" customHeight="1"/>
    <row r="4846" ht="15" customHeight="1"/>
    <row r="4847" ht="15" customHeight="1"/>
    <row r="4848" ht="15" customHeight="1"/>
    <row r="4849" ht="15" customHeight="1"/>
    <row r="4850" ht="15" customHeight="1"/>
    <row r="4851" ht="15" customHeight="1"/>
    <row r="4852" ht="15" customHeight="1"/>
    <row r="4853" ht="15" customHeight="1"/>
    <row r="4854" ht="20.1" customHeight="1"/>
    <row r="4855" ht="15" customHeight="1"/>
    <row r="4856" ht="15" customHeight="1"/>
    <row r="4857" ht="15" customHeight="1"/>
    <row r="4858" ht="15" customHeight="1"/>
    <row r="4859" ht="15" customHeight="1"/>
    <row r="4860" ht="15" customHeight="1"/>
    <row r="4861" ht="15" customHeight="1"/>
    <row r="4862" ht="15" customHeight="1"/>
    <row r="4863" ht="20.1" customHeight="1"/>
    <row r="4864" ht="15" customHeight="1"/>
    <row r="4865" ht="15" customHeight="1"/>
    <row r="4866" ht="15" customHeight="1"/>
    <row r="4867" ht="15" customHeight="1"/>
    <row r="4868" ht="15" customHeight="1"/>
    <row r="4869" ht="15" customHeight="1"/>
    <row r="4870" ht="20.1" customHeight="1"/>
    <row r="4871" ht="15" customHeight="1"/>
    <row r="4872" ht="15" customHeight="1"/>
    <row r="4873" ht="15" customHeight="1"/>
    <row r="4874" ht="15" customHeight="1"/>
    <row r="4875" ht="15" customHeight="1"/>
    <row r="4876" ht="15" customHeight="1"/>
    <row r="4877" ht="15" customHeight="1"/>
    <row r="4878" ht="20.1" customHeight="1"/>
    <row r="4879" ht="15" customHeight="1"/>
    <row r="4880" ht="15" customHeight="1"/>
    <row r="4881" ht="15" customHeight="1"/>
    <row r="4882" ht="15" customHeight="1"/>
    <row r="4883" ht="15" customHeight="1"/>
    <row r="4884" ht="15" customHeight="1"/>
    <row r="4885" ht="15" customHeight="1"/>
    <row r="4886" ht="20.1" customHeight="1"/>
    <row r="4887" ht="15" customHeight="1"/>
    <row r="4888" ht="15" customHeight="1"/>
    <row r="4889" ht="15" customHeight="1"/>
    <row r="4890" ht="15" customHeight="1"/>
    <row r="4891" ht="15" customHeight="1"/>
    <row r="4892" ht="15" customHeight="1"/>
    <row r="4893" ht="15" customHeight="1"/>
    <row r="4894" ht="20.1" customHeight="1"/>
    <row r="4895" ht="15" customHeight="1"/>
    <row r="4896" ht="15" customHeight="1"/>
    <row r="4897" ht="15" customHeight="1"/>
    <row r="4898" ht="15" customHeight="1"/>
    <row r="4899" ht="15" customHeight="1"/>
    <row r="4900" ht="15" customHeight="1"/>
    <row r="4901" ht="15" customHeight="1"/>
    <row r="4902" ht="20.1" customHeight="1"/>
    <row r="4903" ht="15" customHeight="1"/>
    <row r="4904" ht="15" customHeight="1"/>
    <row r="4905" ht="15" customHeight="1"/>
    <row r="4906" ht="15" customHeight="1"/>
    <row r="4907" ht="15" customHeight="1"/>
    <row r="4908" ht="15" customHeight="1"/>
    <row r="4909" ht="15" customHeight="1"/>
    <row r="4910" ht="20.1" customHeight="1"/>
    <row r="4911" ht="15" customHeight="1"/>
    <row r="4912" ht="15" customHeight="1"/>
    <row r="4913" ht="15" customHeight="1"/>
    <row r="4914" ht="15" customHeight="1"/>
    <row r="4915" ht="15" customHeight="1"/>
    <row r="4916" ht="15" customHeight="1"/>
    <row r="4917" ht="15" customHeight="1"/>
    <row r="4918" ht="20.1" customHeight="1"/>
    <row r="4919" ht="15" customHeight="1"/>
    <row r="4920" ht="15" customHeight="1"/>
    <row r="4921" ht="15" customHeight="1"/>
    <row r="4922" ht="15" customHeight="1"/>
    <row r="4923" ht="15" customHeight="1"/>
    <row r="4924" ht="15" customHeight="1"/>
    <row r="4925" ht="15" customHeight="1"/>
    <row r="4926" ht="20.1" customHeight="1"/>
    <row r="4927" ht="15" customHeight="1"/>
    <row r="4928" ht="15" customHeight="1"/>
    <row r="4929" ht="15" customHeight="1"/>
    <row r="4930" ht="15" customHeight="1"/>
    <row r="4931" ht="15" customHeight="1"/>
    <row r="4932" ht="15" customHeight="1"/>
    <row r="4933" ht="15" customHeight="1"/>
    <row r="4934" ht="20.1" customHeight="1"/>
    <row r="4935" ht="15" customHeight="1"/>
    <row r="4936" ht="15" customHeight="1"/>
    <row r="4937" ht="15" customHeight="1"/>
    <row r="4938" ht="15" customHeight="1"/>
    <row r="4939" ht="15" customHeight="1"/>
    <row r="4940" ht="15" customHeight="1"/>
    <row r="4941" ht="15" customHeight="1"/>
    <row r="4942" ht="20.1" customHeight="1"/>
    <row r="4943" ht="15" customHeight="1"/>
    <row r="4944" ht="15" customHeight="1"/>
    <row r="4945" ht="15" customHeight="1"/>
    <row r="4946" ht="15" customHeight="1"/>
    <row r="4947" ht="15" customHeight="1"/>
    <row r="4948" ht="15" customHeight="1"/>
    <row r="4949" ht="15" customHeight="1"/>
    <row r="4950" ht="20.1" customHeight="1"/>
    <row r="4951" ht="15" customHeight="1"/>
    <row r="4952" ht="15" customHeight="1"/>
    <row r="4953" ht="15" customHeight="1"/>
    <row r="4954" ht="15" customHeight="1"/>
    <row r="4955" ht="15" customHeight="1"/>
    <row r="4956" ht="15" customHeight="1"/>
    <row r="4957" ht="15" customHeight="1"/>
    <row r="4958" ht="20.1" customHeight="1"/>
    <row r="4959" ht="15" customHeight="1"/>
    <row r="4960" ht="15" customHeight="1"/>
    <row r="4961" ht="15" customHeight="1"/>
    <row r="4962" ht="15" customHeight="1"/>
    <row r="4963" ht="15" customHeight="1"/>
    <row r="4964" ht="15" customHeight="1"/>
    <row r="4965" ht="15" customHeight="1"/>
    <row r="4966" ht="20.1" customHeight="1"/>
    <row r="4967" ht="15" customHeight="1"/>
    <row r="4968" ht="15" customHeight="1"/>
    <row r="4969" ht="15" customHeight="1"/>
    <row r="4970" ht="15" customHeight="1"/>
    <row r="4971" ht="15" customHeight="1"/>
    <row r="4972" ht="15" customHeight="1"/>
    <row r="4973" ht="15" customHeight="1"/>
    <row r="4974" ht="20.1" customHeight="1"/>
    <row r="4975" ht="15" customHeight="1"/>
    <row r="4976" ht="15" customHeight="1"/>
    <row r="4977" ht="15" customHeight="1"/>
    <row r="4978" ht="15" customHeight="1"/>
    <row r="4979" ht="15" customHeight="1"/>
    <row r="4980" ht="15" customHeight="1"/>
    <row r="4981" ht="15" customHeight="1"/>
    <row r="4982" ht="20.1" customHeight="1"/>
    <row r="4983" ht="15" customHeight="1"/>
    <row r="4984" ht="15" customHeight="1"/>
    <row r="4985" ht="15" customHeight="1"/>
    <row r="4986" ht="15" customHeight="1"/>
    <row r="4987" ht="15" customHeight="1"/>
    <row r="4988" ht="15" customHeight="1"/>
    <row r="4989" ht="15" customHeight="1"/>
    <row r="4990" ht="20.1" customHeight="1"/>
    <row r="4991" ht="15" customHeight="1"/>
    <row r="4992" ht="15" customHeight="1"/>
    <row r="4993" ht="15" customHeight="1"/>
    <row r="4994" ht="15" customHeight="1"/>
    <row r="4995" ht="15" customHeight="1"/>
    <row r="4996" ht="15" customHeight="1"/>
    <row r="4997" ht="15" customHeight="1"/>
    <row r="4998" ht="20.1" customHeight="1"/>
    <row r="4999" ht="15" customHeight="1"/>
    <row r="5000" ht="15" customHeight="1"/>
    <row r="5001" ht="15" customHeight="1"/>
    <row r="5002" ht="15" customHeight="1"/>
    <row r="5003" ht="15" customHeight="1"/>
    <row r="5004" ht="15" customHeight="1"/>
    <row r="5005" ht="15" customHeight="1"/>
    <row r="5006" ht="20.1" customHeight="1"/>
    <row r="5007" ht="15" customHeight="1"/>
    <row r="5008" ht="15" customHeight="1"/>
    <row r="5009" ht="15" customHeight="1"/>
    <row r="5010" ht="15" customHeight="1"/>
    <row r="5011" ht="15" customHeight="1"/>
    <row r="5012" ht="15" customHeight="1"/>
    <row r="5013" ht="15" customHeight="1"/>
    <row r="5014" ht="20.1" customHeight="1"/>
    <row r="5015" ht="15" customHeight="1"/>
    <row r="5016" ht="15" customHeight="1"/>
    <row r="5017" ht="15" customHeight="1"/>
    <row r="5018" ht="15" customHeight="1"/>
    <row r="5019" ht="15" customHeight="1"/>
    <row r="5020" ht="15" customHeight="1"/>
    <row r="5021" ht="15" customHeight="1"/>
    <row r="5022" ht="20.1" customHeight="1"/>
    <row r="5023" ht="15" customHeight="1"/>
    <row r="5024" ht="15" customHeight="1"/>
    <row r="5025" ht="15" customHeight="1"/>
    <row r="5026" ht="15" customHeight="1"/>
    <row r="5027" ht="15" customHeight="1"/>
    <row r="5028" ht="15" customHeight="1"/>
    <row r="5029" ht="15" customHeight="1"/>
    <row r="5030" ht="20.1" customHeight="1"/>
    <row r="5031" ht="15" customHeight="1"/>
    <row r="5032" ht="15" customHeight="1"/>
    <row r="5033" ht="15" customHeight="1"/>
    <row r="5034" ht="15" customHeight="1"/>
    <row r="5035" ht="15" customHeight="1"/>
    <row r="5036" ht="15" customHeight="1"/>
    <row r="5037" ht="15" customHeight="1"/>
    <row r="5038" ht="20.1" customHeight="1"/>
    <row r="5039" ht="15" customHeight="1"/>
    <row r="5040" ht="15" customHeight="1"/>
    <row r="5041" ht="15" customHeight="1"/>
    <row r="5042" ht="15" customHeight="1"/>
    <row r="5043" ht="15" customHeight="1"/>
    <row r="5044" ht="15" customHeight="1"/>
    <row r="5045" ht="15" customHeight="1"/>
    <row r="5046" ht="20.1" customHeight="1"/>
    <row r="5047" ht="15" customHeight="1"/>
    <row r="5048" ht="15" customHeight="1"/>
    <row r="5049" ht="15" customHeight="1"/>
    <row r="5050" ht="15" customHeight="1"/>
    <row r="5051" ht="15" customHeight="1"/>
    <row r="5052" ht="15" customHeight="1"/>
    <row r="5053" ht="15" customHeight="1"/>
    <row r="5054" ht="20.1" customHeight="1"/>
    <row r="5055" ht="15" customHeight="1"/>
    <row r="5056" ht="15" customHeight="1"/>
    <row r="5057" ht="15" customHeight="1"/>
    <row r="5058" ht="15" customHeight="1"/>
    <row r="5059" ht="15" customHeight="1"/>
    <row r="5060" ht="15" customHeight="1"/>
    <row r="5061" ht="15" customHeight="1"/>
    <row r="5062" ht="20.1" customHeight="1"/>
    <row r="5063" ht="15" customHeight="1"/>
    <row r="5064" ht="15" customHeight="1"/>
    <row r="5065" ht="15" customHeight="1"/>
    <row r="5066" ht="15" customHeight="1"/>
    <row r="5067" ht="15" customHeight="1"/>
    <row r="5068" ht="15" customHeight="1"/>
    <row r="5069" ht="15" customHeight="1"/>
    <row r="5070" ht="20.1" customHeight="1"/>
    <row r="5071" ht="15" customHeight="1"/>
    <row r="5072" ht="15" customHeight="1"/>
    <row r="5073" ht="15" customHeight="1"/>
    <row r="5074" ht="15" customHeight="1"/>
    <row r="5075" ht="15" customHeight="1"/>
    <row r="5076" ht="15" customHeight="1"/>
    <row r="5077" ht="15" customHeight="1"/>
    <row r="5078" ht="20.1" customHeight="1"/>
    <row r="5079" ht="15" customHeight="1"/>
    <row r="5080" ht="15" customHeight="1"/>
    <row r="5081" ht="15" customHeight="1"/>
    <row r="5082" ht="15" customHeight="1"/>
    <row r="5083" ht="15" customHeight="1"/>
    <row r="5084" ht="15" customHeight="1"/>
    <row r="5085" ht="15" customHeight="1"/>
    <row r="5086" ht="20.1" customHeight="1"/>
    <row r="5087" ht="15" customHeight="1"/>
    <row r="5088" ht="15" customHeight="1"/>
    <row r="5089" ht="15" customHeight="1"/>
    <row r="5090" ht="15" customHeight="1"/>
    <row r="5091" ht="15" customHeight="1"/>
    <row r="5092" ht="15" customHeight="1"/>
    <row r="5093" ht="15" customHeight="1"/>
    <row r="5094" ht="20.1" customHeight="1"/>
    <row r="5095" ht="15" customHeight="1"/>
    <row r="5096" ht="15" customHeight="1"/>
    <row r="5097" ht="15" customHeight="1"/>
    <row r="5098" ht="15" customHeight="1"/>
    <row r="5099" ht="15" customHeight="1"/>
    <row r="5100" ht="15" customHeight="1"/>
    <row r="5101" ht="15" customHeight="1"/>
    <row r="5102" ht="15" customHeight="1"/>
    <row r="5103" ht="15" customHeight="1"/>
    <row r="5104" ht="15" customHeight="1"/>
    <row r="5105" ht="15" customHeight="1"/>
    <row r="5106" ht="15" customHeight="1"/>
    <row r="5107" ht="15" customHeight="1"/>
    <row r="5108" ht="15" customHeight="1"/>
    <row r="5109" ht="15" customHeight="1"/>
    <row r="5110" ht="15" customHeight="1"/>
    <row r="5111" ht="15" customHeight="1"/>
    <row r="5112" ht="15" customHeight="1"/>
    <row r="5113" ht="15" customHeight="1"/>
    <row r="5114" ht="15" customHeight="1"/>
    <row r="5115" ht="15" customHeight="1"/>
    <row r="5116" ht="15" customHeight="1"/>
    <row r="5117" ht="15" customHeight="1"/>
    <row r="5118" ht="15" customHeight="1"/>
    <row r="5119" ht="15" customHeight="1"/>
    <row r="5120" ht="15" customHeight="1"/>
    <row r="5121" ht="15" customHeight="1"/>
    <row r="5122" ht="15" customHeight="1"/>
    <row r="5123" ht="15" customHeight="1"/>
    <row r="5124" ht="15" customHeight="1"/>
    <row r="5125" ht="15" customHeight="1"/>
    <row r="5126" ht="15" customHeight="1"/>
    <row r="5127" ht="15" customHeight="1"/>
    <row r="5128" ht="15" customHeight="1"/>
    <row r="5129" ht="15" customHeight="1"/>
    <row r="5130" ht="15" customHeight="1"/>
    <row r="5131" ht="15" customHeight="1"/>
    <row r="5132" ht="15" customHeight="1"/>
    <row r="5133" ht="15" customHeight="1"/>
    <row r="5134" ht="15" customHeight="1"/>
    <row r="5135" ht="15" customHeight="1"/>
    <row r="5136" ht="15" customHeight="1"/>
    <row r="5137" ht="15" customHeight="1"/>
    <row r="5138" ht="15" customHeight="1"/>
    <row r="5139" ht="15" customHeight="1"/>
    <row r="5140" ht="15" customHeight="1"/>
    <row r="5141" ht="15" customHeight="1"/>
    <row r="5142" ht="15" customHeight="1"/>
    <row r="5143" ht="15" customHeight="1"/>
    <row r="5144" ht="15" customHeight="1"/>
    <row r="5145" ht="15" customHeight="1"/>
    <row r="5146" ht="15" customHeight="1"/>
    <row r="5147" ht="15" customHeight="1"/>
    <row r="5148" ht="15" customHeight="1"/>
    <row r="5149" ht="15" customHeight="1"/>
    <row r="5150" ht="15" customHeight="1"/>
    <row r="5151" ht="15" customHeight="1"/>
    <row r="5152" ht="15" customHeight="1"/>
    <row r="5153" ht="15" customHeight="1"/>
    <row r="5154" ht="15" customHeight="1"/>
    <row r="5155" ht="15" customHeight="1"/>
    <row r="5156" ht="15" customHeight="1"/>
    <row r="5157" ht="15" customHeight="1"/>
    <row r="5158" ht="15" customHeight="1"/>
    <row r="5159" ht="15" customHeight="1"/>
    <row r="5160" ht="15" customHeight="1"/>
    <row r="5161" ht="15" customHeight="1"/>
    <row r="5162" ht="15" customHeight="1"/>
    <row r="5163" ht="15" customHeight="1"/>
    <row r="5164" ht="15" customHeight="1"/>
    <row r="5165" ht="15" customHeight="1"/>
    <row r="5166" ht="15" customHeight="1"/>
    <row r="5167" ht="15" customHeight="1"/>
    <row r="5168" ht="15" customHeight="1"/>
    <row r="5169" ht="15" customHeight="1"/>
    <row r="5170" ht="15" customHeight="1"/>
    <row r="5171" ht="15" customHeight="1"/>
    <row r="5172" ht="15" customHeight="1"/>
    <row r="5173" ht="15" customHeight="1"/>
    <row r="5174" ht="15" customHeight="1"/>
    <row r="5175" ht="15" customHeight="1"/>
    <row r="5176" ht="15" customHeight="1"/>
    <row r="5177" ht="15" customHeight="1"/>
    <row r="5178" ht="15" customHeight="1"/>
    <row r="5179" ht="15" customHeight="1"/>
    <row r="5180" ht="15" customHeight="1"/>
    <row r="5181" ht="15" customHeight="1"/>
    <row r="5182" ht="15" customHeight="1"/>
    <row r="5183" ht="15" customHeight="1"/>
    <row r="5184" ht="15" customHeight="1"/>
    <row r="5185" ht="15" customHeight="1"/>
    <row r="5186" ht="15" customHeight="1"/>
    <row r="5187" ht="15" customHeight="1"/>
    <row r="5188" ht="15" customHeight="1"/>
    <row r="5189" ht="15" customHeight="1"/>
    <row r="5190" ht="15" customHeight="1"/>
    <row r="5191" ht="15" customHeight="1"/>
    <row r="5192" ht="15" customHeight="1"/>
    <row r="5193" ht="15" customHeight="1"/>
    <row r="5194" ht="15" customHeight="1"/>
    <row r="5195" ht="15" customHeight="1"/>
    <row r="5196" ht="15" customHeight="1"/>
    <row r="5197" ht="15" customHeight="1"/>
    <row r="5198" ht="15" customHeight="1"/>
    <row r="5199" ht="15" customHeight="1"/>
    <row r="5200" ht="15" customHeight="1"/>
    <row r="5201" ht="15" customHeight="1"/>
    <row r="5202" ht="15" customHeight="1"/>
    <row r="5203" ht="15" customHeight="1"/>
    <row r="5204" ht="15" customHeight="1"/>
    <row r="5205" ht="15" customHeight="1"/>
    <row r="5206" ht="15" customHeight="1"/>
    <row r="5207" ht="15" customHeight="1"/>
    <row r="5208" ht="15" customHeight="1"/>
    <row r="5209" ht="15" customHeight="1"/>
    <row r="5210" ht="15" customHeight="1"/>
    <row r="5211" ht="15" customHeight="1"/>
    <row r="5212" ht="15" customHeight="1"/>
    <row r="5213" ht="15" customHeight="1"/>
    <row r="5214" ht="15" customHeight="1"/>
    <row r="5215" ht="15" customHeight="1"/>
    <row r="5216" ht="15" customHeight="1"/>
    <row r="5217" ht="15" customHeight="1"/>
    <row r="5218" ht="15" customHeight="1"/>
    <row r="5219" ht="15" customHeight="1"/>
    <row r="5220" ht="15" customHeight="1"/>
    <row r="5221" ht="15" customHeight="1"/>
    <row r="5222" ht="15" customHeight="1"/>
    <row r="5223" ht="15" customHeight="1"/>
    <row r="5224" ht="15" customHeight="1"/>
    <row r="5225" ht="15" customHeight="1"/>
    <row r="5226" ht="15" customHeight="1"/>
    <row r="5227" ht="15" customHeight="1"/>
    <row r="5228" ht="15" customHeight="1"/>
    <row r="5229" ht="15" customHeight="1"/>
    <row r="5230" ht="15" customHeight="1"/>
    <row r="5231" ht="15" customHeight="1"/>
    <row r="5232" ht="15" customHeight="1"/>
    <row r="5233" ht="15" customHeight="1"/>
    <row r="5234" ht="15" customHeight="1"/>
    <row r="5235" ht="15" customHeight="1"/>
    <row r="5236" ht="15" customHeight="1"/>
    <row r="5237" ht="15" customHeight="1"/>
    <row r="5238" ht="15" customHeight="1"/>
    <row r="5239" ht="15" customHeight="1"/>
    <row r="5240" ht="15" customHeight="1"/>
    <row r="5241" ht="15" customHeight="1"/>
    <row r="5242" ht="15" customHeight="1"/>
    <row r="5243" ht="15" customHeight="1"/>
    <row r="5244" ht="15" customHeight="1"/>
    <row r="5245" ht="15" customHeight="1"/>
    <row r="5246" ht="15" customHeight="1"/>
    <row r="5247" ht="15" customHeight="1"/>
    <row r="5248" ht="15" customHeight="1"/>
    <row r="5249" ht="15" customHeight="1"/>
    <row r="5250" ht="15" customHeight="1"/>
    <row r="5251" ht="15" customHeight="1"/>
    <row r="5252" ht="15" customHeight="1"/>
    <row r="5253" ht="15" customHeight="1"/>
    <row r="5254" ht="15" customHeight="1"/>
    <row r="5255" ht="15" customHeight="1"/>
    <row r="5256" ht="15" customHeight="1"/>
    <row r="5257" ht="15" customHeight="1"/>
    <row r="5258" ht="15" customHeight="1"/>
    <row r="5259" ht="15" customHeight="1"/>
    <row r="5260" ht="15" customHeight="1"/>
    <row r="5261" ht="15" customHeight="1"/>
    <row r="5262" ht="15" customHeight="1"/>
    <row r="5263" ht="15" customHeight="1"/>
    <row r="5264" ht="15" customHeight="1"/>
    <row r="5265" ht="15" customHeight="1"/>
    <row r="5266" ht="15" customHeight="1"/>
    <row r="5267" ht="15" customHeight="1"/>
    <row r="5268" ht="15" customHeight="1"/>
    <row r="5269" ht="15" customHeight="1"/>
    <row r="5270" ht="15" customHeight="1"/>
    <row r="5271" ht="15" customHeight="1"/>
    <row r="5272" ht="15" customHeight="1"/>
    <row r="5273" ht="15" customHeight="1"/>
    <row r="5274" ht="15" customHeight="1"/>
    <row r="5275" ht="15" customHeight="1"/>
    <row r="5276" ht="15" customHeight="1"/>
    <row r="5277" ht="15" customHeight="1"/>
    <row r="5278" ht="15" customHeight="1"/>
    <row r="5279" ht="15" customHeight="1"/>
    <row r="5280" ht="15" customHeight="1"/>
    <row r="5281" ht="15" customHeight="1"/>
    <row r="5282" ht="15" customHeight="1"/>
    <row r="5283" ht="15" customHeight="1"/>
    <row r="5284" ht="15" customHeight="1"/>
    <row r="5285" ht="15" customHeight="1"/>
    <row r="5286" ht="15" customHeight="1"/>
    <row r="5287" ht="15" customHeight="1"/>
    <row r="5288" ht="15" customHeight="1"/>
    <row r="5289" ht="15" customHeight="1"/>
    <row r="5290" ht="15" customHeight="1"/>
    <row r="5291" ht="15" customHeight="1"/>
    <row r="5292" ht="15" customHeight="1"/>
    <row r="5293" ht="15" customHeight="1"/>
    <row r="5294" ht="15" customHeight="1"/>
    <row r="5295" ht="15" customHeight="1"/>
    <row r="5296" ht="15" customHeight="1"/>
    <row r="5297" ht="15" customHeight="1"/>
    <row r="5298" ht="15" customHeight="1"/>
    <row r="5299" ht="15" customHeight="1"/>
    <row r="5300" ht="15" customHeight="1"/>
    <row r="5301" ht="15" customHeight="1"/>
    <row r="5302" ht="15" customHeight="1"/>
    <row r="5303" ht="15" customHeight="1"/>
    <row r="5304" ht="15" customHeight="1"/>
    <row r="5305" ht="15" customHeight="1"/>
    <row r="5306" ht="15" customHeight="1"/>
    <row r="5307" ht="15" customHeight="1"/>
    <row r="5308" ht="15" customHeight="1"/>
    <row r="5309" ht="15" customHeight="1"/>
    <row r="5310" ht="15" customHeight="1"/>
    <row r="5311" ht="15" customHeight="1"/>
    <row r="5312" ht="15" customHeight="1"/>
    <row r="5313" ht="15" customHeight="1"/>
    <row r="5314" ht="15" customHeight="1"/>
    <row r="5315" ht="15" customHeight="1"/>
    <row r="5316" ht="15" customHeight="1"/>
    <row r="5317" ht="15" customHeight="1"/>
    <row r="5318" ht="15" customHeight="1"/>
    <row r="5319" ht="15" customHeight="1"/>
    <row r="5320" ht="15" customHeight="1"/>
    <row r="5321" ht="15" customHeight="1"/>
    <row r="5322" ht="15" customHeight="1"/>
    <row r="5323" ht="15" customHeight="1"/>
    <row r="5324" ht="15" customHeight="1"/>
    <row r="5325" ht="15" customHeight="1"/>
    <row r="5326" ht="15" customHeight="1"/>
    <row r="5327" ht="15" customHeight="1"/>
    <row r="5328" ht="15" customHeight="1"/>
    <row r="5329" ht="15" customHeight="1"/>
    <row r="5330" ht="15" customHeight="1"/>
    <row r="5331" ht="15" customHeight="1"/>
    <row r="5332" ht="15" customHeight="1"/>
    <row r="5333" ht="15" customHeight="1"/>
    <row r="5334" ht="15" customHeight="1"/>
    <row r="5335" ht="15" customHeight="1"/>
    <row r="5336" ht="15" customHeight="1"/>
    <row r="5337" ht="15" customHeight="1"/>
    <row r="5338" ht="15" customHeight="1"/>
    <row r="5339" ht="15" customHeight="1"/>
    <row r="5340" ht="15" customHeight="1"/>
    <row r="5341" ht="15" customHeight="1"/>
    <row r="5342" ht="15" customHeight="1"/>
    <row r="5343" ht="15" customHeight="1"/>
    <row r="5344" ht="15" customHeight="1"/>
    <row r="5345" ht="15" customHeight="1"/>
    <row r="5346" ht="15" customHeight="1"/>
    <row r="5347" ht="15" customHeight="1"/>
    <row r="5348" ht="15" customHeight="1"/>
    <row r="5349" ht="15" customHeight="1"/>
    <row r="5350" ht="15" customHeight="1"/>
    <row r="5351" ht="15" customHeight="1"/>
    <row r="5352" ht="15" customHeight="1"/>
    <row r="5353" ht="15" customHeight="1"/>
    <row r="5354" ht="15" customHeight="1"/>
    <row r="5355" ht="15" customHeight="1"/>
    <row r="5356" ht="15" customHeight="1"/>
    <row r="5357" ht="15" customHeight="1"/>
    <row r="5358" ht="15" customHeight="1"/>
    <row r="5359" ht="15" customHeight="1"/>
    <row r="5360" ht="15" customHeight="1"/>
    <row r="5361" ht="15" customHeight="1"/>
    <row r="5362" ht="15" customHeight="1"/>
    <row r="5363" ht="15" customHeight="1"/>
    <row r="5364" ht="15" customHeight="1"/>
    <row r="5365" ht="15" customHeight="1"/>
    <row r="5366" ht="15" customHeight="1"/>
    <row r="5367" ht="15" customHeight="1"/>
    <row r="5368" ht="15" customHeight="1"/>
    <row r="5369" ht="15" customHeight="1"/>
    <row r="5370" ht="15" customHeight="1"/>
    <row r="5371" ht="15" customHeight="1"/>
    <row r="5372" ht="15" customHeight="1"/>
    <row r="5373" ht="15" customHeight="1"/>
    <row r="5374" ht="15" customHeight="1"/>
    <row r="5375" ht="15" customHeight="1"/>
    <row r="5376" ht="15" customHeight="1"/>
    <row r="5377" ht="15" customHeight="1"/>
    <row r="5378" ht="15" customHeight="1"/>
    <row r="5379" ht="15" customHeight="1"/>
    <row r="5380" ht="15" customHeight="1"/>
    <row r="5381" ht="15" customHeight="1"/>
    <row r="5382" ht="15" customHeight="1"/>
    <row r="5383" ht="15" customHeight="1"/>
    <row r="5384" ht="15" customHeight="1"/>
    <row r="5385" ht="15" customHeight="1"/>
    <row r="5386" ht="15" customHeight="1"/>
    <row r="5387" ht="15" customHeight="1"/>
    <row r="5388" ht="15" customHeight="1"/>
    <row r="5389" ht="15" customHeight="1"/>
    <row r="5390" ht="15" customHeight="1"/>
    <row r="5391" ht="15" customHeight="1"/>
    <row r="5392" ht="15" customHeight="1"/>
    <row r="5393" ht="15" customHeight="1"/>
    <row r="5394" ht="15" customHeight="1"/>
    <row r="5395" ht="15" customHeight="1"/>
    <row r="5396" ht="15" customHeight="1"/>
    <row r="5397" ht="15" customHeight="1"/>
    <row r="5398" ht="15" customHeight="1"/>
    <row r="5399" ht="15" customHeight="1"/>
    <row r="5400" ht="15" customHeight="1"/>
    <row r="5401" ht="15" customHeight="1"/>
    <row r="5402" ht="15" customHeight="1"/>
    <row r="5403" ht="15" customHeight="1"/>
    <row r="5404" ht="15" customHeight="1"/>
    <row r="5405" ht="15" customHeight="1"/>
    <row r="5406" ht="15" customHeight="1"/>
    <row r="5407" ht="15" customHeight="1"/>
    <row r="5408" ht="15" customHeight="1"/>
    <row r="5409" ht="15" customHeight="1"/>
    <row r="5410" ht="15" customHeight="1"/>
    <row r="5411" ht="15" customHeight="1"/>
    <row r="5412" ht="15" customHeight="1"/>
    <row r="5413" ht="15" customHeight="1"/>
    <row r="5414" ht="15" customHeight="1"/>
    <row r="5415" ht="15" customHeight="1"/>
    <row r="5416" ht="15" customHeight="1"/>
    <row r="5417" ht="15" customHeight="1"/>
    <row r="5418" ht="15" customHeight="1"/>
    <row r="5419" ht="15" customHeight="1"/>
    <row r="5420" ht="15" customHeight="1"/>
    <row r="5421" ht="15" customHeight="1"/>
    <row r="5422" ht="15" customHeight="1"/>
    <row r="5423" ht="15" customHeight="1"/>
    <row r="5424" ht="15" customHeight="1"/>
    <row r="5425" ht="15" customHeight="1"/>
    <row r="5426" ht="15" customHeight="1"/>
    <row r="5427" ht="15" customHeight="1"/>
    <row r="5428" ht="15" customHeight="1"/>
    <row r="5429" ht="15" customHeight="1"/>
    <row r="5430" ht="15" customHeight="1"/>
    <row r="5431" ht="15" customHeight="1"/>
    <row r="5432" ht="15" customHeight="1"/>
    <row r="5433" ht="15" customHeight="1"/>
    <row r="5434" ht="15" customHeight="1"/>
    <row r="5435" ht="15" customHeight="1"/>
    <row r="5436" ht="15" customHeight="1"/>
    <row r="5437" ht="15" customHeight="1"/>
    <row r="5438" ht="15" customHeight="1"/>
    <row r="5439" ht="15" customHeight="1"/>
    <row r="5440" ht="15" customHeight="1"/>
    <row r="5441" ht="15" customHeight="1"/>
    <row r="5442" ht="15" customHeight="1"/>
    <row r="5443" ht="15" customHeight="1"/>
    <row r="5444" ht="15" customHeight="1"/>
    <row r="5445" ht="15" customHeight="1"/>
    <row r="5446" ht="15" customHeight="1"/>
    <row r="5447" ht="15" customHeight="1"/>
    <row r="5448" ht="15" customHeight="1"/>
    <row r="5449" ht="15" customHeight="1"/>
    <row r="5450" ht="15" customHeight="1"/>
    <row r="5451" ht="15" customHeight="1"/>
    <row r="5452" ht="15" customHeight="1"/>
    <row r="5453" ht="15" customHeight="1"/>
    <row r="5454" ht="15" customHeight="1"/>
    <row r="5455" ht="15" customHeight="1"/>
    <row r="5456" ht="15" customHeight="1"/>
    <row r="5457" ht="15" customHeight="1"/>
    <row r="5458" ht="15" customHeight="1"/>
    <row r="5459" ht="15" customHeight="1"/>
    <row r="5460" ht="15" customHeight="1"/>
    <row r="5461" ht="15" customHeight="1"/>
    <row r="5462" ht="15" customHeight="1"/>
    <row r="5463" ht="15" customHeight="1"/>
    <row r="5464" ht="15" customHeight="1"/>
    <row r="5465" ht="15" customHeight="1"/>
    <row r="5466" ht="15" customHeight="1"/>
    <row r="5467" ht="15" customHeight="1"/>
    <row r="5468" ht="15" customHeight="1"/>
    <row r="5469" ht="15" customHeight="1"/>
    <row r="5470" ht="15" customHeight="1"/>
    <row r="5471" ht="15" customHeight="1"/>
    <row r="5472" ht="15" customHeight="1"/>
    <row r="5473" ht="15" customHeight="1"/>
    <row r="5474" ht="15" customHeight="1"/>
    <row r="5475" ht="15" customHeight="1"/>
    <row r="5476" ht="15" customHeight="1"/>
    <row r="5477" ht="15" customHeight="1"/>
    <row r="5478" ht="15" customHeight="1"/>
    <row r="5479" ht="15" customHeight="1"/>
    <row r="5480" ht="15" customHeight="1"/>
    <row r="5481" ht="15" customHeight="1"/>
    <row r="5482" ht="15" customHeight="1"/>
    <row r="5483" ht="15" customHeight="1"/>
    <row r="5484" ht="15" customHeight="1"/>
    <row r="5485" ht="15" customHeight="1"/>
    <row r="5486" ht="15" customHeight="1"/>
    <row r="5487" ht="15" customHeight="1"/>
    <row r="5488" ht="15" customHeight="1"/>
    <row r="5489" ht="15" customHeight="1"/>
    <row r="5490" ht="15" customHeight="1"/>
    <row r="5491" ht="15" customHeight="1"/>
    <row r="5492" ht="15" customHeight="1"/>
    <row r="5493" ht="15" customHeight="1"/>
    <row r="5494" ht="15" customHeight="1"/>
    <row r="5495" ht="15" customHeight="1"/>
    <row r="5496" ht="15" customHeight="1"/>
    <row r="5497" ht="15" customHeight="1"/>
    <row r="5498" ht="15" customHeight="1"/>
    <row r="5499" ht="15" customHeight="1"/>
    <row r="5500" ht="15" customHeight="1"/>
    <row r="5501" ht="15" customHeight="1"/>
    <row r="5502" ht="15" customHeight="1"/>
    <row r="5503" ht="15" customHeight="1"/>
    <row r="5504" ht="15" customHeight="1"/>
    <row r="5505" ht="15" customHeight="1"/>
    <row r="5506" ht="15" customHeight="1"/>
    <row r="5507" ht="15" customHeight="1"/>
    <row r="5508" ht="15" customHeight="1"/>
    <row r="5509" ht="15" customHeight="1"/>
    <row r="5510" ht="15" customHeight="1"/>
    <row r="5511" ht="15" customHeight="1"/>
    <row r="5512" ht="15" customHeight="1"/>
    <row r="5513" ht="15" customHeight="1"/>
    <row r="5514" ht="15" customHeight="1"/>
    <row r="5515" ht="15" customHeight="1"/>
    <row r="5516" ht="15" customHeight="1"/>
    <row r="5517" ht="15" customHeight="1"/>
    <row r="5518" ht="15" customHeight="1"/>
    <row r="5519" ht="15" customHeight="1"/>
    <row r="5520" ht="15" customHeight="1"/>
    <row r="5521" ht="15" customHeight="1"/>
    <row r="5522" ht="15" customHeight="1"/>
    <row r="5523" ht="15" customHeight="1"/>
    <row r="5524" ht="15" customHeight="1"/>
    <row r="5525" ht="15" customHeight="1"/>
    <row r="5526" ht="15" customHeight="1"/>
    <row r="5527" ht="15" customHeight="1"/>
    <row r="5528" ht="15" customHeight="1"/>
    <row r="5529" ht="15" customHeight="1"/>
    <row r="5530" ht="15" customHeight="1"/>
    <row r="5531" ht="15" customHeight="1"/>
    <row r="5532" ht="15" customHeight="1"/>
    <row r="5533" ht="15" customHeight="1"/>
    <row r="5534" ht="15" customHeight="1"/>
    <row r="5535" ht="15" customHeight="1"/>
    <row r="5536" ht="15" customHeight="1"/>
    <row r="5537" ht="15" customHeight="1"/>
    <row r="5538" ht="15" customHeight="1"/>
    <row r="5539" ht="15" customHeight="1"/>
    <row r="5540" ht="15" customHeight="1"/>
    <row r="5541" ht="15" customHeight="1"/>
    <row r="5542" ht="15" customHeight="1"/>
    <row r="5543" ht="15" customHeight="1"/>
    <row r="5544" ht="15" customHeight="1"/>
    <row r="5545" ht="15" customHeight="1"/>
    <row r="5546" ht="15" customHeight="1"/>
    <row r="5547" ht="15" customHeight="1"/>
    <row r="5548" ht="15" customHeight="1"/>
    <row r="5549" ht="15" customHeight="1"/>
    <row r="5550" ht="15" customHeight="1"/>
    <row r="5551" ht="15" customHeight="1"/>
    <row r="5552" ht="15" customHeight="1"/>
    <row r="5553" ht="15" customHeight="1"/>
    <row r="5554" ht="15" customHeight="1"/>
    <row r="5555" ht="15" customHeight="1"/>
    <row r="5556" ht="20.1" customHeight="1"/>
    <row r="5557" ht="15" customHeight="1"/>
    <row r="5558" ht="15" customHeight="1"/>
    <row r="5559" ht="15" customHeight="1"/>
    <row r="5560" ht="15" customHeight="1"/>
    <row r="5561" ht="15" customHeight="1"/>
    <row r="5562" ht="15" customHeight="1"/>
    <row r="5563" ht="15" customHeight="1"/>
    <row r="5564" ht="15" customHeight="1"/>
    <row r="5565" ht="15" customHeight="1"/>
    <row r="5566" ht="15" customHeight="1"/>
    <row r="5567" ht="15" customHeight="1"/>
    <row r="5568" ht="15" customHeight="1"/>
    <row r="5569" ht="15" customHeight="1"/>
    <row r="5570" ht="15" customHeight="1"/>
    <row r="5571" ht="15" customHeight="1"/>
    <row r="5572" ht="15" customHeight="1"/>
    <row r="5573" ht="15" customHeight="1"/>
    <row r="5574" ht="15" customHeight="1"/>
    <row r="5575" ht="15" customHeight="1"/>
    <row r="5576" ht="15" customHeight="1"/>
    <row r="5577" ht="15" customHeight="1"/>
    <row r="5578" ht="15" customHeight="1"/>
    <row r="5579" ht="15" customHeight="1"/>
    <row r="5580" ht="15" customHeight="1"/>
    <row r="5581" ht="15" customHeight="1"/>
    <row r="5582" ht="15" customHeight="1"/>
    <row r="5583" ht="15" customHeight="1"/>
    <row r="5584" ht="15" customHeight="1"/>
    <row r="5585" ht="15" customHeight="1"/>
    <row r="5586" ht="15" customHeight="1"/>
    <row r="5587" ht="15" customHeight="1"/>
    <row r="5588" ht="15" customHeight="1"/>
    <row r="5589" ht="15" customHeight="1"/>
    <row r="5590" ht="15" customHeight="1"/>
    <row r="5591" ht="15" customHeight="1"/>
    <row r="5592" ht="15" customHeight="1"/>
    <row r="5593" ht="15" customHeight="1"/>
    <row r="5594" ht="15" customHeight="1"/>
    <row r="5595" ht="15" customHeight="1"/>
    <row r="5596" ht="15" customHeight="1"/>
    <row r="5597" ht="15" customHeight="1"/>
    <row r="5598" ht="15" customHeight="1"/>
    <row r="5599" ht="15" customHeight="1"/>
    <row r="5600" ht="15" customHeight="1"/>
    <row r="5601" ht="15" customHeight="1"/>
    <row r="5602" ht="15" customHeight="1"/>
    <row r="5603" ht="15" customHeight="1"/>
    <row r="5604" ht="15" customHeight="1"/>
    <row r="5605" ht="15" customHeight="1"/>
    <row r="5606" ht="15" customHeight="1"/>
    <row r="5607" ht="15" customHeight="1"/>
    <row r="5608" ht="15" customHeight="1"/>
    <row r="5609" ht="15" customHeight="1"/>
    <row r="5610" ht="15" customHeight="1"/>
    <row r="5611" ht="15" customHeight="1"/>
    <row r="5612" ht="15" customHeight="1"/>
    <row r="5613" ht="15" customHeight="1"/>
    <row r="5614" ht="15" customHeight="1"/>
    <row r="5615" ht="15" customHeight="1"/>
    <row r="5616" ht="15" customHeight="1"/>
    <row r="5617" ht="15" customHeight="1"/>
    <row r="5618" ht="15" customHeight="1"/>
    <row r="5619" ht="15" customHeight="1"/>
    <row r="5620" ht="15" customHeight="1"/>
    <row r="5621" ht="15" customHeight="1"/>
    <row r="5622" ht="15" customHeight="1"/>
    <row r="5623" ht="15" customHeight="1"/>
    <row r="5624" ht="15" customHeight="1"/>
    <row r="5625" ht="15" customHeight="1"/>
    <row r="5626" ht="15" customHeight="1"/>
    <row r="5627" ht="15" customHeight="1"/>
    <row r="5628" ht="15" customHeight="1"/>
    <row r="5629" ht="15" customHeight="1"/>
    <row r="5630" ht="15" customHeight="1"/>
    <row r="5631" ht="15" customHeight="1"/>
    <row r="5632" ht="15" customHeight="1"/>
    <row r="5633" ht="15" customHeight="1"/>
    <row r="5634" ht="15" customHeight="1"/>
    <row r="5635" ht="15" customHeight="1"/>
    <row r="5636" ht="15" customHeight="1"/>
    <row r="5637" ht="15" customHeight="1"/>
    <row r="5638" ht="15" customHeight="1"/>
    <row r="5639" ht="15" customHeight="1"/>
    <row r="5640" ht="15" customHeight="1"/>
    <row r="5641" ht="15" customHeight="1"/>
    <row r="5642" ht="15" customHeight="1"/>
    <row r="5643" ht="15" customHeight="1"/>
    <row r="5644" ht="15" customHeight="1"/>
    <row r="5645" ht="15" customHeight="1"/>
    <row r="5646" ht="15" customHeight="1"/>
    <row r="5647" ht="15" customHeight="1"/>
    <row r="5648" ht="15" customHeight="1"/>
    <row r="5649" ht="15" customHeight="1"/>
    <row r="5650" ht="15" customHeight="1"/>
    <row r="5651" ht="15" customHeight="1"/>
    <row r="5652" ht="15" customHeight="1"/>
    <row r="5653" ht="15" customHeight="1"/>
    <row r="5654" ht="15" customHeight="1"/>
    <row r="5655" ht="15" customHeight="1"/>
    <row r="5656" ht="15" customHeight="1"/>
    <row r="5657" ht="15" customHeight="1"/>
    <row r="5658" ht="15" customHeight="1"/>
    <row r="5659" ht="15" customHeight="1"/>
    <row r="5660" ht="15" customHeight="1"/>
    <row r="5661" ht="15" customHeight="1"/>
    <row r="5662" ht="15" customHeight="1"/>
    <row r="5663" ht="15" customHeight="1"/>
    <row r="5664" ht="15" customHeight="1"/>
    <row r="5665" ht="15" customHeight="1"/>
    <row r="5666" ht="15" customHeight="1"/>
    <row r="5667" ht="15" customHeight="1"/>
    <row r="5668" ht="15" customHeight="1"/>
    <row r="5669" ht="15" customHeight="1"/>
    <row r="5670" ht="15" customHeight="1"/>
    <row r="5671" ht="15" customHeight="1"/>
    <row r="5672" ht="15" customHeight="1"/>
    <row r="5673" ht="15" customHeight="1"/>
    <row r="5674" ht="15" customHeight="1"/>
    <row r="5675" ht="15" customHeight="1"/>
    <row r="5676" ht="15" customHeight="1"/>
    <row r="5677" ht="15" customHeight="1"/>
    <row r="5678" ht="15" customHeight="1"/>
    <row r="5679" ht="15" customHeight="1"/>
    <row r="5680" ht="15" customHeight="1"/>
    <row r="5681" ht="15" customHeight="1"/>
    <row r="5682" ht="15" customHeight="1"/>
    <row r="5683" ht="15" customHeight="1"/>
    <row r="5684" ht="15" customHeight="1"/>
    <row r="5685" ht="15" customHeight="1"/>
    <row r="5686" ht="15" customHeight="1"/>
    <row r="5687" ht="15" customHeight="1"/>
    <row r="5688" ht="15" customHeight="1"/>
    <row r="5689" ht="15" customHeight="1"/>
    <row r="5690" ht="15" customHeight="1"/>
    <row r="5691" ht="15" customHeight="1"/>
    <row r="5692" ht="15" customHeight="1"/>
    <row r="5693" ht="15" customHeight="1"/>
    <row r="5694" ht="15" customHeight="1"/>
    <row r="5695" ht="15" customHeight="1"/>
    <row r="5696" ht="15" customHeight="1"/>
    <row r="5697" ht="15" customHeight="1"/>
    <row r="5698" ht="15" customHeight="1"/>
    <row r="5699" ht="15" customHeight="1"/>
    <row r="5700" ht="15" customHeight="1"/>
    <row r="5701" ht="15" customHeight="1"/>
    <row r="5702" ht="15" customHeight="1"/>
    <row r="5703" ht="15" customHeight="1"/>
    <row r="5704" ht="15" customHeight="1"/>
    <row r="5705" ht="15" customHeight="1"/>
    <row r="5706" ht="15" customHeight="1"/>
    <row r="5707" ht="15" customHeight="1"/>
    <row r="5708" ht="15" customHeight="1"/>
    <row r="5709" ht="15" customHeight="1"/>
    <row r="5710" ht="15" customHeight="1"/>
    <row r="5711" ht="15" customHeight="1"/>
    <row r="5712" ht="15" customHeight="1"/>
    <row r="5713" ht="15" customHeight="1"/>
    <row r="5714" ht="15" customHeight="1"/>
    <row r="5715" ht="15" customHeight="1"/>
    <row r="5716" ht="15" customHeight="1"/>
    <row r="5717" ht="15" customHeight="1"/>
    <row r="5718" ht="15" customHeight="1"/>
    <row r="5719" ht="15" customHeight="1"/>
    <row r="5720" ht="15" customHeight="1"/>
    <row r="5721" ht="15" customHeight="1"/>
    <row r="5722" ht="15" customHeight="1"/>
    <row r="5723" ht="15" customHeight="1"/>
    <row r="5724" ht="15" customHeight="1"/>
    <row r="5725" ht="15" customHeight="1"/>
    <row r="5726" ht="15" customHeight="1"/>
    <row r="5727" ht="15" customHeight="1"/>
    <row r="5728" ht="15" customHeight="1"/>
    <row r="5729" ht="15" customHeight="1"/>
    <row r="5730" ht="15" customHeight="1"/>
    <row r="5731" ht="15" customHeight="1"/>
    <row r="5732" ht="15" customHeight="1"/>
    <row r="5733" ht="15" customHeight="1"/>
    <row r="5734" ht="15" customHeight="1"/>
    <row r="5735" ht="15" customHeight="1"/>
    <row r="5736" ht="15" customHeight="1"/>
    <row r="5737" ht="15" customHeight="1"/>
    <row r="5738" ht="15" customHeight="1"/>
    <row r="5739" ht="15" customHeight="1"/>
    <row r="5740" ht="15" customHeight="1"/>
    <row r="5741" ht="15" customHeight="1"/>
    <row r="5742" ht="15" customHeight="1"/>
    <row r="5743" ht="15" customHeight="1"/>
    <row r="5744" ht="15" customHeight="1"/>
    <row r="5745" ht="15" customHeight="1"/>
    <row r="5746" ht="15" customHeight="1"/>
    <row r="5747" ht="15" customHeight="1"/>
    <row r="5748" ht="15" customHeight="1"/>
    <row r="5749" ht="15" customHeight="1"/>
    <row r="5750" ht="15" customHeight="1"/>
    <row r="5751" ht="15" customHeight="1"/>
    <row r="5752" ht="15" customHeight="1"/>
    <row r="5753" ht="15" customHeight="1"/>
    <row r="5754" ht="15" customHeight="1"/>
    <row r="5755" ht="15" customHeight="1"/>
    <row r="5756" ht="15" customHeight="1"/>
    <row r="5757" ht="15" customHeight="1"/>
    <row r="5758" ht="15" customHeight="1"/>
    <row r="5759" ht="15" customHeight="1"/>
    <row r="5760" ht="15" customHeight="1"/>
    <row r="5761" ht="15" customHeight="1"/>
    <row r="5762" ht="15" customHeight="1"/>
    <row r="5763" ht="15" customHeight="1"/>
    <row r="5764" ht="15" customHeight="1"/>
    <row r="5765" ht="15" customHeight="1"/>
    <row r="5766" ht="15" customHeight="1"/>
    <row r="5767" ht="15" customHeight="1"/>
    <row r="5768" ht="15" customHeight="1"/>
    <row r="5769" ht="15" customHeight="1"/>
    <row r="5770" ht="15" customHeight="1"/>
    <row r="5771" ht="15" customHeight="1"/>
    <row r="5772" ht="15" customHeight="1"/>
    <row r="5773" ht="15" customHeight="1"/>
    <row r="5774" ht="15" customHeight="1"/>
    <row r="5775" ht="15" customHeight="1"/>
    <row r="5776" ht="15" customHeight="1"/>
    <row r="5777" ht="15" customHeight="1"/>
    <row r="5778" ht="15" customHeight="1"/>
    <row r="5779" ht="15" customHeight="1"/>
    <row r="5780" ht="15" customHeight="1"/>
    <row r="5781" ht="15" customHeight="1"/>
    <row r="5782" ht="15" customHeight="1"/>
    <row r="5783" ht="15" customHeight="1"/>
    <row r="5784" ht="20.1" customHeight="1"/>
    <row r="5785" ht="15" customHeight="1"/>
    <row r="5786" ht="15" customHeight="1"/>
    <row r="5787" ht="15" customHeight="1"/>
    <row r="5788" ht="15" customHeight="1"/>
    <row r="5789" ht="15" customHeight="1"/>
    <row r="5790" ht="15" customHeight="1"/>
    <row r="5791" ht="15" customHeight="1"/>
    <row r="5792" ht="15" customHeight="1"/>
    <row r="5793" ht="15" customHeight="1"/>
    <row r="5794" ht="15" customHeight="1"/>
    <row r="5795" ht="15" customHeight="1"/>
    <row r="5796" ht="15" customHeight="1"/>
    <row r="5797" ht="15" customHeight="1"/>
    <row r="5798" ht="15" customHeight="1"/>
    <row r="5799" ht="15" customHeight="1"/>
    <row r="5800" ht="15" customHeight="1"/>
    <row r="5801" ht="15" customHeight="1"/>
    <row r="5802" ht="15" customHeight="1"/>
    <row r="5803" ht="15" customHeight="1"/>
    <row r="5804" ht="15" customHeight="1"/>
    <row r="5805" ht="15" customHeight="1"/>
    <row r="5806" ht="15" customHeight="1"/>
    <row r="5807" ht="15" customHeight="1"/>
    <row r="5808" ht="15" customHeight="1"/>
    <row r="5809" ht="15" customHeight="1"/>
    <row r="5810" ht="15" customHeight="1"/>
    <row r="5811" ht="15" customHeight="1"/>
    <row r="5812" ht="15" customHeight="1"/>
    <row r="5813" ht="15" customHeight="1"/>
    <row r="5814" ht="15" customHeight="1"/>
    <row r="5815" ht="15" customHeight="1"/>
    <row r="5816" ht="15" customHeight="1"/>
    <row r="5817" ht="15" customHeight="1"/>
    <row r="5818" ht="15" customHeight="1"/>
    <row r="5819" ht="15" customHeight="1"/>
    <row r="5820" ht="20.1" customHeight="1"/>
    <row r="5821" ht="15" customHeight="1"/>
    <row r="5822" ht="15" customHeight="1"/>
    <row r="5823" ht="15" customHeight="1"/>
    <row r="5824" ht="15" customHeight="1"/>
    <row r="5825" ht="15" customHeight="1"/>
    <row r="5826" ht="15" customHeight="1"/>
    <row r="5827" ht="15" customHeight="1"/>
    <row r="5828" ht="15" customHeight="1"/>
    <row r="5829" ht="15" customHeight="1"/>
    <row r="5830" ht="15" customHeight="1"/>
    <row r="5831" ht="15" customHeight="1"/>
    <row r="5832" ht="15" customHeight="1"/>
    <row r="5833" ht="15" customHeight="1"/>
    <row r="5834" ht="15" customHeight="1"/>
    <row r="5835" ht="15" customHeight="1"/>
    <row r="5836" ht="15" customHeight="1"/>
    <row r="5837" ht="15" customHeight="1"/>
    <row r="5838" ht="15" customHeight="1"/>
    <row r="5839" ht="15" customHeight="1"/>
    <row r="5840" ht="15" customHeight="1"/>
    <row r="5841" ht="15" customHeight="1"/>
    <row r="5842" ht="15" customHeight="1"/>
    <row r="5843" ht="15" customHeight="1"/>
    <row r="5844" ht="15" customHeight="1"/>
    <row r="5845" ht="15" customHeight="1"/>
    <row r="5846" ht="15" customHeight="1"/>
    <row r="5847" ht="15" customHeight="1"/>
    <row r="5848" ht="15" customHeight="1"/>
    <row r="5849" ht="15" customHeight="1"/>
    <row r="5850" ht="15" customHeight="1"/>
    <row r="5851" ht="15" customHeight="1"/>
    <row r="5852" ht="15" customHeight="1"/>
    <row r="5853" ht="15" customHeight="1"/>
    <row r="5854" ht="15" customHeight="1"/>
    <row r="5855" ht="15" customHeight="1"/>
    <row r="5856" ht="15" customHeight="1"/>
    <row r="5857" ht="15" customHeight="1"/>
    <row r="5858" ht="15" customHeight="1"/>
    <row r="5859" ht="15" customHeight="1"/>
    <row r="5860" ht="15" customHeight="1"/>
    <row r="5861" ht="15" customHeight="1"/>
    <row r="5862" ht="15" customHeight="1"/>
    <row r="5863" ht="15" customHeight="1"/>
    <row r="5864" ht="15" customHeight="1"/>
    <row r="5865" ht="15" customHeight="1"/>
    <row r="5866" ht="15" customHeight="1"/>
    <row r="5867" ht="15" customHeight="1"/>
    <row r="5868" ht="15" customHeight="1"/>
    <row r="5869" ht="15" customHeight="1"/>
    <row r="5870" ht="15" customHeight="1"/>
    <row r="5871" ht="15" customHeight="1"/>
    <row r="5872" ht="15" customHeight="1"/>
    <row r="5873" ht="15" customHeight="1"/>
    <row r="5874" ht="15" customHeight="1"/>
    <row r="5875" ht="15" customHeight="1"/>
    <row r="5876" ht="15" customHeight="1"/>
    <row r="5877" ht="15" customHeight="1"/>
    <row r="5878" ht="15" customHeight="1"/>
    <row r="5879" ht="15" customHeight="1"/>
    <row r="5880" ht="15" customHeight="1"/>
    <row r="5881" ht="15" customHeight="1"/>
    <row r="5882" ht="15" customHeight="1"/>
    <row r="5883" ht="15" customHeight="1"/>
    <row r="5884" ht="15" customHeight="1"/>
    <row r="5885" ht="15" customHeight="1"/>
    <row r="5886" ht="15" customHeight="1"/>
    <row r="5887" ht="15" customHeight="1"/>
    <row r="5888" ht="15" customHeight="1"/>
    <row r="5889" ht="15" customHeight="1"/>
    <row r="5890" ht="15" customHeight="1"/>
    <row r="5891" ht="15" customHeight="1"/>
    <row r="5892" ht="15" customHeight="1"/>
    <row r="5893" ht="15" customHeight="1"/>
    <row r="5894" ht="15" customHeight="1"/>
    <row r="5895" ht="15" customHeight="1"/>
    <row r="5896" ht="15" customHeight="1"/>
    <row r="5897" ht="15" customHeight="1"/>
    <row r="5898" ht="15" customHeight="1"/>
    <row r="5899" ht="15" customHeight="1"/>
    <row r="5900" ht="15" customHeight="1"/>
    <row r="5901" ht="15" customHeight="1"/>
    <row r="5902" ht="15" customHeight="1"/>
    <row r="5903" ht="15" customHeight="1"/>
    <row r="5904" ht="15" customHeight="1"/>
    <row r="5905" ht="15" customHeight="1"/>
    <row r="5906" ht="15" customHeight="1"/>
    <row r="5907" ht="15" customHeight="1"/>
    <row r="5908" ht="15" customHeight="1"/>
    <row r="5909" ht="15" customHeight="1"/>
    <row r="5910" ht="15" customHeight="1"/>
    <row r="5911" ht="15" customHeight="1"/>
    <row r="5912" ht="15" customHeight="1"/>
    <row r="5913" ht="15" customHeight="1"/>
    <row r="5914" ht="15" customHeight="1"/>
    <row r="5915" ht="15" customHeight="1"/>
    <row r="5916" ht="15" customHeight="1"/>
    <row r="5917" ht="15" customHeight="1"/>
    <row r="5918" ht="15" customHeight="1"/>
    <row r="5919" ht="15" customHeight="1"/>
    <row r="5920" ht="15" customHeight="1"/>
    <row r="5921" ht="15" customHeight="1"/>
    <row r="5922" ht="15" customHeight="1"/>
    <row r="5923" ht="15" customHeight="1"/>
    <row r="5924" ht="15" customHeight="1"/>
    <row r="5925" ht="15" customHeight="1"/>
    <row r="5926" ht="15" customHeight="1"/>
    <row r="5927" ht="15" customHeight="1"/>
    <row r="5928" ht="15" customHeight="1"/>
    <row r="5929" ht="15" customHeight="1"/>
    <row r="5930" ht="15" customHeight="1"/>
    <row r="5931" ht="15" customHeight="1"/>
    <row r="5932" ht="15" customHeight="1"/>
    <row r="5933" ht="15" customHeight="1"/>
    <row r="5934" ht="15" customHeight="1"/>
    <row r="5935" ht="15" customHeight="1"/>
    <row r="5936" ht="15" customHeight="1"/>
    <row r="5937" ht="15" customHeight="1"/>
    <row r="5938" ht="15" customHeight="1"/>
    <row r="5939" ht="15" customHeight="1"/>
    <row r="5940" ht="15" customHeight="1"/>
    <row r="5941" ht="15" customHeight="1"/>
    <row r="5942" ht="15" customHeight="1"/>
    <row r="5943" ht="15" customHeight="1"/>
    <row r="5944" ht="15" customHeight="1"/>
    <row r="5945" ht="15" customHeight="1"/>
    <row r="5946" ht="15" customHeight="1"/>
    <row r="5947" ht="15" customHeight="1"/>
    <row r="5948" ht="15" customHeight="1"/>
    <row r="5949" ht="15" customHeight="1"/>
    <row r="5950" ht="15" customHeight="1"/>
    <row r="5951" ht="15" customHeight="1"/>
    <row r="5952" ht="15" customHeight="1"/>
    <row r="5953" ht="15" customHeight="1"/>
    <row r="5954" ht="15" customHeight="1"/>
    <row r="5955" ht="15" customHeight="1"/>
    <row r="5956" ht="15" customHeight="1"/>
    <row r="5957" ht="15" customHeight="1"/>
    <row r="5958" ht="15" customHeight="1"/>
    <row r="5959" ht="15" customHeight="1"/>
    <row r="5960" ht="15" customHeight="1"/>
    <row r="5961" ht="15" customHeight="1"/>
    <row r="5962" ht="15" customHeight="1"/>
    <row r="5963" ht="15" customHeight="1"/>
    <row r="5964" ht="15" customHeight="1"/>
    <row r="5965" ht="15" customHeight="1"/>
    <row r="5966" ht="15" customHeight="1"/>
    <row r="5967" ht="15" customHeight="1"/>
    <row r="5968" ht="15" customHeight="1"/>
    <row r="5969" ht="15" customHeight="1"/>
    <row r="5970" ht="15" customHeight="1"/>
    <row r="5971" ht="15" customHeight="1"/>
    <row r="5972" ht="15" customHeight="1"/>
    <row r="5973" ht="15" customHeight="1"/>
    <row r="5974" ht="15" customHeight="1"/>
    <row r="5975" ht="15" customHeight="1"/>
    <row r="5976" ht="15" customHeight="1"/>
    <row r="5977" ht="14.65" customHeight="1"/>
    <row r="5978" ht="14.65" customHeight="1"/>
    <row r="5979" ht="14.65" customHeight="1"/>
    <row r="5980" ht="14.65" customHeight="1"/>
    <row r="5981" ht="14.65" customHeight="1"/>
    <row r="5982" ht="14.65" customHeight="1"/>
    <row r="5983" ht="14.65" customHeight="1"/>
    <row r="5984" ht="14.65" customHeight="1"/>
    <row r="5985" ht="14.65" customHeight="1"/>
    <row r="5986" ht="14.65" customHeight="1"/>
    <row r="5987" ht="14.65" customHeight="1"/>
    <row r="5988" ht="14.65" customHeight="1"/>
    <row r="5989" ht="14.65" customHeight="1"/>
    <row r="5990" ht="14.65" customHeight="1"/>
    <row r="5991" ht="14.65" customHeight="1"/>
    <row r="5992" ht="14.65" customHeight="1"/>
    <row r="5993" ht="19.9" customHeight="1"/>
    <row r="5994" ht="14.65" customHeight="1"/>
    <row r="5995" ht="14.65" customHeight="1"/>
    <row r="5996" ht="14.65" customHeight="1"/>
    <row r="5997" ht="14.65" customHeight="1"/>
    <row r="5998" ht="14.65" customHeight="1"/>
    <row r="5999" ht="14.65" customHeight="1"/>
    <row r="6000" ht="14.65" customHeight="1"/>
    <row r="6001" ht="14.65" customHeight="1"/>
    <row r="6002" ht="14.65" customHeight="1"/>
    <row r="6003" ht="14.65" customHeight="1"/>
    <row r="6004" ht="14.65" customHeight="1"/>
    <row r="6005" ht="14.65" customHeight="1"/>
    <row r="6006" ht="14.65" customHeight="1"/>
    <row r="6007" ht="14.65" customHeight="1"/>
    <row r="6008" ht="14.65" customHeight="1"/>
    <row r="6009" ht="14.65" customHeight="1"/>
    <row r="6010" ht="14.65" customHeight="1"/>
    <row r="6011" ht="14.65" customHeight="1"/>
    <row r="6012" ht="14.65" customHeight="1"/>
    <row r="6013" ht="14.65" customHeight="1"/>
    <row r="6014" ht="14.65" customHeight="1"/>
    <row r="6015" ht="14.65" customHeight="1"/>
    <row r="6016" ht="14.65" customHeight="1"/>
    <row r="6017" ht="14.65" customHeight="1"/>
    <row r="6018" ht="14.65" customHeight="1"/>
    <row r="6019" ht="14.65" customHeight="1"/>
    <row r="6020" ht="14.65" customHeight="1"/>
    <row r="6021" ht="14.65" customHeight="1"/>
    <row r="6022" ht="14.65" customHeight="1"/>
    <row r="6023" ht="14.65" customHeight="1"/>
    <row r="6024" ht="14.65" customHeight="1"/>
    <row r="6025" ht="14.65" customHeight="1"/>
    <row r="6026" ht="14.65" customHeight="1"/>
    <row r="6027" ht="14.65" customHeight="1"/>
    <row r="6028" ht="14.65" customHeight="1"/>
    <row r="6029" ht="14.65" customHeight="1"/>
    <row r="6030" ht="14.65" customHeight="1"/>
    <row r="6031" ht="14.65" customHeight="1"/>
    <row r="6032" ht="14.65" customHeight="1"/>
    <row r="6033" ht="14.65" customHeight="1"/>
    <row r="6034" ht="14.65" customHeight="1"/>
    <row r="6035" ht="14.65" customHeight="1"/>
    <row r="6036" ht="14.65" customHeight="1"/>
    <row r="6037" ht="14.65" customHeight="1"/>
    <row r="6038" ht="14.65" customHeight="1"/>
    <row r="6039" ht="14.65" customHeight="1"/>
    <row r="6040" ht="14.65" customHeight="1"/>
    <row r="6041" ht="14.65" customHeight="1"/>
    <row r="6042" ht="14.65" customHeight="1"/>
    <row r="6043" ht="14.65" customHeight="1"/>
    <row r="6044" ht="14.65" customHeight="1"/>
    <row r="6045" ht="14.65" customHeight="1"/>
    <row r="6046" ht="14.65" customHeight="1"/>
    <row r="6047" ht="14.65" customHeight="1"/>
    <row r="6048" ht="14.65" customHeight="1"/>
    <row r="6049" ht="14.65" customHeight="1"/>
    <row r="6050" ht="14.65" customHeight="1"/>
    <row r="6051" ht="14.65" customHeight="1"/>
    <row r="6052" ht="14.65" customHeight="1"/>
    <row r="6053" ht="14.65" customHeight="1"/>
    <row r="6054" ht="14.65" customHeight="1"/>
    <row r="6055" ht="14.65" customHeight="1"/>
    <row r="6056" ht="14.65" customHeight="1"/>
    <row r="6057" ht="14.65" customHeight="1"/>
    <row r="6058" ht="14.65" customHeight="1"/>
    <row r="6059" ht="14.65" customHeight="1"/>
    <row r="6060" ht="14.65" customHeight="1"/>
    <row r="6061" ht="14.65" customHeight="1"/>
    <row r="6062" ht="14.65" customHeight="1"/>
    <row r="6063" ht="14.65" customHeight="1"/>
    <row r="6064" ht="14.65" customHeight="1"/>
    <row r="6065" ht="14.65" customHeight="1"/>
    <row r="6066" ht="14.65" customHeight="1"/>
    <row r="6067" ht="14.65" customHeight="1"/>
    <row r="6068" ht="14.65" customHeight="1"/>
    <row r="6069" ht="14.65" customHeight="1"/>
    <row r="6070" ht="14.65" customHeight="1"/>
    <row r="6071" ht="14.65" customHeight="1"/>
    <row r="6072" ht="14.65" customHeight="1"/>
    <row r="6073" ht="14.65" customHeight="1"/>
    <row r="6074" ht="14.65" customHeight="1"/>
    <row r="6075" ht="14.65" customHeight="1"/>
    <row r="6076" ht="14.65" customHeight="1"/>
    <row r="6077" ht="14.65" customHeight="1"/>
    <row r="6078" ht="14.65" customHeight="1"/>
    <row r="6079" ht="14.65" customHeight="1"/>
    <row r="6080" ht="14.65" customHeight="1"/>
    <row r="6081" ht="14.65" customHeight="1"/>
    <row r="6082" ht="14.65" customHeight="1"/>
    <row r="6083" ht="14.65" customHeight="1"/>
    <row r="6084" ht="14.65" customHeight="1"/>
    <row r="6085" ht="14.65" customHeight="1"/>
    <row r="6086" ht="14.65" customHeight="1"/>
    <row r="6087" ht="14.65" customHeight="1"/>
    <row r="6088" ht="14.65" customHeight="1"/>
    <row r="6089" ht="14.65" customHeight="1"/>
    <row r="6090" ht="14.65" customHeight="1"/>
    <row r="6091" ht="15" customHeight="1"/>
    <row r="6092" ht="15" customHeight="1"/>
    <row r="6093" ht="15" customHeight="1"/>
  </sheetData>
  <sheetProtection selectLockedCells="1" selectUnlockedCells="1" algorithmName="SHA-512" sheet="1" objects="1" insertRows="1" insertHyperlinks="1" autoFilter="1" scenarios="1" formatColumns="1" deleteColumns="1" insertColumns="1" pivotTables="1" deleteRows="1" formatCells="1" saltValue="NuClnuUPmqQwsI0JViSWsg==" formatRows="1" sort="1" spinCount="100000" hashValue="7poG9JB/bbzBrrzzywpi41CmISfsIeAjNDG45QQzMpI3qmzQ58ylwFQAReJY3+iXAIXZAmOA0mHz/4GdkjRYvA=="/>
  <mergeCells count="1">
    <mergeCell ref="A1:I1"/>
  </mergeCells>
  <pageMargins left="0.25" right="0.25" top="0.75" bottom="0.75" header="0.3" footer="0.3"/>
  <pageSetup orientation="landscape" paperSize="9" fitToHeight="0"/>
</worksheet>
</file>

<file path=xl/worksheets/sheet6.xml><?xml version="1.0" encoding="utf-8"?>
<worksheet xmlns="http://schemas.openxmlformats.org/spreadsheetml/2006/main">
  <sheetPr codeName="Sheet105">
    <tabColor theme="3" tint="0.7999816888943144"/>
    <outlinePr summaryBelow="1" summaryRight="1"/>
    <pageSetUpPr fitToPage="1"/>
  </sheetPr>
  <dimension ref="A1:D5"/>
  <sheetViews>
    <sheetView zoomScale="80" zoomScaleNormal="80" workbookViewId="0">
      <selection activeCell="B3" sqref="B3"/>
    </sheetView>
  </sheetViews>
  <sheetFormatPr baseColWidth="8" defaultColWidth="9.28515625" defaultRowHeight="14.45"/>
  <cols>
    <col width="44.7109375" customWidth="1" style="17" min="1" max="1"/>
    <col width="28.7109375" customWidth="1" style="17" min="2" max="2"/>
    <col width="12.7109375" customWidth="1" style="17" min="3" max="3"/>
    <col width="9.7109375" customWidth="1" style="17" min="4" max="4"/>
    <col width="9.28515625" customWidth="1" style="17" min="5" max="16384"/>
  </cols>
  <sheetData>
    <row r="1" ht="50.25" customHeight="1" thickBot="1">
      <c r="A1" s="295" t="inlineStr">
        <is>
          <t>TOTAL PERSON-MONTHS</t>
        </is>
      </c>
      <c r="B1" s="328" t="n"/>
      <c r="C1" s="328" t="n"/>
      <c r="D1" s="328" t="n"/>
    </row>
    <row r="2" ht="59.1" customFormat="1" customHeight="1" s="166">
      <c r="A2" s="162" t="inlineStr">
        <is>
          <t>BENEFICIARIES \ WORK PACKAGES</t>
        </is>
      </c>
      <c r="B2" s="329" t="inlineStr">
        <is>
          <t>WP1</t>
        </is>
      </c>
      <c r="C2" s="330" t="inlineStr">
        <is>
          <t>Total</t>
        </is>
      </c>
      <c r="D2" s="164" t="inlineStr">
        <is>
          <t>Pct %</t>
        </is>
      </c>
    </row>
    <row r="3">
      <c r="A3" s="95" t="inlineStr">
        <is>
          <t>BEx: BEx name</t>
        </is>
      </c>
      <c r="B3" s="331" t="n"/>
      <c r="C3" s="332">
        <f>SUM(B3:B3)</f>
        <v/>
      </c>
      <c r="D3" s="144">
        <f>IF(C$4&gt;0,C3/C$4," ")</f>
        <v/>
      </c>
    </row>
    <row r="4">
      <c r="A4" s="96" t="inlineStr">
        <is>
          <t xml:space="preserve">Total: </t>
        </is>
      </c>
      <c r="B4" s="333" t="n"/>
      <c r="C4" s="334">
        <f>SUM(C3:C3)</f>
        <v/>
      </c>
      <c r="D4" s="144">
        <f>IF(C$4&gt;0,C4/C$4," ")</f>
        <v/>
      </c>
    </row>
    <row r="5">
      <c r="A5" s="72" t="inlineStr">
        <is>
          <t xml:space="preserve">Percentage: </t>
        </is>
      </c>
      <c r="B5" s="144">
        <f>IF($C4&gt;0,B4/$C4," ")</f>
        <v/>
      </c>
      <c r="C5" s="144">
        <f>IF($C4&gt;0,C4/$C4," ")</f>
        <v/>
      </c>
      <c r="D5" s="97" t="n"/>
    </row>
  </sheetData>
  <sheetProtection selectLockedCells="0" selectUnlockedCells="0" algorithmName="SHA-512" sheet="1" objects="1" insertRows="1" insertHyperlinks="1" autoFilter="1" scenarios="1" formatColumns="1" deleteColumns="1" insertColumns="1" pivotTables="1" deleteRows="1" formatCells="1" saltValue="dOoMULtTLtqznbMY0rhplg==" formatRows="1" sort="1" spinCount="100000" hashValue="1yGtrfH4NEA2fICc9d5hMh9VJbDlCYAL3fO30uwbSz97D4cosa4VFjZjM9iFGydcVPnnP2QVh4M2Xg4bOV1t1w=="/>
  <mergeCells count="1">
    <mergeCell ref="A1:D1"/>
  </mergeCells>
  <pageMargins left="0.7086614173228347" right="0.7086614173228347" top="0.7480314960629921" bottom="0.7480314960629921" header="0.3149606299212598" footer="0.3149606299212598"/>
  <pageSetup orientation="landscape" paperSize="9"/>
</worksheet>
</file>

<file path=xl/worksheets/sheet7.xml><?xml version="1.0" encoding="utf-8"?>
<worksheet xmlns="http://schemas.openxmlformats.org/spreadsheetml/2006/main">
  <sheetPr codeName="Sheet106">
    <tabColor theme="3" tint="0.7999816888943144"/>
    <outlinePr summaryBelow="1" summaryRight="1"/>
    <pageSetUpPr fitToPage="1"/>
  </sheetPr>
  <dimension ref="A1:I8"/>
  <sheetViews>
    <sheetView topLeftCell="B1" zoomScale="80" zoomScaleNormal="80" workbookViewId="0">
      <pane ySplit="2" topLeftCell="A3" activePane="bottomLeft" state="frozenSplit"/>
      <selection pane="bottomLeft" activeCell="A1" sqref="A1:I1"/>
      <selection activeCell="B7" sqref="B7"/>
    </sheetView>
  </sheetViews>
  <sheetFormatPr baseColWidth="8" defaultColWidth="8.7109375" defaultRowHeight="14.45"/>
  <cols>
    <col width="44.7109375" customWidth="1" min="1" max="1"/>
    <col width="28.7109375" customWidth="1" min="2" max="7"/>
    <col width="12.7109375" customWidth="1" min="8" max="8"/>
    <col width="9.7109375" customWidth="1" min="9" max="9"/>
    <col width="28.7109375" customWidth="1" min="10" max="12"/>
    <col width="12.7109375" customWidth="1" min="13" max="13"/>
    <col width="9.7109375" customWidth="1" min="14" max="14"/>
    <col width="28.7109375" customWidth="1" min="15" max="25"/>
    <col width="12.7109375" customWidth="1" min="26" max="26"/>
    <col width="9.7109375" customWidth="1" min="27" max="27"/>
    <col width="28.7109375" customWidth="1" min="28" max="38"/>
    <col width="12.7109375" customWidth="1" min="39" max="39"/>
    <col width="9.7109375" customWidth="1" min="40" max="40"/>
    <col width="28.7109375" customWidth="1" min="41" max="51"/>
    <col width="12.7109375" customWidth="1" min="52" max="52"/>
    <col width="9.7109375" customWidth="1" min="53" max="53"/>
    <col width="28.7109375" customWidth="1" min="54" max="64"/>
    <col width="12.7109375" customWidth="1" min="65" max="65"/>
    <col width="9.7109375" customWidth="1" min="66" max="66"/>
    <col width="28.7109375" customWidth="1" min="67" max="77"/>
    <col width="12.7109375" customWidth="1" min="78" max="78"/>
    <col width="9.7109375" customWidth="1" min="79" max="79"/>
    <col width="28.7109375" customWidth="1" min="80" max="90"/>
    <col width="12.7109375" customWidth="1" min="91" max="91"/>
    <col width="9.7109375" customWidth="1" min="92" max="92"/>
    <col width="28.7109375" customWidth="1" min="93" max="103"/>
    <col width="12.7109375" customWidth="1" min="104" max="104"/>
    <col width="9.7109375" customWidth="1" min="105" max="105"/>
    <col width="28.7109375" customWidth="1" min="106" max="116"/>
    <col width="12.7109375" customWidth="1" min="117" max="117"/>
    <col width="9.7109375" customWidth="1" min="118" max="118"/>
    <col width="28.7109375" customWidth="1" min="119" max="129"/>
    <col width="12.7109375" customWidth="1" min="130" max="130"/>
    <col width="9.7109375" customWidth="1" min="131" max="131"/>
    <col width="28.7109375" customWidth="1" min="132" max="142"/>
    <col width="12.7109375" customWidth="1" min="143" max="143"/>
    <col width="9.7109375" customWidth="1" min="144" max="144"/>
    <col width="28.7109375" customWidth="1" min="145" max="156"/>
    <col width="12.7109375" customWidth="1" min="157" max="157"/>
    <col width="9.7109375" customWidth="1" min="158" max="158"/>
    <col width="28.7109375" customWidth="1" min="159" max="170"/>
    <col width="12.7109375" customWidth="1" min="171" max="171"/>
    <col width="9.7109375" customWidth="1" min="172" max="172"/>
    <col width="28.7109375" customWidth="1" min="173" max="184"/>
    <col width="12.7109375" customWidth="1" min="185" max="185"/>
    <col width="9.7109375" customWidth="1" min="186" max="186"/>
    <col width="28.7109375" customWidth="1" min="187" max="198"/>
    <col width="12.7109375" customWidth="1" min="199" max="199"/>
    <col width="9.7109375" customWidth="1" min="200" max="200"/>
    <col width="28.7109375" customWidth="1" min="201" max="212"/>
    <col width="12.7109375" customWidth="1" min="213" max="213"/>
    <col width="9.7109375" customWidth="1" min="214" max="214"/>
    <col width="28.7109375" customWidth="1" min="215" max="226"/>
    <col width="12.7109375" customWidth="1" min="227" max="227"/>
    <col width="9.7109375" customWidth="1" min="228" max="228"/>
    <col width="28.7109375" customWidth="1" min="229" max="236"/>
    <col width="12.7109375" customWidth="1" min="237" max="237"/>
    <col width="9.7109375" customWidth="1" min="238" max="238"/>
    <col width="28.7109375" customWidth="1" min="239" max="244"/>
    <col width="12.7109375" customWidth="1" min="245" max="245"/>
    <col width="9.7109375" customWidth="1" min="246" max="246"/>
    <col width="28.7109375" customWidth="1" min="247" max="248"/>
    <col width="12.7109375" customWidth="1" min="249" max="249"/>
    <col width="9.7109375" customWidth="1" min="250" max="250"/>
    <col width="28.7109375" customWidth="1" min="251" max="252"/>
    <col width="12.7109375" customWidth="1" min="253" max="253"/>
    <col width="9.7109375" customWidth="1" min="254" max="255"/>
    <col width="28.7109375" customWidth="1" min="256" max="258"/>
    <col width="12.7109375" customWidth="1" min="259" max="259"/>
    <col width="9.7109375" customWidth="1" min="260" max="260"/>
    <col width="28.7109375" customWidth="1" min="261" max="263"/>
    <col width="12.7109375" customWidth="1" min="264" max="264"/>
    <col width="9.7109375" customWidth="1" min="265" max="265"/>
    <col width="28.7109375" customWidth="1" min="266" max="268"/>
    <col width="12.7109375" customWidth="1" min="269" max="269"/>
    <col width="9.7109375" customWidth="1" min="270" max="270"/>
    <col width="28.7109375" customWidth="1" min="271" max="273"/>
    <col width="12.7109375" customWidth="1" min="274" max="274"/>
    <col width="9.7109375" customWidth="1" min="275" max="275"/>
    <col width="28.7109375" customWidth="1" min="276" max="278"/>
    <col width="12.7109375" customWidth="1" min="279" max="279"/>
    <col width="9.7109375" customWidth="1" min="280" max="280"/>
    <col width="28.7109375" customWidth="1" min="281" max="283"/>
    <col width="12.7109375" customWidth="1" min="284" max="284"/>
    <col width="9.7109375" customWidth="1" min="285" max="285"/>
    <col width="28.7109375" customWidth="1" min="286" max="288"/>
    <col width="12.7109375" customWidth="1" min="289" max="289"/>
    <col width="9.7109375" customWidth="1" min="290" max="290"/>
    <col width="28.7109375" customWidth="1" min="291" max="293"/>
    <col width="12.7109375" customWidth="1" min="294" max="294"/>
    <col width="9.7109375" customWidth="1" min="295" max="295"/>
    <col width="28.7109375" customWidth="1" min="296" max="298"/>
    <col width="12.7109375" customWidth="1" min="299" max="299"/>
    <col width="9.7109375" customWidth="1" min="300" max="300"/>
    <col width="28.7109375" customWidth="1" min="301" max="303"/>
    <col width="12.7109375" customWidth="1" min="304" max="304"/>
    <col width="9.7109375" customWidth="1" min="305" max="305"/>
    <col width="28.7109375" customWidth="1" min="306" max="307"/>
    <col width="12.7109375" customWidth="1" min="308" max="308"/>
    <col width="9.7109375" customWidth="1" min="309" max="309"/>
    <col width="28.7109375" customWidth="1" min="310" max="311"/>
    <col width="12.7109375" customWidth="1" min="312" max="312"/>
    <col width="9.7109375" customWidth="1" min="313" max="313"/>
    <col width="28.7109375" customWidth="1" min="314" max="315"/>
    <col width="12.7109375" customWidth="1" min="316" max="316"/>
    <col width="9.7109375" customWidth="1" min="317" max="317"/>
    <col width="28.7109375" customWidth="1" min="318" max="320"/>
    <col width="12.7109375" customWidth="1" min="321" max="321"/>
    <col width="9.7109375" customWidth="1" min="322" max="322"/>
    <col width="28.7109375" customWidth="1" min="323" max="325"/>
    <col width="12.7109375" customWidth="1" min="326" max="326"/>
    <col width="9.7109375" customWidth="1" min="327" max="327"/>
    <col width="28.7109375" customWidth="1" min="328" max="330"/>
    <col width="12.7109375" customWidth="1" min="331" max="331"/>
    <col width="9.7109375" customWidth="1" min="332" max="332"/>
    <col width="28.7109375" customWidth="1" min="333" max="334"/>
    <col width="12.7109375" customWidth="1" min="335" max="335"/>
    <col width="9.7109375" customWidth="1" min="336" max="336"/>
    <col width="28.7109375" customWidth="1" min="337" max="338"/>
    <col width="12.7109375" customWidth="1" min="339" max="339"/>
    <col width="9.7109375" customWidth="1" min="340" max="340"/>
    <col width="28.7109375" customWidth="1" min="341" max="343"/>
    <col width="12.7109375" customWidth="1" min="344" max="344"/>
    <col width="9.7109375" customWidth="1" min="345" max="345"/>
    <col width="28.7109375" customWidth="1" min="346" max="348"/>
    <col width="12.7109375" customWidth="1" min="349" max="349"/>
    <col width="9.7109375" customWidth="1" min="350" max="350"/>
    <col width="28.7109375" customWidth="1" min="351" max="353"/>
    <col width="12.7109375" customWidth="1" min="354" max="354"/>
    <col width="9.7109375" customWidth="1" min="355" max="355"/>
    <col width="28.7109375" customWidth="1" min="356" max="357"/>
    <col width="12.7109375" customWidth="1" min="358" max="358"/>
    <col width="9.7109375" customWidth="1" min="359" max="359"/>
    <col width="28.7109375" customWidth="1" min="360" max="361"/>
    <col width="12.7109375" customWidth="1" min="362" max="362"/>
    <col width="9.7109375" customWidth="1" min="363" max="363"/>
    <col width="28.7109375" customWidth="1" min="364" max="365"/>
    <col width="12.7109375" customWidth="1" min="366" max="366"/>
    <col width="9.7109375" customWidth="1" min="367" max="367"/>
    <col width="28.7109375" customWidth="1" min="368" max="369"/>
    <col width="12.7109375" customWidth="1" min="370" max="370"/>
    <col width="9.7109375" customWidth="1" min="371" max="371"/>
    <col width="28.7109375" customWidth="1" min="372" max="376"/>
    <col width="12.7109375" customWidth="1" min="377" max="377"/>
    <col width="9.7109375" customWidth="1" min="378" max="378"/>
    <col width="28.7109375" customWidth="1" min="379" max="382"/>
    <col width="12.7109375" customWidth="1" min="383" max="383"/>
    <col width="9.7109375" customWidth="1" min="384" max="384"/>
    <col width="28.7109375" customWidth="1" min="385" max="387"/>
    <col width="12.7109375" customWidth="1" min="388" max="388"/>
    <col width="9.7109375" customWidth="1" min="389" max="389"/>
    <col width="28.7109375" customWidth="1" min="390" max="392"/>
    <col width="12.7109375" customWidth="1" min="393" max="393"/>
    <col width="9.7109375" customWidth="1" min="394" max="394"/>
    <col width="28.7109375" customWidth="1" min="395" max="395"/>
    <col width="12.7109375" customWidth="1" min="396" max="396"/>
    <col width="9.7109375" customWidth="1" min="397" max="397"/>
    <col width="28.7109375" customWidth="1" min="398" max="400"/>
    <col width="12.7109375" customWidth="1" min="401" max="401"/>
    <col width="9.7109375" customWidth="1" min="402" max="402"/>
    <col width="28.7109375" customWidth="1" min="403" max="404"/>
    <col width="12.7109375" customWidth="1" min="405" max="405"/>
    <col width="9.7109375" customWidth="1" min="406" max="406"/>
    <col width="28.7109375" customWidth="1" min="407" max="408"/>
    <col width="12.7109375" customWidth="1" min="409" max="409"/>
    <col width="9.7109375" customWidth="1" min="410" max="410"/>
    <col width="28.7109375" customWidth="1" min="411" max="412"/>
    <col width="12.7109375" customWidth="1" min="413" max="413"/>
    <col width="9.7109375" customWidth="1" min="414" max="414"/>
    <col width="28.7109375" customWidth="1" min="415" max="415"/>
    <col width="12.7109375" customWidth="1" min="416" max="416"/>
    <col width="9.7109375" customWidth="1" min="417" max="419"/>
    <col width="28.7109375" customWidth="1" min="420" max="420"/>
    <col width="12.7109375" customWidth="1" min="421" max="421"/>
    <col width="9.7109375" customWidth="1" min="422" max="423"/>
    <col width="28.7109375" customWidth="1" min="424" max="425"/>
    <col width="12.7109375" customWidth="1" min="426" max="426"/>
    <col width="9.7109375" customWidth="1" min="427" max="427"/>
    <col width="28.7109375" customWidth="1" min="428" max="428"/>
    <col width="12.7109375" customWidth="1" min="429" max="429"/>
    <col width="9.7109375" customWidth="1" min="430" max="430"/>
    <col width="28.7109375" customWidth="1" min="431" max="431"/>
    <col width="12.7109375" customWidth="1" min="432" max="432"/>
    <col width="9.7109375" customWidth="1" min="433" max="433"/>
    <col width="12.7109375" customWidth="1" min="434" max="434"/>
    <col width="9.7109375" customWidth="1" min="435" max="436"/>
    <col width="12.7109375" customWidth="1" min="437" max="437"/>
    <col width="9.7109375" customWidth="1" min="438" max="438"/>
    <col width="12.7109375" customWidth="1" min="439" max="439"/>
    <col width="9.7109375" customWidth="1" min="440" max="440"/>
    <col width="12.7109375" customWidth="1" min="441" max="441"/>
    <col width="9.7109375" customWidth="1" min="442" max="443"/>
    <col width="12.7109375" customWidth="1" min="444" max="444"/>
    <col width="9.7109375" customWidth="1" min="445" max="445"/>
    <col width="12.7109375" customWidth="1" min="446" max="446"/>
    <col width="9.7109375" customWidth="1" min="447" max="447"/>
    <col width="12.7109375" customWidth="1" min="448" max="448"/>
    <col width="9.7109375" customWidth="1" min="449" max="449"/>
    <col width="12.7109375" customWidth="1" min="450" max="450"/>
    <col width="9.7109375" customWidth="1" min="451" max="451"/>
    <col width="12.7109375" customWidth="1" min="452" max="452"/>
    <col width="9.7109375" customWidth="1" min="453" max="453"/>
    <col width="28.7109375" customWidth="1" min="454" max="454"/>
    <col width="12.7109375" customWidth="1" min="455" max="455"/>
    <col width="9.7109375" customWidth="1" min="456" max="456"/>
    <col width="28.7109375" customWidth="1" min="457" max="458"/>
    <col width="12.7109375" customWidth="1" min="459" max="459"/>
    <col width="9.7109375" customWidth="1" min="460" max="460"/>
    <col width="28.7109375" customWidth="1" min="461" max="462"/>
    <col width="12.7109375" customWidth="1" min="463" max="463"/>
    <col width="9.7109375" customWidth="1" min="464" max="464"/>
    <col width="28.7109375" customWidth="1" min="465" max="466"/>
    <col width="12.7109375" customWidth="1" min="467" max="467"/>
    <col width="9.7109375" customWidth="1" min="468" max="468"/>
    <col width="28.7109375" customWidth="1" min="469" max="470"/>
    <col width="12.7109375" customWidth="1" min="471" max="471"/>
    <col width="9.7109375" customWidth="1" min="472" max="472"/>
    <col width="28.7109375" customWidth="1" min="473" max="474"/>
    <col width="12.7109375" customWidth="1" min="475" max="475"/>
    <col width="9.7109375" customWidth="1" min="476" max="476"/>
    <col width="28.7109375" customWidth="1" min="477" max="478"/>
    <col width="12.7109375" customWidth="1" min="479" max="479"/>
    <col width="9.7109375" customWidth="1" min="480" max="480"/>
    <col width="28.7109375" customWidth="1" min="481" max="482"/>
    <col width="12.7109375" customWidth="1" min="483" max="483"/>
    <col width="9.7109375" customWidth="1" min="484" max="484"/>
    <col width="28.7109375" customWidth="1" min="485" max="486"/>
    <col width="12.7109375" customWidth="1" min="487" max="487"/>
    <col width="9.7109375" customWidth="1" min="488" max="488"/>
    <col width="28.7109375" customWidth="1" min="489" max="490"/>
    <col width="12.7109375" customWidth="1" min="491" max="491"/>
    <col width="9.7109375" customWidth="1" min="492" max="492"/>
    <col width="12.7109375" customWidth="1" min="493" max="493"/>
    <col width="9.7109375" customWidth="1" min="494" max="494"/>
    <col width="28.7109375" customWidth="1" min="495" max="495"/>
    <col width="12.7109375" customWidth="1" min="496" max="496"/>
    <col width="9.7109375" customWidth="1" min="497" max="497"/>
    <col width="28.7109375" customWidth="1" min="498" max="499"/>
    <col width="12.7109375" customWidth="1" min="500" max="500"/>
    <col width="9.7109375" customWidth="1" min="501" max="501"/>
    <col width="28.7109375" customWidth="1" min="502" max="503"/>
    <col width="12.7109375" customWidth="1" min="504" max="504"/>
    <col width="9.7109375" customWidth="1" min="505" max="505"/>
    <col width="28.7109375" customWidth="1" min="506" max="507"/>
    <col width="12.7109375" customWidth="1" min="508" max="508"/>
    <col width="9.7109375" customWidth="1" min="509" max="509"/>
    <col width="12.7109375" customWidth="1" min="510" max="510"/>
    <col width="9.7109375" customWidth="1" min="511" max="511"/>
    <col width="28.7109375" customWidth="1" min="512" max="513"/>
    <col width="12.7109375" customWidth="1" min="514" max="514"/>
    <col width="9.7109375" customWidth="1" min="515" max="515"/>
    <col width="28.7109375" customWidth="1" min="516" max="517"/>
    <col width="12.7109375" customWidth="1" min="518" max="518"/>
    <col width="9.7109375" customWidth="1" min="519" max="519"/>
    <col width="28.7109375" customWidth="1" min="520" max="521"/>
    <col width="12.7109375" customWidth="1" min="522" max="522"/>
    <col width="9.7109375" customWidth="1" min="523" max="523"/>
    <col width="28.7109375" customWidth="1" min="524" max="525"/>
    <col width="12.7109375" customWidth="1" min="526" max="526"/>
    <col width="9.7109375" customWidth="1" min="527" max="527"/>
    <col width="28.7109375" customWidth="1" min="528" max="529"/>
    <col width="12.7109375" customWidth="1" min="530" max="530"/>
    <col width="9.7109375" customWidth="1" min="531" max="531"/>
    <col width="28.7109375" customWidth="1" min="532" max="533"/>
    <col width="12.7109375" customWidth="1" min="534" max="534"/>
    <col width="9.7109375" customWidth="1" min="535" max="535"/>
    <col width="28.7109375" customWidth="1" min="536" max="537"/>
    <col width="12.7109375" customWidth="1" min="538" max="538"/>
    <col width="9.7109375" customWidth="1" min="539" max="539"/>
    <col width="28.7109375" customWidth="1" min="540" max="541"/>
    <col width="12.7109375" customWidth="1" min="542" max="542"/>
    <col width="9.7109375" customWidth="1" min="543" max="543"/>
    <col width="12.7109375" customWidth="1" min="544" max="544"/>
    <col width="9.7109375" customWidth="1" min="545" max="545"/>
    <col width="28.7109375" customWidth="1" min="546" max="547"/>
    <col width="12.7109375" customWidth="1" min="548" max="548"/>
    <col width="9.7109375" customWidth="1" min="549" max="549"/>
    <col width="28.7109375" customWidth="1" min="550" max="551"/>
    <col width="12.7109375" customWidth="1" min="552" max="552"/>
    <col width="9.7109375" customWidth="1" min="553" max="553"/>
    <col width="28.7109375" customWidth="1" min="554" max="555"/>
    <col width="12.7109375" customWidth="1" min="556" max="556"/>
    <col width="9.7109375" customWidth="1" min="557" max="557"/>
    <col width="12.7109375" customWidth="1" min="558" max="558"/>
    <col width="9.7109375" customWidth="1" min="559" max="559"/>
    <col width="28.7109375" customWidth="1" min="560" max="561"/>
    <col width="12.7109375" customWidth="1" min="562" max="562"/>
    <col width="9.7109375" customWidth="1" min="563" max="563"/>
    <col width="28.7109375" customWidth="1" min="564" max="565"/>
    <col width="12.7109375" customWidth="1" min="566" max="566"/>
    <col width="9.7109375" customWidth="1" min="567" max="567"/>
    <col width="12.7109375" customWidth="1" min="568" max="568"/>
    <col width="9.7109375" customWidth="1" min="569" max="569"/>
    <col width="28.7109375" customWidth="1" min="570" max="571"/>
    <col width="12.7109375" customWidth="1" min="572" max="572"/>
    <col width="9.7109375" customWidth="1" min="573" max="573"/>
    <col width="28.7109375" customWidth="1" min="574" max="575"/>
    <col width="12.7109375" customWidth="1" min="576" max="576"/>
    <col width="9.7109375" customWidth="1" min="577" max="577"/>
    <col width="28.7109375" customWidth="1" min="578" max="579"/>
    <col width="12.7109375" customWidth="1" min="580" max="580"/>
    <col width="9.7109375" customWidth="1" min="581" max="581"/>
    <col width="28.7109375" customWidth="1" min="582" max="583"/>
    <col width="12.7109375" customWidth="1" min="584" max="584"/>
    <col width="9.7109375" customWidth="1" min="585" max="585"/>
    <col width="28.7109375" customWidth="1" min="586" max="587"/>
    <col width="12.7109375" customWidth="1" min="588" max="588"/>
    <col width="9.7109375" customWidth="1" min="589" max="589"/>
    <col width="28.7109375" customWidth="1" min="590" max="591"/>
    <col width="12.7109375" customWidth="1" min="592" max="592"/>
    <col width="9.7109375" customWidth="1" min="593" max="593"/>
    <col width="28.7109375" customWidth="1" min="594" max="595"/>
    <col width="12.7109375" customWidth="1" min="596" max="596"/>
    <col width="9.7109375" customWidth="1" min="597" max="597"/>
    <col width="28.7109375" customWidth="1" min="598" max="599"/>
    <col width="12.7109375" customWidth="1" min="600" max="600"/>
    <col width="9.7109375" customWidth="1" min="601" max="601"/>
    <col width="28.7109375" customWidth="1" min="602" max="603"/>
    <col width="12.7109375" customWidth="1" min="604" max="604"/>
    <col width="9.7109375" customWidth="1" min="605" max="605"/>
    <col width="28.7109375" customWidth="1" min="606" max="607"/>
    <col width="12.7109375" customWidth="1" min="608" max="608"/>
    <col width="9.7109375" customWidth="1" min="609" max="610"/>
    <col width="12.7109375" customWidth="1" min="611" max="611"/>
    <col width="9.7109375" customWidth="1" min="612" max="612"/>
    <col width="28.7109375" customWidth="1" min="613" max="613"/>
    <col width="12.7109375" customWidth="1" min="614" max="614"/>
    <col width="9.7109375" customWidth="1" min="615" max="615"/>
    <col width="28.7109375" customWidth="1" min="616" max="616"/>
    <col width="12.7109375" customWidth="1" min="617" max="617"/>
    <col width="9.7109375" customWidth="1" min="618" max="618"/>
    <col width="28.7109375" customWidth="1" min="619" max="619"/>
    <col width="12.7109375" customWidth="1" min="620" max="620"/>
    <col width="9.7109375" customWidth="1" min="621" max="621"/>
    <col width="28.7109375" customWidth="1" min="622" max="622"/>
    <col width="12.7109375" customWidth="1" min="623" max="623"/>
    <col width="9.7109375" customWidth="1" min="624" max="624"/>
    <col width="28.7109375" customWidth="1" min="625" max="625"/>
    <col width="12.7109375" customWidth="1" min="626" max="626"/>
    <col width="9.7109375" customWidth="1" min="627" max="627"/>
    <col width="28.7109375" customWidth="1" min="628" max="628"/>
    <col width="12.7109375" customWidth="1" min="629" max="629"/>
    <col width="9.7109375" customWidth="1" min="630" max="630"/>
    <col width="28.7109375" customWidth="1" min="631" max="631"/>
    <col width="12.7109375" customWidth="1" min="632" max="632"/>
    <col width="9.7109375" customWidth="1" min="633" max="633"/>
    <col width="28.7109375" customWidth="1" min="634" max="634"/>
    <col width="12.7109375" customWidth="1" min="635" max="635"/>
    <col width="9.7109375" customWidth="1" min="636" max="636"/>
    <col width="28.7109375" customWidth="1" min="637" max="637"/>
    <col width="12.7109375" customWidth="1" min="638" max="638"/>
    <col width="9.7109375" customWidth="1" min="639" max="639"/>
    <col width="28.7109375" customWidth="1" min="640" max="640"/>
    <col width="12.7109375" customWidth="1" min="641" max="641"/>
    <col width="9.7109375" customWidth="1" min="642" max="642"/>
    <col width="28.7109375" customWidth="1" min="643" max="643"/>
    <col width="12.7109375" customWidth="1" min="644" max="644"/>
    <col width="9.7109375" customWidth="1" min="645" max="645"/>
    <col width="28.7109375" customWidth="1" min="646" max="646"/>
    <col width="12.7109375" customWidth="1" min="647" max="647"/>
    <col width="9.7109375" customWidth="1" min="648" max="648"/>
    <col width="28.7109375" customWidth="1" min="649" max="649"/>
    <col width="12.7109375" customWidth="1" min="650" max="650"/>
    <col width="9.7109375" customWidth="1" min="651" max="651"/>
    <col width="28.7109375" customWidth="1" min="652" max="652"/>
    <col width="12.7109375" customWidth="1" min="653" max="653"/>
    <col width="9.7109375" customWidth="1" min="654" max="654"/>
    <col width="28.7109375" customWidth="1" min="655" max="655"/>
    <col width="12.7109375" customWidth="1" min="656" max="656"/>
    <col width="9.7109375" customWidth="1" min="657" max="657"/>
    <col width="28.7109375" customWidth="1" min="658" max="658"/>
    <col width="12.7109375" customWidth="1" min="659" max="659"/>
    <col width="9.7109375" customWidth="1" min="660" max="660"/>
    <col width="28.7109375" customWidth="1" min="661" max="661"/>
    <col width="12.7109375" customWidth="1" min="662" max="662"/>
    <col width="9.7109375" customWidth="1" min="663" max="663"/>
    <col width="28.7109375" customWidth="1" min="664" max="664"/>
    <col width="12.7109375" customWidth="1" min="665" max="665"/>
    <col width="9.7109375" customWidth="1" min="666" max="666"/>
    <col width="28.7109375" customWidth="1" min="667" max="667"/>
    <col width="12.7109375" customWidth="1" min="668" max="668"/>
    <col width="9.7109375" customWidth="1" min="669" max="669"/>
    <col width="28.7109375" customWidth="1" min="670" max="670"/>
    <col width="12.7109375" customWidth="1" min="671" max="671"/>
    <col width="9.7109375" customWidth="1" min="672" max="672"/>
    <col width="28.7109375" customWidth="1" min="673" max="673"/>
    <col width="12.7109375" customWidth="1" min="674" max="674"/>
    <col width="9.7109375" customWidth="1" min="675" max="675"/>
    <col width="28.7109375" customWidth="1" min="676" max="676"/>
    <col width="12.7109375" customWidth="1" min="677" max="677"/>
    <col width="9.7109375" customWidth="1" min="678" max="678"/>
    <col width="28.7109375" customWidth="1" min="679" max="679"/>
    <col width="12.7109375" customWidth="1" min="680" max="680"/>
    <col width="9.7109375" customWidth="1" min="681" max="681"/>
    <col width="28.7109375" customWidth="1" min="682" max="682"/>
    <col width="12.7109375" customWidth="1" min="683" max="683"/>
    <col width="9.7109375" customWidth="1" min="684" max="684"/>
    <col width="28.7109375" customWidth="1" min="685" max="685"/>
    <col width="12.7109375" customWidth="1" min="686" max="686"/>
    <col width="9.7109375" customWidth="1" min="687" max="687"/>
    <col width="28.7109375" customWidth="1" min="688" max="688"/>
    <col width="12.7109375" customWidth="1" min="689" max="689"/>
    <col width="9.7109375" customWidth="1" min="690" max="690"/>
    <col width="28.7109375" customWidth="1" min="691" max="691"/>
    <col width="12.7109375" customWidth="1" min="692" max="692"/>
    <col width="9.7109375" customWidth="1" min="693" max="693"/>
    <col width="28.7109375" customWidth="1" min="694" max="694"/>
    <col width="12.7109375" customWidth="1" min="695" max="695"/>
    <col width="9.7109375" customWidth="1" min="696" max="696"/>
    <col width="28.7109375" customWidth="1" min="697" max="697"/>
    <col width="12.7109375" customWidth="1" min="698" max="698"/>
    <col width="9.7109375" customWidth="1" min="699" max="699"/>
    <col width="28.7109375" customWidth="1" min="700" max="700"/>
    <col width="12.7109375" customWidth="1" min="701" max="701"/>
    <col width="9.7109375" customWidth="1" min="702" max="702"/>
    <col width="28.7109375" customWidth="1" min="703" max="704"/>
    <col width="12.7109375" customWidth="1" min="705" max="705"/>
    <col width="9.7109375" customWidth="1" min="706" max="706"/>
    <col width="28.7109375" customWidth="1" min="707" max="707"/>
    <col width="12.7109375" customWidth="1" min="708" max="708"/>
    <col width="9.7109375" customWidth="1" min="709" max="709"/>
    <col width="28.7109375" customWidth="1" min="710" max="710"/>
    <col width="12.7109375" customWidth="1" min="711" max="711"/>
    <col width="9.7109375" customWidth="1" min="712" max="712"/>
    <col width="28.7109375" customWidth="1" min="713" max="713"/>
    <col width="12.7109375" customWidth="1" min="714" max="714"/>
    <col width="9.7109375" customWidth="1" min="715" max="715"/>
    <col width="28.7109375" customWidth="1" min="716" max="716"/>
    <col width="12.7109375" customWidth="1" min="717" max="717"/>
    <col width="9.7109375" customWidth="1" min="718" max="718"/>
    <col width="28.7109375" customWidth="1" min="719" max="719"/>
    <col width="12.7109375" customWidth="1" min="720" max="720"/>
    <col width="9.7109375" customWidth="1" min="721" max="721"/>
    <col width="28.7109375" customWidth="1" min="722" max="722"/>
    <col width="12.7109375" customWidth="1" min="723" max="723"/>
    <col width="9.7109375" customWidth="1" min="724" max="724"/>
    <col width="28.7109375" customWidth="1" min="725" max="726"/>
    <col width="12.7109375" customWidth="1" min="727" max="727"/>
    <col width="9.7109375" customWidth="1" min="728" max="728"/>
    <col width="28.7109375" customWidth="1" min="729" max="730"/>
    <col width="12.7109375" customWidth="1" min="731" max="731"/>
    <col width="9.7109375" customWidth="1" min="732" max="732"/>
    <col width="28.7109375" customWidth="1" min="733" max="733"/>
    <col width="12.7109375" customWidth="1" min="734" max="734"/>
    <col width="9.7109375" customWidth="1" min="735" max="735"/>
    <col width="28.7109375" customWidth="1" min="736" max="736"/>
    <col width="12.7109375" customWidth="1" min="737" max="737"/>
    <col width="9.7109375" customWidth="1" min="738" max="738"/>
    <col width="28.7109375" customWidth="1" min="739" max="739"/>
    <col width="12.7109375" customWidth="1" min="740" max="740"/>
    <col width="9.7109375" customWidth="1" min="741" max="741"/>
    <col width="28.7109375" customWidth="1" min="742" max="742"/>
    <col width="12.7109375" customWidth="1" min="743" max="743"/>
    <col width="9.7109375" customWidth="1" min="744" max="744"/>
    <col width="28.7109375" customWidth="1" min="745" max="745"/>
    <col width="12.7109375" customWidth="1" min="746" max="746"/>
    <col width="9.7109375" customWidth="1" min="747" max="747"/>
    <col width="28.7109375" customWidth="1" min="748" max="748"/>
    <col width="12.7109375" customWidth="1" min="749" max="749"/>
    <col width="9.7109375" customWidth="1" min="750" max="750"/>
    <col width="28.7109375" customWidth="1" min="751" max="751"/>
    <col width="12.7109375" customWidth="1" min="752" max="752"/>
    <col width="9.7109375" customWidth="1" min="753" max="753"/>
    <col width="28.7109375" customWidth="1" min="754" max="754"/>
    <col width="12.7109375" customWidth="1" min="755" max="755"/>
    <col width="9.7109375" customWidth="1" min="756" max="792"/>
    <col width="12.7109375" customWidth="1" min="793" max="793"/>
    <col width="9.7109375" customWidth="1" min="794" max="795"/>
    <col width="12.7109375" customWidth="1" min="796" max="796"/>
    <col width="9.7109375" customWidth="1" min="797" max="806"/>
    <col width="12.7109375" customWidth="1" min="807" max="807"/>
    <col width="9.7109375" customWidth="1" min="808" max="825"/>
    <col width="12.7109375" customWidth="1" min="826" max="826"/>
    <col width="9.7109375" customWidth="1" min="827" max="827"/>
    <col width="12.7109375" customWidth="1" min="828" max="828"/>
    <col width="9.7109375" customWidth="1" min="829" max="829"/>
    <col width="12.7109375" customWidth="1" min="830" max="830"/>
    <col width="9.7109375" customWidth="1" min="831" max="831"/>
    <col width="12.7109375" customWidth="1" min="832" max="832"/>
    <col width="9.7109375" customWidth="1" min="833" max="833"/>
    <col width="12.7109375" customWidth="1" min="834" max="834"/>
    <col width="9.7109375" customWidth="1" min="835" max="835"/>
    <col width="12.7109375" customWidth="1" min="836" max="836"/>
    <col width="9.7109375" customWidth="1" min="837" max="837"/>
    <col width="12.7109375" customWidth="1" min="838" max="838"/>
    <col width="9.7109375" customWidth="1" min="839" max="839"/>
    <col width="12.7109375" customWidth="1" min="840" max="840"/>
    <col width="9.7109375" customWidth="1" min="841" max="841"/>
    <col width="12.7109375" customWidth="1" min="842" max="842"/>
    <col width="9.7109375" customWidth="1" min="843" max="843"/>
    <col width="12.7109375" customWidth="1" min="844" max="844"/>
    <col width="9.7109375" customWidth="1" min="845" max="845"/>
    <col width="12.7109375" customWidth="1" min="846" max="846"/>
    <col width="9.7109375" customWidth="1" min="847" max="847"/>
    <col width="12.7109375" customWidth="1" min="848" max="848"/>
    <col width="9.7109375" customWidth="1" min="849" max="849"/>
    <col width="12.7109375" customWidth="1" min="850" max="850"/>
    <col width="9.7109375" customWidth="1" min="851" max="851"/>
    <col width="12.7109375" customWidth="1" min="852" max="852"/>
    <col width="9.7109375" customWidth="1" min="853" max="853"/>
    <col width="12.7109375" customWidth="1" min="854" max="854"/>
    <col width="9.7109375" customWidth="1" min="855" max="855"/>
    <col width="12.7109375" customWidth="1" min="856" max="856"/>
    <col width="9.7109375" customWidth="1" min="857" max="857"/>
    <col width="12.7109375" customWidth="1" min="858" max="858"/>
    <col width="9.7109375" customWidth="1" min="859" max="859"/>
    <col width="12.7109375" customWidth="1" min="860" max="860"/>
    <col width="9.7109375" customWidth="1" min="861" max="861"/>
    <col width="12.7109375" customWidth="1" min="862" max="862"/>
    <col width="9.7109375" customWidth="1" min="863" max="863"/>
    <col width="12.7109375" customWidth="1" min="864" max="864"/>
    <col width="9.7109375" customWidth="1" min="865" max="865"/>
    <col width="12.7109375" customWidth="1" min="866" max="866"/>
    <col width="9.7109375" customWidth="1" min="867" max="867"/>
    <col width="12.7109375" customWidth="1" min="868" max="868"/>
    <col width="9.7109375" customWidth="1" min="869" max="869"/>
    <col width="12.7109375" customWidth="1" min="870" max="870"/>
    <col width="9.7109375" customWidth="1" min="871" max="871"/>
    <col width="12.7109375" customWidth="1" min="872" max="872"/>
    <col width="9.7109375" customWidth="1" min="873" max="873"/>
    <col width="12.7109375" customWidth="1" min="874" max="874"/>
    <col width="9.7109375" customWidth="1" min="875" max="879"/>
    <col width="12.7109375" customWidth="1" min="880" max="880"/>
    <col width="9.7109375" customWidth="1" min="881" max="883"/>
    <col width="12.7109375" customWidth="1" min="884" max="884"/>
    <col width="9.7109375" customWidth="1" min="885" max="885"/>
    <col width="12.7109375" customWidth="1" min="886" max="886"/>
    <col width="9.7109375" customWidth="1" min="887" max="887"/>
    <col width="28.7109375" customWidth="1" min="888" max="888"/>
    <col width="12.7109375" customWidth="1" min="889" max="889"/>
    <col width="9.7109375" customWidth="1" min="890" max="891"/>
    <col width="12.7109375" customWidth="1" min="892" max="892"/>
    <col width="9.7109375" customWidth="1" min="893" max="894"/>
    <col width="12.7109375" customWidth="1" min="895" max="895"/>
    <col width="9.7109375" customWidth="1" min="896" max="900"/>
    <col width="12.7109375" customWidth="1" min="901" max="901"/>
    <col width="9.7109375" customWidth="1" min="902" max="902"/>
    <col width="12.7109375" customWidth="1" min="903" max="903"/>
    <col width="9.7109375" customWidth="1" min="904" max="904"/>
    <col width="12.7109375" customWidth="1" min="905" max="905"/>
    <col width="9.7109375" customWidth="1" min="906" max="907"/>
    <col width="12.7109375" customWidth="1" min="908" max="908"/>
    <col width="9.7109375" customWidth="1" min="909" max="909"/>
    <col width="12.7109375" customWidth="1" min="910" max="910"/>
    <col width="9.7109375" customWidth="1" min="911" max="911"/>
    <col width="12.7109375" customWidth="1" min="912" max="912"/>
    <col width="9.7109375" customWidth="1" min="913" max="913"/>
    <col width="12.7109375" customWidth="1" min="914" max="914"/>
    <col width="9.7109375" customWidth="1" min="915" max="915"/>
    <col width="12.7109375" customWidth="1" min="916" max="916"/>
    <col width="9.7109375" customWidth="1" min="917" max="917"/>
    <col width="12.7109375" customWidth="1" min="918" max="918"/>
    <col width="9.7109375" customWidth="1" min="919" max="919"/>
    <col width="12.7109375" customWidth="1" min="920" max="920"/>
    <col width="9.7109375" customWidth="1" min="921" max="921"/>
    <col width="12.7109375" customWidth="1" min="922" max="922"/>
    <col width="9.7109375" customWidth="1" min="923" max="923"/>
    <col width="12.7109375" customWidth="1" min="924" max="924"/>
    <col width="9.7109375" customWidth="1" min="925" max="966"/>
    <col width="28.7109375" customWidth="1" min="967" max="968"/>
    <col width="12.7109375" customWidth="1" min="969" max="969"/>
    <col width="9.7109375" customWidth="1" min="970" max="970"/>
    <col width="28.7109375" customWidth="1" min="971" max="972"/>
    <col width="12.7109375" customWidth="1" min="973" max="973"/>
    <col width="9.7109375" customWidth="1" min="974" max="974"/>
    <col width="28.7109375" customWidth="1" min="975" max="976"/>
    <col width="12.7109375" customWidth="1" min="977" max="977"/>
    <col width="9.7109375" customWidth="1" min="978" max="978"/>
    <col width="28.7109375" customWidth="1" min="979" max="980"/>
    <col width="12.7109375" customWidth="1" min="981" max="981"/>
    <col width="9.7109375" customWidth="1" min="982" max="982"/>
    <col width="28.7109375" customWidth="1" min="983" max="984"/>
    <col width="12.7109375" customWidth="1" min="985" max="985"/>
    <col width="9.7109375" customWidth="1" min="986" max="986"/>
    <col width="28.7109375" customWidth="1" min="987" max="988"/>
    <col width="12.7109375" customWidth="1" min="989" max="989"/>
    <col width="9.7109375" customWidth="1" min="990" max="990"/>
    <col width="28.7109375" customWidth="1" min="991" max="992"/>
    <col width="12.7109375" customWidth="1" min="993" max="993"/>
    <col width="9.7109375" customWidth="1" min="994" max="994"/>
    <col width="28.7109375" customWidth="1" min="995" max="996"/>
    <col width="12.7109375" customWidth="1" min="997" max="997"/>
    <col width="9.7109375" customWidth="1" min="998" max="998"/>
    <col width="28.7109375" customWidth="1" min="999" max="1000"/>
    <col width="12.7109375" customWidth="1" min="1001" max="1001"/>
    <col width="9.7109375" customWidth="1" min="1002" max="1002"/>
    <col width="12.7109375" customWidth="1" min="1003" max="1003"/>
    <col width="9.7109375" customWidth="1" min="1004" max="1004"/>
    <col width="12.7109375" customWidth="1" min="1005" max="1005"/>
    <col width="9.7109375" customWidth="1" min="1006" max="1006"/>
    <col width="12.7109375" customWidth="1" min="1007" max="1007"/>
    <col width="9.7109375" customWidth="1" min="1008" max="1008"/>
    <col width="12.7109375" customWidth="1" min="1009" max="1009"/>
    <col width="9.7109375" customWidth="1" min="1010" max="1010"/>
    <col width="12.7109375" customWidth="1" min="1011" max="1011"/>
    <col width="9.7109375" customWidth="1" min="1012" max="1012"/>
    <col width="28.7109375" customWidth="1" min="1013" max="1013"/>
    <col width="12.7109375" customWidth="1" min="1014" max="1014"/>
    <col width="9.7109375" customWidth="1" min="1015" max="1015"/>
    <col width="28.7109375" customWidth="1" min="1016" max="1016"/>
    <col width="12.7109375" customWidth="1" min="1017" max="1017"/>
    <col width="9.7109375" customWidth="1" min="1018" max="1018"/>
    <col width="28.7109375" customWidth="1" min="1019" max="1019"/>
    <col width="12.7109375" customWidth="1" min="1020" max="1020"/>
    <col width="9.7109375" customWidth="1" min="1021" max="1021"/>
    <col width="28.7109375" customWidth="1" min="1022" max="1022"/>
    <col width="12.7109375" customWidth="1" min="1023" max="1023"/>
    <col width="9.7109375" customWidth="1" min="1024" max="1024"/>
    <col width="28.7109375" customWidth="1" min="1025" max="1025"/>
    <col width="12.7109375" customWidth="1" min="1026" max="1026"/>
    <col width="9.7109375" customWidth="1" min="1027" max="1027"/>
    <col width="28.7109375" customWidth="1" min="1028" max="1028"/>
    <col width="12.7109375" customWidth="1" min="1029" max="1029"/>
    <col width="9.7109375" customWidth="1" min="1030" max="1030"/>
    <col width="28.7109375" customWidth="1" min="1031" max="1031"/>
    <col width="12.7109375" customWidth="1" min="1032" max="1032"/>
    <col width="9.7109375" customWidth="1" min="1033" max="1033"/>
    <col width="28.7109375" customWidth="1" min="1034" max="1034"/>
    <col width="12.7109375" customWidth="1" min="1035" max="1035"/>
    <col width="9.7109375" customWidth="1" min="1036" max="1036"/>
    <col width="28.7109375" customWidth="1" min="1037" max="1037"/>
    <col width="12.7109375" customWidth="1" min="1038" max="1038"/>
    <col width="9.7109375" customWidth="1" min="1039" max="1039"/>
    <col width="28.7109375" customWidth="1" min="1040" max="1040"/>
    <col width="12.7109375" customWidth="1" min="1041" max="1041"/>
    <col width="9.7109375" customWidth="1" min="1042" max="1042"/>
    <col width="28.7109375" customWidth="1" min="1043" max="1043"/>
    <col width="12.7109375" customWidth="1" min="1044" max="1044"/>
    <col width="9.7109375" customWidth="1" min="1045" max="1045"/>
    <col width="28.7109375" customWidth="1" min="1046" max="1046"/>
    <col width="12.7109375" customWidth="1" min="1047" max="1047"/>
    <col width="9.7109375" customWidth="1" min="1048" max="1048"/>
    <col width="28.7109375" customWidth="1" min="1049" max="1049"/>
    <col width="12.7109375" customWidth="1" min="1050" max="1050"/>
    <col width="9.7109375" customWidth="1" min="1051" max="1051"/>
    <col width="28.7109375" customWidth="1" min="1052" max="1052"/>
    <col width="12.7109375" customWidth="1" min="1053" max="1053"/>
    <col width="9.7109375" customWidth="1" min="1054" max="1054"/>
    <col width="28.7109375" customWidth="1" min="1055" max="1055"/>
    <col width="12.7109375" customWidth="1" min="1056" max="1056"/>
    <col width="9.7109375" customWidth="1" min="1057" max="1057"/>
    <col width="28.7109375" customWidth="1" min="1058" max="1058"/>
    <col width="12.7109375" customWidth="1" min="1059" max="1059"/>
    <col width="9.7109375" customWidth="1" min="1060" max="1060"/>
    <col width="28.7109375" customWidth="1" min="1061" max="1061"/>
    <col width="12.7109375" customWidth="1" min="1062" max="1062"/>
    <col width="9.7109375" customWidth="1" min="1063" max="1063"/>
    <col width="28.7109375" customWidth="1" min="1064" max="1064"/>
    <col width="12.7109375" customWidth="1" min="1065" max="1065"/>
    <col width="9.7109375" customWidth="1" min="1066" max="1083"/>
    <col width="12.7109375" customWidth="1" min="1084" max="1087"/>
    <col width="24.7109375" customWidth="1" min="1088" max="1088"/>
    <col width="12.7109375" customWidth="1" min="1089" max="1090"/>
    <col width="24.7109375" customWidth="1" min="1091" max="1091"/>
    <col width="12.7109375" customWidth="1" min="1092" max="1093"/>
    <col width="24.7109375" customWidth="1" min="1094" max="1094"/>
    <col width="12.7109375" customWidth="1" min="1095" max="1096"/>
    <col width="24.7109375" customWidth="1" min="1097" max="1097"/>
    <col width="12.7109375" customWidth="1" min="1098" max="1099"/>
    <col width="24.7109375" customWidth="1" min="1100" max="1100"/>
    <col width="12.7109375" customWidth="1" min="1101" max="1102"/>
    <col width="24.7109375" customWidth="1" min="1103" max="1103"/>
    <col width="12.7109375" customWidth="1" min="1104" max="1105"/>
    <col width="24.7109375" customWidth="1" min="1106" max="1106"/>
    <col width="12.7109375" customWidth="1" min="1107" max="1108"/>
    <col width="24.7109375" customWidth="1" min="1109" max="1109"/>
    <col width="12.7109375" customWidth="1" min="1110" max="1111"/>
    <col width="24.7109375" customWidth="1" min="1112" max="1112"/>
    <col width="12.7109375" customWidth="1" min="1113" max="1114"/>
    <col width="24.7109375" customWidth="1" min="1115" max="1115"/>
    <col width="12.7109375" customWidth="1" min="1116" max="1117"/>
    <col width="24.7109375" customWidth="1" min="1118" max="1118"/>
    <col width="12.7109375" customWidth="1" min="1119" max="1120"/>
    <col width="24.7109375" customWidth="1" min="1121" max="1121"/>
    <col width="12.7109375" customWidth="1" min="1122" max="1123"/>
    <col width="24.7109375" customWidth="1" min="1124" max="1124"/>
    <col width="12.7109375" customWidth="1" min="1125" max="1126"/>
    <col width="24.7109375" customWidth="1" min="1127" max="1127"/>
    <col width="12.7109375" customWidth="1" min="1128" max="1129"/>
    <col width="24.7109375" customWidth="1" min="1130" max="1130"/>
    <col width="12.7109375" customWidth="1" min="1131" max="1132"/>
    <col width="24.7109375" customWidth="1" min="1133" max="1133"/>
    <col width="12.7109375" customWidth="1" min="1134" max="1135"/>
    <col width="24.7109375" customWidth="1" min="1136" max="1136"/>
    <col width="12.7109375" customWidth="1" min="1137" max="1138"/>
    <col width="24.7109375" customWidth="1" min="1139" max="1139"/>
    <col width="12.7109375" customWidth="1" min="1140" max="1141"/>
    <col width="24.7109375" customWidth="1" min="1142" max="1142"/>
    <col width="12.7109375" customWidth="1" min="1143" max="1144"/>
    <col width="24.7109375" customWidth="1" min="1145" max="1145"/>
    <col width="12.7109375" customWidth="1" min="1146" max="1147"/>
    <col width="24.7109375" customWidth="1" min="1148" max="1148"/>
    <col width="12.7109375" customWidth="1" min="1149" max="1150"/>
    <col width="24.7109375" customWidth="1" min="1151" max="1151"/>
    <col width="12.7109375" customWidth="1" min="1152" max="1166"/>
    <col width="24.7109375" customWidth="1" min="1167" max="1167"/>
    <col width="12.7109375" customWidth="1" min="1168" max="1172"/>
    <col width="24.7109375" customWidth="1" min="1173" max="1173"/>
    <col width="12.7109375" customWidth="1" min="1174" max="1175"/>
    <col width="24.7109375" customWidth="1" min="1176" max="1176"/>
    <col width="12.7109375" customWidth="1" min="1177" max="1178"/>
    <col width="24.7109375" customWidth="1" min="1179" max="1180"/>
    <col width="12.7109375" customWidth="1" min="1181" max="1182"/>
    <col width="24.7109375" customWidth="1" min="1183" max="1183"/>
    <col width="12.7109375" customWidth="1" min="1184" max="1185"/>
    <col width="24.7109375" customWidth="1" min="1186" max="1186"/>
    <col width="12.7109375" customWidth="1" min="1187" max="1188"/>
    <col width="24.7109375" customWidth="1" min="1189" max="1190"/>
    <col width="12.7109375" customWidth="1" min="1191" max="1192"/>
    <col width="24.7109375" customWidth="1" min="1193" max="1193"/>
    <col width="12.7109375" customWidth="1" min="1194" max="1205"/>
    <col width="24.7109375" customWidth="1" min="1206" max="1206"/>
    <col width="12.7109375" customWidth="1" min="1207" max="1216"/>
    <col width="24.7109375" customWidth="1" min="1217" max="1217"/>
    <col width="12.7109375" customWidth="1" min="1218" max="1219"/>
    <col width="24.7109375" customWidth="1" min="1220" max="1221"/>
    <col width="12.7109375" customWidth="1" min="1222" max="1254"/>
    <col width="24.7109375" customWidth="1" min="1255" max="1255"/>
    <col width="12.7109375" customWidth="1" min="1256" max="1257"/>
    <col width="24.7109375" customWidth="1" min="1258" max="1258"/>
    <col width="12.7109375" customWidth="1" min="1259" max="1286"/>
    <col width="24.7109375" customWidth="1" min="1287" max="1287"/>
    <col width="12.7109375" customWidth="1" min="1288" max="1313"/>
    <col width="24.7109375" customWidth="1" min="1314" max="1314"/>
    <col width="12.7109375" customWidth="1" min="1315" max="1325"/>
    <col width="24.7109375" customWidth="1" min="1326" max="1326"/>
    <col width="12.7109375" customWidth="1" min="1327" max="1328"/>
    <col width="24.7109375" customWidth="1" min="1329" max="1329"/>
    <col width="12.7109375" customWidth="1" min="1330" max="1331"/>
    <col width="24.7109375" customWidth="1" min="1332" max="1332"/>
    <col width="12.7109375" customWidth="1" min="1333" max="1334"/>
    <col width="24.7109375" customWidth="1" min="1335" max="1335"/>
    <col width="12.7109375" customWidth="1" min="1336" max="1337"/>
    <col width="24.7109375" customWidth="1" min="1338" max="1339"/>
    <col width="12.7109375" customWidth="1" min="1340" max="1341"/>
    <col width="24.7109375" customWidth="1" min="1342" max="1343"/>
    <col width="12.7109375" customWidth="1" min="1344" max="1345"/>
    <col width="24.7109375" customWidth="1" min="1346" max="1347"/>
    <col width="12.7109375" customWidth="1" min="1348" max="1349"/>
    <col width="24.7109375" customWidth="1" min="1350" max="1351"/>
    <col width="12.7109375" customWidth="1" min="1352" max="1353"/>
    <col width="24.7109375" customWidth="1" min="1354" max="1355"/>
    <col width="12.7109375" customWidth="1" min="1356" max="1357"/>
    <col width="24.7109375" customWidth="1" min="1358" max="1359"/>
    <col width="12.7109375" customWidth="1" min="1360" max="1361"/>
    <col width="24.7109375" customWidth="1" min="1362" max="1363"/>
    <col width="12.7109375" customWidth="1" min="1364" max="1365"/>
    <col width="24.7109375" customWidth="1" min="1366" max="1366"/>
    <col width="12.7109375" customWidth="1" min="1367" max="1368"/>
    <col width="24.7109375" customWidth="1" min="1369" max="1370"/>
    <col width="12.7109375" customWidth="1" min="1371" max="1380"/>
    <col width="24.7109375" customWidth="1" min="1381" max="1381"/>
    <col width="12.7109375" customWidth="1" min="1382" max="1383"/>
    <col width="24.7109375" customWidth="1" min="1384" max="1384"/>
    <col width="12.7109375" customWidth="1" min="1385" max="1386"/>
    <col width="24.7109375" customWidth="1" min="1387" max="1387"/>
    <col width="12.7109375" customWidth="1" min="1388" max="1389"/>
    <col width="24.7109375" customWidth="1" min="1390" max="1390"/>
    <col width="12.7109375" customWidth="1" min="1391" max="1392"/>
    <col width="24.7109375" customWidth="1" min="1393" max="1393"/>
    <col width="12.7109375" customWidth="1" min="1394" max="1395"/>
    <col width="24.7109375" customWidth="1" min="1396" max="1396"/>
    <col width="12.7109375" customWidth="1" min="1397" max="1398"/>
    <col width="24.7109375" customWidth="1" min="1399" max="1399"/>
    <col width="12.7109375" customWidth="1" min="1400" max="1401"/>
    <col width="24.7109375" customWidth="1" min="1402" max="1402"/>
    <col width="12.7109375" customWidth="1" min="1403" max="1404"/>
    <col width="24.7109375" customWidth="1" min="1405" max="1405"/>
    <col width="12.7109375" customWidth="1" min="1406" max="1407"/>
    <col width="24.7109375" customWidth="1" min="1408" max="1408"/>
    <col width="12.7109375" customWidth="1" min="1409" max="1410"/>
    <col width="24.7109375" customWidth="1" min="1411" max="1411"/>
    <col width="12.7109375" customWidth="1" min="1412" max="1413"/>
    <col width="24.7109375" customWidth="1" min="1414" max="1414"/>
    <col width="12.7109375" customWidth="1" min="1415" max="1416"/>
    <col width="24.7109375" customWidth="1" min="1417" max="1418"/>
    <col width="12.7109375" customWidth="1" min="1419" max="1420"/>
    <col width="24.7109375" customWidth="1" min="1421" max="1421"/>
    <col width="12.7109375" customWidth="1" min="1422" max="1423"/>
    <col width="24.7109375" customWidth="1" min="1424" max="1424"/>
    <col width="12.7109375" customWidth="1" min="1425" max="1426"/>
    <col width="24.7109375" customWidth="1" min="1427" max="1427"/>
    <col width="12.7109375" customWidth="1" min="1428" max="1429"/>
    <col width="24.7109375" customWidth="1" min="1430" max="1430"/>
    <col width="12.7109375" customWidth="1" min="1431" max="1432"/>
    <col width="24.7109375" customWidth="1" min="1433" max="1433"/>
    <col width="12.7109375" customWidth="1" min="1434" max="1435"/>
    <col width="24.7109375" customWidth="1" min="1436" max="1436"/>
    <col width="12.7109375" customWidth="1" min="1437" max="1438"/>
    <col width="24.7109375" customWidth="1" min="1439" max="1439"/>
    <col width="12.7109375" customWidth="1" min="1440" max="1441"/>
    <col width="24.7109375" customWidth="1" min="1442" max="1442"/>
    <col width="12.7109375" customWidth="1" min="1443" max="1500"/>
    <col width="8.7109375" customWidth="1" min="1501" max="1545"/>
    <col width="8.42578125" customWidth="1" min="1546" max="1546"/>
    <col width="8.7109375" customWidth="1" min="1547" max="1547"/>
    <col width="8.42578125" customWidth="1" min="1548" max="1548"/>
    <col width="8.7109375" customWidth="1" min="1549" max="1549"/>
    <col width="8.42578125" customWidth="1" min="1550" max="1550"/>
    <col width="8.7109375" customWidth="1" min="1551" max="1561"/>
    <col width="8.42578125" customWidth="1" min="1562" max="1562"/>
    <col width="8.7109375" customWidth="1" min="1563" max="1563"/>
    <col width="8.42578125" customWidth="1" min="1564" max="1564"/>
    <col width="8.7109375" customWidth="1" min="1565" max="1565"/>
    <col width="8.42578125" customWidth="1" min="1566" max="1566"/>
    <col width="8.7109375" customWidth="1" min="1567" max="1568"/>
    <col width="8.42578125" customWidth="1" min="1569" max="1569"/>
    <col width="8.7109375" customWidth="1" min="1570" max="1572"/>
    <col width="8.42578125" customWidth="1" min="1573" max="1573"/>
    <col width="8.7109375" customWidth="1" min="1574" max="1577"/>
    <col width="8.42578125" customWidth="1" min="1578" max="1578"/>
    <col width="8.7109375" customWidth="1" min="1579" max="1595"/>
    <col width="8.42578125" customWidth="1" min="1596" max="1596"/>
    <col width="8.7109375" customWidth="1" min="1597" max="1599"/>
    <col width="8.42578125" customWidth="1" min="1600" max="1600"/>
    <col width="8.7109375" customWidth="1" min="1601" max="1601"/>
    <col width="30.7109375" customWidth="1" min="1602" max="1602"/>
    <col width="8.42578125" customWidth="1" min="1603" max="1603"/>
    <col width="8.7109375" customWidth="1" min="1604" max="1607"/>
    <col width="8.42578125" customWidth="1" min="1608" max="1608"/>
    <col width="8.7109375" customWidth="1" min="1609" max="1609"/>
    <col width="8.42578125" customWidth="1" min="1610" max="1610"/>
    <col width="8.7109375" customWidth="1" min="1611" max="1611"/>
    <col width="8.42578125" customWidth="1" min="1612" max="1612"/>
    <col width="8.7109375" customWidth="1" min="1613" max="1613"/>
    <col width="8.42578125" customWidth="1" min="1614" max="1614"/>
    <col width="8.7109375" customWidth="1" min="1615" max="1615"/>
    <col width="8.42578125" customWidth="1" min="1616" max="1616"/>
    <col width="8.7109375" customWidth="1" min="1617" max="1617"/>
    <col width="8.42578125" customWidth="1" min="1618" max="1618"/>
    <col width="8.7109375" customWidth="1" min="1619" max="1619"/>
    <col width="8.42578125" customWidth="1" min="1620" max="1620"/>
    <col width="8.7109375" customWidth="1" min="1621" max="1621"/>
    <col width="8.42578125" customWidth="1" min="1622" max="1622"/>
    <col width="8.7109375" customWidth="1" min="1623" max="1623"/>
    <col width="8.42578125" customWidth="1" min="1624" max="1624"/>
    <col width="8.7109375" customWidth="1" min="1625" max="1625"/>
    <col width="8.42578125" customWidth="1" min="1626" max="1626"/>
    <col width="8.7109375" customWidth="1" min="1627" max="1627"/>
    <col width="8.42578125" customWidth="1" min="1628" max="1628"/>
    <col width="8.7109375" customWidth="1" min="1629" max="1629"/>
    <col width="8.42578125" customWidth="1" min="1630" max="1630"/>
    <col width="8.7109375" customWidth="1" min="1631" max="1631"/>
    <col width="8.42578125" customWidth="1" min="1632" max="1632"/>
    <col width="8.7109375" customWidth="1" min="1633" max="1633"/>
    <col width="8.42578125" customWidth="1" min="1634" max="1634"/>
    <col width="8.7109375" customWidth="1" min="1635" max="1635"/>
    <col width="8.42578125" customWidth="1" min="1636" max="1636"/>
    <col width="8.7109375" customWidth="1" min="1637" max="1637"/>
    <col width="8.42578125" customWidth="1" min="1638" max="1638"/>
    <col width="8.7109375" customWidth="1" min="1639" max="1639"/>
    <col width="8.42578125" customWidth="1" min="1640" max="1640"/>
    <col width="8.7109375" customWidth="1" min="1641" max="1641"/>
    <col width="8.42578125" customWidth="1" min="1642" max="1642"/>
    <col width="8.7109375" customWidth="1" min="1643" max="1643"/>
    <col width="8.42578125" customWidth="1" min="1644" max="1644"/>
    <col width="8.7109375" customWidth="1" min="1645" max="1645"/>
    <col width="8.42578125" customWidth="1" min="1646" max="1646"/>
    <col width="8.7109375" customWidth="1" min="1647" max="1666"/>
    <col width="8.42578125" customWidth="1" min="1667" max="1667"/>
    <col width="8.7109375" customWidth="1" min="1668" max="1668"/>
    <col width="8.42578125" customWidth="1" min="1669" max="1669"/>
    <col width="8.7109375" customWidth="1" min="1670" max="1670"/>
    <col width="8.42578125" customWidth="1" min="1671" max="1671"/>
    <col width="8.7109375" customWidth="1" min="1672" max="1672"/>
    <col width="8.42578125" customWidth="1" min="1673" max="1673"/>
    <col width="8.7109375" customWidth="1" min="1674" max="1675"/>
    <col width="8.42578125" customWidth="1" min="1676" max="1676"/>
    <col width="8.7109375" customWidth="1" min="1677" max="1677"/>
    <col width="8.42578125" customWidth="1" min="1678" max="1678"/>
    <col width="8.7109375" customWidth="1" min="1679" max="1679"/>
    <col width="8.42578125" customWidth="1" min="1680" max="1680"/>
    <col width="8.7109375" customWidth="1" min="1681" max="1681"/>
    <col width="8.42578125" customWidth="1" min="1682" max="1682"/>
    <col width="8.7109375" customWidth="1" min="1683" max="1683"/>
    <col width="8.42578125" customWidth="1" min="1684" max="1684"/>
    <col width="8.7109375" customWidth="1" min="1685" max="1685"/>
    <col width="8.42578125" customWidth="1" min="1686" max="1686"/>
    <col width="8.7109375" customWidth="1" min="1687" max="1687"/>
    <col width="8.42578125" customWidth="1" min="1688" max="1688"/>
    <col width="8.7109375" customWidth="1" min="1689" max="1689"/>
    <col width="8.42578125" customWidth="1" min="1690" max="1690"/>
    <col width="8.7109375" customWidth="1" min="1691" max="1691"/>
    <col width="8.42578125" customWidth="1" min="1692" max="1692"/>
    <col width="8.7109375" customWidth="1" min="1693" max="1693"/>
    <col width="8.42578125" customWidth="1" min="1694" max="1694"/>
    <col width="8.7109375" customWidth="1" min="1695" max="1695"/>
    <col width="8.42578125" customWidth="1" min="1696" max="1696"/>
    <col width="8.7109375" customWidth="1" min="1697" max="1697"/>
    <col width="8.42578125" customWidth="1" min="1698" max="1698"/>
    <col width="8.7109375" customWidth="1" min="1699" max="1699"/>
    <col width="8.42578125" customWidth="1" min="1700" max="1700"/>
    <col width="8.7109375" customWidth="1" min="1701" max="1701"/>
    <col width="8.42578125" customWidth="1" min="1702" max="1702"/>
    <col width="8.7109375" customWidth="1" min="1703" max="1703"/>
    <col width="8.42578125" customWidth="1" min="1704" max="1704"/>
    <col width="8.7109375" customWidth="1" min="1705" max="1705"/>
    <col width="8.42578125" customWidth="1" min="1706" max="1706"/>
    <col width="8.7109375" customWidth="1" min="1707" max="1707"/>
    <col width="8.42578125" customWidth="1" min="1708" max="1708"/>
    <col width="8.7109375" customWidth="1" min="1709" max="1709"/>
    <col width="8.42578125" customWidth="1" min="1710" max="1710"/>
    <col width="8.7109375" customWidth="1" min="1711" max="1711"/>
    <col width="8.42578125" customWidth="1" min="1712" max="1712"/>
    <col width="8.7109375" customWidth="1" min="1713" max="1713"/>
    <col width="8.42578125" customWidth="1" min="1714" max="1714"/>
    <col width="8.7109375" customWidth="1" min="1715" max="1715"/>
    <col width="8.42578125" customWidth="1" min="1716" max="1716"/>
    <col width="8.7109375" customWidth="1" min="1717" max="1717"/>
    <col width="8.42578125" customWidth="1" min="1718" max="1718"/>
    <col width="8.7109375" customWidth="1" min="1719" max="1719"/>
    <col width="8.42578125" customWidth="1" min="1720" max="1720"/>
    <col width="8.7109375" customWidth="1" min="1721" max="1723"/>
    <col width="8.42578125" customWidth="1" min="1724" max="1724"/>
    <col width="8.7109375" customWidth="1" min="1725" max="1726"/>
    <col width="8.42578125" customWidth="1" min="1727" max="1727"/>
    <col width="8.7109375" customWidth="1" min="1728" max="1728"/>
    <col width="8.42578125" customWidth="1" min="1729" max="1729"/>
    <col width="8.7109375" customWidth="1" min="1730" max="1730"/>
    <col width="8.42578125" customWidth="1" min="1731" max="1731"/>
    <col width="8.7109375" customWidth="1" min="1732" max="1732"/>
    <col width="8.42578125" customWidth="1" min="1733" max="1733"/>
    <col width="8.7109375" customWidth="1" min="1734" max="1734"/>
    <col width="8.42578125" customWidth="1" min="1735" max="1735"/>
    <col width="8.7109375" customWidth="1" min="1736" max="1738"/>
    <col width="8.42578125" customWidth="1" min="1739" max="1739"/>
    <col width="8.7109375" customWidth="1" min="1740" max="1767"/>
    <col width="8.42578125" customWidth="1" min="1768" max="1768"/>
    <col width="8.7109375" customWidth="1" min="1769" max="1769"/>
    <col width="8.42578125" customWidth="1" min="1770" max="1770"/>
    <col width="8.7109375" customWidth="1" min="1771" max="1771"/>
    <col width="8.42578125" customWidth="1" min="1772" max="1772"/>
    <col width="8.7109375" customWidth="1" min="1773" max="1773"/>
    <col width="8.42578125" customWidth="1" min="1774" max="1774"/>
    <col width="8.7109375" customWidth="1" min="1775" max="1775"/>
    <col width="8.42578125" customWidth="1" min="1776" max="1776"/>
    <col width="8.7109375" customWidth="1" min="1777" max="1777"/>
    <col width="8.42578125" customWidth="1" min="1778" max="1778"/>
    <col width="8.7109375" customWidth="1" min="1779" max="1779"/>
    <col width="8.42578125" customWidth="1" min="1780" max="1780"/>
    <col width="8.7109375" customWidth="1" min="1781" max="1781"/>
    <col width="8.42578125" customWidth="1" min="1782" max="1782"/>
    <col width="8.7109375" customWidth="1" min="1783" max="1783"/>
    <col width="8.42578125" customWidth="1" min="1784" max="1784"/>
    <col width="8.7109375" customWidth="1" min="1785" max="1785"/>
    <col width="8.42578125" customWidth="1" min="1786" max="1786"/>
    <col width="8.7109375" customWidth="1" min="1787" max="1787"/>
    <col width="30.7109375" customWidth="1" min="1788" max="1788"/>
    <col width="8.42578125" customWidth="1" min="1789" max="1789"/>
    <col width="8.7109375" customWidth="1" min="1790" max="1790"/>
    <col width="8.42578125" customWidth="1" min="1791" max="1791"/>
    <col width="8.7109375" customWidth="1" min="1792" max="1792"/>
    <col width="30.7109375" customWidth="1" min="1793" max="1793"/>
    <col width="8.42578125" customWidth="1" min="1794" max="1794"/>
    <col width="8.7109375" customWidth="1" min="1795" max="1795"/>
    <col width="30.7109375" customWidth="1" min="1796" max="1796"/>
    <col width="8.42578125" customWidth="1" min="1797" max="1797"/>
    <col width="8.7109375" customWidth="1" min="1798" max="1799"/>
    <col width="8.42578125" customWidth="1" min="1800" max="1800"/>
    <col width="8.7109375" customWidth="1" min="1801" max="1802"/>
    <col width="8.42578125" customWidth="1" min="1803" max="1803"/>
    <col width="8.7109375" customWidth="1" min="1804" max="1805"/>
    <col width="8.42578125" customWidth="1" min="1806" max="1806"/>
    <col width="8.7109375" customWidth="1" min="1807" max="1807"/>
    <col width="8.42578125" customWidth="1" min="1808" max="1808"/>
    <col width="8.7109375" customWidth="1" min="1809" max="1809"/>
    <col width="8.42578125" customWidth="1" min="1810" max="1810"/>
    <col width="8.7109375" customWidth="1" min="1811" max="1811"/>
    <col width="8.42578125" customWidth="1" min="1812" max="1812"/>
    <col width="8.7109375" customWidth="1" min="1813" max="1813"/>
    <col width="8.42578125" customWidth="1" min="1814" max="1814"/>
    <col width="8.7109375" customWidth="1" min="1815" max="1815"/>
    <col width="8.42578125" customWidth="1" min="1816" max="1816"/>
    <col width="8.7109375" customWidth="1" min="1817" max="1817"/>
    <col width="8.42578125" customWidth="1" min="1818" max="1818"/>
    <col width="8.7109375" customWidth="1" min="1819" max="1819"/>
    <col width="8.42578125" customWidth="1" min="1820" max="1820"/>
    <col width="8.7109375" customWidth="1" min="1821" max="1821"/>
    <col width="8.42578125" customWidth="1" min="1822" max="1822"/>
    <col width="8.7109375" customWidth="1" min="1823" max="1823"/>
    <col width="8.42578125" customWidth="1" min="1824" max="1824"/>
    <col width="8.7109375" customWidth="1" min="1825" max="1825"/>
    <col width="8.42578125" customWidth="1" min="1826" max="1826"/>
    <col width="8.7109375" customWidth="1" min="1827" max="1827"/>
    <col width="8.42578125" customWidth="1" min="1828" max="1828"/>
    <col width="8.7109375" customWidth="1" min="1829" max="1829"/>
    <col width="8.42578125" customWidth="1" min="1830" max="1830"/>
    <col width="8.7109375" customWidth="1" min="1831" max="1831"/>
    <col width="8.42578125" customWidth="1" min="1832" max="1832"/>
    <col width="8.7109375" customWidth="1" min="1833" max="1833"/>
    <col width="8.42578125" customWidth="1" min="1834" max="1834"/>
    <col width="8.7109375" customWidth="1" min="1835" max="1835"/>
    <col width="8.42578125" customWidth="1" min="1836" max="1836"/>
    <col width="8.7109375" customWidth="1" min="1837" max="1837"/>
    <col width="8.42578125" customWidth="1" min="1838" max="1838"/>
    <col width="8.7109375" customWidth="1" min="1839" max="1839"/>
    <col width="8.42578125" customWidth="1" min="1840" max="1840"/>
    <col width="8.7109375" customWidth="1" min="1841" max="1841"/>
    <col width="8.42578125" customWidth="1" min="1842" max="1842"/>
    <col width="8.7109375" customWidth="1" min="1843" max="1843"/>
    <col width="8.42578125" customWidth="1" min="1844" max="1844"/>
    <col width="8.7109375" customWidth="1" min="1845" max="1845"/>
    <col width="8.42578125" customWidth="1" min="1846" max="1846"/>
    <col width="8.7109375" customWidth="1" min="1847" max="1847"/>
    <col width="8.42578125" customWidth="1" min="1848" max="1848"/>
    <col width="8.7109375" customWidth="1" min="1849" max="1849"/>
    <col width="8.42578125" customWidth="1" min="1850" max="1850"/>
    <col width="8.7109375" customWidth="1" min="1851" max="1851"/>
    <col width="8.42578125" customWidth="1" min="1852" max="1852"/>
    <col width="8.7109375" customWidth="1" min="1853" max="1853"/>
    <col width="8.42578125" customWidth="1" min="1854" max="1854"/>
    <col width="8.7109375" customWidth="1" min="1855" max="1855"/>
    <col width="8.42578125" customWidth="1" min="1856" max="1856"/>
    <col width="8.7109375" customWidth="1" min="1857" max="1857"/>
    <col width="8.42578125" customWidth="1" min="1858" max="1858"/>
    <col width="8.7109375" customWidth="1" min="1859" max="1859"/>
    <col width="8.42578125" customWidth="1" min="1860" max="1860"/>
    <col width="8.7109375" customWidth="1" min="1861" max="1861"/>
    <col width="8.42578125" customWidth="1" min="1862" max="1862"/>
    <col width="8.7109375" customWidth="1" min="1863" max="1863"/>
    <col width="8.42578125" customWidth="1" min="1864" max="1864"/>
    <col width="8.7109375" customWidth="1" min="1865" max="1865"/>
    <col width="8.42578125" customWidth="1" min="1866" max="1866"/>
    <col width="8.7109375" customWidth="1" min="1867" max="1867"/>
    <col width="8.42578125" customWidth="1" min="1868" max="1868"/>
    <col width="8.7109375" customWidth="1" min="1869" max="1869"/>
    <col width="8.42578125" customWidth="1" min="1870" max="1870"/>
    <col width="8.7109375" customWidth="1" min="1871" max="1871"/>
    <col width="8.42578125" customWidth="1" min="1872" max="1872"/>
    <col width="8.7109375" customWidth="1" min="1873" max="1873"/>
    <col width="8.42578125" customWidth="1" min="1874" max="1874"/>
    <col width="8.7109375" customWidth="1" min="1875" max="1875"/>
    <col width="8.42578125" customWidth="1" min="1876" max="1876"/>
    <col width="8.7109375" customWidth="1" min="1877" max="1877"/>
    <col width="8.42578125" customWidth="1" min="1878" max="1878"/>
    <col width="8.7109375" customWidth="1" min="1879" max="1879"/>
    <col width="8.42578125" customWidth="1" min="1880" max="1880"/>
    <col width="8.7109375" customWidth="1" min="1881" max="1881"/>
    <col width="8.42578125" customWidth="1" min="1882" max="1882"/>
    <col width="8.7109375" customWidth="1" min="1883" max="1883"/>
    <col width="8.42578125" customWidth="1" min="1884" max="1884"/>
    <col width="8.7109375" customWidth="1" min="1885" max="1885"/>
    <col width="8.42578125" customWidth="1" min="1886" max="1886"/>
    <col width="8.7109375" customWidth="1" min="1887" max="1887"/>
    <col width="8.42578125" customWidth="1" min="1888" max="1888"/>
    <col width="8.7109375" customWidth="1" min="1889" max="1889"/>
    <col width="8.42578125" customWidth="1" min="1890" max="1890"/>
    <col width="8.7109375" customWidth="1" min="1891" max="1891"/>
    <col width="8.42578125" customWidth="1" min="1892" max="1892"/>
    <col width="8.7109375" customWidth="1" min="1893" max="1893"/>
    <col width="8.42578125" customWidth="1" min="1894" max="1894"/>
    <col width="8.7109375" customWidth="1" min="1895" max="1895"/>
    <col width="8.42578125" customWidth="1" min="1896" max="1896"/>
    <col width="8.7109375" customWidth="1" min="1897" max="1897"/>
    <col width="8.42578125" customWidth="1" min="1898" max="1898"/>
    <col width="8.7109375" customWidth="1" min="1899" max="1899"/>
    <col width="8.42578125" customWidth="1" min="1900" max="1900"/>
    <col width="8.7109375" customWidth="1" min="1901" max="1901"/>
    <col width="8.42578125" customWidth="1" min="1902" max="1902"/>
    <col width="8.7109375" customWidth="1" min="1903" max="1903"/>
    <col width="8.42578125" customWidth="1" min="1904" max="1904"/>
    <col width="8.7109375" customWidth="1" min="1905" max="1905"/>
    <col width="8.42578125" customWidth="1" min="1906" max="1906"/>
    <col width="8.7109375" customWidth="1" min="1907" max="1907"/>
    <col width="8.42578125" customWidth="1" min="1908" max="1908"/>
    <col width="8.7109375" customWidth="1" min="1909" max="1909"/>
    <col width="8.42578125" customWidth="1" min="1910" max="1910"/>
    <col width="8.7109375" customWidth="1" min="1911" max="1911"/>
    <col width="8.42578125" customWidth="1" min="1912" max="1912"/>
    <col width="8.7109375" customWidth="1" min="1913" max="1913"/>
    <col width="8.42578125" customWidth="1" min="1914" max="1914"/>
    <col width="8.7109375" customWidth="1" min="1915" max="1915"/>
    <col width="8.42578125" customWidth="1" min="1916" max="1916"/>
    <col width="8.7109375" customWidth="1" min="1917" max="1917"/>
    <col width="8.42578125" customWidth="1" min="1918" max="1918"/>
    <col width="8.7109375" customWidth="1" min="1919" max="1919"/>
    <col width="8.42578125" customWidth="1" min="1920" max="1920"/>
    <col width="8.7109375" customWidth="1" min="1921" max="1921"/>
    <col width="8.42578125" customWidth="1" min="1922" max="1922"/>
    <col width="8.7109375" customWidth="1" min="1923" max="1923"/>
    <col width="8.42578125" customWidth="1" min="1924" max="1924"/>
    <col width="8.7109375" customWidth="1" min="1925" max="1925"/>
    <col width="8.42578125" customWidth="1" min="1926" max="1926"/>
    <col width="8.7109375" customWidth="1" min="1927" max="1927"/>
    <col width="8.42578125" customWidth="1" min="1928" max="1928"/>
    <col width="8.7109375" customWidth="1" min="1929" max="1929"/>
    <col width="8.42578125" customWidth="1" min="1930" max="1930"/>
    <col width="8.7109375" customWidth="1" min="1931" max="1931"/>
    <col width="8.42578125" customWidth="1" min="1932" max="1932"/>
    <col width="8.7109375" customWidth="1" min="1933" max="1933"/>
    <col width="8.42578125" customWidth="1" min="1934" max="1934"/>
    <col width="8.7109375" customWidth="1" min="1935" max="1935"/>
    <col width="8.42578125" customWidth="1" min="1936" max="1936"/>
    <col width="8.7109375" customWidth="1" min="1937" max="1937"/>
    <col width="8.42578125" customWidth="1" min="1938" max="1938"/>
    <col width="8.7109375" customWidth="1" min="1939" max="1939"/>
    <col width="8.42578125" customWidth="1" min="1940" max="1940"/>
    <col width="8.7109375" customWidth="1" min="1941" max="1941"/>
    <col width="8.42578125" customWidth="1" min="1942" max="1942"/>
    <col width="8.7109375" customWidth="1" min="1943" max="1943"/>
    <col width="8.42578125" customWidth="1" min="1944" max="1944"/>
    <col width="8.7109375" customWidth="1" min="1945" max="1945"/>
    <col width="8.42578125" customWidth="1" min="1946" max="1946"/>
    <col width="8.7109375" customWidth="1" min="1947" max="1947"/>
    <col width="8.42578125" customWidth="1" min="1948" max="1948"/>
    <col width="8.7109375" customWidth="1" min="1949" max="1949"/>
    <col width="8.42578125" customWidth="1" min="1950" max="1950"/>
    <col width="8.7109375" customWidth="1" min="1951" max="1951"/>
    <col width="8.42578125" customWidth="1" min="1952" max="1952"/>
    <col width="8.7109375" customWidth="1" min="1953" max="1953"/>
    <col width="8.42578125" customWidth="1" min="1954" max="1954"/>
    <col width="8.7109375" customWidth="1" min="1955" max="1955"/>
    <col width="8.42578125" customWidth="1" min="1956" max="1956"/>
    <col width="8.7109375" customWidth="1" min="1957" max="1957"/>
    <col width="8.42578125" customWidth="1" min="1958" max="1958"/>
    <col width="8.7109375" customWidth="1" min="1959" max="1959"/>
    <col width="8.42578125" customWidth="1" min="1960" max="1960"/>
    <col width="8.7109375" customWidth="1" min="1961" max="1961"/>
    <col width="8.42578125" customWidth="1" min="1962" max="1962"/>
    <col width="8.7109375" customWidth="1" min="1963" max="1963"/>
    <col width="8.42578125" customWidth="1" min="1964" max="1964"/>
    <col width="8.7109375" customWidth="1" min="1965" max="1965"/>
    <col width="8.42578125" customWidth="1" min="1966" max="1966"/>
    <col width="8.7109375" customWidth="1" min="1967" max="1967"/>
    <col width="8.42578125" customWidth="1" min="1968" max="1968"/>
    <col width="8.7109375" customWidth="1" min="1969" max="1969"/>
    <col width="8.42578125" customWidth="1" min="1970" max="1970"/>
    <col width="8.7109375" customWidth="1" min="1971" max="1971"/>
    <col width="8.42578125" customWidth="1" min="1972" max="1972"/>
    <col width="8.7109375" customWidth="1" min="1973" max="1973"/>
    <col width="8.42578125" customWidth="1" min="1974" max="1974"/>
    <col width="8.7109375" customWidth="1" min="1975" max="1975"/>
    <col width="8.42578125" customWidth="1" min="1976" max="1976"/>
    <col width="8.7109375" customWidth="1" min="1977" max="1977"/>
    <col width="8.42578125" customWidth="1" min="1978" max="1978"/>
    <col width="8.7109375" customWidth="1" min="1979" max="1979"/>
    <col width="8.42578125" customWidth="1" min="1980" max="1980"/>
    <col width="8.7109375" customWidth="1" min="1981" max="1981"/>
    <col width="8.42578125" customWidth="1" min="1982" max="1982"/>
    <col width="8.7109375" customWidth="1" min="1983" max="1983"/>
    <col width="8.42578125" customWidth="1" min="1984" max="1984"/>
    <col width="8.7109375" customWidth="1" min="1985" max="1985"/>
    <col width="8.42578125" customWidth="1" min="1986" max="1986"/>
    <col width="8.7109375" customWidth="1" min="1987" max="1987"/>
    <col width="8.42578125" customWidth="1" min="1988" max="1988"/>
    <col width="8.7109375" customWidth="1" min="1989" max="1989"/>
    <col width="8.42578125" customWidth="1" min="1990" max="1990"/>
    <col width="8.7109375" customWidth="1" min="1991" max="1991"/>
    <col width="8.42578125" customWidth="1" min="1992" max="1992"/>
    <col width="8.7109375" customWidth="1" min="1993" max="1993"/>
    <col width="8.42578125" customWidth="1" min="1994" max="1994"/>
    <col width="8.7109375" customWidth="1" min="1995" max="1995"/>
    <col width="8.42578125" customWidth="1" min="1996" max="1996"/>
    <col width="8.7109375" customWidth="1" min="1997" max="1997"/>
    <col width="8.42578125" customWidth="1" min="1998" max="1998"/>
    <col width="8.7109375" customWidth="1" min="1999" max="1999"/>
    <col width="8.42578125" customWidth="1" min="2000" max="2000"/>
    <col width="8.7109375" customWidth="1" min="2001" max="2001"/>
    <col width="8.42578125" customWidth="1" min="2002" max="2002"/>
    <col width="8.7109375" customWidth="1" min="2003" max="2003"/>
    <col width="8.42578125" customWidth="1" min="2004" max="2004"/>
    <col width="8.7109375" customWidth="1" min="2005" max="2005"/>
    <col width="8.42578125" customWidth="1" min="2006" max="2006"/>
    <col width="8.7109375" customWidth="1" min="2007" max="2007"/>
    <col width="8.42578125" customWidth="1" min="2008" max="2008"/>
    <col width="8.7109375" customWidth="1" min="2009" max="2009"/>
    <col width="8.42578125" customWidth="1" min="2010" max="2010"/>
    <col width="8.7109375" customWidth="1" min="2011" max="2011"/>
    <col width="8.42578125" customWidth="1" min="2012" max="2012"/>
    <col width="8.7109375" customWidth="1" min="2013" max="2013"/>
    <col width="8.42578125" customWidth="1" min="2014" max="2014"/>
    <col width="8.7109375" customWidth="1" min="2015" max="2015"/>
    <col width="8.42578125" customWidth="1" min="2016" max="2016"/>
    <col width="8.7109375" customWidth="1" min="2017" max="2017"/>
    <col width="8.42578125" customWidth="1" min="2018" max="2018"/>
    <col width="8.7109375" customWidth="1" min="2019" max="2019"/>
    <col width="8.42578125" customWidth="1" min="2020" max="2020"/>
    <col width="8.7109375" customWidth="1" min="2021" max="2021"/>
    <col width="8.42578125" customWidth="1" min="2022" max="2022"/>
    <col width="8.7109375" customWidth="1" min="2023" max="2023"/>
    <col width="8.42578125" customWidth="1" min="2024" max="2024"/>
    <col width="8.7109375" customWidth="1" min="2025" max="2025"/>
    <col width="8.42578125" customWidth="1" min="2026" max="2026"/>
    <col width="8.7109375" customWidth="1" min="2027" max="2027"/>
    <col width="8.42578125" customWidth="1" min="2028" max="2028"/>
    <col width="8.7109375" customWidth="1" min="2029" max="2029"/>
    <col width="8.42578125" customWidth="1" min="2030" max="2030"/>
    <col width="8.7109375" customWidth="1" min="2031" max="2031"/>
    <col width="8.42578125" customWidth="1" min="2032" max="2032"/>
    <col width="8.7109375" customWidth="1" min="2033" max="2033"/>
    <col width="8.42578125" customWidth="1" min="2034" max="2034"/>
    <col width="8.7109375" customWidth="1" min="2035" max="2035"/>
    <col width="8.42578125" customWidth="1" min="2036" max="2036"/>
    <col width="8.7109375" customWidth="1" min="2037" max="2037"/>
    <col width="8.42578125" customWidth="1" min="2038" max="2038"/>
    <col width="8.7109375" customWidth="1" min="2039" max="2039"/>
    <col width="8.42578125" customWidth="1" min="2040" max="2040"/>
    <col width="8.7109375" customWidth="1" min="2041" max="2041"/>
    <col width="8.42578125" customWidth="1" min="2042" max="2042"/>
    <col width="8.7109375" customWidth="1" min="2043" max="2043"/>
    <col width="8.42578125" customWidth="1" min="2044" max="2044"/>
    <col width="8.7109375" customWidth="1" min="2045" max="2045"/>
    <col width="8.42578125" customWidth="1" min="2046" max="2046"/>
    <col width="8.7109375" customWidth="1" min="2047" max="2047"/>
    <col width="8.42578125" customWidth="1" min="2048" max="2048"/>
    <col width="8.7109375" customWidth="1" min="2049" max="2049"/>
    <col width="8.42578125" customWidth="1" min="2050" max="2050"/>
    <col width="8.7109375" customWidth="1" min="2051" max="2051"/>
    <col width="8.42578125" customWidth="1" min="2052" max="2052"/>
    <col width="8.7109375" customWidth="1" min="2053" max="2053"/>
    <col width="8.42578125" customWidth="1" min="2054" max="2054"/>
    <col width="8.7109375" customWidth="1" min="2055" max="2055"/>
    <col width="8.42578125" customWidth="1" min="2056" max="2056"/>
    <col width="8.7109375" customWidth="1" min="2057" max="2057"/>
    <col width="8.42578125" customWidth="1" min="2058" max="2058"/>
    <col width="8.7109375" customWidth="1" min="2059" max="2059"/>
    <col width="30.7109375" customWidth="1" min="2060" max="2060"/>
    <col width="8.42578125" customWidth="1" min="2061" max="2061"/>
    <col width="8.7109375" customWidth="1" min="2062" max="2077"/>
    <col width="30.7109375" customWidth="1" min="2078" max="2078"/>
    <col width="8.42578125" customWidth="1" min="2079" max="2079"/>
    <col width="8.7109375" customWidth="1" min="2080" max="2080"/>
    <col width="30.7109375" customWidth="1" min="2081" max="2082"/>
    <col width="8.42578125" customWidth="1" min="2083" max="2083"/>
    <col width="8.7109375" customWidth="1" min="2084" max="2084"/>
    <col width="30.7109375" customWidth="1" min="2085" max="2085"/>
    <col width="8.42578125" customWidth="1" min="2086" max="2086"/>
    <col width="8.7109375" customWidth="1" min="2087" max="2087"/>
    <col width="30.7109375" customWidth="1" min="2088" max="2088"/>
    <col width="8.42578125" customWidth="1" min="2089" max="2089"/>
    <col width="8.7109375" customWidth="1" min="2090" max="2090"/>
    <col width="30.7109375" customWidth="1" min="2091" max="2091"/>
    <col width="8.42578125" customWidth="1" min="2092" max="2092"/>
    <col width="8.7109375" customWidth="1" min="2093" max="2093"/>
    <col width="30.7109375" customWidth="1" min="2094" max="2094"/>
    <col width="8.42578125" customWidth="1" min="2095" max="2095"/>
    <col width="8.7109375" customWidth="1" min="2096" max="2096"/>
    <col width="30.7109375" customWidth="1" min="2097" max="2097"/>
    <col width="8.42578125" customWidth="1" min="2098" max="2098"/>
    <col width="8.7109375" customWidth="1" min="2099" max="2099"/>
    <col width="30.7109375" customWidth="1" min="2100" max="2100"/>
    <col width="8.42578125" customWidth="1" min="2101" max="2101"/>
    <col width="8.7109375" customWidth="1" min="2102" max="2102"/>
    <col width="30.7109375" customWidth="1" min="2103" max="2103"/>
    <col width="8.42578125" customWidth="1" min="2104" max="2104"/>
    <col width="8.7109375" customWidth="1" min="2105" max="2105"/>
    <col width="8.42578125" customWidth="1" min="2106" max="2106"/>
    <col width="8.7109375" customWidth="1" min="2107" max="2107"/>
    <col width="8.42578125" customWidth="1" min="2108" max="2108"/>
    <col width="8.7109375" customWidth="1" min="2109" max="2109"/>
    <col width="8.42578125" customWidth="1" min="2110" max="2110"/>
    <col width="8.7109375" customWidth="1" min="2111" max="2111"/>
    <col width="8.42578125" customWidth="1" min="2112" max="2112"/>
    <col width="8.7109375" customWidth="1" min="2113" max="2113"/>
    <col width="8.42578125" customWidth="1" min="2114" max="2114"/>
    <col width="8.7109375" customWidth="1" min="2115" max="2115"/>
    <col width="8.42578125" customWidth="1" min="2116" max="2116"/>
    <col width="8.7109375" customWidth="1" min="2117" max="2117"/>
    <col width="8.42578125" customWidth="1" min="2118" max="2118"/>
    <col width="8.7109375" customWidth="1" min="2119" max="2119"/>
    <col width="8.42578125" customWidth="1" min="2120" max="2120"/>
    <col width="8.7109375" customWidth="1" min="2121" max="2121"/>
    <col width="8.42578125" customWidth="1" min="2122" max="2122"/>
    <col width="8.7109375" customWidth="1" min="2123" max="2123"/>
    <col width="8.42578125" customWidth="1" min="2124" max="2124"/>
    <col width="8.7109375" customWidth="1" min="2125" max="2125"/>
    <col width="8.42578125" customWidth="1" min="2126" max="2126"/>
    <col width="8.7109375" customWidth="1" min="2127" max="2127"/>
    <col width="8.42578125" customWidth="1" min="2128" max="2128"/>
    <col width="8.7109375" customWidth="1" min="2129" max="2129"/>
    <col width="8.42578125" customWidth="1" min="2130" max="2130"/>
    <col width="8.7109375" customWidth="1" min="2131" max="2131"/>
    <col width="8.42578125" customWidth="1" min="2132" max="2132"/>
    <col width="8.7109375" customWidth="1" min="2133" max="2133"/>
    <col width="8.42578125" customWidth="1" min="2134" max="2134"/>
    <col width="8.7109375" customWidth="1" min="2135" max="2135"/>
    <col width="8.42578125" customWidth="1" min="2136" max="2136"/>
    <col width="8.7109375" customWidth="1" min="2137" max="2137"/>
    <col width="8.42578125" customWidth="1" min="2138" max="2138"/>
    <col width="8.7109375" customWidth="1" min="2139" max="2139"/>
    <col width="8.42578125" customWidth="1" min="2140" max="2140"/>
    <col width="8.7109375" customWidth="1" min="2141" max="2141"/>
    <col width="8.42578125" customWidth="1" min="2142" max="2142"/>
    <col width="8.7109375" customWidth="1" min="2143" max="2143"/>
    <col width="8.42578125" customWidth="1" min="2144" max="2144"/>
    <col width="8.7109375" customWidth="1" min="2145" max="2145"/>
    <col width="8.42578125" customWidth="1" min="2146" max="2146"/>
    <col width="8.7109375" customWidth="1" min="2147" max="2147"/>
    <col width="8.42578125" customWidth="1" min="2148" max="2148"/>
    <col width="8.7109375" customWidth="1" min="2149" max="2149"/>
    <col width="8.42578125" customWidth="1" min="2150" max="2150"/>
    <col width="8.7109375" customWidth="1" min="2151" max="2151"/>
    <col width="8.42578125" customWidth="1" min="2152" max="2152"/>
    <col width="8.7109375" customWidth="1" min="2153" max="2153"/>
    <col width="8.42578125" customWidth="1" min="2154" max="2154"/>
    <col width="8.7109375" customWidth="1" min="2155" max="2155"/>
    <col width="8.42578125" customWidth="1" min="2156" max="2156"/>
    <col width="8.7109375" customWidth="1" min="2157" max="2157"/>
    <col width="8.42578125" customWidth="1" min="2158" max="2158"/>
    <col width="8.7109375" customWidth="1" min="2159" max="2159"/>
    <col width="8.42578125" customWidth="1" min="2160" max="2160"/>
    <col width="8.7109375" customWidth="1" min="2161" max="2161"/>
    <col width="8.42578125" customWidth="1" min="2162" max="2162"/>
    <col width="8.7109375" customWidth="1" min="2163" max="2163"/>
    <col width="8.42578125" customWidth="1" min="2164" max="2164"/>
    <col width="8.7109375" customWidth="1" min="2165" max="2165"/>
    <col width="8.42578125" customWidth="1" min="2166" max="2166"/>
    <col width="8.7109375" customWidth="1" min="2167" max="2167"/>
    <col width="8.42578125" customWidth="1" min="2168" max="2168"/>
    <col width="8.7109375" customWidth="1" min="2169" max="2169"/>
    <col width="8.42578125" customWidth="1" min="2170" max="2170"/>
    <col width="8.7109375" customWidth="1" min="2171" max="2171"/>
    <col width="30.7109375" customWidth="1" min="2172" max="2173"/>
    <col width="8.42578125" customWidth="1" min="2174" max="2174"/>
    <col width="8.7109375" customWidth="1" min="2175" max="2175"/>
    <col width="30.7109375" customWidth="1" min="2176" max="2177"/>
    <col width="8.42578125" customWidth="1" min="2178" max="2178"/>
    <col width="8.7109375" customWidth="1" min="2179" max="2179"/>
    <col width="30.7109375" customWidth="1" min="2180" max="2181"/>
    <col width="8.42578125" customWidth="1" min="2182" max="2182"/>
    <col width="8.7109375" customWidth="1" min="2183" max="2183"/>
    <col width="30.7109375" customWidth="1" min="2184" max="2186"/>
    <col width="8.42578125" customWidth="1" min="2187" max="2187"/>
    <col width="8.7109375" customWidth="1" min="2188" max="2188"/>
    <col width="30.7109375" customWidth="1" min="2189" max="2192"/>
    <col width="8.42578125" customWidth="1" min="2193" max="2193"/>
    <col width="8.7109375" customWidth="1" min="2194" max="2195"/>
    <col width="8.42578125" customWidth="1" min="2196" max="2196"/>
    <col width="8.7109375" customWidth="1" min="2197" max="2198"/>
    <col width="8.42578125" customWidth="1" min="2199" max="2199"/>
    <col width="8.7109375" customWidth="1" min="2200" max="2200"/>
    <col width="8.42578125" customWidth="1" min="2201" max="2201"/>
    <col width="8.7109375" customWidth="1" min="2202" max="2204"/>
    <col width="8.42578125" customWidth="1" min="2205" max="2205"/>
    <col width="8.7109375" customWidth="1" min="2206" max="2210"/>
    <col width="8.42578125" customWidth="1" min="2211" max="2211"/>
    <col width="8.7109375" customWidth="1" min="2212" max="2214"/>
    <col width="8.42578125" customWidth="1" min="2215" max="2215"/>
    <col width="8.7109375" customWidth="1" min="2216" max="2217"/>
    <col width="8.42578125" customWidth="1" min="2218" max="2218"/>
    <col width="8.7109375" customWidth="1" min="2219" max="2220"/>
    <col width="8.42578125" customWidth="1" min="2221" max="2221"/>
    <col width="8.7109375" customWidth="1" min="2222" max="2223"/>
    <col width="8.42578125" customWidth="1" min="2224" max="2224"/>
    <col width="8.7109375" customWidth="1" min="2225" max="2227"/>
    <col width="8.42578125" customWidth="1" min="2228" max="2228"/>
    <col width="8.7109375" customWidth="1" min="2229" max="2229"/>
    <col width="8.42578125" customWidth="1" min="2230" max="2230"/>
    <col width="8.7109375" customWidth="1" min="2231" max="2232"/>
    <col width="8.42578125" customWidth="1" min="2233" max="2233"/>
    <col width="8.7109375" customWidth="1" min="2234" max="2234"/>
    <col width="8.42578125" customWidth="1" min="2235" max="2235"/>
    <col width="8.7109375" customWidth="1" min="2236" max="2236"/>
    <col width="8.42578125" customWidth="1" min="2237" max="2237"/>
    <col width="8.7109375" customWidth="1" min="2238" max="2239"/>
    <col width="8.42578125" customWidth="1" min="2240" max="2240"/>
    <col width="8.7109375" customWidth="1" min="2241" max="2241"/>
    <col width="8.42578125" customWidth="1" min="2242" max="2242"/>
    <col width="8.7109375" customWidth="1" min="2243" max="2243"/>
    <col width="8.42578125" customWidth="1" min="2244" max="2244"/>
    <col width="8.7109375" customWidth="1" min="2245" max="2246"/>
    <col width="8.42578125" customWidth="1" min="2247" max="2247"/>
    <col width="8.7109375" customWidth="1" min="2248" max="2248"/>
    <col width="8.42578125" customWidth="1" min="2249" max="2249"/>
    <col width="8.7109375" customWidth="1" min="2250" max="2251"/>
    <col width="8.42578125" customWidth="1" min="2252" max="2252"/>
    <col width="8.7109375" customWidth="1" min="2253" max="2254"/>
    <col width="8.42578125" customWidth="1" min="2255" max="2255"/>
    <col width="8.7109375" customWidth="1" min="2256" max="2257"/>
    <col width="8.42578125" customWidth="1" min="2258" max="2258"/>
    <col width="8.7109375" customWidth="1" min="2259" max="2261"/>
    <col width="8.42578125" customWidth="1" min="2262" max="2262"/>
    <col width="8.7109375" customWidth="1" min="2263" max="2264"/>
    <col width="8.42578125" customWidth="1" min="2265" max="2265"/>
    <col width="8.7109375" customWidth="1" min="2266" max="2266"/>
    <col width="8.42578125" customWidth="1" min="2267" max="2267"/>
    <col width="8.7109375" customWidth="1" min="2268" max="2268"/>
    <col width="8.42578125" customWidth="1" min="2269" max="2269"/>
    <col width="8.7109375" customWidth="1" min="2270" max="2270"/>
    <col width="8.42578125" customWidth="1" min="2271" max="2271"/>
    <col width="8.7109375" customWidth="1" min="2272" max="2272"/>
    <col width="8.42578125" customWidth="1" min="2273" max="2273"/>
    <col width="8.7109375" customWidth="1" min="2274" max="2274"/>
    <col width="30.7109375" customWidth="1" min="2275" max="2277"/>
    <col width="8.42578125" customWidth="1" min="2278" max="2278"/>
    <col width="8.7109375" customWidth="1" min="2279" max="2279"/>
    <col width="8.42578125" customWidth="1" min="2280" max="2280"/>
    <col width="8.7109375" customWidth="1" min="2281" max="2281"/>
    <col width="8.42578125" customWidth="1" min="2282" max="2282"/>
    <col width="8.7109375" customWidth="1" min="2283" max="2283"/>
    <col width="8.42578125" customWidth="1" min="2284" max="2284"/>
    <col width="8.7109375" customWidth="1" min="2285" max="2285"/>
    <col width="8.42578125" customWidth="1" min="2286" max="2286"/>
    <col width="8.7109375" customWidth="1" min="2287" max="2287"/>
    <col width="8.42578125" customWidth="1" min="2288" max="2288"/>
    <col width="8.7109375" customWidth="1" min="2289" max="2289"/>
    <col width="8.42578125" customWidth="1" min="2290" max="2290"/>
    <col width="8.7109375" customWidth="1" min="2291" max="2291"/>
    <col width="8.42578125" customWidth="1" min="2292" max="2292"/>
    <col width="8.7109375" customWidth="1" min="2293" max="2293"/>
    <col width="8.42578125" customWidth="1" min="2294" max="2294"/>
    <col width="8.7109375" customWidth="1" min="2295" max="2295"/>
    <col width="8.42578125" customWidth="1" min="2296" max="2296"/>
    <col width="8.7109375" customWidth="1" min="2297" max="2297"/>
    <col width="8.42578125" customWidth="1" min="2298" max="2298"/>
    <col width="8.7109375" customWidth="1" min="2299" max="2299"/>
    <col width="8.42578125" customWidth="1" min="2300" max="2300"/>
    <col width="8.7109375" customWidth="1" min="2301" max="2301"/>
    <col width="8.42578125" customWidth="1" min="2302" max="2302"/>
    <col width="8.7109375" customWidth="1" min="2303" max="2303"/>
    <col width="8.42578125" customWidth="1" min="2304" max="2304"/>
    <col width="8.7109375" customWidth="1" min="2305" max="2305"/>
    <col width="8.42578125" customWidth="1" min="2306" max="2306"/>
    <col width="8.7109375" customWidth="1" min="2307" max="2307"/>
    <col width="8.42578125" customWidth="1" min="2308" max="2308"/>
    <col width="8.7109375" customWidth="1" min="2309" max="2309"/>
    <col width="8.42578125" customWidth="1" min="2310" max="2310"/>
    <col width="8.7109375" customWidth="1" min="2311" max="2311"/>
    <col width="8.42578125" customWidth="1" min="2312" max="2312"/>
    <col width="8.7109375" customWidth="1" min="2313" max="2313"/>
    <col width="8.42578125" customWidth="1" min="2314" max="2314"/>
    <col width="8.7109375" customWidth="1" min="2315" max="2315"/>
    <col width="8.42578125" customWidth="1" min="2316" max="2316"/>
    <col width="8.7109375" customWidth="1" min="2317" max="2317"/>
    <col width="8.42578125" customWidth="1" min="2318" max="2318"/>
    <col width="8.7109375" customWidth="1" min="2319" max="2319"/>
    <col width="8.42578125" customWidth="1" min="2320" max="2320"/>
    <col width="8.7109375" customWidth="1" min="2321" max="2321"/>
    <col width="8.42578125" customWidth="1" min="2322" max="2322"/>
    <col width="8.7109375" customWidth="1" min="2323" max="2323"/>
    <col width="30.7109375" customWidth="1" min="2324" max="2325"/>
    <col width="8.42578125" customWidth="1" min="2326" max="2326"/>
    <col width="8.7109375" customWidth="1" min="2327" max="2327"/>
    <col width="30.7109375" customWidth="1" min="2328" max="2329"/>
    <col width="8.42578125" customWidth="1" min="2330" max="2330"/>
    <col width="8.7109375" customWidth="1" min="2331" max="2331"/>
    <col width="30.7109375" customWidth="1" min="2332" max="2333"/>
    <col width="8.42578125" customWidth="1" min="2334" max="2334"/>
    <col width="8.7109375" customWidth="1" min="2335" max="2335"/>
    <col width="30.7109375" customWidth="1" min="2336" max="2337"/>
    <col width="8.42578125" customWidth="1" min="2338" max="2338"/>
    <col width="8.7109375" customWidth="1" min="2339" max="2339"/>
    <col width="30.7109375" customWidth="1" min="2340" max="2341"/>
    <col width="8.42578125" customWidth="1" min="2342" max="2342"/>
    <col width="8.7109375" customWidth="1" min="2343" max="2343"/>
    <col width="30.7109375" customWidth="1" min="2344" max="2345"/>
    <col width="8.42578125" customWidth="1" min="2346" max="2346"/>
    <col width="8.7109375" customWidth="1" min="2347" max="2347"/>
    <col width="30.7109375" customWidth="1" min="2348" max="2349"/>
    <col width="8.42578125" customWidth="1" min="2350" max="2350"/>
    <col width="8.7109375" customWidth="1" min="2351" max="2351"/>
    <col width="30.7109375" customWidth="1" min="2352" max="2353"/>
    <col width="8.42578125" customWidth="1" min="2354" max="2354"/>
    <col width="8.7109375" customWidth="1" min="2355" max="2355"/>
    <col width="30.7109375" customWidth="1" min="2356" max="2357"/>
    <col width="8.42578125" customWidth="1" min="2358" max="2358"/>
    <col width="8.7109375" customWidth="1" min="2359" max="2359"/>
    <col width="30.7109375" customWidth="1" min="2360" max="2361"/>
    <col width="8.42578125" customWidth="1" min="2362" max="2362"/>
    <col width="8.7109375" customWidth="1" min="2363" max="2363"/>
    <col width="30.7109375" customWidth="1" min="2364" max="2364"/>
    <col width="8.42578125" customWidth="1" min="2365" max="2365"/>
    <col width="8.7109375" customWidth="1" min="2366" max="2366"/>
    <col width="30.7109375" customWidth="1" min="2367" max="2367"/>
    <col width="8.42578125" customWidth="1" min="2368" max="2368"/>
    <col width="8.7109375" customWidth="1" min="2369" max="2369"/>
    <col width="30.7109375" customWidth="1" min="2370" max="2370"/>
    <col width="8.42578125" customWidth="1" min="2371" max="2371"/>
    <col width="8.7109375" customWidth="1" min="2372" max="2372"/>
    <col width="8.42578125" customWidth="1" min="2373" max="2373"/>
    <col width="8.7109375" customWidth="1" min="2374" max="2374"/>
    <col width="8.42578125" customWidth="1" min="2375" max="2375"/>
    <col width="8.7109375" customWidth="1" min="2376" max="2376"/>
    <col width="8.42578125" customWidth="1" min="2377" max="2377"/>
    <col width="8.7109375" customWidth="1" min="2378" max="2378"/>
    <col width="8.42578125" customWidth="1" min="2379" max="2379"/>
    <col width="8.7109375" customWidth="1" min="2380" max="2380"/>
    <col width="8.42578125" customWidth="1" min="2381" max="2381"/>
    <col width="8.7109375" customWidth="1" min="2382" max="2382"/>
    <col width="8.42578125" customWidth="1" min="2383" max="2383"/>
    <col width="8.7109375" customWidth="1" min="2384" max="2384"/>
    <col width="8.42578125" customWidth="1" min="2385" max="2385"/>
    <col width="8.7109375" customWidth="1" min="2386" max="2398"/>
    <col width="8.42578125" customWidth="1" min="2399" max="2399"/>
    <col width="8.7109375" customWidth="1" min="2400" max="2400"/>
    <col width="8.42578125" customWidth="1" min="2401" max="2401"/>
    <col width="8.7109375" customWidth="1" min="2402" max="2402"/>
    <col width="8.42578125" customWidth="1" min="2403" max="2403"/>
    <col width="8.7109375" customWidth="1" min="2404" max="2404"/>
    <col width="8.42578125" customWidth="1" min="2405" max="2405"/>
    <col width="8.7109375" customWidth="1" min="2406" max="2406"/>
    <col width="8.42578125" customWidth="1" min="2407" max="2407"/>
    <col width="8.7109375" customWidth="1" min="2408" max="2408"/>
    <col width="8.42578125" customWidth="1" min="2409" max="2409"/>
    <col width="8.7109375" customWidth="1" min="2410" max="2410"/>
    <col width="8.42578125" customWidth="1" min="2411" max="2411"/>
    <col width="8.7109375" customWidth="1" min="2412" max="2412"/>
    <col width="30.7109375" customWidth="1" min="2413" max="2414"/>
    <col width="8.42578125" customWidth="1" min="2415" max="2415"/>
    <col width="8.7109375" customWidth="1" min="2416" max="2416"/>
    <col width="8.42578125" customWidth="1" min="2417" max="2417"/>
    <col width="8.7109375" customWidth="1" min="2418" max="2418"/>
    <col width="8.42578125" customWidth="1" min="2419" max="2419"/>
    <col width="8.7109375" customWidth="1" min="2420" max="2420"/>
    <col width="8.42578125" customWidth="1" min="2421" max="2421"/>
    <col width="8.7109375" customWidth="1" min="2422" max="2422"/>
    <col width="8.42578125" customWidth="1" min="2423" max="2423"/>
    <col width="8.7109375" customWidth="1" min="2424" max="2424"/>
    <col width="8.42578125" customWidth="1" min="2425" max="2425"/>
    <col width="8.7109375" customWidth="1" min="2426" max="2426"/>
    <col width="8.42578125" customWidth="1" min="2427" max="2427"/>
    <col width="8.7109375" customWidth="1" min="2428" max="2428"/>
    <col width="8.42578125" customWidth="1" min="2429" max="2429"/>
    <col width="8.7109375" customWidth="1" min="2430" max="2430"/>
    <col width="8.42578125" customWidth="1" min="2431" max="2431"/>
    <col width="8.7109375" customWidth="1" min="2432" max="2432"/>
    <col width="8.42578125" customWidth="1" min="2433" max="2433"/>
    <col width="8.7109375" customWidth="1" min="2434" max="2434"/>
    <col width="8.42578125" customWidth="1" min="2435" max="2435"/>
    <col width="8.7109375" customWidth="1" min="2436" max="2436"/>
    <col width="8.42578125" customWidth="1" min="2437" max="2437"/>
    <col width="8.7109375" customWidth="1" min="2438" max="2438"/>
    <col width="8.42578125" customWidth="1" min="2439" max="2439"/>
    <col width="8.7109375" customWidth="1" min="2440" max="2440"/>
    <col width="8.42578125" customWidth="1" min="2441" max="2441"/>
    <col width="8.7109375" customWidth="1" min="2442" max="2442"/>
    <col width="8.42578125" customWidth="1" min="2443" max="2443"/>
    <col width="8.7109375" customWidth="1" min="2444" max="2444"/>
    <col width="8.42578125" customWidth="1" min="2445" max="2445"/>
    <col width="8.7109375" customWidth="1" min="2446" max="2446"/>
    <col width="8.42578125" customWidth="1" min="2447" max="2447"/>
    <col width="8.7109375" customWidth="1" min="2448" max="2448"/>
    <col width="8.42578125" customWidth="1" min="2449" max="2449"/>
    <col width="8.7109375" customWidth="1" min="2450" max="2450"/>
    <col width="8.42578125" customWidth="1" min="2451" max="2451"/>
    <col width="8.7109375" customWidth="1" min="2452" max="2452"/>
    <col width="8.42578125" customWidth="1" min="2453" max="2453"/>
    <col width="8.7109375" customWidth="1" min="2454" max="2454"/>
    <col width="8.42578125" customWidth="1" min="2455" max="2455"/>
    <col width="8.7109375" customWidth="1" min="2456" max="2456"/>
    <col width="30.7109375" customWidth="1" min="2457" max="2458"/>
    <col width="8.42578125" customWidth="1" min="2459" max="2459"/>
    <col width="8.7109375" customWidth="1" min="2460" max="2460"/>
    <col width="30.7109375" customWidth="1" min="2461" max="2462"/>
    <col width="8.42578125" customWidth="1" min="2463" max="2463"/>
    <col width="8.7109375" customWidth="1" min="2464" max="2464"/>
    <col width="30.7109375" customWidth="1" min="2465" max="2466"/>
    <col width="8.42578125" customWidth="1" min="2467" max="2467"/>
    <col width="8.7109375" customWidth="1" min="2468" max="2468"/>
    <col width="30.7109375" customWidth="1" min="2469" max="2470"/>
    <col width="8.42578125" customWidth="1" min="2471" max="2471"/>
    <col width="8.7109375" customWidth="1" min="2472" max="2472"/>
    <col width="30.7109375" customWidth="1" min="2473" max="2474"/>
    <col width="8.42578125" customWidth="1" min="2475" max="2475"/>
    <col width="8.7109375" customWidth="1" min="2476" max="2476"/>
    <col width="30.7109375" customWidth="1" min="2477" max="2478"/>
    <col width="8.42578125" customWidth="1" min="2479" max="2479"/>
    <col width="8.7109375" customWidth="1" min="2480" max="2480"/>
    <col width="30.7109375" customWidth="1" min="2481" max="2482"/>
    <col width="8.42578125" customWidth="1" min="2483" max="2483"/>
    <col width="8.7109375" customWidth="1" min="2484" max="2484"/>
    <col width="30.7109375" customWidth="1" min="2485" max="2486"/>
    <col width="8.42578125" customWidth="1" min="2487" max="2487"/>
    <col width="8.7109375" customWidth="1" min="2488" max="2488"/>
    <col width="30.7109375" customWidth="1" min="2489" max="2490"/>
    <col width="8.42578125" customWidth="1" min="2491" max="2491"/>
    <col width="8.7109375" customWidth="1" min="2492" max="2492"/>
    <col width="30.7109375" customWidth="1" min="2493" max="2494"/>
    <col width="8.42578125" customWidth="1" min="2495" max="2495"/>
    <col width="8.7109375" customWidth="1" min="2496" max="2496"/>
    <col width="30.7109375" customWidth="1" min="2497" max="2498"/>
    <col width="8.42578125" customWidth="1" min="2499" max="2499"/>
    <col width="8.7109375" customWidth="1" min="2500" max="2500"/>
    <col width="30.7109375" customWidth="1" min="2501" max="2502"/>
    <col width="8.42578125" customWidth="1" min="2503" max="2503"/>
    <col width="8.7109375" customWidth="1" min="2504" max="2504"/>
    <col width="30.7109375" customWidth="1" min="2505" max="2506"/>
    <col width="8.42578125" customWidth="1" min="2507" max="2507"/>
    <col width="8.7109375" customWidth="1" min="2508" max="2508"/>
    <col width="30.7109375" customWidth="1" min="2509" max="2510"/>
    <col width="8.42578125" customWidth="1" min="2511" max="2511"/>
    <col width="8.7109375" customWidth="1" min="2512" max="2512"/>
    <col width="30.7109375" customWidth="1" min="2513" max="2514"/>
    <col width="8.42578125" customWidth="1" min="2515" max="2515"/>
    <col width="8.7109375" customWidth="1" min="2516" max="2516"/>
    <col width="30.7109375" customWidth="1" min="2517" max="2518"/>
    <col width="8.42578125" customWidth="1" min="2519" max="2519"/>
    <col width="8.7109375" customWidth="1" min="2520" max="2520"/>
    <col width="30.7109375" customWidth="1" min="2521" max="2522"/>
    <col width="8.42578125" customWidth="1" min="2523" max="2523"/>
    <col width="8.7109375" customWidth="1" min="2524" max="2524"/>
    <col width="30.7109375" customWidth="1" min="2525" max="2526"/>
    <col width="8.42578125" customWidth="1" min="2527" max="2527"/>
    <col width="8.7109375" customWidth="1" min="2528" max="2528"/>
    <col width="30.7109375" customWidth="1" min="2529" max="2530"/>
    <col width="8.42578125" customWidth="1" min="2531" max="2531"/>
    <col width="8.7109375" customWidth="1" min="2532" max="2532"/>
    <col width="30.7109375" customWidth="1" min="2533" max="2534"/>
    <col width="8.42578125" customWidth="1" min="2535" max="2535"/>
    <col width="8.7109375" customWidth="1" min="2536" max="2536"/>
    <col width="30.7109375" customWidth="1" min="2537" max="2538"/>
    <col width="8.42578125" customWidth="1" min="2539" max="2539"/>
    <col width="8.7109375" customWidth="1" min="2540" max="2540"/>
    <col width="30.7109375" customWidth="1" min="2541" max="2542"/>
    <col width="8.42578125" customWidth="1" min="2543" max="2543"/>
    <col width="8.7109375" customWidth="1" min="2544" max="2544"/>
    <col width="30.7109375" customWidth="1" min="2545" max="2546"/>
    <col width="8.42578125" customWidth="1" min="2547" max="2547"/>
    <col width="8.7109375" customWidth="1" min="2548" max="2548"/>
    <col width="30.7109375" customWidth="1" min="2549" max="2550"/>
    <col width="8.42578125" customWidth="1" min="2551" max="2551"/>
    <col width="8.7109375" customWidth="1" min="2552" max="2552"/>
    <col width="30.7109375" customWidth="1" min="2553" max="2554"/>
    <col width="8.42578125" customWidth="1" min="2555" max="2555"/>
    <col width="8.7109375" customWidth="1" min="2556" max="2556"/>
    <col width="8.42578125" customWidth="1" min="2557" max="2557"/>
    <col width="8.7109375" customWidth="1" min="2558" max="2558"/>
    <col width="8.42578125" customWidth="1" min="2559" max="2559"/>
    <col width="8.7109375" customWidth="1" min="2560" max="2560"/>
    <col width="8.42578125" customWidth="1" min="2561" max="2561"/>
    <col width="8.7109375" customWidth="1" min="2562" max="2562"/>
    <col width="8.42578125" customWidth="1" min="2563" max="2563"/>
    <col width="8.7109375" customWidth="1" min="2564" max="2564"/>
    <col width="8.42578125" customWidth="1" min="2565" max="2565"/>
    <col width="8.7109375" customWidth="1" min="2566" max="2566"/>
    <col width="8.42578125" customWidth="1" min="2567" max="2567"/>
    <col width="8.7109375" customWidth="1" min="2568" max="2568"/>
    <col width="8.42578125" customWidth="1" min="2569" max="2569"/>
    <col width="8.7109375" customWidth="1" min="2570" max="2570"/>
    <col width="8.42578125" customWidth="1" min="2571" max="2571"/>
    <col width="8.7109375" customWidth="1" min="2572" max="2572"/>
    <col width="30.7109375" customWidth="1" min="2573" max="2573"/>
    <col width="8.42578125" customWidth="1" min="2574" max="2574"/>
    <col width="8.7109375" customWidth="1" min="2575" max="2575"/>
    <col width="30.7109375" customWidth="1" min="2576" max="2576"/>
    <col width="8.42578125" customWidth="1" min="2577" max="2577"/>
    <col width="8.7109375" customWidth="1" min="2578" max="2578"/>
    <col width="30.7109375" customWidth="1" min="2579" max="2579"/>
    <col width="8.42578125" customWidth="1" min="2580" max="2580"/>
    <col width="8.7109375" customWidth="1" min="2581" max="2581"/>
    <col width="30.7109375" customWidth="1" min="2582" max="2582"/>
    <col width="8.42578125" customWidth="1" min="2583" max="2583"/>
    <col width="8.7109375" customWidth="1" min="2584" max="2584"/>
    <col width="30.7109375" customWidth="1" min="2585" max="2585"/>
    <col width="8.42578125" customWidth="1" min="2586" max="2586"/>
    <col width="8.7109375" customWidth="1" min="2587" max="2587"/>
    <col width="30.7109375" customWidth="1" min="2588" max="2588"/>
    <col width="8.42578125" customWidth="1" min="2589" max="2589"/>
    <col width="8.7109375" customWidth="1" min="2590" max="2590"/>
    <col width="30.7109375" customWidth="1" min="2591" max="2591"/>
    <col width="8.42578125" customWidth="1" min="2592" max="2592"/>
    <col width="8.7109375" customWidth="1" min="2593" max="2593"/>
    <col width="30.7109375" customWidth="1" min="2594" max="2594"/>
    <col width="8.42578125" customWidth="1" min="2595" max="2595"/>
    <col width="8.7109375" customWidth="1" min="2596" max="2596"/>
    <col width="30.7109375" customWidth="1" min="2597" max="2597"/>
    <col width="8.42578125" customWidth="1" min="2598" max="2598"/>
    <col width="8.7109375" customWidth="1" min="2599" max="2599"/>
    <col width="30.7109375" customWidth="1" min="2600" max="2600"/>
    <col width="8.42578125" customWidth="1" min="2601" max="2601"/>
    <col width="8.7109375" customWidth="1" min="2602" max="2602"/>
    <col width="30.7109375" customWidth="1" min="2603" max="2603"/>
    <col width="8.42578125" customWidth="1" min="2604" max="2604"/>
    <col width="8.7109375" customWidth="1" min="2605" max="2605"/>
    <col width="30.7109375" customWidth="1" min="2606" max="2606"/>
    <col width="8.42578125" customWidth="1" min="2607" max="2607"/>
    <col width="8.7109375" customWidth="1" min="2608" max="2608"/>
    <col width="30.7109375" customWidth="1" min="2609" max="2609"/>
    <col width="8.42578125" customWidth="1" min="2610" max="2610"/>
    <col width="8.7109375" customWidth="1" min="2611" max="2611"/>
    <col width="30.7109375" customWidth="1" min="2612" max="2612"/>
    <col width="8.42578125" customWidth="1" min="2613" max="2613"/>
    <col width="8.7109375" customWidth="1" min="2614" max="2614"/>
    <col width="30.7109375" customWidth="1" min="2615" max="2615"/>
    <col width="8.42578125" customWidth="1" min="2616" max="2616"/>
    <col width="8.7109375" customWidth="1" min="2617" max="2646"/>
    <col width="8.42578125" customWidth="1" min="2647" max="2647"/>
    <col width="8.7109375" customWidth="1" min="2648" max="2648"/>
    <col width="8.42578125" customWidth="1" min="2649" max="2649"/>
    <col width="8.7109375" customWidth="1" min="2650" max="2650"/>
    <col width="8.42578125" customWidth="1" min="2651" max="2651"/>
    <col width="8.7109375" customWidth="1" min="2652" max="2652"/>
    <col width="8.42578125" customWidth="1" min="2653" max="2653"/>
    <col width="8.7109375" customWidth="1" min="2654" max="2654"/>
    <col width="8.42578125" customWidth="1" min="2655" max="2655"/>
    <col width="8.7109375" customWidth="1" min="2656" max="2672"/>
    <col width="8.42578125" customWidth="1" min="2673" max="2673"/>
    <col width="8.7109375" customWidth="1" min="2674" max="2674"/>
    <col width="8.42578125" customWidth="1" min="2675" max="2675"/>
    <col width="8.7109375" customWidth="1" min="2676" max="2676"/>
    <col width="8.42578125" customWidth="1" min="2677" max="2677"/>
    <col width="8.7109375" customWidth="1" min="2678" max="2678"/>
    <col width="8.42578125" customWidth="1" min="2679" max="2679"/>
    <col width="8.7109375" customWidth="1" min="2680" max="2680"/>
    <col width="8.42578125" customWidth="1" min="2681" max="2681"/>
    <col width="8.7109375" customWidth="1" min="2682" max="2682"/>
    <col width="8.42578125" customWidth="1" min="2683" max="2683"/>
    <col width="8.7109375" customWidth="1" min="2684" max="2684"/>
    <col width="8.42578125" customWidth="1" min="2685" max="2685"/>
    <col width="8.7109375" customWidth="1" min="2686" max="2686"/>
    <col width="8.42578125" customWidth="1" min="2687" max="2687"/>
    <col width="8.7109375" customWidth="1" min="2688" max="2688"/>
    <col width="8.42578125" customWidth="1" min="2689" max="2689"/>
    <col width="8.7109375" customWidth="1" min="2690" max="2690"/>
    <col width="8.42578125" customWidth="1" min="2691" max="2691"/>
    <col width="8.7109375" customWidth="1" min="2692" max="2692"/>
    <col width="8.42578125" customWidth="1" min="2693" max="2693"/>
    <col width="8.7109375" customWidth="1" min="2694" max="2701"/>
    <col width="8.42578125" customWidth="1" min="2702" max="2702"/>
    <col width="8.7109375" customWidth="1" min="2703" max="2708"/>
    <col width="8.42578125" customWidth="1" min="2709" max="2709"/>
    <col width="8.7109375" customWidth="1" min="2710" max="2710"/>
    <col width="8.42578125" customWidth="1" min="2711" max="2711"/>
    <col width="8.7109375" customWidth="1" min="2712" max="2712"/>
    <col width="8.42578125" customWidth="1" min="2713" max="2713"/>
    <col width="8.7109375" customWidth="1" min="2714" max="2714"/>
    <col width="8.42578125" customWidth="1" min="2715" max="2715"/>
    <col width="8.7109375" customWidth="1" min="2716" max="2716"/>
    <col width="8.42578125" customWidth="1" min="2717" max="2717"/>
    <col width="8.7109375" customWidth="1" min="2718" max="2718"/>
    <col width="8.42578125" customWidth="1" min="2719" max="2719"/>
    <col width="8.7109375" customWidth="1" min="2720" max="2720"/>
    <col width="8.42578125" customWidth="1" min="2721" max="2721"/>
    <col width="8.7109375" customWidth="1" min="2722" max="2722"/>
    <col width="8.42578125" customWidth="1" min="2723" max="2723"/>
    <col width="8.7109375" customWidth="1" min="2724" max="2724"/>
    <col width="8.42578125" customWidth="1" min="2725" max="2725"/>
    <col width="8.7109375" customWidth="1" min="2726" max="2726"/>
    <col width="8.42578125" customWidth="1" min="2727" max="2727"/>
    <col width="8.7109375" customWidth="1" min="2728" max="2728"/>
    <col width="8.42578125" customWidth="1" min="2729" max="2729"/>
    <col width="8.7109375" customWidth="1" min="2730" max="2730"/>
    <col width="8.42578125" customWidth="1" min="2731" max="2731"/>
    <col width="8.7109375" customWidth="1" min="2732" max="2732"/>
    <col width="8.42578125" customWidth="1" min="2733" max="2733"/>
    <col width="8.7109375" customWidth="1" min="2734" max="2734"/>
    <col width="8.42578125" customWidth="1" min="2735" max="2735"/>
    <col width="8.7109375" customWidth="1" min="2736" max="2736"/>
    <col width="8.42578125" customWidth="1" min="2737" max="2737"/>
    <col width="8.7109375" customWidth="1" min="2738" max="2738"/>
    <col width="8.42578125" customWidth="1" min="2739" max="2739"/>
    <col width="8.7109375" customWidth="1" min="2740" max="2740"/>
    <col width="6.7109375" bestFit="1" customWidth="1" min="2741" max="2741"/>
    <col width="8.7109375" customWidth="1" min="2742" max="2742"/>
    <col width="6.7109375" bestFit="1" customWidth="1" min="2743" max="2743"/>
    <col width="7.7109375" customWidth="1" min="2744" max="2744"/>
    <col width="6.7109375" bestFit="1" customWidth="1" min="2745" max="2745"/>
    <col width="6.7109375" customWidth="1" min="2746" max="2746"/>
    <col width="9.28515625" bestFit="1" customWidth="1" min="2747" max="2748"/>
    <col width="5" bestFit="1" customWidth="1" min="2749" max="2749"/>
    <col width="9.28515625" bestFit="1" customWidth="1" min="2750" max="2750"/>
    <col width="4.28515625" bestFit="1" customWidth="1" min="2751" max="2751"/>
    <col width="6.7109375" bestFit="1" customWidth="1" min="2752" max="2752"/>
    <col width="4.28515625" bestFit="1" customWidth="1" min="2753" max="2753"/>
    <col width="6.7109375" bestFit="1" customWidth="1" min="2754" max="2754"/>
    <col width="4.28515625" bestFit="1" customWidth="1" min="2755" max="2755"/>
    <col width="6.7109375" bestFit="1" customWidth="1" min="2756" max="2756"/>
    <col width="4.28515625" bestFit="1" customWidth="1" min="2757" max="2757"/>
    <col width="6.7109375" bestFit="1" customWidth="1" min="2758" max="2758"/>
    <col width="4.28515625" bestFit="1" customWidth="1" min="2759" max="2759"/>
    <col width="6.7109375" bestFit="1" customWidth="1" min="2760" max="2760"/>
    <col width="4.28515625" bestFit="1" customWidth="1" min="2761" max="2761"/>
    <col width="6.7109375" bestFit="1" customWidth="1" min="2762" max="2762"/>
    <col width="4.28515625" bestFit="1" customWidth="1" min="2763" max="2763"/>
    <col width="6.7109375" bestFit="1" customWidth="1" min="2764" max="2764"/>
    <col width="4.28515625" bestFit="1" customWidth="1" min="2765" max="2766"/>
    <col width="30.7109375" customWidth="1" min="2767" max="2767"/>
    <col width="6.7109375" bestFit="1" customWidth="1" min="2768" max="2768"/>
    <col width="4.28515625" bestFit="1" customWidth="1" min="2769" max="2770"/>
    <col width="6.7109375" bestFit="1" customWidth="1" min="2771" max="2771"/>
    <col width="4.28515625" bestFit="1" customWidth="1" min="2772" max="2777"/>
    <col width="6.7109375" bestFit="1" customWidth="1" min="2778" max="2778"/>
    <col width="4.28515625" bestFit="1" customWidth="1" min="2779" max="2800"/>
    <col width="6.7109375" bestFit="1" customWidth="1" min="2801" max="2801"/>
    <col width="4.28515625" bestFit="1" customWidth="1" min="2802" max="2802"/>
    <col width="6.7109375" bestFit="1" customWidth="1" min="2803" max="2803"/>
    <col width="4.28515625" bestFit="1" customWidth="1" min="2804" max="2806"/>
    <col width="6.7109375" bestFit="1" customWidth="1" min="2807" max="2807"/>
    <col width="4.28515625" bestFit="1" customWidth="1" min="2808" max="2808"/>
    <col width="6.7109375" bestFit="1" customWidth="1" min="2809" max="2809"/>
    <col width="4.28515625" bestFit="1" customWidth="1" min="2810" max="2810"/>
    <col width="6.7109375" bestFit="1" customWidth="1" min="2811" max="2811"/>
    <col width="4.28515625" bestFit="1" customWidth="1" min="2812" max="2812"/>
    <col width="6.7109375" bestFit="1" customWidth="1" min="2813" max="2813"/>
    <col width="4.28515625" bestFit="1" customWidth="1" min="2814" max="2814"/>
    <col width="6.7109375" bestFit="1" customWidth="1" min="2815" max="2815"/>
    <col width="4.28515625" bestFit="1" customWidth="1" min="2816" max="2816"/>
    <col width="6.7109375" bestFit="1" customWidth="1" min="2817" max="2817"/>
    <col width="4.28515625" bestFit="1" customWidth="1" min="2818" max="2818"/>
    <col width="6.7109375" bestFit="1" customWidth="1" min="2819" max="2819"/>
    <col width="4.28515625" bestFit="1" customWidth="1" min="2820" max="2820"/>
    <col width="6.7109375" bestFit="1" customWidth="1" min="2821" max="2821"/>
    <col width="4.28515625" bestFit="1" customWidth="1" min="2822" max="2822"/>
    <col width="30.7109375" customWidth="1" min="2823" max="2823"/>
    <col width="6.7109375" bestFit="1" customWidth="1" min="2824" max="2824"/>
    <col width="4.28515625" bestFit="1" customWidth="1" min="2825" max="2825"/>
    <col width="30.7109375" customWidth="1" min="2826" max="2826"/>
    <col width="6.7109375" bestFit="1" customWidth="1" min="2827" max="2827"/>
    <col width="4.28515625" bestFit="1" customWidth="1" min="2828" max="2828"/>
    <col width="6.7109375" bestFit="1" customWidth="1" min="2829" max="2829"/>
    <col width="4.28515625" bestFit="1" customWidth="1" min="2830" max="2830"/>
    <col width="30.7109375" customWidth="1" min="2831" max="2831"/>
    <col width="6.7109375" bestFit="1" customWidth="1" min="2832" max="2832"/>
    <col width="4.28515625" bestFit="1" customWidth="1" min="2833" max="2833"/>
    <col width="30.7109375" customWidth="1" min="2834" max="2834"/>
    <col width="6.7109375" bestFit="1" customWidth="1" min="2835" max="2835"/>
    <col width="4.28515625" bestFit="1" customWidth="1" min="2836" max="2836"/>
    <col width="30.7109375" customWidth="1" min="2837" max="2837"/>
    <col width="6.7109375" bestFit="1" customWidth="1" min="2838" max="2838"/>
    <col width="4.28515625" bestFit="1" customWidth="1" min="2839" max="2839"/>
    <col width="30.7109375" customWidth="1" min="2840" max="2840"/>
    <col width="6.7109375" bestFit="1" customWidth="1" min="2841" max="2841"/>
    <col width="4.28515625" bestFit="1" customWidth="1" min="2842" max="2842"/>
    <col width="30.7109375" customWidth="1" min="2843" max="2843"/>
    <col width="6.7109375" bestFit="1" customWidth="1" min="2844" max="2844"/>
    <col width="4.28515625" bestFit="1" customWidth="1" min="2845" max="2845"/>
    <col width="30.7109375" customWidth="1" min="2846" max="2846"/>
    <col width="6.7109375" bestFit="1" customWidth="1" min="2847" max="2847"/>
    <col width="4.28515625" bestFit="1" customWidth="1" min="2848" max="2848"/>
    <col width="30.7109375" customWidth="1" min="2849" max="2849"/>
    <col width="6.7109375" bestFit="1" customWidth="1" min="2850" max="2850"/>
    <col width="4.28515625" bestFit="1" customWidth="1" min="2851" max="2851"/>
    <col width="30.7109375" customWidth="1" min="2852" max="2852"/>
    <col width="6.7109375" bestFit="1" customWidth="1" min="2853" max="2853"/>
    <col width="4.28515625" bestFit="1" customWidth="1" min="2854" max="2854"/>
    <col width="6.7109375" bestFit="1" customWidth="1" min="2855" max="2855"/>
    <col width="4.28515625" bestFit="1" customWidth="1" min="2856" max="2856"/>
    <col width="30.7109375" customWidth="1" min="2857" max="2857"/>
    <col width="6.7109375" bestFit="1" customWidth="1" min="2858" max="2858"/>
    <col width="4.28515625" bestFit="1" customWidth="1" min="2859" max="2859"/>
    <col width="30.7109375" customWidth="1" min="2860" max="2861"/>
    <col width="6.7109375" bestFit="1" customWidth="1" min="2862" max="2862"/>
    <col width="4.28515625" bestFit="1" customWidth="1" min="2863" max="2863"/>
    <col width="30.7109375" customWidth="1" min="2864" max="2864"/>
    <col width="6.7109375" bestFit="1" customWidth="1" min="2865" max="2865"/>
    <col width="4.28515625" bestFit="1" customWidth="1" min="2866" max="2866"/>
    <col width="30.7109375" customWidth="1" min="2867" max="2867"/>
    <col width="6.7109375" bestFit="1" customWidth="1" min="2868" max="2868"/>
    <col width="4.28515625" bestFit="1" customWidth="1" min="2869" max="2869"/>
    <col width="30.7109375" customWidth="1" min="2870" max="2870"/>
    <col width="6.7109375" bestFit="1" customWidth="1" min="2871" max="2871"/>
    <col width="4.28515625" bestFit="1" customWidth="1" min="2872" max="2872"/>
    <col width="30.7109375" customWidth="1" min="2873" max="2873"/>
    <col width="6.7109375" bestFit="1" customWidth="1" min="2874" max="2874"/>
    <col width="4.28515625" bestFit="1" customWidth="1" min="2875" max="2875"/>
    <col width="30.7109375" customWidth="1" min="2876" max="2876"/>
    <col width="6.7109375" bestFit="1" customWidth="1" min="2877" max="2877"/>
    <col width="4.28515625" bestFit="1" customWidth="1" min="2878" max="2878"/>
    <col width="30.7109375" customWidth="1" min="2879" max="2879"/>
    <col width="6.7109375" bestFit="1" customWidth="1" min="2880" max="2880"/>
    <col width="4.28515625" bestFit="1" customWidth="1" min="2881" max="2881"/>
    <col width="30.7109375" customWidth="1" min="2882" max="2882"/>
    <col width="6.7109375" bestFit="1" customWidth="1" min="2883" max="2883"/>
    <col width="4.28515625" bestFit="1" customWidth="1" min="2884" max="2884"/>
    <col width="30.7109375" customWidth="1" min="2885" max="2885"/>
    <col width="6.7109375" bestFit="1" customWidth="1" min="2886" max="2886"/>
    <col width="4.28515625" bestFit="1" customWidth="1" min="2887" max="2887"/>
    <col width="30.7109375" customWidth="1" min="2888" max="2888"/>
    <col width="6.7109375" bestFit="1" customWidth="1" min="2889" max="2889"/>
    <col width="4.28515625" bestFit="1" customWidth="1" min="2890" max="2890"/>
    <col width="30.7109375" customWidth="1" min="2891" max="2891"/>
    <col width="6.7109375" bestFit="1" customWidth="1" min="2892" max="2892"/>
    <col width="4.28515625" bestFit="1" customWidth="1" min="2893" max="2893"/>
    <col width="30.7109375" customWidth="1" min="2894" max="2894"/>
    <col width="6.7109375" bestFit="1" customWidth="1" min="2895" max="2895"/>
    <col width="4.28515625" bestFit="1" customWidth="1" min="2896" max="2896"/>
    <col width="30.7109375" customWidth="1" min="2897" max="2897"/>
    <col width="6.7109375" bestFit="1" customWidth="1" min="2898" max="2898"/>
    <col width="4.28515625" bestFit="1" customWidth="1" min="2899" max="2899"/>
    <col width="30.7109375" customWidth="1" min="2900" max="2900"/>
    <col width="6.7109375" bestFit="1" customWidth="1" min="2901" max="2901"/>
    <col width="4.28515625" bestFit="1" customWidth="1" min="2902" max="2902"/>
    <col width="30.7109375" customWidth="1" min="2903" max="2903"/>
    <col width="6.7109375" bestFit="1" customWidth="1" min="2904" max="2904"/>
    <col width="4.28515625" bestFit="1" customWidth="1" min="2905" max="2905"/>
    <col width="6.7109375" bestFit="1" customWidth="1" min="2906" max="2906"/>
    <col width="4.28515625" bestFit="1" customWidth="1" min="2907" max="2907"/>
    <col width="6.7109375" bestFit="1" customWidth="1" min="2908" max="2908"/>
    <col width="4.28515625" bestFit="1" customWidth="1" min="2909" max="2909"/>
    <col width="6.7109375" bestFit="1" customWidth="1" min="2910" max="2910"/>
    <col width="4.28515625" bestFit="1" customWidth="1" min="2911" max="2911"/>
    <col width="6.7109375" bestFit="1" customWidth="1" min="2912" max="2912"/>
    <col width="4.28515625" bestFit="1" customWidth="1" min="2913" max="2913"/>
    <col width="6.7109375" bestFit="1" customWidth="1" min="2914" max="2914"/>
    <col width="4.28515625" bestFit="1" customWidth="1" min="2915" max="2915"/>
    <col width="6.7109375" bestFit="1" customWidth="1" min="2916" max="2916"/>
    <col width="4.28515625" bestFit="1" customWidth="1" min="2917" max="2917"/>
    <col width="6.7109375" bestFit="1" customWidth="1" min="2918" max="2918"/>
    <col width="4.28515625" bestFit="1" customWidth="1" min="2919" max="2919"/>
    <col width="6.7109375" bestFit="1" customWidth="1" min="2920" max="2920"/>
    <col width="4.28515625" bestFit="1" customWidth="1" min="2921" max="2921"/>
    <col width="6.7109375" bestFit="1" customWidth="1" min="2922" max="2922"/>
    <col width="4.28515625" bestFit="1" customWidth="1" min="2923" max="2923"/>
    <col width="6.7109375" bestFit="1" customWidth="1" min="2924" max="2924"/>
    <col width="4.28515625" bestFit="1" customWidth="1" min="2925" max="2925"/>
    <col width="6.7109375" bestFit="1" customWidth="1" min="2926" max="2926"/>
    <col width="4.28515625" bestFit="1" customWidth="1" min="2927" max="2927"/>
    <col width="6.7109375" bestFit="1" customWidth="1" min="2928" max="2928"/>
    <col width="4.28515625" bestFit="1" customWidth="1" min="2929" max="2929"/>
    <col width="6.7109375" bestFit="1" customWidth="1" min="2930" max="2930"/>
    <col width="4.28515625" bestFit="1" customWidth="1" min="2931" max="2931"/>
    <col width="6.7109375" bestFit="1" customWidth="1" min="2932" max="2932"/>
    <col width="4.28515625" bestFit="1" customWidth="1" min="2933" max="2933"/>
    <col width="6.7109375" bestFit="1" customWidth="1" min="2934" max="2934"/>
    <col width="4.28515625" bestFit="1" customWidth="1" min="2935" max="2935"/>
    <col width="6.7109375" bestFit="1" customWidth="1" min="2936" max="2936"/>
    <col width="4.28515625" bestFit="1" customWidth="1" min="2937" max="2937"/>
    <col width="6.7109375" bestFit="1" customWidth="1" min="2938" max="2938"/>
    <col width="4.28515625" bestFit="1" customWidth="1" min="2939" max="2939"/>
    <col width="6.7109375" bestFit="1" customWidth="1" min="2940" max="2940"/>
    <col width="4.28515625" bestFit="1" customWidth="1" min="2941" max="2941"/>
    <col width="6.7109375" bestFit="1" customWidth="1" min="2942" max="2942"/>
    <col width="4.28515625" bestFit="1" customWidth="1" min="2943" max="2943"/>
    <col width="6.7109375" bestFit="1" customWidth="1" min="2944" max="2944"/>
    <col width="4.28515625" bestFit="1" customWidth="1" min="2945" max="2945"/>
    <col width="6.7109375" bestFit="1" customWidth="1" min="2946" max="2946"/>
    <col width="4.28515625" bestFit="1" customWidth="1" min="2947" max="2947"/>
    <col width="6.7109375" bestFit="1" customWidth="1" min="2948" max="2948"/>
    <col width="4.28515625" bestFit="1" customWidth="1" min="2949" max="2949"/>
    <col width="6.7109375" bestFit="1" customWidth="1" min="2950" max="2950"/>
    <col width="4.28515625" bestFit="1" customWidth="1" min="2951" max="2951"/>
    <col width="6.7109375" bestFit="1" customWidth="1" min="2952" max="2952"/>
    <col width="4.28515625" bestFit="1" customWidth="1" min="2953" max="2953"/>
    <col width="6.7109375" bestFit="1" customWidth="1" min="2954" max="2954"/>
    <col width="4.28515625" bestFit="1" customWidth="1" min="2955" max="2955"/>
    <col width="6.7109375" bestFit="1" customWidth="1" min="2956" max="2956"/>
    <col width="4.28515625" bestFit="1" customWidth="1" min="2957" max="2957"/>
    <col width="6.7109375" bestFit="1" customWidth="1" min="2958" max="2958"/>
    <col width="4.28515625" bestFit="1" customWidth="1" min="2959" max="2959"/>
    <col width="6.7109375" bestFit="1" customWidth="1" min="2960" max="2960"/>
    <col width="4.28515625" bestFit="1" customWidth="1" min="2961" max="2961"/>
    <col width="6.7109375" bestFit="1" customWidth="1" min="2962" max="2962"/>
    <col width="4.28515625" bestFit="1" customWidth="1" min="2963" max="2963"/>
    <col width="6.7109375" bestFit="1" customWidth="1" min="2964" max="2964"/>
    <col width="4.28515625" bestFit="1" customWidth="1" min="2965" max="2965"/>
    <col width="6.7109375" bestFit="1" customWidth="1" min="2966" max="2966"/>
    <col width="4.28515625" bestFit="1" customWidth="1" min="2967" max="2967"/>
    <col width="6.7109375" bestFit="1" customWidth="1" min="2968" max="2968"/>
    <col width="4.28515625" bestFit="1" customWidth="1" min="2969" max="2969"/>
    <col width="6.7109375" bestFit="1" customWidth="1" min="2970" max="2970"/>
    <col width="4.28515625" bestFit="1" customWidth="1" min="2971" max="2971"/>
    <col width="6.7109375" bestFit="1" customWidth="1" min="2972" max="2972"/>
    <col width="4.28515625" bestFit="1" customWidth="1" min="2973" max="2973"/>
    <col width="6.7109375" bestFit="1" customWidth="1" min="2974" max="2974"/>
    <col width="4.28515625" bestFit="1" customWidth="1" min="2975" max="2975"/>
    <col width="6.7109375" bestFit="1" customWidth="1" min="2976" max="2976"/>
    <col width="4.28515625" bestFit="1" customWidth="1" min="2977" max="2977"/>
    <col width="6.7109375" bestFit="1" customWidth="1" min="2978" max="2978"/>
    <col width="4.28515625" bestFit="1" customWidth="1" min="2979" max="2979"/>
    <col width="6.7109375" bestFit="1" customWidth="1" min="2980" max="2980"/>
    <col width="4.28515625" bestFit="1" customWidth="1" min="2981" max="2981"/>
    <col width="6.7109375" bestFit="1" customWidth="1" min="2982" max="2982"/>
    <col width="4.28515625" bestFit="1" customWidth="1" min="2983" max="2983"/>
    <col width="6.7109375" bestFit="1" customWidth="1" min="2984" max="2984"/>
    <col width="4.28515625" bestFit="1" customWidth="1" min="2985" max="2985"/>
    <col width="6.7109375" bestFit="1" customWidth="1" min="2986" max="2986"/>
    <col width="4.28515625" bestFit="1" customWidth="1" min="2987" max="2987"/>
    <col width="6.7109375" bestFit="1" customWidth="1" min="2988" max="2988"/>
    <col width="4.28515625" bestFit="1" customWidth="1" min="2989" max="2989"/>
    <col width="6.7109375" bestFit="1" customWidth="1" min="2990" max="2990"/>
    <col width="4.28515625" bestFit="1" customWidth="1" min="2991" max="2991"/>
    <col width="6.7109375" bestFit="1" customWidth="1" min="2992" max="2992"/>
    <col width="4.28515625" bestFit="1" customWidth="1" min="2993" max="2993"/>
    <col width="6.7109375" bestFit="1" customWidth="1" min="2994" max="2994"/>
    <col width="4.28515625" bestFit="1" customWidth="1" min="2995" max="2995"/>
    <col width="6.7109375" bestFit="1" customWidth="1" min="2996" max="2996"/>
    <col width="4.28515625" bestFit="1" customWidth="1" min="2997" max="2997"/>
    <col width="6.7109375" bestFit="1" customWidth="1" min="2998" max="2998"/>
    <col width="4.28515625" bestFit="1" customWidth="1" min="2999" max="2999"/>
    <col width="6.7109375" bestFit="1" customWidth="1" min="3000" max="3000"/>
    <col width="4.28515625" bestFit="1" customWidth="1" min="3001" max="3001"/>
    <col width="6.7109375" bestFit="1" customWidth="1" min="3002" max="3002"/>
    <col width="4.28515625" bestFit="1" customWidth="1" min="3003" max="3003"/>
    <col width="6.7109375" bestFit="1" customWidth="1" min="3004" max="3004"/>
    <col width="4.28515625" bestFit="1" customWidth="1" min="3005" max="3005"/>
    <col width="6.7109375" bestFit="1" customWidth="1" min="3006" max="3006"/>
    <col width="4.28515625" bestFit="1" customWidth="1" min="3007" max="3007"/>
    <col width="6.7109375" bestFit="1" customWidth="1" min="3008" max="3008"/>
    <col width="4.28515625" bestFit="1" customWidth="1" min="3009" max="3009"/>
    <col width="6.7109375" bestFit="1" customWidth="1" min="3010" max="3010"/>
    <col width="4.28515625" bestFit="1" customWidth="1" min="3011" max="3011"/>
    <col width="6.7109375" bestFit="1" customWidth="1" min="3012" max="3012"/>
    <col width="4.28515625" bestFit="1" customWidth="1" min="3013" max="3013"/>
    <col width="6.7109375" bestFit="1" customWidth="1" min="3014" max="3014"/>
    <col width="4.28515625" bestFit="1" customWidth="1" min="3015" max="3015"/>
    <col width="6.7109375" bestFit="1" customWidth="1" min="3016" max="3016"/>
    <col width="4.28515625" bestFit="1" customWidth="1" min="3017" max="3017"/>
    <col width="6.7109375" bestFit="1" customWidth="1" min="3018" max="3018"/>
    <col width="4.28515625" bestFit="1" customWidth="1" min="3019" max="3019"/>
    <col width="6.7109375" bestFit="1" customWidth="1" min="3020" max="3020"/>
    <col width="4.28515625" bestFit="1" customWidth="1" min="3021" max="3021"/>
    <col width="6.7109375" bestFit="1" customWidth="1" min="3022" max="3022"/>
    <col width="4.28515625" bestFit="1" customWidth="1" min="3023" max="3023"/>
    <col width="6.7109375" bestFit="1" customWidth="1" min="3024" max="3024"/>
    <col width="4.28515625" bestFit="1" customWidth="1" min="3025" max="3025"/>
    <col width="6.7109375" bestFit="1" customWidth="1" min="3026" max="3026"/>
    <col width="4.28515625" bestFit="1" customWidth="1" min="3027" max="3027"/>
    <col width="6.7109375" bestFit="1" customWidth="1" min="3028" max="3028"/>
    <col width="4.28515625" bestFit="1" customWidth="1" min="3029" max="3029"/>
    <col width="6.7109375" bestFit="1" customWidth="1" min="3030" max="3030"/>
    <col width="4.28515625" bestFit="1" customWidth="1" min="3031" max="3031"/>
    <col width="6.7109375" bestFit="1" customWidth="1" min="3032" max="3032"/>
    <col width="4.28515625" bestFit="1" customWidth="1" min="3033" max="3033"/>
    <col width="6.7109375" bestFit="1" customWidth="1" min="3034" max="3034"/>
    <col width="4.28515625" bestFit="1" customWidth="1" min="3035" max="3035"/>
    <col width="6.7109375" bestFit="1" customWidth="1" min="3036" max="3036"/>
    <col width="4.28515625" bestFit="1" customWidth="1" min="3037" max="3037"/>
    <col width="6.7109375" bestFit="1" customWidth="1" min="3038" max="3038"/>
    <col width="4.28515625" bestFit="1" customWidth="1" min="3039" max="3039"/>
    <col width="6.7109375" bestFit="1" customWidth="1" min="3040" max="3040"/>
    <col width="4.28515625" bestFit="1" customWidth="1" min="3041" max="3041"/>
    <col width="6.7109375" bestFit="1" customWidth="1" min="3042" max="3042"/>
    <col width="4.28515625" bestFit="1" customWidth="1" min="3043" max="3043"/>
    <col width="6.7109375" bestFit="1" customWidth="1" min="3044" max="3044"/>
    <col width="4.28515625" bestFit="1" customWidth="1" min="3045" max="3045"/>
    <col width="6.7109375" bestFit="1" customWidth="1" min="3046" max="3046"/>
    <col width="4.28515625" bestFit="1" customWidth="1" min="3047" max="3047"/>
    <col width="6.7109375" bestFit="1" customWidth="1" min="3048" max="3048"/>
    <col width="4.28515625" bestFit="1" customWidth="1" min="3049" max="3049"/>
    <col width="6.7109375" bestFit="1" customWidth="1" min="3050" max="3050"/>
    <col width="4.28515625" bestFit="1" customWidth="1" min="3051" max="3051"/>
    <col width="6.7109375" bestFit="1" customWidth="1" min="3052" max="3052"/>
    <col width="4.28515625" bestFit="1" customWidth="1" min="3053" max="3053"/>
    <col width="6.7109375" bestFit="1" customWidth="1" min="3054" max="3054"/>
    <col width="4.28515625" bestFit="1" customWidth="1" min="3055" max="3055"/>
    <col width="6.7109375" bestFit="1" customWidth="1" min="3056" max="3056"/>
    <col width="4.28515625" bestFit="1" customWidth="1" min="3057" max="3057"/>
    <col width="6.7109375" bestFit="1" customWidth="1" min="3058" max="3058"/>
    <col width="4.28515625" bestFit="1" customWidth="1" min="3059" max="3059"/>
    <col width="6.7109375" bestFit="1" customWidth="1" min="3060" max="3060"/>
    <col width="4.28515625" bestFit="1" customWidth="1" min="3061" max="3061"/>
    <col width="6.7109375" bestFit="1" customWidth="1" min="3062" max="3062"/>
    <col width="4.28515625" bestFit="1" customWidth="1" min="3063" max="3063"/>
    <col width="6.7109375" bestFit="1" customWidth="1" min="3064" max="3064"/>
    <col width="4.28515625" bestFit="1" customWidth="1" min="3065" max="3065"/>
    <col width="6.7109375" bestFit="1" customWidth="1" min="3066" max="3066"/>
    <col width="4.28515625" bestFit="1" customWidth="1" min="3067" max="3067"/>
    <col width="6.7109375" bestFit="1" customWidth="1" min="3068" max="3068"/>
    <col width="4.28515625" bestFit="1" customWidth="1" min="3069" max="3069"/>
    <col width="6.7109375" bestFit="1" customWidth="1" min="3070" max="3070"/>
    <col width="4.28515625" bestFit="1" customWidth="1" min="3071" max="3071"/>
    <col width="6.7109375" bestFit="1" customWidth="1" min="3072" max="3072"/>
    <col width="4.28515625" bestFit="1" customWidth="1" min="3073" max="3073"/>
    <col width="6.7109375" bestFit="1" customWidth="1" min="3074" max="3074"/>
    <col width="4.28515625" bestFit="1" customWidth="1" min="3075" max="3075"/>
    <col width="6.7109375" bestFit="1" customWidth="1" min="3076" max="3076"/>
    <col width="4.28515625" bestFit="1" customWidth="1" min="3077" max="3077"/>
    <col width="6.7109375" bestFit="1" customWidth="1" min="3078" max="3078"/>
    <col width="4.28515625" bestFit="1" customWidth="1" min="3079" max="3079"/>
    <col width="6.7109375" bestFit="1" customWidth="1" min="3080" max="3080"/>
    <col width="4.28515625" bestFit="1" customWidth="1" min="3081" max="3081"/>
    <col width="6.7109375" bestFit="1" customWidth="1" min="3082" max="3082"/>
    <col width="4.28515625" bestFit="1" customWidth="1" min="3083" max="3083"/>
    <col width="6.7109375" bestFit="1" customWidth="1" min="3084" max="3084"/>
    <col width="4.28515625" bestFit="1" customWidth="1" min="3085" max="3085"/>
    <col width="6.7109375" bestFit="1" customWidth="1" min="3086" max="3086"/>
    <col width="4.28515625" bestFit="1" customWidth="1" min="3087" max="3087"/>
    <col width="6.7109375" bestFit="1" customWidth="1" min="3088" max="3088"/>
    <col width="4.28515625" bestFit="1" customWidth="1" min="3089" max="3089"/>
    <col width="6.7109375" bestFit="1" customWidth="1" min="3090" max="3090"/>
    <col width="4.28515625" bestFit="1" customWidth="1" min="3091" max="3091"/>
    <col width="6.7109375" bestFit="1" customWidth="1" min="3092" max="3092"/>
    <col width="4.28515625" bestFit="1" customWidth="1" min="3093" max="3093"/>
    <col width="6.7109375" bestFit="1" customWidth="1" min="3094" max="3094"/>
    <col width="4.28515625" bestFit="1" customWidth="1" min="3095" max="3095"/>
    <col width="6.7109375" bestFit="1" customWidth="1" min="3096" max="3096"/>
    <col width="4.28515625" bestFit="1" customWidth="1" min="3097" max="3097"/>
    <col width="6.7109375" bestFit="1" customWidth="1" min="3098" max="3098"/>
    <col width="4.28515625" bestFit="1" customWidth="1" min="3099" max="3099"/>
    <col width="6.7109375" bestFit="1" customWidth="1" min="3100" max="3100"/>
    <col width="4.28515625" bestFit="1" customWidth="1" min="3101" max="3101"/>
    <col width="6.7109375" bestFit="1" customWidth="1" min="3102" max="3102"/>
    <col width="4.28515625" bestFit="1" customWidth="1" min="3103" max="3103"/>
    <col width="6.7109375" bestFit="1" customWidth="1" min="3104" max="3104"/>
    <col width="4.28515625" bestFit="1" customWidth="1" min="3105" max="3105"/>
    <col width="6.7109375" bestFit="1" customWidth="1" min="3106" max="3106"/>
    <col width="4.28515625" bestFit="1" customWidth="1" min="3107" max="3107"/>
    <col width="6.7109375" bestFit="1" customWidth="1" min="3108" max="3108"/>
    <col width="4.28515625" bestFit="1" customWidth="1" min="3109" max="3109"/>
    <col width="6.7109375" bestFit="1" customWidth="1" min="3110" max="3110"/>
    <col width="4.28515625" bestFit="1" customWidth="1" min="3111" max="3111"/>
    <col width="6.7109375" bestFit="1" customWidth="1" min="3112" max="3112"/>
    <col width="4.28515625" bestFit="1" customWidth="1" min="3113" max="3113"/>
    <col width="6.7109375" bestFit="1" customWidth="1" min="3114" max="3114"/>
    <col width="4.28515625" bestFit="1" customWidth="1" min="3115" max="3115"/>
    <col width="6.7109375" bestFit="1" customWidth="1" min="3116" max="3116"/>
    <col width="4.28515625" bestFit="1" customWidth="1" min="3117" max="3117"/>
    <col width="6.7109375" bestFit="1" customWidth="1" min="3118" max="3118"/>
    <col width="4.28515625" bestFit="1" customWidth="1" min="3119" max="3119"/>
    <col width="6.7109375" bestFit="1" customWidth="1" min="3120" max="3120"/>
    <col width="4.28515625" bestFit="1" customWidth="1" min="3121" max="3121"/>
    <col width="6.7109375" bestFit="1" customWidth="1" min="3122" max="3122"/>
    <col width="4.28515625" bestFit="1" customWidth="1" min="3123" max="3123"/>
    <col width="6.7109375" bestFit="1" customWidth="1" min="3124" max="3124"/>
    <col width="4.28515625" bestFit="1" customWidth="1" min="3125" max="3125"/>
    <col width="6.7109375" bestFit="1" customWidth="1" min="3126" max="3126"/>
    <col width="4.28515625" bestFit="1" customWidth="1" min="3127" max="3127"/>
    <col width="6.7109375" bestFit="1" customWidth="1" min="3128" max="3128"/>
    <col width="4.28515625" bestFit="1" customWidth="1" min="3129" max="3129"/>
    <col width="6.7109375" bestFit="1" customWidth="1" min="3130" max="3130"/>
    <col width="4.28515625" bestFit="1" customWidth="1" min="3131" max="3131"/>
    <col width="6.7109375" bestFit="1" customWidth="1" min="3132" max="3132"/>
    <col width="4.28515625" bestFit="1" customWidth="1" min="3133" max="3133"/>
    <col width="6.7109375" bestFit="1" customWidth="1" min="3134" max="3134"/>
    <col width="4.28515625" bestFit="1" customWidth="1" min="3135" max="3135"/>
    <col width="6.7109375" bestFit="1" customWidth="1" min="3136" max="3136"/>
    <col width="4.28515625" bestFit="1" customWidth="1" min="3137" max="3137"/>
    <col width="6.7109375" bestFit="1" customWidth="1" min="3138" max="3138"/>
    <col width="4.28515625" bestFit="1" customWidth="1" min="3139" max="3139"/>
    <col width="6.7109375" bestFit="1" customWidth="1" min="3140" max="3140"/>
    <col width="4.28515625" bestFit="1" customWidth="1" min="3141" max="3141"/>
    <col width="6.7109375" bestFit="1" customWidth="1" min="3142" max="3142"/>
    <col width="4.28515625" bestFit="1" customWidth="1" min="3143" max="3143"/>
    <col width="6.7109375" bestFit="1" customWidth="1" min="3144" max="3144"/>
    <col width="4.28515625" bestFit="1" customWidth="1" min="3145" max="3145"/>
    <col width="6.7109375" bestFit="1" customWidth="1" min="3146" max="3146"/>
    <col width="4.28515625" bestFit="1" customWidth="1" min="3147" max="3147"/>
    <col width="6.7109375" bestFit="1" customWidth="1" min="3148" max="3148"/>
    <col width="4.28515625" bestFit="1" customWidth="1" min="3149" max="3149"/>
    <col width="6.7109375" bestFit="1" customWidth="1" min="3150" max="3150"/>
    <col width="4.28515625" bestFit="1" customWidth="1" min="3151" max="3151"/>
    <col width="6.7109375" bestFit="1" customWidth="1" min="3152" max="3152"/>
    <col width="4.28515625" bestFit="1" customWidth="1" min="3153" max="3153"/>
    <col width="6.7109375" bestFit="1" customWidth="1" min="3154" max="3154"/>
    <col width="4.28515625" bestFit="1" customWidth="1" min="3155" max="3155"/>
    <col width="6.7109375" bestFit="1" customWidth="1" min="3156" max="3156"/>
    <col width="4.28515625" bestFit="1" customWidth="1" min="3157" max="3157"/>
    <col width="6.7109375" bestFit="1" customWidth="1" min="3158" max="3158"/>
    <col width="4.28515625" bestFit="1" customWidth="1" min="3159" max="3159"/>
  </cols>
  <sheetData>
    <row r="1" ht="50.25" customHeight="1" thickBot="1">
      <c r="A1" s="295" t="inlineStr">
        <is>
          <t>TOTAL PERSON-MONTHS</t>
        </is>
      </c>
      <c r="B1" s="328" t="n"/>
      <c r="C1" s="328" t="n"/>
      <c r="D1" s="328" t="n"/>
      <c r="E1" s="328" t="n"/>
      <c r="F1" s="328" t="n"/>
      <c r="G1" s="328" t="n"/>
      <c r="H1" s="328" t="n"/>
      <c r="I1" s="328" t="n"/>
    </row>
    <row r="2" ht="51" customHeight="1">
      <c r="A2" s="162" t="inlineStr">
        <is>
          <t>BENEFICIARIES \ WORK PACKAGES</t>
        </is>
      </c>
      <c r="B2" s="271" t="inlineStr">
        <is>
          <t>WP1_x000D_
Management, IP and Innovation Management</t>
        </is>
      </c>
      <c r="C2" s="271" t="inlineStr">
        <is>
          <t>WP2_x000D_
Site Characterisation and Demonstrator Engineering</t>
        </is>
      </c>
      <c r="D2" s="271" t="inlineStr">
        <is>
          <t>WP3_x000D_
Design Verification and Model Validation</t>
        </is>
      </c>
      <c r="E2" s="271" t="inlineStr">
        <is>
          <t>WP4_x000D_
Manufacturing, Instrumentation and Factory Acceptance</t>
        </is>
      </c>
      <c r="F2" s="271" t="inlineStr">
        <is>
          <t>WP5_x000D_
Deployment, Operation and Validation Campaign</t>
        </is>
      </c>
      <c r="G2" s="271" t="inlineStr">
        <is>
          <t>WP6_x000D_
Business Validation, Exploitation and Dissemination</t>
        </is>
      </c>
      <c r="H2" s="330" t="inlineStr">
        <is>
          <t>Total</t>
        </is>
      </c>
      <c r="I2" s="164" t="inlineStr">
        <is>
          <t>Pct %</t>
        </is>
      </c>
    </row>
    <row r="3" ht="15" customHeight="1">
      <c r="A3" s="269" t="inlineStr">
        <is>
          <t>BE1: SINTEF AS</t>
        </is>
      </c>
      <c r="B3" s="335">
        <f>SUM('BE1'!B9:B16)</f>
        <v/>
      </c>
      <c r="C3" s="335">
        <f>SUM('BE1'!B50:B57)</f>
        <v/>
      </c>
      <c r="D3" s="335">
        <f>SUM('BE1'!B91:B98)</f>
        <v/>
      </c>
      <c r="E3" s="335">
        <f>SUM('BE1'!B132:B139)</f>
        <v/>
      </c>
      <c r="F3" s="335">
        <f>SUM('BE1'!B173:B180)</f>
        <v/>
      </c>
      <c r="G3" s="335">
        <f>SUM('BE1'!B214:B221)</f>
        <v/>
      </c>
      <c r="H3" s="332">
        <f>SUM(B3:G3)</f>
        <v/>
      </c>
      <c r="I3" s="144">
        <f>IF(H$7&gt;0,H3/H$7," ")</f>
        <v/>
      </c>
    </row>
    <row r="4" ht="15" customHeight="1">
      <c r="A4" s="269" t="inlineStr">
        <is>
          <t>BE2: Sunlit Sea AS</t>
        </is>
      </c>
      <c r="B4" s="335">
        <f>SUM('BE2'!B9:B16)</f>
        <v/>
      </c>
      <c r="C4" s="335">
        <f>SUM('BE2'!B50:B57)</f>
        <v/>
      </c>
      <c r="D4" s="335">
        <f>SUM('BE2'!B91:B98)</f>
        <v/>
      </c>
      <c r="E4" s="335">
        <f>SUM('BE2'!B132:B139)</f>
        <v/>
      </c>
      <c r="F4" s="335">
        <f>SUM('BE2'!B173:B180)</f>
        <v/>
      </c>
      <c r="G4" s="335">
        <f>SUM('BE2'!B214:B221)</f>
        <v/>
      </c>
      <c r="H4" s="332">
        <f>SUM(B4:G4)</f>
        <v/>
      </c>
      <c r="I4" s="144">
        <f>IF(H$7&gt;0,H4/H$7," ")</f>
        <v/>
      </c>
    </row>
    <row r="5" ht="15" customHeight="1">
      <c r="A5" s="269" t="inlineStr">
        <is>
          <t>BE3: Clement Gmbh</t>
        </is>
      </c>
      <c r="B5" s="335">
        <f>SUM('BE3'!B9:B16)</f>
        <v/>
      </c>
      <c r="C5" s="335">
        <f>SUM('BE3'!B50:B57)</f>
        <v/>
      </c>
      <c r="D5" s="335">
        <f>SUM('BE3'!B91:B98)</f>
        <v/>
      </c>
      <c r="E5" s="335">
        <f>SUM('BE3'!B132:B139)</f>
        <v/>
      </c>
      <c r="F5" s="335">
        <f>SUM('BE3'!B173:B180)</f>
        <v/>
      </c>
      <c r="G5" s="335">
        <f>SUM('BE3'!B214:B221)</f>
        <v/>
      </c>
      <c r="H5" s="332">
        <f>SUM(B5:G5)</f>
        <v/>
      </c>
      <c r="I5" s="144">
        <f>IF(H$7&gt;0,H5/H$7," ")</f>
        <v/>
      </c>
    </row>
    <row r="6" ht="15" customHeight="1">
      <c r="A6" s="269" t="inlineStr">
        <is>
          <t>BE4: EDP</t>
        </is>
      </c>
      <c r="B6" s="335">
        <f>SUM('BE4'!B9:B16)</f>
        <v/>
      </c>
      <c r="C6" s="335">
        <f>SUM('BE4'!B50:B57)</f>
        <v/>
      </c>
      <c r="D6" s="335">
        <f>SUM('BE4'!B91:B98)</f>
        <v/>
      </c>
      <c r="E6" s="335">
        <f>SUM('BE4'!B132:B139)</f>
        <v/>
      </c>
      <c r="F6" s="335">
        <f>SUM('BE4'!B173:B180)</f>
        <v/>
      </c>
      <c r="G6" s="335">
        <f>SUM('BE4'!B214:B221)</f>
        <v/>
      </c>
      <c r="H6" s="332">
        <f>SUM(B6:G6)</f>
        <v/>
      </c>
      <c r="I6" s="144">
        <f>IF(H$7&gt;0,H6/H$7," ")</f>
        <v/>
      </c>
    </row>
    <row r="7" ht="15" customHeight="1">
      <c r="A7" s="96" t="inlineStr">
        <is>
          <t xml:space="preserve">Total: </t>
        </is>
      </c>
      <c r="B7" s="333">
        <f>SUM(B3:B6)</f>
        <v/>
      </c>
      <c r="C7" s="333">
        <f>SUM(C3:C6)</f>
        <v/>
      </c>
      <c r="D7" s="333">
        <f>SUM(D3:D6)</f>
        <v/>
      </c>
      <c r="E7" s="333">
        <f>SUM(E3:E6)</f>
        <v/>
      </c>
      <c r="F7" s="333">
        <f>SUM(F3:F6)</f>
        <v/>
      </c>
      <c r="G7" s="333">
        <f>SUM(G3:G6)</f>
        <v/>
      </c>
      <c r="H7" s="334">
        <f>SUM(B3:G6)</f>
        <v/>
      </c>
      <c r="I7" s="144">
        <f>IF(H$7&gt;0,H7/H$7," ")</f>
        <v/>
      </c>
    </row>
    <row r="8" ht="15" customHeight="1">
      <c r="A8" s="72" t="inlineStr">
        <is>
          <t xml:space="preserve">Percentage: </t>
        </is>
      </c>
      <c r="B8" s="144">
        <f>IF($H7&gt;0,B7/$H7," ")</f>
        <v/>
      </c>
      <c r="C8" s="144">
        <f>IF($H7&gt;0,C7/$H7," ")</f>
        <v/>
      </c>
      <c r="D8" s="144">
        <f>IF($H7&gt;0,D7/$H7," ")</f>
        <v/>
      </c>
      <c r="E8" s="144">
        <f>IF($H7&gt;0,E7/$H7," ")</f>
        <v/>
      </c>
      <c r="F8" s="144">
        <f>IF($H7&gt;0,F7/$H7," ")</f>
        <v/>
      </c>
      <c r="G8" s="144">
        <f>IF($H7&gt;0,G7/$H7," ")</f>
        <v/>
      </c>
      <c r="H8" s="144">
        <f>IF($H7&gt;0,H7/$H7," ")</f>
        <v/>
      </c>
      <c r="I8" s="97" t="n"/>
    </row>
    <row r="9" ht="15" customHeight="1"/>
    <row r="10" ht="15" customHeight="1"/>
    <row r="11" ht="15" customHeight="1"/>
    <row r="12" ht="15" customHeight="1"/>
    <row r="13" ht="15" customHeight="1"/>
    <row r="14" ht="15" customHeight="1"/>
    <row r="15" ht="15" customHeight="1"/>
    <row r="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row r="40" ht="15" customHeight="1"/>
    <row r="41" ht="15" customHeight="1"/>
    <row r="42" ht="15" customHeight="1"/>
    <row r="43" ht="15" customHeight="1"/>
    <row r="44" ht="15" customHeight="1"/>
    <row r="45" ht="15" customHeight="1"/>
    <row r="46" ht="15" customHeight="1"/>
    <row r="47" ht="15" customHeight="1"/>
    <row r="48" ht="15" customHeight="1"/>
    <row r="49" ht="15" customHeight="1"/>
    <row r="50" ht="15" customHeight="1"/>
    <row r="51" ht="15" customHeight="1"/>
    <row r="52" ht="15" customHeight="1"/>
    <row r="53" ht="15" customHeight="1"/>
    <row r="54" ht="15" customHeight="1"/>
    <row r="55" ht="15" customHeight="1"/>
    <row r="56" ht="15" customHeight="1"/>
    <row r="57" ht="15" customHeight="1"/>
    <row r="58" ht="15" customHeight="1"/>
    <row r="59" ht="15" customHeight="1"/>
    <row r="60" ht="15" customHeight="1"/>
    <row r="61" ht="15" customHeight="1"/>
    <row r="62" ht="15" customHeight="1"/>
    <row r="63" ht="15" customHeight="1"/>
    <row r="64" ht="15" customHeight="1"/>
    <row r="65" ht="15" customHeight="1"/>
    <row r="66" ht="15" customHeight="1"/>
    <row r="67" ht="15" customHeight="1"/>
    <row r="68" ht="15" customHeight="1"/>
    <row r="69" ht="15" customHeight="1"/>
    <row r="70" ht="15" customHeight="1"/>
    <row r="71" ht="15" customHeight="1"/>
    <row r="72" ht="15" customHeight="1"/>
    <row r="73" ht="15" customHeight="1"/>
    <row r="74" ht="15" customHeight="1"/>
    <row r="75" ht="15" customHeight="1"/>
    <row r="76" ht="15" customHeight="1"/>
    <row r="77" ht="15" customHeight="1"/>
    <row r="78" ht="15" customHeight="1"/>
    <row r="79" ht="15" customHeight="1"/>
    <row r="80"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row r="92" ht="15" customHeight="1"/>
    <row r="93" ht="15" customHeight="1"/>
    <row r="94" ht="15" customHeight="1"/>
    <row r="95" ht="15" customHeight="1"/>
    <row r="96" ht="15" customHeight="1"/>
    <row r="97" ht="15" customHeight="1"/>
    <row r="98" ht="15" customHeight="1"/>
    <row r="99" ht="15" customHeight="1"/>
    <row r="100" ht="15" customHeight="1"/>
    <row r="101" ht="15" customHeight="1"/>
    <row r="102" ht="15" customHeight="1"/>
    <row r="103" ht="15" customHeight="1"/>
    <row r="104" ht="15" customHeight="1"/>
    <row r="105" ht="15" customHeight="1"/>
    <row r="106" ht="15" customHeight="1"/>
    <row r="107" ht="15" customHeight="1"/>
    <row r="108" ht="15" customHeight="1"/>
    <row r="109" ht="15" customHeight="1"/>
    <row r="110" ht="15" customHeight="1"/>
    <row r="111" ht="15" customHeight="1"/>
    <row r="112" ht="15" customHeight="1"/>
    <row r="113" ht="15" customHeight="1"/>
    <row r="114" ht="15" customHeight="1"/>
    <row r="115" ht="15" customHeight="1"/>
    <row r="116" ht="15" customHeight="1"/>
    <row r="117" ht="15" customHeight="1"/>
    <row r="118" ht="15" customHeight="1"/>
    <row r="119" ht="15" customHeight="1"/>
    <row r="120" ht="15" customHeight="1"/>
    <row r="121" ht="15" customHeight="1"/>
    <row r="122" ht="15" customHeight="1"/>
    <row r="123" ht="15" customHeight="1"/>
    <row r="124" ht="15" customHeight="1"/>
    <row r="125" ht="15" customHeight="1"/>
    <row r="126" ht="15" customHeight="1"/>
    <row r="127" ht="15" customHeight="1"/>
    <row r="128" ht="15" customHeight="1"/>
    <row r="129" ht="15" customHeight="1"/>
    <row r="130" ht="15" customHeight="1"/>
    <row r="131" ht="15" customHeight="1"/>
    <row r="132" ht="15" customHeight="1"/>
    <row r="133" ht="15" customHeight="1"/>
    <row r="134" ht="15" customHeight="1"/>
    <row r="135" ht="15" customHeight="1"/>
    <row r="136" ht="15" customHeight="1"/>
    <row r="137" ht="15" customHeight="1"/>
    <row r="138" ht="15" customHeight="1"/>
    <row r="139" ht="15" customHeight="1"/>
    <row r="140" ht="15" customHeight="1"/>
    <row r="141" ht="15" customHeight="1"/>
    <row r="142" ht="15" customHeight="1"/>
    <row r="143" ht="15" customHeight="1"/>
    <row r="144" ht="15" customHeight="1"/>
    <row r="145" ht="15" customHeight="1"/>
    <row r="146" ht="15" customHeight="1"/>
    <row r="147" ht="15" customHeight="1"/>
    <row r="148" ht="15" customHeight="1"/>
    <row r="149" ht="15" customHeight="1"/>
    <row r="150" ht="15" customHeight="1"/>
    <row r="151" ht="15" customHeight="1"/>
    <row r="152" ht="15" customHeight="1"/>
    <row r="153" ht="15" customHeight="1"/>
    <row r="154" ht="15" customHeight="1"/>
    <row r="155" ht="15" customHeight="1"/>
    <row r="156" ht="15" customHeight="1"/>
    <row r="157" ht="15" customHeight="1"/>
    <row r="158" ht="15" customHeight="1"/>
    <row r="159" ht="15" customHeight="1"/>
    <row r="160" ht="15" customHeight="1"/>
    <row r="161" ht="15" customHeight="1"/>
    <row r="162" ht="15" customHeight="1"/>
    <row r="163" ht="15" customHeight="1"/>
    <row r="164" ht="15" customHeight="1"/>
    <row r="165" ht="15" customHeight="1"/>
    <row r="166" ht="15" customHeight="1"/>
    <row r="167" ht="15" customHeight="1"/>
    <row r="168" ht="15" customHeight="1"/>
    <row r="169" ht="15" customHeight="1"/>
    <row r="170" ht="15" customHeight="1"/>
    <row r="171" ht="15" customHeight="1"/>
    <row r="172" ht="15" customHeight="1"/>
    <row r="173" ht="15" customHeight="1"/>
    <row r="174" ht="15" customHeight="1"/>
    <row r="175" ht="15" customHeight="1"/>
    <row r="176" ht="15" customHeight="1"/>
    <row r="177" ht="15" customHeight="1"/>
    <row r="178" ht="15" customHeight="1"/>
    <row r="179" ht="15" customHeight="1"/>
    <row r="180" ht="15" customHeight="1"/>
    <row r="181" ht="15" customHeight="1"/>
    <row r="182" ht="15" customHeight="1"/>
    <row r="183" ht="15" customHeight="1"/>
    <row r="184" ht="15" customHeight="1"/>
    <row r="185" ht="15" customHeight="1"/>
    <row r="186" ht="15" customHeight="1"/>
    <row r="187" ht="15" customHeight="1"/>
    <row r="188" ht="15" customHeight="1"/>
    <row r="189" ht="15" customHeight="1"/>
    <row r="190" ht="15" customHeight="1"/>
    <row r="191" ht="15" customHeight="1"/>
    <row r="192" ht="15" customHeight="1"/>
    <row r="193" ht="15" customHeight="1"/>
    <row r="194" ht="15" customHeight="1"/>
    <row r="195" ht="15" customHeight="1"/>
    <row r="196" ht="15" customHeight="1"/>
    <row r="197" ht="15" customHeight="1"/>
    <row r="198" ht="15" customHeight="1"/>
    <row r="199" ht="15" customHeight="1"/>
    <row r="200" ht="15" customHeight="1"/>
    <row r="201" ht="15" customHeight="1"/>
    <row r="202" ht="15" customHeight="1"/>
    <row r="203" ht="15" customHeight="1"/>
    <row r="204" ht="15" customHeight="1"/>
    <row r="205" ht="15" customHeight="1"/>
    <row r="206" ht="15" customHeight="1"/>
    <row r="207" ht="15" customHeight="1"/>
    <row r="208" ht="15" customHeight="1"/>
    <row r="209" ht="15" customHeight="1"/>
    <row r="210" ht="15" customHeight="1"/>
    <row r="211" ht="15" customHeight="1"/>
    <row r="212" ht="15" customHeight="1"/>
    <row r="213" ht="15" customHeight="1"/>
    <row r="214" ht="15" customHeight="1"/>
    <row r="215" ht="15" customHeight="1"/>
    <row r="216" ht="15" customHeight="1"/>
    <row r="217" ht="15" customHeight="1"/>
    <row r="218" ht="15" customHeight="1"/>
    <row r="219" ht="15" customHeight="1"/>
    <row r="220" ht="15" customHeight="1"/>
    <row r="221" ht="15" customHeight="1"/>
    <row r="222" ht="15" customHeight="1"/>
    <row r="223" ht="15" customHeight="1"/>
    <row r="224" ht="15" customHeight="1"/>
    <row r="225" ht="15" customHeight="1"/>
    <row r="226" ht="15" customHeight="1"/>
    <row r="227" ht="15" customHeight="1"/>
    <row r="228" ht="15" customHeight="1"/>
    <row r="229" ht="15" customHeight="1"/>
    <row r="230" ht="15" customHeight="1"/>
    <row r="231" ht="15" customHeight="1"/>
    <row r="232" ht="15" customHeight="1"/>
    <row r="233" ht="15" customHeight="1"/>
    <row r="234" ht="15" customHeight="1"/>
    <row r="235" ht="15" customHeight="1"/>
    <row r="236" ht="15" customHeight="1"/>
    <row r="237" ht="15" customHeight="1"/>
    <row r="238" ht="15" customHeight="1"/>
    <row r="239" ht="15" customHeight="1"/>
    <row r="240" ht="15" customHeight="1"/>
    <row r="241" ht="15" customHeight="1"/>
    <row r="242" ht="15" customHeight="1"/>
    <row r="243" ht="15" customHeight="1"/>
    <row r="244" ht="15" customHeight="1"/>
    <row r="245" ht="15" customHeight="1"/>
    <row r="246" ht="15" customHeight="1"/>
    <row r="247" ht="15" customHeight="1"/>
    <row r="248" ht="15" customHeight="1"/>
    <row r="249" ht="15" customHeight="1"/>
    <row r="250" ht="15" customHeight="1"/>
    <row r="251" ht="15" customHeight="1"/>
    <row r="252" ht="15" customHeight="1"/>
    <row r="253" ht="15" customHeight="1"/>
    <row r="254" ht="15" customHeight="1"/>
    <row r="255" ht="15" customHeight="1"/>
    <row r="256" ht="15" customHeight="1"/>
    <row r="257" ht="15" customHeight="1"/>
    <row r="258" ht="15" customHeight="1"/>
    <row r="259" ht="15" customHeight="1"/>
    <row r="260" ht="15" customHeight="1"/>
    <row r="261" ht="15" customHeight="1"/>
    <row r="262" ht="15" customHeight="1"/>
    <row r="263" ht="15" customHeight="1"/>
    <row r="264" ht="15" customHeight="1"/>
    <row r="265" ht="15" customHeight="1"/>
    <row r="266" ht="15" customHeight="1"/>
    <row r="267" ht="15" customHeight="1"/>
    <row r="268" ht="15" customHeight="1"/>
    <row r="269" ht="15" customHeight="1"/>
    <row r="270" ht="15" customHeight="1"/>
    <row r="271" ht="15" customHeight="1"/>
    <row r="272" ht="15" customHeight="1"/>
    <row r="273" ht="15" customHeight="1"/>
    <row r="274" ht="15" customHeight="1"/>
    <row r="275" ht="15" customHeight="1"/>
    <row r="276" ht="15" customHeight="1"/>
    <row r="277" ht="15" customHeight="1"/>
    <row r="278" ht="15" customHeight="1"/>
    <row r="279" ht="15" customHeight="1"/>
    <row r="280" ht="15" customHeight="1"/>
    <row r="281" ht="15" customHeight="1"/>
    <row r="282" ht="15" customHeight="1"/>
    <row r="283" ht="15" customHeight="1"/>
    <row r="284" ht="15" customHeight="1"/>
    <row r="285" ht="15" customHeight="1"/>
    <row r="286" ht="15" customHeight="1"/>
    <row r="287" ht="15" customHeight="1"/>
    <row r="288" ht="15" customHeight="1"/>
    <row r="289" ht="15" customHeight="1"/>
    <row r="290" ht="15" customHeight="1"/>
    <row r="291" ht="15" customHeight="1"/>
    <row r="292" ht="15" customHeight="1"/>
    <row r="293" ht="15" customHeight="1"/>
    <row r="294" ht="15" customHeight="1"/>
    <row r="295" ht="15" customHeight="1"/>
    <row r="296" ht="15" customHeight="1"/>
    <row r="297" ht="15" customHeight="1"/>
    <row r="298" ht="15" customHeight="1"/>
    <row r="299" ht="15" customHeight="1"/>
    <row r="300" ht="15" customHeight="1"/>
    <row r="301" ht="15" customHeight="1"/>
    <row r="302" ht="15" customHeight="1"/>
    <row r="303" ht="15" customHeight="1"/>
    <row r="304" ht="15" customHeight="1"/>
    <row r="305" ht="15" customHeight="1"/>
    <row r="306" ht="15" customHeight="1"/>
    <row r="307" ht="15" customHeight="1"/>
    <row r="308" ht="15" customHeight="1"/>
    <row r="309" ht="15" customHeight="1"/>
    <row r="310" ht="15" customHeight="1"/>
    <row r="311" ht="15" customHeight="1"/>
    <row r="312" ht="15" customHeight="1"/>
    <row r="313" ht="15" customHeight="1"/>
    <row r="314" ht="15" customHeight="1"/>
    <row r="315" ht="15" customHeight="1"/>
    <row r="316" ht="15" customHeight="1"/>
    <row r="317" ht="15" customHeight="1"/>
    <row r="318" ht="15" customHeight="1"/>
    <row r="319" ht="15" customHeight="1"/>
    <row r="320" ht="15" customHeight="1"/>
    <row r="321" ht="15" customHeight="1"/>
    <row r="322" ht="15" customHeight="1"/>
    <row r="323" ht="15" customHeight="1"/>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row r="347" ht="15" customHeight="1"/>
    <row r="348" ht="15" customHeight="1"/>
    <row r="349" ht="15" customHeight="1"/>
    <row r="350" ht="15" customHeight="1"/>
    <row r="351" ht="15" customHeight="1"/>
    <row r="352" ht="15" customHeight="1"/>
    <row r="353" ht="15" customHeight="1"/>
    <row r="354" ht="15" customHeight="1"/>
    <row r="355" ht="15" customHeight="1"/>
    <row r="356" ht="15" customHeight="1"/>
    <row r="357" ht="15" customHeight="1"/>
    <row r="358" ht="15" customHeight="1"/>
    <row r="359" ht="15" customHeight="1"/>
    <row r="360" ht="15" customHeight="1"/>
    <row r="361" ht="15" customHeight="1"/>
    <row r="362" ht="15" customHeight="1"/>
    <row r="363" ht="15" customHeight="1"/>
    <row r="364" ht="15" customHeight="1"/>
    <row r="365" ht="15" customHeight="1"/>
    <row r="366" ht="15" customHeight="1"/>
    <row r="367" ht="15" customHeight="1"/>
    <row r="368" ht="15" customHeight="1"/>
    <row r="369" ht="15" customHeight="1"/>
    <row r="370" ht="15" customHeight="1"/>
    <row r="371" ht="15" customHeight="1"/>
    <row r="372" ht="15" customHeight="1"/>
    <row r="373" ht="15" customHeight="1"/>
    <row r="374" ht="15" customHeight="1"/>
    <row r="375" ht="15" customHeight="1"/>
    <row r="376" ht="15" customHeight="1"/>
    <row r="377" ht="15" customHeight="1"/>
    <row r="378" ht="15" customHeight="1"/>
    <row r="379" ht="15" customHeight="1"/>
    <row r="380" ht="15" customHeight="1"/>
    <row r="381" ht="15" customHeight="1"/>
    <row r="382" ht="15" customHeight="1"/>
    <row r="383" ht="15" customHeight="1"/>
    <row r="384" ht="15" customHeight="1"/>
    <row r="385" ht="15" customHeight="1"/>
    <row r="386" ht="15" customHeight="1"/>
    <row r="387" ht="15" customHeight="1"/>
    <row r="388" ht="15" customHeight="1"/>
    <row r="389" ht="15" customHeight="1"/>
    <row r="390" ht="15" customHeight="1"/>
    <row r="391" ht="15" customHeight="1"/>
    <row r="392" ht="15" customHeight="1"/>
    <row r="393" ht="15" customHeight="1"/>
    <row r="394" ht="15" customHeight="1"/>
    <row r="395" ht="15" customHeight="1"/>
    <row r="396" ht="15" customHeight="1"/>
    <row r="397" ht="15" customHeight="1"/>
    <row r="398" ht="15" customHeight="1"/>
    <row r="399" ht="15" customHeight="1"/>
    <row r="400" ht="15" customHeight="1"/>
    <row r="401" ht="15" customHeight="1"/>
    <row r="402" ht="15" customHeight="1"/>
    <row r="403" ht="15" customHeight="1"/>
    <row r="404" ht="15" customHeight="1"/>
    <row r="405" ht="15" customHeight="1"/>
    <row r="406" ht="15" customHeight="1"/>
    <row r="407" ht="15" customHeight="1"/>
    <row r="408" ht="15" customHeight="1"/>
    <row r="409" ht="15" customHeight="1"/>
    <row r="410" ht="15" customHeight="1"/>
    <row r="411" ht="15" customHeight="1"/>
    <row r="412" ht="15" customHeight="1"/>
    <row r="413" ht="15" customHeight="1"/>
    <row r="414" ht="15" customHeight="1"/>
    <row r="415" ht="15" customHeight="1"/>
    <row r="416" ht="15" customHeight="1"/>
    <row r="417" ht="15" customHeight="1"/>
    <row r="418" ht="15" customHeight="1"/>
    <row r="419" ht="15" customHeight="1"/>
    <row r="420" ht="15" customHeight="1"/>
    <row r="421" ht="15" customHeight="1"/>
    <row r="422" ht="15" customHeight="1"/>
    <row r="423" ht="15" customHeight="1"/>
    <row r="424" ht="15" customHeight="1"/>
    <row r="425" ht="15" customHeight="1"/>
    <row r="426" ht="15" customHeight="1"/>
    <row r="427" ht="15" customHeight="1"/>
    <row r="428" ht="15" customHeight="1"/>
    <row r="429" ht="15" customHeight="1"/>
    <row r="430" ht="15" customHeight="1"/>
    <row r="431" ht="15" customHeight="1"/>
    <row r="432" ht="15" customHeight="1"/>
    <row r="433" ht="15" customHeight="1"/>
    <row r="434" ht="15" customHeight="1"/>
    <row r="435" ht="15" customHeight="1"/>
    <row r="436" ht="15" customHeight="1"/>
    <row r="437" ht="15" customHeight="1"/>
    <row r="438" ht="15" customHeight="1"/>
    <row r="439" ht="15" customHeight="1"/>
    <row r="440" ht="15" customHeight="1"/>
    <row r="441" ht="15" customHeight="1"/>
    <row r="442" ht="15" customHeight="1"/>
    <row r="443" ht="15" customHeight="1"/>
    <row r="444" ht="15" customHeight="1"/>
    <row r="445" ht="15" customHeight="1"/>
    <row r="446" ht="15" customHeight="1"/>
    <row r="447" ht="15" customHeight="1"/>
    <row r="448" ht="15" customHeight="1"/>
    <row r="449" ht="15" customHeight="1"/>
    <row r="450" ht="15" customHeight="1"/>
    <row r="451" ht="15" customHeight="1"/>
    <row r="452" ht="15" customHeight="1"/>
    <row r="453" ht="15" customHeight="1"/>
    <row r="454" ht="15" customHeight="1"/>
    <row r="455" ht="15" customHeight="1"/>
    <row r="456" ht="15" customHeight="1"/>
    <row r="457" ht="15" customHeight="1"/>
    <row r="458" ht="15" customHeight="1"/>
    <row r="459" ht="15" customHeight="1"/>
    <row r="460" ht="15" customHeight="1"/>
    <row r="461" ht="15" customHeight="1"/>
    <row r="462" ht="15" customHeight="1"/>
    <row r="463" ht="15" customHeight="1"/>
    <row r="464" ht="15" customHeight="1"/>
    <row r="465" ht="15" customHeight="1"/>
    <row r="466" ht="15" customHeight="1"/>
    <row r="467" ht="15" customHeight="1"/>
    <row r="468" ht="15" customHeight="1"/>
    <row r="469" ht="15" customHeight="1"/>
    <row r="470" ht="15" customHeight="1"/>
    <row r="471" ht="15" customHeight="1"/>
    <row r="472" ht="15" customHeight="1"/>
    <row r="473" ht="15" customHeight="1"/>
    <row r="474" ht="15" customHeight="1"/>
    <row r="475" ht="15" customHeight="1"/>
    <row r="476" ht="15" customHeight="1"/>
    <row r="477" ht="15" customHeight="1"/>
    <row r="478" ht="15" customHeight="1"/>
    <row r="479" ht="15" customHeight="1"/>
    <row r="480" ht="15" customHeight="1"/>
    <row r="481" ht="15" customHeight="1"/>
    <row r="482" ht="15" customHeight="1"/>
    <row r="483" ht="15" customHeight="1"/>
    <row r="484" ht="15" customHeight="1"/>
    <row r="485" ht="15" customHeight="1"/>
    <row r="486" ht="15" customHeight="1"/>
    <row r="487" ht="15" customHeight="1"/>
    <row r="488" ht="15" customHeight="1"/>
    <row r="489" ht="15" customHeight="1"/>
    <row r="490" ht="15" customHeight="1"/>
    <row r="491" ht="15" customHeight="1"/>
    <row r="492" ht="15" customHeight="1"/>
    <row r="493" ht="15" customHeight="1"/>
    <row r="494" ht="15" customHeight="1"/>
    <row r="495" ht="15" customHeight="1"/>
    <row r="496" ht="15" customHeight="1"/>
    <row r="497" ht="15" customHeight="1"/>
    <row r="498" ht="15" customHeight="1"/>
    <row r="499" ht="15" customHeight="1"/>
    <row r="500" ht="15" customHeight="1"/>
    <row r="501" ht="15" customHeight="1"/>
    <row r="502" ht="15" customHeight="1"/>
    <row r="503" ht="15" customHeight="1"/>
    <row r="504" ht="15" customHeight="1"/>
    <row r="505" ht="15" customHeight="1"/>
    <row r="506" ht="15" customHeight="1"/>
    <row r="507" ht="15" customHeight="1"/>
    <row r="508" ht="15" customHeight="1"/>
    <row r="509" ht="15" customHeight="1"/>
    <row r="510" ht="15" customHeight="1"/>
    <row r="511" ht="15" customHeight="1"/>
    <row r="512" ht="15" customHeight="1"/>
    <row r="513" ht="15" customHeight="1"/>
    <row r="514" ht="15" customHeight="1"/>
    <row r="515" ht="15" customHeight="1"/>
    <row r="516" ht="15" customHeight="1"/>
    <row r="517" ht="15" customHeight="1"/>
    <row r="518" ht="15" customHeight="1"/>
    <row r="519" ht="15" customHeight="1"/>
    <row r="520" ht="15" customHeight="1"/>
    <row r="521" ht="15" customHeight="1"/>
    <row r="522" ht="15" customHeight="1"/>
    <row r="523" ht="15" customHeight="1"/>
    <row r="524" ht="15" customHeight="1"/>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row r="832" ht="15" customHeight="1"/>
    <row r="833" ht="15" customHeight="1"/>
    <row r="834" ht="15" customHeight="1"/>
    <row r="835" ht="15" customHeight="1"/>
    <row r="836" ht="15" customHeight="1"/>
    <row r="837" ht="15" customHeight="1"/>
    <row r="838" ht="15" customHeight="1"/>
    <row r="839" ht="15" customHeight="1"/>
    <row r="840" ht="15" customHeight="1"/>
    <row r="841" ht="15" customHeight="1"/>
    <row r="842" ht="15" customHeight="1"/>
    <row r="843" ht="15" customHeight="1"/>
    <row r="844" ht="15" customHeight="1"/>
    <row r="845" ht="15" customHeight="1"/>
    <row r="846" ht="15" customHeight="1"/>
    <row r="847" ht="15" customHeight="1"/>
    <row r="848" ht="15" customHeight="1"/>
    <row r="849" ht="15" customHeight="1"/>
    <row r="850" ht="15" customHeight="1"/>
    <row r="851" ht="15" customHeight="1"/>
    <row r="852" ht="15" customHeight="1"/>
    <row r="853" ht="15" customHeight="1"/>
    <row r="854" ht="15" customHeight="1"/>
    <row r="855" ht="15" customHeight="1"/>
    <row r="856" ht="15" customHeight="1"/>
    <row r="857" ht="15" customHeight="1"/>
    <row r="858" ht="15" customHeight="1"/>
    <row r="859" ht="15" customHeight="1"/>
    <row r="860" ht="15" customHeight="1"/>
    <row r="861" ht="15" customHeight="1"/>
    <row r="862" ht="15" customHeight="1"/>
    <row r="863" ht="15" customHeight="1"/>
    <row r="864" ht="15" customHeight="1"/>
    <row r="865" ht="15" customHeight="1"/>
    <row r="866" ht="15" customHeight="1"/>
    <row r="867" ht="15" customHeight="1"/>
    <row r="868" ht="15" customHeight="1"/>
    <row r="869" ht="15" customHeight="1"/>
    <row r="870" ht="15" customHeight="1"/>
    <row r="871" ht="15" customHeight="1"/>
    <row r="872" ht="15" customHeight="1"/>
    <row r="873" ht="15" customHeight="1"/>
    <row r="874" ht="15" customHeight="1"/>
    <row r="875" ht="15" customHeight="1"/>
    <row r="876" ht="15" customHeight="1"/>
    <row r="877" ht="15" customHeight="1"/>
    <row r="878" ht="15" customHeight="1"/>
    <row r="879" ht="15" customHeight="1"/>
    <row r="880" ht="15" customHeight="1"/>
    <row r="881" ht="15" customHeight="1"/>
    <row r="882" ht="15" customHeight="1"/>
    <row r="883" ht="15" customHeight="1"/>
    <row r="884" ht="15" customHeight="1"/>
    <row r="885" ht="15" customHeight="1"/>
    <row r="886" ht="15" customHeight="1"/>
    <row r="887" ht="15" customHeight="1"/>
    <row r="888" ht="15" customHeight="1"/>
    <row r="889" ht="15" customHeight="1"/>
    <row r="890" ht="15" customHeight="1"/>
    <row r="891" ht="15" customHeight="1"/>
    <row r="892" ht="15" customHeight="1"/>
    <row r="893" ht="15" customHeight="1"/>
    <row r="894" ht="15" customHeight="1"/>
    <row r="895" ht="15" customHeight="1"/>
    <row r="896" ht="15" customHeight="1"/>
    <row r="897" ht="15" customHeight="1"/>
    <row r="898" ht="15" customHeight="1"/>
    <row r="899" ht="15" customHeight="1"/>
    <row r="900" ht="15" customHeight="1"/>
    <row r="901" ht="15" customHeight="1"/>
    <row r="902" ht="15" customHeight="1"/>
    <row r="903" ht="15" customHeight="1"/>
    <row r="904" ht="15" customHeight="1"/>
    <row r="905" ht="15" customHeight="1"/>
    <row r="906" ht="15" customHeight="1"/>
    <row r="907" ht="15" customHeight="1"/>
    <row r="908" ht="15" customHeight="1"/>
    <row r="909" ht="15" customHeight="1"/>
    <row r="910" ht="15" customHeight="1"/>
    <row r="911" ht="15" customHeight="1"/>
    <row r="912" ht="15" customHeight="1"/>
    <row r="913" ht="15" customHeight="1"/>
    <row r="914" ht="15" customHeight="1"/>
    <row r="915" ht="15" customHeight="1"/>
    <row r="916" ht="15" customHeight="1"/>
    <row r="917" ht="15" customHeight="1"/>
    <row r="918" ht="15" customHeight="1"/>
    <row r="919" ht="15" customHeight="1"/>
    <row r="920" ht="15" customHeight="1"/>
    <row r="921" ht="15" customHeight="1"/>
    <row r="922" ht="15" customHeight="1"/>
    <row r="923" ht="15" customHeight="1"/>
    <row r="924" ht="15" customHeight="1"/>
    <row r="925" ht="15" customHeight="1"/>
    <row r="926" ht="15" customHeight="1"/>
    <row r="927" ht="15" customHeight="1"/>
    <row r="928" ht="15" customHeight="1"/>
    <row r="929" ht="15" customHeight="1"/>
    <row r="930" ht="15" customHeight="1"/>
    <row r="931" ht="15" customHeight="1"/>
    <row r="932" ht="15" customHeight="1"/>
    <row r="933" ht="15" customHeight="1"/>
    <row r="934" ht="15" customHeight="1"/>
    <row r="935" ht="15" customHeight="1"/>
    <row r="936" ht="15" customHeight="1"/>
    <row r="937" ht="15" customHeight="1"/>
    <row r="938" ht="15" customHeight="1"/>
    <row r="939" ht="15" customHeight="1"/>
    <row r="940" ht="15" customHeight="1"/>
    <row r="941" ht="15" customHeight="1"/>
    <row r="942" ht="15" customHeight="1"/>
    <row r="943" ht="15" customHeight="1"/>
    <row r="944" ht="15" customHeight="1"/>
    <row r="945" ht="15" customHeight="1"/>
    <row r="946" ht="15" customHeight="1"/>
    <row r="947" ht="15" customHeight="1"/>
    <row r="948" ht="15" customHeight="1"/>
    <row r="949" ht="15" customHeight="1"/>
    <row r="950" ht="15" customHeight="1"/>
    <row r="951" ht="15" customHeight="1"/>
    <row r="952" ht="15" customHeight="1"/>
    <row r="953" ht="15" customHeight="1"/>
    <row r="954" ht="15" customHeight="1"/>
    <row r="955" ht="15" customHeight="1"/>
    <row r="956" ht="15" customHeight="1"/>
    <row r="957" ht="15" customHeight="1"/>
    <row r="958" ht="15" customHeight="1"/>
    <row r="959" ht="15" customHeight="1"/>
    <row r="960" ht="15" customHeight="1"/>
    <row r="961" ht="15" customHeight="1"/>
    <row r="962" ht="15" customHeight="1"/>
    <row r="963" ht="15" customHeight="1"/>
    <row r="964" ht="15" customHeight="1"/>
    <row r="965" ht="15" customHeight="1"/>
    <row r="966" ht="15" customHeight="1"/>
    <row r="967" ht="15" customHeight="1"/>
    <row r="968" ht="15" customHeight="1"/>
    <row r="969" ht="15" customHeight="1"/>
    <row r="970" ht="15" customHeight="1"/>
    <row r="971" ht="15" customHeight="1"/>
    <row r="972" ht="15" customHeight="1"/>
    <row r="973" ht="15" customHeight="1"/>
    <row r="974" ht="15" customHeight="1"/>
    <row r="975" ht="15" customHeight="1"/>
    <row r="976" ht="15" customHeight="1"/>
    <row r="977" ht="15" customHeight="1"/>
    <row r="978" ht="15" customHeight="1"/>
    <row r="979" ht="15" customHeight="1"/>
    <row r="980" ht="15" customHeight="1"/>
    <row r="981" ht="15" customHeight="1"/>
    <row r="982" ht="15" customHeight="1"/>
    <row r="983" ht="15" customHeight="1"/>
    <row r="984" ht="15" customHeight="1"/>
    <row r="985" ht="15" customHeight="1"/>
    <row r="986" ht="15" customHeight="1"/>
    <row r="987" ht="15" customHeight="1"/>
    <row r="988" ht="15" customHeight="1"/>
    <row r="989" ht="15" customHeight="1"/>
    <row r="990" ht="15" customHeight="1"/>
    <row r="991" ht="15" customHeight="1"/>
    <row r="992" ht="15" customHeight="1"/>
    <row r="993" ht="15" customHeight="1"/>
    <row r="994" ht="15" customHeight="1"/>
    <row r="995" ht="15" customHeight="1"/>
    <row r="996" ht="15" customHeight="1"/>
    <row r="997" ht="15" customHeight="1"/>
    <row r="998" ht="15" customHeight="1"/>
    <row r="999" ht="15" customHeight="1"/>
    <row r="1000" ht="15" customHeight="1"/>
    <row r="1001" ht="15" customHeight="1"/>
    <row r="1002" ht="15" customHeight="1"/>
    <row r="1003" ht="15" customHeight="1"/>
    <row r="1004" ht="15" customHeight="1"/>
    <row r="1005" ht="15" customHeight="1"/>
    <row r="1006" ht="15" customHeight="1"/>
    <row r="1007" ht="15" customHeight="1"/>
    <row r="1008" ht="15" customHeight="1"/>
    <row r="1009" ht="15" customHeight="1"/>
    <row r="1010" ht="15" customHeight="1"/>
    <row r="1011" ht="15" customHeight="1"/>
    <row r="1012" ht="15" customHeight="1"/>
    <row r="1013" ht="15" customHeight="1"/>
    <row r="1014" ht="15" customHeight="1"/>
    <row r="1015" ht="15" customHeight="1"/>
    <row r="1016" ht="15" customHeight="1"/>
    <row r="1017" ht="15" customHeight="1"/>
    <row r="1018" ht="15" customHeight="1"/>
    <row r="1019" ht="15" customHeight="1"/>
    <row r="1020" ht="15" customHeight="1"/>
    <row r="1021" ht="15" customHeight="1"/>
    <row r="1022" ht="15" customHeight="1"/>
    <row r="1023" ht="15" customHeight="1"/>
    <row r="1024" ht="15" customHeight="1"/>
    <row r="1025" ht="15" customHeight="1"/>
    <row r="1026" ht="15" customHeight="1"/>
    <row r="1027" ht="15" customHeight="1"/>
    <row r="1028" ht="15" customHeight="1"/>
    <row r="1029" ht="15" customHeight="1"/>
    <row r="1030" ht="15" customHeight="1"/>
    <row r="1031" ht="15" customHeight="1"/>
    <row r="1032" ht="15" customHeight="1"/>
    <row r="1033" ht="15" customHeight="1"/>
    <row r="1034" ht="15" customHeight="1"/>
    <row r="1035" ht="15" customHeight="1"/>
    <row r="1036" ht="15" customHeight="1"/>
    <row r="1037" ht="15" customHeight="1"/>
    <row r="1038" ht="15" customHeight="1"/>
    <row r="1039" ht="15" customHeight="1"/>
    <row r="1040" ht="15" customHeight="1"/>
    <row r="1041" ht="15" customHeight="1"/>
    <row r="1042" ht="15" customHeight="1"/>
    <row r="1043" ht="15" customHeight="1"/>
    <row r="1044" ht="15" customHeight="1"/>
    <row r="1045" ht="15" customHeight="1"/>
    <row r="1046" ht="15" customHeight="1"/>
    <row r="1047" ht="15" customHeight="1"/>
    <row r="1048" ht="15" customHeight="1"/>
    <row r="1049" ht="15" customHeight="1"/>
    <row r="1050" ht="15" customHeight="1"/>
    <row r="1051" ht="15" customHeight="1"/>
    <row r="1052" ht="15" customHeight="1"/>
    <row r="1053" ht="15" customHeight="1"/>
    <row r="1054" ht="15" customHeight="1"/>
    <row r="1055" ht="15" customHeight="1"/>
    <row r="1056" ht="15" customHeight="1"/>
    <row r="1057" ht="15" customHeight="1"/>
    <row r="1058" ht="15" customHeight="1"/>
    <row r="1059" ht="15" customHeight="1"/>
    <row r="1060" ht="15" customHeight="1"/>
    <row r="1061" ht="15" customHeight="1"/>
    <row r="1062" ht="15" customHeight="1"/>
    <row r="1063" ht="15" customHeight="1"/>
    <row r="1064" ht="15" customHeight="1"/>
    <row r="1065" ht="15" customHeight="1"/>
    <row r="1066" ht="15" customHeight="1"/>
    <row r="1067" ht="15" customHeight="1"/>
    <row r="1068" ht="15" customHeight="1"/>
    <row r="1069" ht="15" customHeight="1"/>
    <row r="1070" ht="15" customHeight="1"/>
    <row r="1071" ht="15" customHeight="1"/>
    <row r="1072" ht="15" customHeight="1"/>
    <row r="1073" ht="15" customHeight="1"/>
    <row r="1074" ht="15" customHeight="1"/>
    <row r="1075" ht="15" customHeight="1"/>
    <row r="1076" ht="15" customHeight="1"/>
    <row r="1077" ht="15" customHeight="1"/>
    <row r="1078" ht="15" customHeight="1"/>
    <row r="1079" ht="15" customHeight="1"/>
    <row r="1080" ht="15" customHeight="1"/>
    <row r="1081" ht="15" customHeight="1"/>
    <row r="1082" ht="15" customHeight="1"/>
    <row r="1083" ht="15" customHeight="1"/>
    <row r="1084" ht="15" customHeight="1"/>
    <row r="1085" ht="15" customHeight="1"/>
    <row r="1086" ht="15" customHeight="1"/>
    <row r="1087" ht="15" customHeight="1"/>
    <row r="1088" ht="15" customHeight="1"/>
    <row r="1089" ht="15" customHeight="1"/>
    <row r="1090" ht="15" customHeight="1"/>
    <row r="1091" ht="15" customHeight="1"/>
    <row r="1092" ht="15" customHeight="1"/>
    <row r="1093" ht="15" customHeight="1"/>
    <row r="1094" ht="15" customHeight="1"/>
    <row r="1095" ht="15" customHeight="1"/>
    <row r="1096" ht="15" customHeight="1"/>
    <row r="1097" ht="15" customHeight="1"/>
    <row r="1098" ht="15" customHeight="1"/>
    <row r="1099" ht="15" customHeight="1"/>
    <row r="1100" ht="15" customHeight="1"/>
    <row r="1101" ht="15" customHeight="1"/>
    <row r="1102" ht="15" customHeight="1"/>
    <row r="1103" ht="15" customHeight="1"/>
    <row r="1104" ht="15" customHeight="1"/>
    <row r="1105" ht="15" customHeight="1"/>
    <row r="1106" ht="15" customHeight="1"/>
    <row r="1107" ht="15" customHeight="1"/>
    <row r="1108" ht="15" customHeight="1"/>
    <row r="1109" ht="15" customHeight="1"/>
    <row r="1110" ht="15" customHeight="1"/>
    <row r="1111" ht="15" customHeight="1"/>
    <row r="1112" ht="15" customHeight="1"/>
    <row r="1113" ht="15" customHeight="1"/>
    <row r="1114" ht="15" customHeight="1"/>
    <row r="1115" ht="15" customHeight="1"/>
    <row r="1116" ht="15" customHeight="1"/>
    <row r="1117" ht="15" customHeight="1"/>
    <row r="1118" ht="15" customHeight="1"/>
    <row r="1119" ht="15" customHeight="1"/>
    <row r="1120" ht="15" customHeight="1"/>
    <row r="1121" ht="15" customHeight="1"/>
    <row r="1122" ht="15" customHeight="1"/>
    <row r="1123" ht="15" customHeight="1"/>
    <row r="1124" ht="15" customHeight="1"/>
    <row r="1125" ht="15" customHeight="1"/>
    <row r="1126" ht="15" customHeight="1"/>
    <row r="1127" ht="15" customHeight="1"/>
    <row r="1128" ht="15" customHeight="1"/>
    <row r="1129" ht="15" customHeight="1"/>
    <row r="1130" ht="15" customHeight="1"/>
    <row r="1131" ht="15" customHeight="1"/>
    <row r="1132" ht="15" customHeight="1"/>
    <row r="1133" ht="15" customHeight="1"/>
    <row r="1134" ht="15" customHeight="1"/>
    <row r="1135" ht="15" customHeight="1"/>
    <row r="1136" ht="15" customHeight="1"/>
    <row r="1137" ht="15" customHeight="1"/>
    <row r="1138" ht="15" customHeight="1"/>
    <row r="1139" ht="15" customHeight="1"/>
    <row r="1140" ht="15" customHeight="1"/>
    <row r="1141" ht="15" customHeight="1"/>
    <row r="1142" ht="15" customHeight="1"/>
    <row r="1143" ht="15" customHeight="1"/>
    <row r="1144" ht="15" customHeight="1"/>
    <row r="1145" ht="15" customHeight="1"/>
    <row r="1146" ht="15" customHeight="1"/>
    <row r="1147" ht="15" customHeight="1"/>
    <row r="1148" ht="15" customHeight="1"/>
    <row r="1149" ht="15" customHeight="1"/>
    <row r="1150" ht="15" customHeight="1"/>
    <row r="1151" ht="15" customHeight="1"/>
    <row r="1152" ht="15" customHeight="1"/>
    <row r="1153" ht="15" customHeight="1"/>
    <row r="1154" ht="15" customHeight="1"/>
    <row r="1155" ht="15" customHeight="1"/>
    <row r="1156" ht="15" customHeight="1"/>
    <row r="1157" ht="15" customHeight="1"/>
    <row r="1158" ht="15" customHeight="1"/>
    <row r="1159" ht="15" customHeight="1"/>
    <row r="1160" ht="15" customHeight="1"/>
    <row r="1161" ht="15" customHeight="1"/>
    <row r="1162" ht="15" customHeight="1"/>
    <row r="1163" ht="15" customHeight="1"/>
    <row r="1164" ht="15" customHeight="1"/>
    <row r="1165" ht="15" customHeight="1"/>
    <row r="1166" ht="15" customHeight="1"/>
    <row r="1167" ht="15" customHeight="1"/>
    <row r="1168" ht="15" customHeight="1"/>
    <row r="1169" ht="15" customHeight="1"/>
    <row r="1170" ht="15" customHeight="1"/>
    <row r="1171" ht="15" customHeight="1"/>
    <row r="1172" ht="15" customHeight="1"/>
    <row r="1173" ht="15" customHeight="1"/>
    <row r="1174" ht="15" customHeight="1"/>
    <row r="1175" ht="15" customHeight="1"/>
    <row r="1176" ht="15" customHeight="1"/>
    <row r="1177" ht="15" customHeight="1"/>
    <row r="1178" ht="15" customHeight="1"/>
    <row r="1179" ht="15" customHeight="1"/>
    <row r="1180" ht="15" customHeight="1"/>
    <row r="1181" ht="15" customHeight="1"/>
    <row r="1182" ht="15" customHeight="1"/>
    <row r="1183" ht="15" customHeight="1"/>
    <row r="1184" ht="15" customHeight="1"/>
    <row r="1185" ht="15" customHeight="1"/>
    <row r="1186" ht="15" customHeight="1"/>
    <row r="1187" ht="15" customHeight="1"/>
    <row r="1188" ht="15" customHeight="1"/>
    <row r="1189" ht="15" customHeight="1"/>
    <row r="1190" ht="15" customHeight="1"/>
    <row r="1191" ht="15" customHeight="1"/>
    <row r="1192" ht="15" customHeight="1"/>
    <row r="1193" ht="15" customHeight="1"/>
    <row r="1194" ht="15" customHeight="1"/>
    <row r="1195" ht="15" customHeight="1"/>
    <row r="1196" ht="15" customHeight="1"/>
    <row r="1197" ht="15" customHeight="1"/>
    <row r="1198" ht="15" customHeight="1"/>
    <row r="1199" ht="15" customHeight="1"/>
    <row r="1200" ht="15" customHeight="1"/>
    <row r="1201" ht="15" customHeight="1"/>
    <row r="1202" ht="15" customHeight="1"/>
    <row r="1203" ht="15" customHeight="1"/>
    <row r="1204" ht="15" customHeight="1"/>
    <row r="1205" ht="15" customHeight="1"/>
    <row r="1206" ht="15" customHeight="1"/>
    <row r="1207" ht="15" customHeight="1"/>
    <row r="1208" ht="15" customHeight="1"/>
    <row r="1209" ht="15" customHeight="1"/>
    <row r="1210" ht="15" customHeight="1"/>
    <row r="1211" ht="15" customHeight="1"/>
    <row r="1212" ht="15" customHeight="1"/>
    <row r="1213" ht="15" customHeight="1"/>
    <row r="1214" ht="15" customHeight="1"/>
    <row r="1215" ht="15" customHeight="1"/>
    <row r="1216" ht="15" customHeight="1"/>
    <row r="1217" ht="15" customHeight="1"/>
    <row r="1218" ht="15" customHeight="1"/>
    <row r="1219" ht="15" customHeight="1"/>
    <row r="1220" ht="15" customHeight="1"/>
    <row r="1221" ht="15" customHeight="1"/>
    <row r="1222" ht="15" customHeight="1"/>
    <row r="1223" ht="15" customHeight="1"/>
    <row r="1224" ht="15" customHeight="1"/>
    <row r="1225" ht="15" customHeight="1"/>
    <row r="1226" ht="15" customHeight="1"/>
    <row r="1227" ht="15" customHeight="1"/>
    <row r="1228" ht="15" customHeight="1"/>
    <row r="1229" ht="15" customHeight="1"/>
    <row r="1230" ht="15" customHeight="1"/>
    <row r="1231" ht="15" customHeight="1"/>
    <row r="1232" ht="15" customHeight="1"/>
    <row r="1233" ht="15" customHeight="1"/>
    <row r="1234" ht="15" customHeight="1"/>
    <row r="1235" ht="15" customHeight="1"/>
    <row r="1236" ht="15" customHeight="1"/>
    <row r="1237" ht="15" customHeight="1"/>
    <row r="1238" ht="15" customHeight="1"/>
    <row r="1239" ht="15" customHeight="1"/>
    <row r="1240" ht="15" customHeight="1"/>
    <row r="1241" ht="15" customHeight="1"/>
    <row r="1242" ht="15" customHeight="1"/>
    <row r="1243" ht="15" customHeight="1"/>
    <row r="1244" ht="15" customHeight="1"/>
    <row r="1245" ht="15" customHeight="1"/>
    <row r="1246" ht="15" customHeight="1"/>
    <row r="1247" ht="15" customHeight="1"/>
    <row r="1248" ht="15" customHeight="1"/>
    <row r="1249" ht="15" customHeight="1"/>
    <row r="1250" ht="15" customHeight="1"/>
    <row r="1251" ht="15" customHeight="1"/>
    <row r="1252" ht="15" customHeight="1"/>
    <row r="1253" ht="15" customHeight="1"/>
    <row r="1254" ht="15" customHeight="1"/>
    <row r="1255" ht="15" customHeight="1"/>
    <row r="1256" ht="15" customHeight="1"/>
    <row r="1257" ht="15" customHeight="1"/>
    <row r="1258" ht="15" customHeight="1"/>
    <row r="1259" ht="15" customHeight="1"/>
    <row r="1260" ht="15" customHeight="1"/>
    <row r="1261" ht="15" customHeight="1"/>
    <row r="1262" ht="15" customHeight="1"/>
    <row r="1263" ht="15" customHeight="1"/>
    <row r="1264" ht="15" customHeight="1"/>
    <row r="1265" ht="15" customHeight="1"/>
    <row r="1266" ht="15" customHeight="1"/>
    <row r="1267" ht="15" customHeight="1"/>
    <row r="1268" ht="15" customHeight="1"/>
    <row r="1269" ht="15" customHeight="1"/>
    <row r="1270" ht="15" customHeight="1"/>
    <row r="1271" ht="15" customHeight="1"/>
    <row r="1272" ht="15" customHeight="1"/>
    <row r="1273" ht="15" customHeight="1"/>
    <row r="1274" ht="15" customHeight="1"/>
    <row r="1275" ht="15" customHeight="1"/>
    <row r="1276" ht="15" customHeight="1"/>
    <row r="1277" ht="15" customHeight="1"/>
    <row r="1278" ht="15" customHeight="1"/>
    <row r="1279" ht="15" customHeight="1"/>
    <row r="1280" ht="15" customHeight="1"/>
    <row r="1281" ht="15" customHeight="1"/>
    <row r="1282" ht="15" customHeight="1"/>
    <row r="1283" ht="15" customHeight="1"/>
    <row r="1284" ht="15" customHeight="1"/>
    <row r="1285" ht="15" customHeight="1"/>
    <row r="1286" ht="15" customHeight="1"/>
    <row r="1287" ht="15" customHeight="1"/>
    <row r="1288" ht="15" customHeight="1"/>
    <row r="1289" ht="15" customHeight="1"/>
    <row r="1290" ht="15" customHeight="1"/>
    <row r="1291" ht="15" customHeight="1"/>
    <row r="1292" ht="15" customHeight="1"/>
    <row r="1293" ht="15" customHeight="1"/>
    <row r="1294" ht="15" customHeight="1"/>
    <row r="1295" ht="15" customHeight="1"/>
    <row r="1296" ht="15" customHeight="1"/>
    <row r="1297" ht="15" customHeight="1"/>
    <row r="1298" ht="15" customHeight="1"/>
    <row r="1299" ht="15" customHeight="1"/>
    <row r="1300" ht="15" customHeight="1"/>
    <row r="1301" ht="15" customHeight="1"/>
    <row r="1302" ht="15" customHeight="1"/>
    <row r="1303" ht="15" customHeight="1"/>
    <row r="1304" ht="15" customHeight="1"/>
    <row r="1305" ht="15" customHeight="1"/>
    <row r="1306" ht="15" customHeight="1"/>
    <row r="1307" ht="15" customHeight="1"/>
    <row r="1308" ht="15" customHeight="1"/>
    <row r="1309" ht="15" customHeight="1"/>
    <row r="1310" ht="15" customHeight="1"/>
    <row r="1311" ht="15" customHeight="1"/>
    <row r="1312" ht="15" customHeight="1"/>
    <row r="1313" ht="15" customHeight="1"/>
    <row r="1314" ht="15" customHeight="1"/>
    <row r="1315" ht="15" customHeight="1"/>
    <row r="1316" ht="15" customHeight="1"/>
    <row r="1317" ht="15" customHeight="1"/>
    <row r="1318" ht="15" customHeight="1"/>
    <row r="1319" ht="15" customHeight="1"/>
    <row r="1320" ht="15" customHeight="1"/>
    <row r="1321" ht="15" customHeight="1"/>
    <row r="1322" ht="15" customHeight="1"/>
    <row r="1323" ht="15" customHeight="1"/>
    <row r="1324" ht="15" customHeight="1"/>
    <row r="1325" ht="15" customHeight="1"/>
    <row r="1326" ht="15" customHeight="1"/>
    <row r="1327" ht="15" customHeight="1"/>
    <row r="1328" ht="15" customHeight="1"/>
    <row r="1329" ht="15" customHeight="1"/>
    <row r="1330" ht="15" customHeight="1"/>
    <row r="1331" ht="15" customHeight="1"/>
    <row r="1332" ht="15" customHeight="1"/>
    <row r="1333" ht="15" customHeight="1"/>
    <row r="1334" ht="15" customHeight="1"/>
    <row r="1335" ht="15" customHeight="1"/>
    <row r="1336" ht="15" customHeight="1"/>
    <row r="1337" ht="15" customHeight="1"/>
    <row r="1338" ht="15" customHeight="1"/>
    <row r="1339" ht="15" customHeight="1"/>
    <row r="1340" ht="15" customHeight="1"/>
    <row r="1341" ht="15" customHeight="1"/>
    <row r="1342" ht="15" customHeight="1"/>
    <row r="1343" ht="15" customHeight="1"/>
    <row r="1344" ht="15" customHeight="1"/>
    <row r="1345" ht="19.5" customHeight="1"/>
    <row r="1346" ht="15" customHeight="1"/>
    <row r="1347" ht="15" customHeight="1"/>
    <row r="1348" ht="15" customHeight="1"/>
    <row r="1349" ht="15" customHeight="1"/>
    <row r="1350" ht="15" customHeight="1"/>
    <row r="1351" ht="15" customHeight="1"/>
    <row r="1352" ht="15" customHeight="1"/>
    <row r="1353" ht="15" customHeight="1"/>
    <row r="1354" ht="15" customHeight="1"/>
    <row r="1355" ht="15" customHeight="1"/>
    <row r="1356" ht="15" customHeight="1"/>
    <row r="1357" ht="15" customHeight="1"/>
    <row r="1358" ht="15" customHeight="1"/>
    <row r="1359" ht="15" customHeight="1"/>
    <row r="1360" ht="15" customHeight="1"/>
    <row r="1361" ht="15" customHeight="1"/>
    <row r="1362" ht="15" customHeight="1"/>
    <row r="1363" ht="15" customHeight="1"/>
    <row r="1364" ht="15" customHeight="1"/>
    <row r="1365" ht="15" customHeight="1"/>
    <row r="1366" ht="15" customHeight="1"/>
    <row r="1367" ht="15" customHeight="1"/>
    <row r="1368" ht="15" customHeight="1"/>
    <row r="1369" ht="15" customHeight="1"/>
    <row r="1370" ht="15" customHeight="1"/>
    <row r="1371" ht="15" customHeight="1"/>
    <row r="1372" ht="15" customHeight="1"/>
    <row r="1373" ht="15" customHeight="1"/>
    <row r="1374" ht="15" customHeight="1"/>
    <row r="1375" ht="15" customHeight="1"/>
    <row r="1376" ht="15" customHeight="1"/>
    <row r="1377" ht="15" customHeight="1"/>
    <row r="1378" ht="15" customHeight="1"/>
    <row r="1379" ht="15" customHeight="1"/>
    <row r="1380" ht="15" customHeight="1"/>
    <row r="1381" ht="15" customHeight="1"/>
    <row r="1382" ht="15" customHeight="1"/>
    <row r="1383" ht="15" customHeight="1"/>
    <row r="1384" ht="15" customHeight="1"/>
    <row r="1385" ht="15" customHeight="1"/>
    <row r="1386" ht="15" customHeight="1"/>
    <row r="1387" ht="15" customHeight="1"/>
    <row r="1388" ht="15" customHeight="1"/>
    <row r="1389" ht="15" customHeight="1"/>
    <row r="1390" ht="15" customHeight="1"/>
    <row r="1391" ht="15" customHeight="1"/>
    <row r="1392" ht="15" customHeight="1"/>
    <row r="1393" ht="15" customHeight="1"/>
    <row r="1394" ht="15" customHeight="1"/>
    <row r="1395" ht="15" customHeight="1"/>
    <row r="1396" ht="15" customHeight="1"/>
    <row r="1397" ht="15" customHeight="1"/>
    <row r="1398" ht="15" customHeight="1"/>
    <row r="1399" ht="15" customHeight="1"/>
    <row r="1400" ht="15" customHeight="1"/>
    <row r="1401" ht="15" customHeight="1"/>
    <row r="1402" ht="15" customHeight="1"/>
    <row r="1403" ht="15" customHeight="1"/>
    <row r="1404" ht="15" customHeight="1"/>
    <row r="1405" ht="15" customHeight="1"/>
    <row r="1406" ht="15" customHeight="1"/>
    <row r="1407" ht="15" customHeight="1"/>
    <row r="1408" ht="15" customHeight="1"/>
    <row r="1409" ht="15" customHeight="1"/>
    <row r="1410" ht="15" customHeight="1"/>
    <row r="1411" ht="15" customHeight="1"/>
    <row r="1412" ht="15" customHeight="1"/>
    <row r="1413" ht="15" customHeight="1"/>
    <row r="1414" ht="15" customHeight="1"/>
    <row r="1415" ht="15" customHeight="1"/>
    <row r="1416" ht="15" customHeight="1"/>
    <row r="1417" ht="15" customHeight="1"/>
    <row r="1418" ht="15" customHeight="1"/>
    <row r="1419" ht="15" customHeight="1"/>
    <row r="1420" ht="15" customHeight="1"/>
    <row r="1421" ht="15" customHeight="1"/>
    <row r="1422" ht="15" customHeight="1"/>
    <row r="1423" ht="15" customHeight="1"/>
    <row r="1424" ht="15" customHeight="1"/>
    <row r="1425" ht="15" customHeight="1"/>
    <row r="1426" ht="15" customHeight="1"/>
    <row r="1427" ht="15" customHeight="1"/>
    <row r="1428" ht="15" customHeight="1"/>
    <row r="1429" ht="15" customHeight="1"/>
    <row r="1430" ht="15" customHeight="1"/>
    <row r="1431" ht="15" customHeight="1"/>
    <row r="1432" ht="15" customHeight="1"/>
    <row r="1433" ht="15" customHeight="1"/>
    <row r="1434" ht="15" customHeight="1"/>
    <row r="1435" ht="15" customHeight="1"/>
    <row r="1436" ht="15" customHeight="1"/>
    <row r="1437" ht="15" customHeight="1"/>
    <row r="1438" ht="15" customHeight="1"/>
    <row r="1439" ht="15" customHeight="1"/>
    <row r="1440" ht="15" customHeight="1"/>
    <row r="1441" ht="15" customHeight="1"/>
    <row r="1442" ht="15" customHeight="1"/>
    <row r="1443" ht="15" customHeight="1"/>
    <row r="1444" ht="15" customHeight="1"/>
    <row r="1445" ht="15" customHeight="1"/>
    <row r="1446" ht="15" customHeight="1"/>
    <row r="1447" ht="15" customHeight="1"/>
    <row r="1448" ht="15" customHeight="1"/>
    <row r="1449" ht="15" customHeight="1"/>
    <row r="1450" ht="15" customHeight="1"/>
    <row r="1451" ht="15" customHeight="1"/>
    <row r="1452" ht="15" customHeight="1"/>
    <row r="1453" ht="15" customHeight="1"/>
    <row r="1454" ht="15" customHeight="1"/>
    <row r="1455" ht="15" customHeight="1"/>
    <row r="1456" ht="15" customHeight="1"/>
    <row r="1457" ht="15" customHeight="1"/>
    <row r="1458" ht="15" customHeight="1"/>
    <row r="1459" ht="15" customHeight="1"/>
    <row r="1460" ht="15" customHeight="1"/>
    <row r="1461" ht="15" customHeight="1"/>
    <row r="1462" ht="15" customHeight="1"/>
    <row r="1463" ht="15" customHeight="1"/>
    <row r="1464" ht="15" customHeight="1"/>
    <row r="1465" ht="15" customHeight="1"/>
    <row r="1466" ht="15" customHeight="1"/>
    <row r="1467" ht="15" customHeight="1"/>
    <row r="1468" ht="15" customHeight="1"/>
    <row r="1469" ht="15" customHeight="1"/>
    <row r="1470" ht="15" customHeight="1"/>
    <row r="1471" ht="15" customHeight="1"/>
    <row r="1472" ht="15" customHeight="1"/>
    <row r="1473" ht="15" customHeight="1"/>
    <row r="1474" ht="15" customHeight="1"/>
    <row r="1475" ht="15" customHeight="1"/>
    <row r="1476" ht="15" customHeight="1"/>
    <row r="1477" ht="15" customHeight="1"/>
    <row r="1478" ht="15" customHeight="1"/>
    <row r="1479" ht="15" customHeight="1"/>
    <row r="1480" ht="15" customHeight="1"/>
    <row r="1481" ht="15" customHeight="1"/>
    <row r="1482" ht="15" customHeight="1"/>
    <row r="1483" ht="15" customHeight="1"/>
    <row r="1484" ht="15" customHeight="1"/>
    <row r="1485" ht="15" customHeight="1"/>
    <row r="1486" ht="15" customHeight="1"/>
    <row r="1487" ht="15" customHeight="1"/>
    <row r="1488" ht="15" customHeight="1"/>
    <row r="1489" ht="15" customHeight="1"/>
    <row r="1490" ht="15" customHeight="1"/>
    <row r="1491" ht="15" customHeight="1"/>
    <row r="1492" ht="15" customHeight="1"/>
    <row r="1493" ht="15" customHeight="1"/>
    <row r="1494" ht="15" customHeight="1"/>
    <row r="1495" ht="15" customHeight="1"/>
    <row r="1496" ht="15" customHeight="1"/>
    <row r="1497" ht="15" customHeight="1"/>
    <row r="1498" ht="15" customHeight="1"/>
    <row r="1499" ht="15" customHeight="1"/>
    <row r="1500" ht="15" customHeight="1"/>
    <row r="1501" ht="15" customHeight="1"/>
    <row r="1502" ht="15" customHeight="1"/>
    <row r="1503" ht="15" customHeight="1"/>
    <row r="1504" ht="15" customHeight="1"/>
    <row r="1505" ht="15" customHeight="1"/>
    <row r="1506" ht="15" customHeight="1"/>
    <row r="1507" ht="15" customHeight="1"/>
    <row r="1508" ht="15" customHeight="1"/>
    <row r="1509" ht="15" customHeight="1"/>
    <row r="1510" ht="15" customHeight="1"/>
    <row r="1511" ht="15" customHeight="1"/>
    <row r="1512" ht="15" customHeight="1"/>
    <row r="1513" ht="15" customHeight="1"/>
    <row r="1514" ht="15" customHeight="1"/>
    <row r="1515" ht="15" customHeight="1"/>
    <row r="1516" ht="15" customHeight="1"/>
    <row r="1517" ht="15" customHeight="1"/>
    <row r="1518" ht="15" customHeight="1"/>
    <row r="1519" ht="15" customHeight="1"/>
    <row r="1520" ht="15" customHeight="1"/>
    <row r="1521" ht="15" customHeight="1"/>
    <row r="1522" ht="15" customHeight="1"/>
    <row r="1523" ht="15" customHeight="1"/>
    <row r="1524" ht="15" customHeight="1"/>
    <row r="1525" ht="15" customHeight="1"/>
    <row r="1526" ht="15" customHeight="1"/>
    <row r="1527" ht="15" customHeight="1"/>
    <row r="1528" ht="15" customHeight="1"/>
    <row r="1529" ht="15" customHeight="1"/>
    <row r="1530" ht="15" customHeight="1"/>
    <row r="1531" ht="15" customHeight="1"/>
    <row r="1532" ht="15" customHeight="1"/>
    <row r="1533" ht="15" customHeight="1"/>
    <row r="1534" ht="15" customHeight="1"/>
    <row r="1535" ht="15" customHeight="1"/>
    <row r="1536" ht="15" customHeight="1"/>
    <row r="1537" ht="15" customHeight="1"/>
    <row r="1538" ht="15" customHeight="1"/>
    <row r="1539" ht="15" customHeight="1"/>
    <row r="1540" ht="15" customHeight="1"/>
    <row r="1541" ht="15" customHeight="1"/>
    <row r="1542" ht="15" customHeight="1"/>
    <row r="1543" ht="15" customHeight="1"/>
    <row r="1544" ht="15" customHeight="1"/>
    <row r="1545" ht="15" customHeight="1"/>
    <row r="1546" ht="15" customHeight="1"/>
    <row r="1547" ht="15" customHeight="1"/>
    <row r="1548" ht="15" customHeight="1"/>
    <row r="1549" ht="15" customHeight="1"/>
    <row r="1550" ht="15" customHeight="1"/>
    <row r="1551" ht="15" customHeight="1"/>
    <row r="1552" ht="15" customHeight="1"/>
    <row r="1553" ht="15" customHeight="1"/>
    <row r="1554" ht="15" customHeight="1"/>
    <row r="1555" ht="15" customHeight="1"/>
    <row r="1556" ht="15" customHeight="1"/>
    <row r="1557" ht="15" customHeight="1"/>
    <row r="1558" ht="15" customHeight="1"/>
    <row r="1559" ht="15" customHeight="1"/>
    <row r="1560" ht="15" customHeight="1"/>
    <row r="1561" ht="15" customHeight="1"/>
    <row r="1562" ht="15" customHeight="1"/>
    <row r="1563" ht="15" customHeight="1"/>
    <row r="1564" ht="15" customHeight="1"/>
    <row r="1565" ht="15" customHeight="1"/>
    <row r="1566" ht="15" customHeight="1"/>
    <row r="1567" ht="15" customHeight="1"/>
    <row r="1568" ht="15" customHeight="1"/>
    <row r="1569" ht="15" customHeight="1"/>
    <row r="1570" ht="15" customHeight="1"/>
    <row r="1571" ht="15" customHeight="1"/>
    <row r="1572" ht="15" customHeight="1"/>
    <row r="1573" ht="15" customHeight="1"/>
    <row r="1574" ht="15" customHeight="1"/>
    <row r="1575" ht="15" customHeight="1"/>
    <row r="1576" ht="15" customHeight="1"/>
    <row r="1577" ht="15" customHeight="1"/>
    <row r="1578" ht="15" customHeight="1"/>
    <row r="1579" ht="15" customHeight="1"/>
    <row r="1580" ht="15" customHeight="1"/>
    <row r="1581" ht="15" customHeight="1"/>
    <row r="1582" ht="15" customHeight="1"/>
    <row r="1583" ht="15" customHeight="1"/>
    <row r="1584" ht="15" customHeight="1"/>
    <row r="1585" ht="15" customHeight="1"/>
    <row r="1586" ht="15" customHeight="1"/>
    <row r="1587" ht="15" customHeight="1"/>
    <row r="1588" ht="15" customHeight="1"/>
    <row r="1589" ht="15" customHeight="1"/>
    <row r="1590" ht="15" customHeight="1"/>
    <row r="1591" ht="15" customHeight="1"/>
    <row r="1592" ht="15" customHeight="1"/>
    <row r="1593" ht="15" customHeight="1"/>
    <row r="1594" ht="15" customHeight="1"/>
    <row r="1595" ht="15" customHeight="1"/>
    <row r="1596" ht="15" customHeight="1"/>
    <row r="1597" ht="15" customHeight="1"/>
    <row r="1598" ht="15" customHeight="1"/>
    <row r="1599" ht="15" customHeight="1"/>
    <row r="1600" ht="15" customHeight="1"/>
    <row r="1601" ht="15" customHeight="1"/>
    <row r="1602" ht="15" customHeight="1"/>
    <row r="1603" ht="15" customHeight="1"/>
    <row r="1604" ht="15" customHeight="1"/>
    <row r="1605" ht="15" customHeight="1"/>
    <row r="1606" ht="15" customHeight="1"/>
    <row r="1607" ht="15" customHeight="1"/>
    <row r="1608" ht="15" customHeight="1"/>
    <row r="1609" ht="15" customHeight="1"/>
    <row r="1610" ht="15" customHeight="1"/>
    <row r="1611" ht="15" customHeight="1"/>
    <row r="1612" ht="15" customHeight="1"/>
    <row r="1613" ht="15" customHeight="1"/>
    <row r="1614" ht="15" customHeight="1"/>
    <row r="1615" ht="15" customHeight="1"/>
    <row r="1616" ht="15" customHeight="1"/>
    <row r="1617" ht="15" customHeight="1"/>
    <row r="1618" ht="15" customHeight="1"/>
    <row r="1619" ht="15" customHeight="1"/>
    <row r="1620" ht="15" customHeight="1"/>
    <row r="1621" ht="15" customHeight="1"/>
    <row r="1622" ht="15" customHeight="1"/>
    <row r="1623" ht="15" customHeight="1"/>
    <row r="1624" ht="15" customHeight="1"/>
    <row r="1625" ht="15" customHeight="1"/>
    <row r="1626" ht="15" customHeight="1"/>
    <row r="1627" ht="15" customHeight="1"/>
    <row r="1628" ht="15" customHeight="1"/>
    <row r="1629" ht="15" customHeight="1"/>
    <row r="1630" ht="15" customHeight="1"/>
    <row r="1631" ht="15" customHeight="1"/>
    <row r="1632" ht="15" customHeight="1"/>
    <row r="1633" ht="15" customHeight="1"/>
    <row r="1634" ht="15" customHeight="1"/>
    <row r="1635" ht="15" customHeight="1"/>
    <row r="1636" ht="15" customHeight="1"/>
    <row r="1637" ht="15" customHeight="1"/>
    <row r="1638" ht="15" customHeight="1"/>
    <row r="1639" ht="15" customHeight="1"/>
    <row r="1640" ht="15" customHeight="1"/>
    <row r="1641" ht="15" customHeight="1"/>
    <row r="1642" ht="15" customHeight="1"/>
    <row r="1643" ht="15" customHeight="1"/>
    <row r="1644" ht="15" customHeight="1"/>
    <row r="1645" ht="15" customHeight="1"/>
    <row r="1646" ht="15" customHeight="1"/>
    <row r="1647" ht="15" customHeight="1"/>
    <row r="1648" ht="15" customHeight="1"/>
    <row r="1649" ht="15" customHeight="1"/>
    <row r="1650" ht="15" customHeight="1"/>
    <row r="1651" ht="15" customHeight="1"/>
    <row r="1652" ht="15" customHeight="1"/>
    <row r="1653" ht="15" customHeight="1"/>
    <row r="1654" ht="15" customHeight="1"/>
    <row r="1655" ht="15" customHeight="1"/>
    <row r="1656" ht="15" customHeight="1"/>
    <row r="1657" ht="15" customHeight="1"/>
    <row r="1658" ht="15" customHeight="1"/>
    <row r="1659" ht="15" customHeight="1"/>
    <row r="1660" ht="15" customHeight="1"/>
    <row r="1661" ht="15" customHeight="1"/>
    <row r="1662" ht="15" customHeight="1"/>
    <row r="1663" ht="15" customHeight="1"/>
    <row r="1664" ht="15" customHeight="1"/>
    <row r="1665" ht="15" customHeight="1"/>
    <row r="1666" ht="15" customHeight="1"/>
    <row r="1667" ht="15" customHeight="1"/>
    <row r="1668" ht="15" customHeight="1"/>
    <row r="1669" ht="15" customHeight="1"/>
    <row r="1670" ht="15" customHeight="1"/>
    <row r="1671" ht="15" customHeight="1"/>
    <row r="1672" ht="15" customHeight="1"/>
    <row r="1673" ht="15" customHeight="1"/>
    <row r="1674" ht="15" customHeight="1"/>
    <row r="1675" ht="15" customHeight="1"/>
    <row r="1676" ht="15" customHeight="1"/>
    <row r="1677" ht="15" customHeight="1"/>
    <row r="1678" ht="15" customHeight="1"/>
    <row r="1679" ht="15" customHeight="1"/>
    <row r="1680" ht="15" customHeight="1"/>
    <row r="1681" ht="15" customHeight="1"/>
    <row r="1682" ht="15" customHeight="1"/>
    <row r="1683" ht="15" customHeight="1"/>
    <row r="1684" ht="15" customHeight="1"/>
    <row r="1685" ht="15" customHeight="1"/>
    <row r="1686" ht="15" customHeight="1"/>
    <row r="1687" ht="15" customHeight="1"/>
    <row r="1688" ht="15" customHeight="1"/>
    <row r="1689" ht="15" customHeight="1"/>
    <row r="1690" ht="15" customHeight="1"/>
    <row r="1691" ht="15" customHeight="1"/>
    <row r="1692" ht="15" customHeight="1"/>
    <row r="1693" ht="15" customHeight="1"/>
    <row r="1694" ht="15" customHeight="1"/>
    <row r="1695" ht="15" customHeight="1"/>
    <row r="1696" ht="15" customHeight="1"/>
    <row r="1697" ht="15" customHeight="1"/>
    <row r="1698" ht="15" customHeight="1"/>
    <row r="1699" ht="15" customHeight="1"/>
    <row r="1700" ht="15" customHeight="1"/>
    <row r="1701" ht="15" customHeight="1"/>
    <row r="1702" ht="15" customHeight="1"/>
    <row r="1703" ht="15" customHeight="1"/>
    <row r="1704" ht="15" customHeight="1"/>
    <row r="1705" ht="15" customHeight="1"/>
    <row r="1706" ht="15" customHeight="1"/>
    <row r="1707" ht="15" customHeight="1"/>
    <row r="1708" ht="15" customHeight="1"/>
    <row r="1709" ht="15" customHeight="1"/>
    <row r="1710" ht="15" customHeight="1"/>
    <row r="1711" ht="15" customHeight="1"/>
    <row r="1712" ht="15" customHeight="1"/>
    <row r="1713" ht="15" customHeight="1"/>
    <row r="1714" ht="15" customHeight="1"/>
    <row r="1715" ht="15" customHeight="1"/>
    <row r="1716" ht="15" customHeight="1"/>
    <row r="1717" ht="15" customHeight="1"/>
    <row r="1718" ht="15" customHeight="1"/>
    <row r="1719" ht="15" customHeight="1"/>
    <row r="1720" ht="15" customHeight="1"/>
    <row r="1721" ht="15" customHeight="1"/>
    <row r="1722" ht="15" customHeight="1"/>
    <row r="1723" ht="15" customHeight="1"/>
    <row r="1724" ht="15" customHeight="1"/>
    <row r="1725" ht="15" customHeight="1"/>
    <row r="1726" ht="15" customHeight="1"/>
    <row r="1727" ht="15" customHeight="1"/>
    <row r="1728" ht="15" customHeight="1"/>
    <row r="1729" ht="15" customHeight="1"/>
    <row r="1730" ht="15" customHeight="1"/>
    <row r="1731" ht="15" customHeight="1"/>
    <row r="1732" ht="15" customHeight="1"/>
    <row r="1733" ht="15" customHeight="1"/>
    <row r="1734" ht="15" customHeight="1"/>
    <row r="1735" ht="15" customHeight="1"/>
    <row r="1736" ht="15" customHeight="1"/>
    <row r="1737" ht="15" customHeight="1"/>
    <row r="1738" ht="15" customHeight="1"/>
    <row r="1739" ht="15" customHeight="1"/>
    <row r="1740" ht="15" customHeight="1"/>
    <row r="1741" ht="15" customHeight="1"/>
    <row r="1742" ht="15" customHeight="1"/>
    <row r="1743" ht="15" customHeight="1"/>
    <row r="1744" ht="15" customHeight="1"/>
    <row r="1745" ht="15" customHeight="1"/>
    <row r="1746" ht="15" customHeight="1"/>
    <row r="1747" ht="15" customHeight="1"/>
    <row r="1748" ht="15" customHeight="1"/>
    <row r="1749" ht="15" customHeight="1"/>
    <row r="1750" ht="15" customHeight="1"/>
    <row r="1751" ht="15" customHeight="1"/>
    <row r="1752" ht="15" customHeight="1"/>
    <row r="1753" ht="15" customHeight="1"/>
    <row r="1754" ht="15" customHeight="1"/>
    <row r="1755" ht="15" customHeight="1"/>
    <row r="1756" ht="15" customHeight="1"/>
    <row r="1757" ht="15" customHeight="1"/>
    <row r="1758" ht="15" customHeight="1"/>
    <row r="1759" ht="15" customHeight="1"/>
    <row r="1760" ht="15" customHeight="1"/>
    <row r="1761" ht="15" customHeight="1"/>
    <row r="1762" ht="15" customHeight="1"/>
    <row r="1763" ht="15" customHeight="1"/>
    <row r="1764" ht="15" customHeight="1"/>
    <row r="1765" ht="15" customHeight="1"/>
    <row r="1766" ht="15" customHeight="1"/>
    <row r="1767" ht="15" customHeight="1"/>
    <row r="1768" ht="15" customHeight="1"/>
    <row r="1769" ht="15" customHeight="1"/>
    <row r="1770" ht="15" customHeight="1"/>
    <row r="1771" ht="15" customHeight="1"/>
    <row r="1772" ht="15" customHeight="1"/>
    <row r="1773" ht="15" customHeight="1"/>
    <row r="1774" ht="15" customHeight="1"/>
    <row r="1775" ht="15" customHeight="1"/>
    <row r="1776" ht="15" customHeight="1"/>
    <row r="1777" ht="15" customHeight="1"/>
    <row r="1778" ht="15" customHeight="1"/>
    <row r="1779" ht="15" customHeight="1"/>
    <row r="1780" ht="15" customHeight="1"/>
    <row r="1781" ht="15" customHeight="1"/>
    <row r="1782" ht="15" customHeight="1"/>
    <row r="1783" ht="15" customHeight="1"/>
    <row r="1784" ht="15" customHeight="1"/>
    <row r="1785" ht="15" customHeight="1"/>
    <row r="1786" ht="15" customHeight="1"/>
    <row r="1787" ht="15" customHeight="1"/>
    <row r="1788" ht="15" customHeight="1"/>
    <row r="1789" ht="15" customHeight="1"/>
    <row r="1790" ht="15" customHeight="1"/>
    <row r="1791" ht="15" customHeight="1"/>
    <row r="1792" ht="15" customHeight="1"/>
    <row r="1793" ht="15" customHeight="1"/>
    <row r="1794" ht="15" customHeight="1"/>
    <row r="1795" ht="15" customHeight="1"/>
    <row r="1796" ht="15" customHeight="1"/>
    <row r="1797" ht="15" customHeight="1"/>
    <row r="1798" ht="15" customHeight="1"/>
    <row r="1799" ht="15" customHeight="1"/>
    <row r="1800" ht="15" customHeight="1"/>
    <row r="1801" ht="15" customHeight="1"/>
    <row r="1802" ht="15" customHeight="1"/>
    <row r="1803" ht="15" customHeight="1"/>
    <row r="1804" ht="15" customHeight="1"/>
    <row r="1805" ht="15" customHeight="1"/>
    <row r="1806" ht="15" customHeight="1"/>
    <row r="1807" ht="15" customHeight="1"/>
    <row r="1808" ht="15" customHeight="1"/>
    <row r="1809" ht="15" customHeight="1"/>
    <row r="1810" ht="15" customHeight="1"/>
    <row r="1811" ht="15" customHeight="1"/>
    <row r="1812" ht="15" customHeight="1"/>
    <row r="1813" ht="15" customHeight="1"/>
    <row r="1814" ht="15" customHeight="1"/>
    <row r="1815" ht="15" customHeight="1"/>
    <row r="1816" ht="15" customHeight="1"/>
    <row r="1817" ht="15" customHeight="1"/>
    <row r="1818" ht="15" customHeight="1"/>
    <row r="1819" ht="15" customHeight="1"/>
    <row r="1820" ht="15" customHeight="1"/>
    <row r="1821" ht="15" customHeight="1"/>
    <row r="1822" ht="15" customHeight="1"/>
    <row r="1823" ht="15" customHeight="1"/>
    <row r="1824" ht="15" customHeight="1"/>
    <row r="1825" ht="15" customHeight="1"/>
    <row r="1826" ht="15" customHeight="1"/>
    <row r="1827" ht="15" customHeight="1"/>
    <row r="1828" ht="15" customHeight="1"/>
    <row r="1829" ht="15" customHeight="1"/>
    <row r="1830" ht="15" customHeight="1"/>
    <row r="1831" ht="15" customHeight="1"/>
    <row r="1832" ht="15" customHeight="1"/>
    <row r="1833" ht="15" customHeight="1"/>
    <row r="1834" ht="15" customHeight="1"/>
    <row r="1835" ht="15" customHeight="1"/>
    <row r="1836" ht="15" customHeight="1"/>
    <row r="1837" ht="15" customHeight="1"/>
    <row r="1838" ht="15" customHeight="1"/>
    <row r="1839" ht="15" customHeight="1"/>
    <row r="1840" ht="15" customHeight="1"/>
    <row r="1841" ht="15" customHeight="1"/>
    <row r="1842" ht="15" customHeight="1"/>
    <row r="1843" ht="15" customHeight="1"/>
    <row r="1844" ht="15" customHeight="1"/>
    <row r="1845" ht="15" customHeight="1"/>
    <row r="1846" ht="15" customHeight="1"/>
    <row r="1847" ht="15" customHeight="1"/>
    <row r="1848" ht="15" customHeight="1"/>
    <row r="1849" ht="15" customHeight="1"/>
    <row r="1850" ht="15" customHeight="1"/>
    <row r="1851" ht="15" customHeight="1"/>
    <row r="1852" ht="15" customHeight="1"/>
    <row r="1853" ht="15" customHeight="1"/>
    <row r="1854" ht="15" customHeight="1"/>
    <row r="1855" ht="15" customHeight="1"/>
    <row r="1856" ht="15" customHeight="1"/>
    <row r="1857" ht="15" customHeight="1"/>
    <row r="1858" ht="15" customHeight="1"/>
    <row r="1859" ht="15" customHeight="1"/>
    <row r="1860" ht="15" customHeight="1"/>
    <row r="1861" ht="15" customHeight="1"/>
    <row r="1862" ht="15" customHeight="1"/>
    <row r="1863" ht="15" customHeight="1"/>
    <row r="1864" ht="15" customHeight="1"/>
    <row r="1865" ht="15" customHeight="1"/>
    <row r="1866" ht="15" customHeight="1"/>
    <row r="1867" ht="15" customHeight="1"/>
    <row r="1868" ht="15" customHeight="1"/>
    <row r="1869" ht="15" customHeight="1"/>
    <row r="1870" ht="15" customHeight="1"/>
    <row r="1871" ht="15" customHeight="1"/>
    <row r="1872" ht="15" customHeight="1"/>
    <row r="1873" ht="15" customHeight="1"/>
    <row r="1874" ht="15" customHeight="1"/>
    <row r="1875" ht="15" customHeight="1"/>
    <row r="1876" ht="15" customHeight="1"/>
    <row r="1877" ht="15" customHeight="1"/>
    <row r="1878" ht="15" customHeight="1"/>
    <row r="1879" ht="15" customHeight="1"/>
    <row r="1880" ht="15" customHeight="1"/>
    <row r="1881" ht="15" customHeight="1"/>
    <row r="1882" ht="15" customHeight="1"/>
    <row r="1883" ht="15" customHeight="1"/>
    <row r="1884" ht="15" customHeight="1"/>
    <row r="1885" ht="15" customHeight="1"/>
    <row r="1886" ht="15" customHeight="1"/>
    <row r="1887" ht="15" customHeight="1"/>
    <row r="1888" ht="15" customHeight="1"/>
    <row r="1889" ht="15" customHeight="1"/>
    <row r="1890" ht="15" customHeight="1"/>
    <row r="1891" ht="15" customHeight="1"/>
    <row r="1892" ht="15" customHeight="1"/>
    <row r="1893" ht="15" customHeight="1"/>
    <row r="1894" ht="15" customHeight="1"/>
    <row r="1895" ht="15" customHeight="1"/>
    <row r="1896" ht="15" customHeight="1"/>
    <row r="1897" ht="15" customHeight="1"/>
    <row r="1898" ht="15" customHeight="1"/>
    <row r="1899" ht="15" customHeight="1"/>
    <row r="1900" ht="15" customHeight="1"/>
    <row r="1901" ht="15" customHeight="1"/>
    <row r="1902" ht="15" customHeight="1"/>
    <row r="1903" ht="15" customHeight="1"/>
    <row r="1904" ht="15" customHeight="1"/>
    <row r="1905" ht="15" customHeight="1"/>
    <row r="1906" ht="15" customHeight="1"/>
    <row r="1907" ht="15" customHeight="1"/>
    <row r="1908" ht="15" customHeight="1"/>
    <row r="1909" ht="15" customHeight="1"/>
    <row r="1910" ht="15" customHeight="1"/>
    <row r="1911" ht="15" customHeight="1"/>
    <row r="1912" ht="15" customHeight="1"/>
    <row r="1913" ht="15" customHeight="1"/>
    <row r="1914" ht="15" customHeight="1"/>
    <row r="1915" ht="15" customHeight="1"/>
    <row r="1916" ht="15" customHeight="1"/>
    <row r="1917" ht="15" customHeight="1"/>
    <row r="1918" ht="15" customHeight="1"/>
    <row r="1919" ht="15" customHeight="1"/>
    <row r="1920" ht="15" customHeight="1"/>
    <row r="1921" ht="15" customHeight="1"/>
    <row r="1922" ht="15" customHeight="1"/>
    <row r="1923" ht="15" customHeight="1"/>
    <row r="1924" ht="15" customHeight="1"/>
    <row r="1925" ht="15" customHeight="1"/>
    <row r="1926" ht="15" customHeight="1"/>
    <row r="1927" ht="15" customHeight="1"/>
    <row r="1928" ht="15" customHeight="1"/>
    <row r="1929" ht="15" customHeight="1"/>
    <row r="1930" ht="15" customHeight="1"/>
    <row r="1931" ht="15" customHeight="1"/>
    <row r="1932" ht="15" customHeight="1"/>
    <row r="1933" ht="15" customHeight="1"/>
    <row r="1934" ht="15" customHeight="1"/>
    <row r="1935" ht="15" customHeight="1"/>
    <row r="1936" ht="15" customHeight="1"/>
    <row r="1937" ht="15" customHeight="1"/>
    <row r="1938" ht="15" customHeight="1"/>
    <row r="1939" ht="15" customHeight="1"/>
    <row r="1940" ht="15" customHeight="1"/>
    <row r="1941" ht="15" customHeight="1"/>
    <row r="1942" ht="15" customHeight="1"/>
    <row r="1943" ht="15" customHeight="1"/>
    <row r="1944" ht="15" customHeight="1"/>
    <row r="1945" ht="15" customHeight="1"/>
    <row r="1946" ht="15" customHeight="1"/>
    <row r="1947" ht="15" customHeight="1"/>
    <row r="1948" ht="15" customHeight="1"/>
    <row r="1949" ht="15" customHeight="1"/>
    <row r="1950" ht="15" customHeight="1"/>
    <row r="1951" ht="15" customHeight="1"/>
    <row r="1952" ht="15" customHeight="1"/>
    <row r="1953" ht="15" customHeight="1"/>
    <row r="1954" ht="15" customHeight="1"/>
    <row r="1955" ht="15" customHeight="1"/>
    <row r="1956" ht="15" customHeight="1"/>
    <row r="1957" ht="15" customHeight="1"/>
    <row r="1958" ht="15" customHeight="1"/>
    <row r="1959" ht="15" customHeight="1"/>
    <row r="1960" ht="15" customHeight="1"/>
    <row r="1961" ht="15" customHeight="1"/>
    <row r="1962" ht="15" customHeight="1"/>
    <row r="1963" ht="15" customHeight="1"/>
    <row r="1964" ht="15" customHeight="1"/>
    <row r="1965" ht="15" customHeight="1"/>
    <row r="1966" ht="15" customHeight="1"/>
    <row r="1967" ht="15" customHeight="1"/>
    <row r="1968" ht="15" customHeight="1"/>
    <row r="1969" ht="15" customHeight="1"/>
    <row r="1970" ht="15" customHeight="1"/>
    <row r="1971" ht="15" customHeight="1"/>
    <row r="1972" ht="15" customHeight="1"/>
    <row r="1973" ht="15" customHeight="1"/>
    <row r="1974" ht="15" customHeight="1"/>
    <row r="1975" ht="15" customHeight="1"/>
    <row r="1976" ht="15" customHeight="1"/>
    <row r="1977" ht="15" customHeight="1"/>
    <row r="1978" ht="15" customHeight="1"/>
    <row r="1979" ht="15" customHeight="1"/>
    <row r="1980" ht="15" customHeight="1"/>
    <row r="1981" ht="15" customHeight="1"/>
    <row r="1982" ht="15" customHeight="1"/>
    <row r="1983" ht="15" customHeight="1"/>
    <row r="1984" ht="15" customHeight="1"/>
    <row r="1985" ht="15" customHeight="1"/>
    <row r="1986" ht="15" customHeight="1"/>
    <row r="1987" ht="15" customHeight="1"/>
    <row r="1988" ht="15" customHeight="1"/>
    <row r="1989" ht="15" customHeight="1"/>
    <row r="1990" ht="15" customHeight="1"/>
    <row r="1991" ht="15" customHeight="1"/>
    <row r="1992" ht="15" customHeight="1"/>
    <row r="1993" ht="15" customHeight="1"/>
    <row r="1994" ht="15" customHeight="1"/>
    <row r="1995" ht="15" customHeight="1"/>
    <row r="1996" ht="15" customHeight="1"/>
    <row r="1997" ht="15" customHeight="1"/>
    <row r="1998" ht="15" customHeight="1"/>
    <row r="1999" ht="15" customHeight="1"/>
    <row r="2000" ht="15" customHeight="1"/>
    <row r="2001" ht="15" customHeight="1"/>
    <row r="2002" ht="15" customHeight="1"/>
    <row r="2003" ht="15" customHeight="1"/>
    <row r="2004" ht="15" customHeight="1"/>
    <row r="2005" ht="15" customHeight="1"/>
    <row r="2006" ht="15" customHeight="1"/>
    <row r="2007" ht="15" customHeight="1"/>
    <row r="2008" ht="15" customHeight="1"/>
    <row r="2009" ht="15" customHeight="1"/>
    <row r="2010" ht="15" customHeight="1"/>
    <row r="2011" ht="15" customHeight="1"/>
    <row r="2012" ht="15" customHeight="1"/>
    <row r="2013" ht="15" customHeight="1"/>
    <row r="2014" ht="15" customHeight="1"/>
    <row r="2015" ht="15" customHeight="1"/>
    <row r="2016" ht="15" customHeight="1"/>
    <row r="2017" ht="15" customHeight="1"/>
    <row r="2018" ht="15" customHeight="1"/>
    <row r="2019" ht="15" customHeight="1"/>
    <row r="2020" ht="15" customHeight="1"/>
    <row r="2021" ht="15" customHeight="1"/>
    <row r="2022" ht="15" customHeight="1"/>
    <row r="2023" ht="15" customHeight="1"/>
    <row r="2024" ht="15" customHeight="1"/>
    <row r="2025" ht="15" customHeight="1"/>
    <row r="2026" ht="15" customHeight="1"/>
    <row r="2027" ht="15" customHeight="1"/>
    <row r="2028" ht="15" customHeight="1"/>
    <row r="2029" ht="15" customHeight="1"/>
    <row r="2030" ht="15" customHeight="1"/>
    <row r="2031" ht="15" customHeight="1"/>
    <row r="2032" ht="15" customHeight="1"/>
    <row r="2033" ht="15" customHeight="1"/>
    <row r="2034" ht="15" customHeight="1"/>
    <row r="2035" ht="15" customHeight="1"/>
    <row r="2036" ht="15" customHeight="1"/>
    <row r="2037" ht="15" customHeight="1"/>
    <row r="2038" ht="15" customHeight="1"/>
    <row r="2039" ht="15" customHeight="1"/>
    <row r="2040" ht="15" customHeight="1"/>
    <row r="2041" ht="15" customHeight="1"/>
    <row r="2042" ht="15" customHeight="1"/>
    <row r="2043" ht="15" customHeight="1"/>
    <row r="2044" ht="15" customHeight="1"/>
    <row r="2045" ht="15" customHeight="1"/>
    <row r="2046" ht="15" customHeight="1"/>
    <row r="2047" ht="15" customHeight="1"/>
    <row r="2048" ht="15" customHeight="1"/>
    <row r="2049" ht="15" customHeight="1"/>
    <row r="2050" ht="15" customHeight="1"/>
    <row r="2051" ht="15" customHeight="1"/>
    <row r="2052" ht="15" customHeight="1"/>
    <row r="2053" ht="15" customHeight="1"/>
    <row r="2054" ht="15" customHeight="1"/>
    <row r="2055" ht="15" customHeight="1"/>
    <row r="2056" ht="15" customHeight="1"/>
    <row r="2057" ht="15" customHeight="1"/>
    <row r="2058" ht="15" customHeight="1"/>
    <row r="2059" ht="15" customHeight="1"/>
    <row r="2060" ht="15" customHeight="1"/>
    <row r="2061" ht="15" customHeight="1"/>
    <row r="2062" ht="15" customHeight="1"/>
    <row r="2063" ht="15" customHeight="1"/>
    <row r="2064" ht="15" customHeight="1"/>
    <row r="2065" ht="15" customHeight="1"/>
    <row r="2066" ht="15" customHeight="1"/>
    <row r="2067" ht="15" customHeight="1"/>
    <row r="2068" ht="15" customHeight="1"/>
    <row r="2069" ht="15" customHeight="1"/>
    <row r="2070" ht="15" customHeight="1"/>
    <row r="2071" ht="15" customHeight="1"/>
    <row r="2072" ht="15" customHeight="1"/>
    <row r="2073" ht="15" customHeight="1"/>
    <row r="2074" ht="15" customHeight="1"/>
    <row r="2075" ht="15" customHeight="1"/>
    <row r="2076" ht="15" customHeight="1"/>
    <row r="2077" ht="15" customHeight="1"/>
    <row r="2078" ht="15" customHeight="1"/>
    <row r="2079" ht="15" customHeight="1"/>
    <row r="2080" ht="15" customHeight="1"/>
    <row r="2081" ht="15" customHeight="1"/>
    <row r="2082" ht="15" customHeight="1"/>
    <row r="2083" ht="15" customHeight="1"/>
    <row r="2084" ht="15" customHeight="1"/>
    <row r="2085" ht="15" customHeight="1"/>
    <row r="2086" ht="15" customHeight="1"/>
    <row r="2087" ht="15" customHeight="1"/>
    <row r="2088" ht="15" customHeight="1"/>
    <row r="2089" ht="15" customHeight="1"/>
    <row r="2090" ht="15" customHeight="1"/>
    <row r="2091" ht="15" customHeight="1"/>
    <row r="2092" ht="15" customHeight="1"/>
    <row r="2093" ht="15" customHeight="1"/>
    <row r="2094" ht="15" customHeight="1"/>
    <row r="2095" ht="15" customHeight="1"/>
    <row r="2096" ht="15" customHeight="1"/>
    <row r="2097" ht="15" customHeight="1"/>
    <row r="2098" ht="15" customHeight="1"/>
    <row r="2099" ht="15" customHeight="1"/>
    <row r="2100" ht="15" customHeight="1"/>
    <row r="2101" ht="15" customHeight="1"/>
    <row r="2102" ht="15" customHeight="1"/>
    <row r="2103" ht="15" customHeight="1"/>
    <row r="2104" ht="15" customHeight="1"/>
    <row r="2105" ht="15" customHeight="1"/>
    <row r="2106" ht="15" customHeight="1"/>
    <row r="2107" ht="15" customHeight="1"/>
    <row r="2108" ht="15" customHeight="1"/>
    <row r="2109" ht="15" customHeight="1"/>
    <row r="2110" ht="15" customHeight="1"/>
    <row r="2111" ht="15" customHeight="1"/>
    <row r="2112" ht="15" customHeight="1"/>
    <row r="2113" ht="15" customHeight="1"/>
    <row r="2114" ht="15" customHeight="1"/>
    <row r="2115" ht="15" customHeight="1"/>
    <row r="2116" ht="15" customHeight="1"/>
    <row r="2117" ht="15" customHeight="1"/>
    <row r="2118" ht="15" customHeight="1"/>
    <row r="2119" ht="15" customHeight="1"/>
    <row r="2120" ht="15" customHeight="1"/>
    <row r="2121" ht="15" customHeight="1"/>
    <row r="2122" ht="15" customHeight="1"/>
    <row r="2123" ht="15" customHeight="1"/>
    <row r="2124" ht="15" customHeight="1"/>
    <row r="2125" ht="15" customHeight="1"/>
    <row r="2126" ht="15" customHeight="1"/>
    <row r="2127" ht="15" customHeight="1"/>
    <row r="2128" ht="15" customHeight="1"/>
    <row r="2129" ht="15" customHeight="1"/>
    <row r="2130" ht="15" customHeight="1"/>
    <row r="2131" ht="15" customHeight="1"/>
    <row r="2132" ht="15" customHeight="1"/>
    <row r="2133" ht="15" customHeight="1"/>
    <row r="2134" ht="15" customHeight="1"/>
    <row r="2135" ht="15" customHeight="1"/>
    <row r="2136" ht="15" customHeight="1"/>
    <row r="2137" ht="15" customHeight="1"/>
    <row r="2138" ht="15" customHeight="1"/>
    <row r="2139" ht="15" customHeight="1"/>
    <row r="2140" ht="15" customHeight="1"/>
    <row r="2141" ht="15" customHeight="1"/>
    <row r="2142" ht="15" customHeight="1"/>
    <row r="2143" ht="15" customHeight="1"/>
    <row r="2144" ht="15" customHeight="1"/>
    <row r="2145" ht="15" customHeight="1"/>
    <row r="2146" ht="15" customHeight="1"/>
    <row r="2147" ht="15" customHeight="1"/>
    <row r="2148" ht="15" customHeight="1"/>
    <row r="2149" ht="15" customHeight="1"/>
    <row r="2150" ht="15" customHeight="1"/>
    <row r="2151" ht="15" customHeight="1"/>
    <row r="2152" ht="15" customHeight="1"/>
    <row r="2153" ht="15" customHeight="1"/>
    <row r="2154" ht="15" customHeight="1"/>
    <row r="2155" ht="15" customHeight="1"/>
    <row r="2156" ht="15" customHeight="1"/>
    <row r="2157" ht="15" customHeight="1"/>
    <row r="2158" ht="15" customHeight="1"/>
    <row r="2159" ht="15" customHeight="1"/>
    <row r="2160" ht="15" customHeight="1"/>
    <row r="2161" ht="15" customHeight="1"/>
    <row r="2162" ht="15" customHeight="1"/>
    <row r="2163" ht="15" customHeight="1"/>
    <row r="2164" ht="15" customHeight="1"/>
    <row r="2165" ht="15" customHeight="1"/>
    <row r="2166" ht="15" customHeight="1"/>
    <row r="2167" ht="15" customHeight="1"/>
    <row r="2168" ht="15" customHeight="1"/>
    <row r="2169" ht="15" customHeight="1"/>
    <row r="2170" ht="15" customHeight="1"/>
    <row r="2171" ht="15" customHeight="1"/>
    <row r="2172" ht="15" customHeight="1"/>
    <row r="2173" ht="15" customHeight="1"/>
    <row r="2174" ht="15" customHeight="1"/>
    <row r="2175" ht="15" customHeight="1"/>
    <row r="2176" ht="15" customHeight="1"/>
    <row r="2177" ht="15" customHeight="1"/>
    <row r="2178" ht="15" customHeight="1"/>
    <row r="2179" ht="15" customHeight="1"/>
    <row r="2180" ht="15" customHeight="1"/>
    <row r="2181" ht="15" customHeight="1"/>
    <row r="2182" ht="15" customHeight="1"/>
    <row r="2183" ht="15" customHeight="1"/>
    <row r="2184" ht="15" customHeight="1"/>
    <row r="2185" ht="15" customHeight="1"/>
    <row r="2186" ht="15" customHeight="1"/>
    <row r="2187" ht="15" customHeight="1"/>
    <row r="2188" ht="15" customHeight="1"/>
    <row r="2189" ht="15" customHeight="1"/>
    <row r="2190" ht="15" customHeight="1"/>
    <row r="2191" ht="15" customHeight="1"/>
    <row r="2192" ht="15" customHeight="1"/>
    <row r="2193" ht="15" customHeight="1"/>
    <row r="2194" ht="15" customHeight="1"/>
    <row r="2195" ht="15" customHeight="1"/>
    <row r="2196" ht="15" customHeight="1"/>
    <row r="2197" ht="15" customHeight="1"/>
    <row r="2198" ht="15" customHeight="1"/>
    <row r="2199" ht="15" customHeight="1"/>
    <row r="2200" ht="15" customHeight="1"/>
    <row r="2201" ht="15" customHeight="1"/>
    <row r="2202" ht="15" customHeight="1"/>
    <row r="2203" ht="15" customHeight="1"/>
    <row r="2204" ht="15" customHeight="1"/>
    <row r="2205" ht="15" customHeight="1"/>
    <row r="2206" ht="15" customHeight="1"/>
    <row r="2207" ht="15" customHeight="1"/>
    <row r="2208" ht="15" customHeight="1"/>
    <row r="2209" ht="15" customHeight="1"/>
    <row r="2210" ht="15" customHeight="1"/>
    <row r="2211" ht="15" customHeight="1"/>
    <row r="2212" ht="15" customHeight="1"/>
    <row r="2213" ht="15" customHeight="1"/>
    <row r="2214" ht="15" customHeight="1"/>
    <row r="2215" ht="15" customHeight="1"/>
    <row r="2216" ht="15" customHeight="1"/>
    <row r="2217" ht="15" customHeight="1"/>
    <row r="2218" ht="15" customHeight="1"/>
    <row r="2219" ht="15" customHeight="1"/>
    <row r="2220" ht="15" customHeight="1"/>
    <row r="2221" ht="15" customHeight="1"/>
    <row r="2222" ht="15" customHeight="1"/>
    <row r="2223" ht="15" customHeight="1"/>
    <row r="2224" ht="15" customHeight="1"/>
    <row r="2225" ht="15" customHeight="1"/>
    <row r="2226" ht="15" customHeight="1"/>
    <row r="2227" ht="15" customHeight="1"/>
    <row r="2228" ht="15" customHeight="1"/>
    <row r="2229" ht="15" customHeight="1"/>
    <row r="2230" ht="15" customHeight="1"/>
    <row r="2231" ht="15" customHeight="1"/>
    <row r="2232" ht="15" customHeight="1"/>
    <row r="2233" ht="15" customHeight="1"/>
    <row r="2234" ht="15" customHeight="1"/>
    <row r="2235" ht="15" customHeight="1"/>
    <row r="2236" ht="15" customHeight="1"/>
    <row r="2237" ht="15" customHeight="1"/>
    <row r="2238" ht="15" customHeight="1"/>
    <row r="2239" ht="15" customHeight="1"/>
    <row r="2240" ht="15" customHeight="1"/>
    <row r="2241" ht="15" customHeight="1"/>
    <row r="2242" ht="15" customHeight="1"/>
    <row r="2243" ht="15" customHeight="1"/>
    <row r="2244" ht="15" customHeight="1"/>
    <row r="2245" ht="15" customHeight="1"/>
    <row r="2246" ht="15" customHeight="1"/>
    <row r="2247" ht="15" customHeight="1"/>
    <row r="2248" ht="15" customHeight="1"/>
    <row r="2249" ht="15" customHeight="1"/>
    <row r="2250" ht="15" customHeight="1"/>
    <row r="2251" ht="15" customHeight="1"/>
    <row r="2252" ht="15" customHeight="1"/>
    <row r="2253" ht="15" customHeight="1"/>
    <row r="2254" ht="15" customHeight="1"/>
    <row r="2255" ht="15" customHeight="1"/>
    <row r="2256" ht="15" customHeight="1"/>
    <row r="2257" ht="15" customHeight="1"/>
    <row r="2258" ht="15" customHeight="1"/>
    <row r="2259" ht="15" customHeight="1"/>
    <row r="2260" ht="15" customHeight="1"/>
    <row r="2261" ht="15" customHeight="1"/>
    <row r="2262" ht="15" customHeight="1"/>
    <row r="2263" ht="15" customHeight="1"/>
    <row r="2264" ht="15" customHeight="1"/>
    <row r="2265" ht="15" customHeight="1"/>
    <row r="2266" ht="15" customHeight="1"/>
    <row r="2267" ht="15" customHeight="1"/>
    <row r="2268" ht="15" customHeight="1"/>
    <row r="2269" ht="15" customHeight="1"/>
    <row r="2270" ht="15" customHeight="1"/>
    <row r="2271" ht="15" customHeight="1"/>
    <row r="2272" ht="15" customHeight="1"/>
    <row r="2273" ht="15" customHeight="1"/>
    <row r="2274" ht="15" customHeight="1"/>
    <row r="2275" ht="15" customHeight="1"/>
    <row r="2276" ht="15" customHeight="1"/>
    <row r="2277" ht="15" customHeight="1"/>
    <row r="2278" ht="15" customHeight="1"/>
    <row r="2279" ht="15" customHeight="1"/>
    <row r="2280" ht="15" customHeight="1"/>
    <row r="2281" ht="15" customHeight="1"/>
    <row r="2282" ht="15" customHeight="1"/>
    <row r="2283" ht="15" customHeight="1"/>
    <row r="2284" ht="15" customHeight="1"/>
    <row r="2285" ht="15" customHeight="1"/>
    <row r="2286" ht="15" customHeight="1"/>
    <row r="2287" ht="15" customHeight="1"/>
    <row r="2288" ht="15" customHeight="1"/>
    <row r="2289" ht="15" customHeight="1"/>
    <row r="2290" ht="15" customHeight="1"/>
    <row r="2291" ht="15" customHeight="1"/>
    <row r="2292" ht="15" customHeight="1"/>
    <row r="2293" ht="15" customHeight="1"/>
    <row r="2294" ht="15" customHeight="1"/>
    <row r="2295" ht="15" customHeight="1"/>
    <row r="2296" ht="15" customHeight="1"/>
    <row r="2297" ht="15" customHeight="1"/>
    <row r="2298" ht="15" customHeight="1"/>
    <row r="2299" ht="15" customHeight="1"/>
    <row r="2300" ht="15" customHeight="1"/>
    <row r="2301" ht="15" customHeight="1"/>
    <row r="2302" ht="15" customHeight="1"/>
    <row r="2303" ht="15" customHeight="1"/>
    <row r="2304" ht="15" customHeight="1"/>
    <row r="2305" ht="15" customHeight="1"/>
    <row r="2306" ht="15" customHeight="1"/>
    <row r="2307" ht="15" customHeight="1"/>
    <row r="2308" ht="15" customHeight="1"/>
    <row r="2309" ht="15" customHeight="1"/>
    <row r="2310" ht="15" customHeight="1"/>
    <row r="2311" ht="15" customHeight="1"/>
    <row r="2312" ht="15" customHeight="1"/>
    <row r="2313" ht="15" customHeight="1"/>
    <row r="2314" ht="15" customHeight="1"/>
    <row r="2315" ht="15" customHeight="1"/>
    <row r="2316" ht="15" customHeight="1"/>
    <row r="2317" ht="15" customHeight="1"/>
    <row r="2318" ht="15" customHeight="1"/>
    <row r="2319" ht="15" customHeight="1"/>
    <row r="2320" ht="15" customHeight="1"/>
    <row r="2321" ht="15" customHeight="1"/>
    <row r="2322" ht="15" customHeight="1"/>
    <row r="2323" ht="15" customHeight="1"/>
    <row r="2324" ht="15" customHeight="1"/>
    <row r="2325" ht="15" customHeight="1"/>
    <row r="2326" ht="15" customHeight="1"/>
    <row r="2327" ht="15" customHeight="1"/>
    <row r="2328" ht="15" customHeight="1"/>
    <row r="2329" ht="15" customHeight="1"/>
    <row r="2330" ht="15" customHeight="1"/>
    <row r="2331" ht="15" customHeight="1"/>
    <row r="2332" ht="15" customHeight="1"/>
    <row r="2333" ht="15" customHeight="1"/>
    <row r="2334" ht="15" customHeight="1"/>
    <row r="2335" ht="15" customHeight="1"/>
    <row r="2336" ht="15" customHeight="1"/>
    <row r="2337" ht="15" customHeight="1"/>
    <row r="2338" ht="15" customHeight="1"/>
    <row r="2339" ht="15" customHeight="1"/>
    <row r="2340" ht="15" customHeight="1"/>
    <row r="2341" ht="15" customHeight="1"/>
    <row r="2342" ht="15" customHeight="1"/>
    <row r="2343" ht="15" customHeight="1"/>
    <row r="2344" ht="15" customHeight="1"/>
    <row r="2345" ht="15" customHeight="1"/>
    <row r="2346" ht="15" customHeight="1"/>
    <row r="2347" ht="15" customHeight="1"/>
    <row r="2348" ht="15" customHeight="1"/>
    <row r="2349" ht="15" customHeight="1"/>
    <row r="2350" ht="15" customHeight="1"/>
    <row r="2351" ht="15" customHeight="1"/>
    <row r="2352" ht="15" customHeight="1"/>
    <row r="2353" ht="15" customHeight="1"/>
    <row r="2354" ht="15" customHeight="1"/>
    <row r="2355" ht="15" customHeight="1"/>
    <row r="2356" ht="15" customHeight="1"/>
    <row r="2357" ht="15" customHeight="1"/>
    <row r="2358" ht="15" customHeight="1"/>
    <row r="2359" ht="15" customHeight="1"/>
    <row r="2360" ht="15" customHeight="1"/>
    <row r="2361" ht="15" customHeight="1"/>
    <row r="2362" ht="15" customHeight="1"/>
    <row r="2363" ht="15" customHeight="1"/>
    <row r="2364" ht="15" customHeight="1"/>
    <row r="2365" ht="15" customHeight="1"/>
    <row r="2366" ht="15" customHeight="1"/>
    <row r="2367" ht="15" customHeight="1"/>
    <row r="2368" ht="15" customHeight="1"/>
    <row r="2369" ht="15" customHeight="1"/>
    <row r="2370" ht="15" customHeight="1"/>
    <row r="2371" ht="15" customHeight="1"/>
    <row r="2372" ht="15" customHeight="1"/>
    <row r="2373" ht="15" customHeight="1"/>
    <row r="2374" ht="15" customHeight="1"/>
    <row r="2375" ht="15" customHeight="1"/>
    <row r="2376" ht="15" customHeight="1"/>
    <row r="2377" ht="15" customHeight="1"/>
    <row r="2378" ht="15" customHeight="1"/>
    <row r="2379" ht="15" customHeight="1"/>
    <row r="2380" ht="15" customHeight="1"/>
    <row r="2381" ht="15" customHeight="1"/>
    <row r="2382" ht="15" customHeight="1"/>
    <row r="2383" ht="15" customHeight="1"/>
    <row r="2384" ht="15" customHeight="1"/>
    <row r="2385" ht="15" customHeight="1"/>
    <row r="2386" ht="15" customHeight="1"/>
    <row r="2387" ht="15" customHeight="1"/>
    <row r="2388" ht="15" customHeight="1"/>
    <row r="2389" ht="15" customHeight="1"/>
    <row r="2390" ht="15" customHeight="1"/>
    <row r="2391" ht="15" customHeight="1"/>
    <row r="2392" ht="15" customHeight="1"/>
    <row r="2393" ht="15" customHeight="1"/>
    <row r="2394" ht="15" customHeight="1"/>
    <row r="2395" ht="15" customHeight="1"/>
    <row r="2396" ht="15" customHeight="1"/>
    <row r="2397" ht="15" customHeight="1"/>
    <row r="2398" ht="15" customHeight="1"/>
    <row r="2399" ht="15" customHeight="1"/>
    <row r="2400" ht="15" customHeight="1"/>
    <row r="2401" ht="15" customHeight="1"/>
    <row r="2402" ht="15" customHeight="1"/>
    <row r="2403" ht="15" customHeight="1"/>
    <row r="2404" ht="15" customHeight="1"/>
    <row r="2405" ht="15" customHeight="1"/>
    <row r="2406" ht="15" customHeight="1"/>
    <row r="2407" ht="15" customHeight="1"/>
    <row r="2408" ht="15" customHeight="1"/>
    <row r="2409" ht="15" customHeight="1"/>
    <row r="2410" ht="15" customHeight="1"/>
    <row r="2411" ht="15" customHeight="1"/>
    <row r="2412" ht="15" customHeight="1"/>
    <row r="2413" ht="15" customHeight="1"/>
    <row r="2414" ht="15" customHeight="1"/>
    <row r="2415" ht="15" customHeight="1"/>
    <row r="2416" ht="15" customHeight="1"/>
    <row r="2417" ht="15" customHeight="1"/>
    <row r="2418" ht="15" customHeight="1"/>
    <row r="2419" ht="15" customHeight="1"/>
    <row r="2420" ht="15" customHeight="1"/>
    <row r="2421" ht="15" customHeight="1"/>
    <row r="2422" ht="15" customHeight="1"/>
    <row r="2423" ht="15" customHeight="1"/>
    <row r="2424" ht="15" customHeight="1"/>
    <row r="2425" ht="15" customHeight="1"/>
    <row r="2426" ht="15" customHeight="1"/>
    <row r="2427" ht="15" customHeight="1"/>
    <row r="2428" ht="15" customHeight="1"/>
    <row r="2429" ht="15" customHeight="1"/>
    <row r="2430" ht="15" customHeight="1"/>
    <row r="2431" ht="15" customHeight="1"/>
    <row r="2432" ht="15" customHeight="1"/>
    <row r="2433" ht="15" customHeight="1"/>
    <row r="2434" ht="15" customHeight="1"/>
    <row r="2435" ht="15" customHeight="1"/>
    <row r="2436" ht="15" customHeight="1"/>
    <row r="2437" ht="15" customHeight="1"/>
    <row r="2438" ht="15" customHeight="1"/>
    <row r="2439" ht="15" customHeight="1"/>
    <row r="2440" ht="15" customHeight="1"/>
    <row r="2441" ht="15" customHeight="1"/>
    <row r="2442" ht="15" customHeight="1"/>
    <row r="2443" ht="15" customHeight="1"/>
    <row r="2444" ht="15" customHeight="1"/>
    <row r="2445" ht="15" customHeight="1"/>
    <row r="2446" ht="15" customHeight="1"/>
    <row r="2447" ht="15" customHeight="1"/>
    <row r="2448" ht="15" customHeight="1"/>
    <row r="2449" ht="15" customHeight="1"/>
    <row r="2450" ht="15" customHeight="1"/>
    <row r="2451" ht="15" customHeight="1"/>
    <row r="2452" ht="15" customHeight="1"/>
    <row r="2453" ht="15" customHeight="1"/>
    <row r="2454" ht="15" customHeight="1"/>
    <row r="2455" ht="15" customHeight="1"/>
    <row r="2456" ht="15" customHeight="1"/>
    <row r="2457" ht="15" customHeight="1"/>
    <row r="2458" ht="15" customHeight="1"/>
    <row r="2459" ht="15" customHeight="1"/>
    <row r="2460" ht="15" customHeight="1"/>
    <row r="2461" ht="15" customHeight="1"/>
    <row r="2462" ht="15" customHeight="1"/>
    <row r="2463" ht="15" customHeight="1"/>
    <row r="2464" ht="15" customHeight="1"/>
    <row r="2465" ht="15" customHeight="1"/>
    <row r="2466" ht="15" customHeight="1"/>
    <row r="2467" ht="15" customHeight="1"/>
    <row r="2468" ht="15" customHeight="1"/>
    <row r="2469" ht="15" customHeight="1"/>
    <row r="2470" ht="15" customHeight="1"/>
    <row r="2471" ht="15" customHeight="1"/>
    <row r="2472" ht="15" customHeight="1"/>
    <row r="2473" ht="15" customHeight="1"/>
    <row r="2474" ht="15" customHeight="1"/>
    <row r="2475" ht="15" customHeight="1"/>
    <row r="2476" ht="15" customHeight="1"/>
    <row r="2477" ht="15" customHeight="1"/>
    <row r="2478" ht="15" customHeight="1"/>
    <row r="2479" ht="15" customHeight="1"/>
    <row r="2480" ht="15" customHeight="1"/>
    <row r="2481" ht="15" customHeight="1"/>
    <row r="2482" ht="15" customHeight="1"/>
    <row r="2483" ht="15" customHeight="1"/>
    <row r="2484" ht="15" customHeight="1"/>
    <row r="2485" ht="15" customHeight="1"/>
    <row r="2486" ht="15" customHeight="1"/>
    <row r="2487" ht="15" customHeight="1"/>
    <row r="2488" ht="15" customHeight="1"/>
    <row r="2489" ht="15" customHeight="1"/>
    <row r="2490" ht="15" customHeight="1"/>
    <row r="2491" ht="15" customHeight="1"/>
    <row r="2492" ht="15" customHeight="1"/>
    <row r="2493" ht="15" customHeight="1"/>
    <row r="2494" ht="15" customHeight="1"/>
    <row r="2495" ht="15" customHeight="1"/>
    <row r="2496" ht="15" customHeight="1"/>
    <row r="2497" ht="15" customHeight="1"/>
    <row r="2498" ht="15" customHeight="1"/>
    <row r="2499" ht="15" customHeight="1"/>
    <row r="2500" ht="15" customHeight="1"/>
    <row r="2501" ht="15" customHeight="1"/>
    <row r="2502" ht="15" customHeight="1"/>
    <row r="2503" ht="15" customHeight="1"/>
    <row r="2504" ht="15" customHeight="1"/>
    <row r="2505" ht="15" customHeight="1"/>
    <row r="2506" ht="15" customHeight="1"/>
    <row r="2507" ht="15" customHeight="1"/>
    <row r="2508" ht="15" customHeight="1"/>
    <row r="2509" ht="15" customHeight="1"/>
    <row r="2510" ht="15" customHeight="1"/>
    <row r="2511" ht="15" customHeight="1"/>
    <row r="2512" ht="15" customHeight="1"/>
    <row r="2513" ht="15" customHeight="1"/>
    <row r="2514" ht="15" customHeight="1"/>
    <row r="2515" ht="15" customHeight="1"/>
    <row r="2516" ht="15" customHeight="1"/>
    <row r="2517" ht="15" customHeight="1"/>
    <row r="2518" ht="15" customHeight="1"/>
    <row r="2519" ht="15" customHeight="1"/>
    <row r="2520" ht="15" customHeight="1"/>
    <row r="2521" ht="15" customHeight="1"/>
    <row r="2522" ht="15" customHeight="1"/>
    <row r="2523" ht="15" customHeight="1"/>
    <row r="2524" ht="15" customHeight="1"/>
    <row r="2525" ht="15" customHeight="1"/>
    <row r="2526" ht="15" customHeight="1"/>
    <row r="2527" ht="15" customHeight="1"/>
    <row r="2528" ht="15" customHeight="1"/>
    <row r="2529" ht="15" customHeight="1"/>
    <row r="2530" ht="15" customHeight="1"/>
    <row r="2531" ht="15" customHeight="1"/>
    <row r="2532" ht="15" customHeight="1"/>
    <row r="2533" ht="15" customHeight="1"/>
    <row r="2534" ht="15" customHeight="1"/>
    <row r="2535" ht="15" customHeight="1"/>
    <row r="2536" ht="15" customHeight="1"/>
    <row r="2537" ht="15" customHeight="1"/>
    <row r="2538" ht="15" customHeight="1"/>
    <row r="2539" ht="15" customHeight="1"/>
    <row r="2540" ht="15" customHeight="1"/>
    <row r="2541" ht="15" customHeight="1"/>
    <row r="2542" ht="15" customHeight="1"/>
    <row r="2543" ht="15" customHeight="1"/>
    <row r="2544" ht="15" customHeight="1"/>
    <row r="2545" ht="15" customHeight="1"/>
    <row r="2546" ht="15" customHeight="1"/>
    <row r="2547" ht="15" customHeight="1"/>
    <row r="2548" ht="15" customHeight="1"/>
    <row r="2549" ht="15" customHeight="1"/>
    <row r="2550" ht="15" customHeight="1"/>
    <row r="2551" ht="15" customHeight="1"/>
    <row r="2552" ht="15" customHeight="1"/>
    <row r="2553" ht="15" customHeight="1"/>
    <row r="2554" ht="15" customHeight="1"/>
    <row r="2555" ht="15" customHeight="1"/>
    <row r="2556" ht="15" customHeight="1"/>
    <row r="2557" ht="15" customHeight="1"/>
    <row r="2558" ht="15" customHeight="1"/>
    <row r="2559" ht="15" customHeight="1"/>
    <row r="2560" ht="15" customHeight="1"/>
    <row r="2561" ht="15" customHeight="1"/>
    <row r="2562" ht="15" customHeight="1"/>
    <row r="2563" ht="15" customHeight="1"/>
    <row r="2564" ht="15" customHeight="1"/>
    <row r="2565" ht="15" customHeight="1"/>
    <row r="2566" ht="15" customHeight="1"/>
    <row r="2567" ht="15" customHeight="1"/>
    <row r="2568" ht="15" customHeight="1"/>
    <row r="2569" ht="15" customHeight="1"/>
    <row r="2570" ht="15" customHeight="1"/>
    <row r="2571" ht="15" customHeight="1"/>
    <row r="2572" ht="15" customHeight="1"/>
    <row r="2573" ht="15" customHeight="1"/>
    <row r="2574" ht="15" customHeight="1"/>
    <row r="2575" ht="15" customHeight="1"/>
    <row r="2576" ht="15" customHeight="1"/>
    <row r="2577" ht="15" customHeight="1"/>
    <row r="2578" ht="15" customHeight="1"/>
    <row r="2579" ht="15" customHeight="1"/>
    <row r="2580" ht="15" customHeight="1"/>
    <row r="2581" ht="15" customHeight="1"/>
    <row r="2582" ht="15" customHeight="1"/>
    <row r="2583" ht="15" customHeight="1"/>
    <row r="2584" ht="15" customHeight="1"/>
    <row r="2585" ht="15" customHeight="1"/>
    <row r="2586" ht="15" customHeight="1"/>
    <row r="2587" ht="15" customHeight="1"/>
    <row r="2588" ht="15" customHeight="1"/>
    <row r="2589" ht="15" customHeight="1"/>
    <row r="2590" ht="15" customHeight="1"/>
    <row r="2591" ht="15" customHeight="1"/>
    <row r="2592" ht="15" customHeight="1"/>
    <row r="2593" ht="15" customHeight="1"/>
    <row r="2594" ht="15" customHeight="1"/>
    <row r="2595" ht="15" customHeight="1"/>
    <row r="2596" ht="15" customHeight="1"/>
    <row r="2597" ht="15" customHeight="1"/>
    <row r="2598" ht="15" customHeight="1"/>
    <row r="2599" ht="15" customHeight="1"/>
    <row r="2600" ht="15" customHeight="1"/>
    <row r="2601" ht="15" customHeight="1"/>
    <row r="2602" ht="15" customHeight="1"/>
    <row r="2603" ht="15" customHeight="1"/>
    <row r="2604" ht="15" customHeight="1"/>
    <row r="2605" ht="15" customHeight="1"/>
    <row r="2606" ht="15" customHeight="1"/>
    <row r="2607" ht="15" customHeight="1"/>
    <row r="2608" ht="15" customHeight="1"/>
    <row r="2609" ht="15" customHeight="1"/>
    <row r="2610" ht="15" customHeight="1"/>
    <row r="2611" ht="15" customHeight="1"/>
    <row r="2612" ht="15" customHeight="1"/>
    <row r="2613" ht="15" customHeight="1"/>
    <row r="2614" ht="15" customHeight="1"/>
    <row r="2615" ht="15" customHeight="1"/>
    <row r="2616" ht="15" customHeight="1"/>
    <row r="2617" ht="15" customHeight="1"/>
    <row r="2618" ht="15" customHeight="1"/>
    <row r="2619" ht="15" customHeight="1"/>
    <row r="2620" ht="15" customHeight="1"/>
    <row r="2621" ht="15" customHeight="1"/>
    <row r="2622" ht="15" customHeight="1"/>
    <row r="2623" ht="15" customHeight="1"/>
    <row r="2624" ht="15" customHeight="1"/>
    <row r="2625" ht="15" customHeight="1"/>
    <row r="2626" ht="15" customHeight="1"/>
    <row r="2627" ht="15" customHeight="1"/>
    <row r="2628" ht="15" customHeight="1"/>
    <row r="2629" ht="15" customHeight="1"/>
    <row r="2630" ht="15" customHeight="1"/>
    <row r="2631" ht="15" customHeight="1"/>
    <row r="2632" ht="15" customHeight="1"/>
    <row r="2633" ht="15" customHeight="1"/>
    <row r="2634" ht="15" customHeight="1"/>
    <row r="2635" ht="15" customHeight="1"/>
    <row r="2636" ht="15" customHeight="1"/>
    <row r="2637" ht="15" customHeight="1"/>
    <row r="2638" ht="15" customHeight="1"/>
    <row r="2639" ht="15" customHeight="1"/>
    <row r="2640" ht="15" customHeight="1"/>
    <row r="2641" ht="15" customHeight="1"/>
    <row r="2642" ht="15" customHeight="1"/>
    <row r="2643" ht="15" customHeight="1"/>
    <row r="2644" ht="15" customHeight="1"/>
    <row r="2645" ht="15" customHeight="1"/>
    <row r="2646" ht="15" customHeight="1"/>
    <row r="2647" ht="15" customHeight="1"/>
    <row r="2648" ht="15" customHeight="1"/>
    <row r="2649" ht="15" customHeight="1"/>
    <row r="2650" ht="15" customHeight="1"/>
    <row r="2651" ht="15" customHeight="1"/>
    <row r="2652" ht="15" customHeight="1"/>
    <row r="2653" ht="15" customHeight="1"/>
    <row r="2654" ht="15" customHeight="1"/>
    <row r="2655" ht="15" customHeight="1"/>
    <row r="2656" ht="15" customHeight="1"/>
    <row r="2657" ht="15" customHeight="1"/>
    <row r="2658" ht="15" customHeight="1"/>
    <row r="2659" ht="15" customHeight="1"/>
    <row r="2660" ht="15" customHeight="1"/>
    <row r="2661" ht="15" customHeight="1"/>
    <row r="2662" ht="15" customHeight="1"/>
    <row r="2663" ht="15" customHeight="1"/>
    <row r="2664" ht="15" customHeight="1"/>
    <row r="2665" ht="15" customHeight="1"/>
    <row r="2666" ht="15" customHeight="1"/>
    <row r="2667" ht="15" customHeight="1"/>
    <row r="2668" ht="15" customHeight="1"/>
    <row r="2669" ht="15" customHeight="1"/>
    <row r="2670" ht="15" customHeight="1"/>
    <row r="2671" ht="15" customHeight="1"/>
    <row r="2672" ht="15" customHeight="1"/>
    <row r="2673" ht="15" customHeight="1"/>
    <row r="2674" ht="15" customHeight="1"/>
    <row r="2675" ht="15" customHeight="1"/>
    <row r="2676" ht="15" customHeight="1"/>
    <row r="2677" ht="15" customHeight="1"/>
    <row r="2678" ht="15" customHeight="1"/>
    <row r="2679" ht="15" customHeight="1"/>
    <row r="2680" ht="15" customHeight="1"/>
    <row r="2681" ht="15" customHeight="1"/>
    <row r="2682" ht="15" customHeight="1"/>
    <row r="2683" ht="15" customHeight="1"/>
    <row r="2684" ht="15" customHeight="1"/>
    <row r="2685" ht="15" customHeight="1"/>
    <row r="2686" ht="15" customHeight="1"/>
    <row r="2687" ht="15" customHeight="1"/>
    <row r="2688" ht="15" customHeight="1"/>
    <row r="2689" ht="15" customHeight="1"/>
    <row r="2690" ht="15" customHeight="1"/>
    <row r="2691" ht="15" customHeight="1"/>
    <row r="2692" ht="15" customHeight="1"/>
    <row r="2693" ht="15" customHeight="1"/>
    <row r="2694" ht="15" customHeight="1"/>
    <row r="2695" ht="15" customHeight="1"/>
    <row r="2696" ht="15" customHeight="1"/>
    <row r="2697" ht="15" customHeight="1"/>
    <row r="2698" ht="15" customHeight="1"/>
    <row r="2699" ht="15" customHeight="1"/>
    <row r="2700" ht="15" customHeight="1"/>
    <row r="2701" ht="15" customHeight="1"/>
    <row r="2702" ht="15" customHeight="1"/>
    <row r="2703" ht="15" customHeight="1"/>
    <row r="2704" ht="15" customHeight="1"/>
    <row r="2705" ht="15" customHeight="1"/>
    <row r="2706" ht="15" customHeight="1"/>
    <row r="2707" ht="15" customHeight="1"/>
    <row r="2708" ht="15" customHeight="1"/>
    <row r="2709" ht="15" customHeight="1"/>
    <row r="2710" ht="15" customHeight="1"/>
    <row r="2711" ht="15" customHeight="1"/>
    <row r="2712" ht="15" customHeight="1"/>
    <row r="2713" ht="15" customHeight="1"/>
    <row r="2714" ht="15" customHeight="1"/>
    <row r="2715" ht="15" customHeight="1"/>
    <row r="2716" ht="15" customHeight="1"/>
    <row r="2717" ht="15" customHeight="1"/>
    <row r="2718" ht="15" customHeight="1"/>
    <row r="2719" ht="15" customHeight="1"/>
    <row r="2720" ht="15" customHeight="1"/>
    <row r="2721" ht="15" customHeight="1"/>
    <row r="2722" ht="15" customHeight="1"/>
    <row r="2723" ht="15" customHeight="1"/>
    <row r="2724" ht="15" customHeight="1"/>
    <row r="2725" ht="15" customHeight="1"/>
    <row r="2726" ht="15" customHeight="1"/>
    <row r="2727" ht="15" customHeight="1"/>
    <row r="2728" ht="15" customHeight="1"/>
    <row r="2729" ht="15" customHeight="1"/>
    <row r="2730" ht="15" customHeight="1"/>
    <row r="2731" ht="15" customHeight="1"/>
    <row r="2732" ht="15" customHeight="1"/>
    <row r="2733" ht="15" customHeight="1"/>
    <row r="2734" ht="15" customHeight="1"/>
    <row r="2735" ht="15" customHeight="1"/>
    <row r="2736" ht="15" customHeight="1"/>
    <row r="2737" ht="15" customHeight="1"/>
    <row r="2738" ht="15" customHeight="1"/>
    <row r="2739" ht="15" customHeight="1"/>
    <row r="2740" ht="15" customHeight="1"/>
    <row r="2741" ht="15" customHeight="1"/>
    <row r="2742" ht="15" customHeight="1"/>
    <row r="2743" ht="15" customHeight="1"/>
    <row r="2744" ht="15" customHeight="1"/>
    <row r="2745" ht="15" customHeight="1"/>
    <row r="2746" ht="15" customHeight="1"/>
    <row r="2747" ht="15" customHeight="1"/>
    <row r="2748" ht="15" customHeight="1"/>
    <row r="2749" ht="15" customHeight="1"/>
    <row r="2750" ht="15" customHeight="1"/>
    <row r="2751" ht="15" customHeight="1"/>
    <row r="2752" ht="15" customHeight="1"/>
    <row r="2753" ht="15" customHeight="1"/>
    <row r="2754" ht="15" customHeight="1"/>
    <row r="2755" ht="15" customHeight="1"/>
    <row r="2756" ht="15" customHeight="1"/>
    <row r="2757" ht="15" customHeight="1"/>
    <row r="2758" ht="15" customHeight="1"/>
    <row r="2759" ht="15" customHeight="1"/>
    <row r="2760" ht="15" customHeight="1"/>
    <row r="2761" ht="15" customHeight="1"/>
    <row r="2762" ht="15" customHeight="1"/>
    <row r="2763" ht="15" customHeight="1"/>
    <row r="2764" ht="15" customHeight="1"/>
    <row r="2765" ht="15" customHeight="1"/>
    <row r="2766" ht="15" customHeight="1"/>
    <row r="2767" ht="15" customHeight="1"/>
    <row r="2768" ht="15" customHeight="1"/>
    <row r="2769" ht="15" customHeight="1"/>
    <row r="2770" ht="15" customHeight="1"/>
    <row r="2771" ht="15" customHeight="1"/>
    <row r="2772" ht="15" customHeight="1"/>
    <row r="2773" ht="15" customHeight="1"/>
    <row r="2774" ht="15" customHeight="1"/>
    <row r="2775" ht="15" customHeight="1"/>
    <row r="2776" ht="15" customHeight="1"/>
    <row r="2777" ht="15" customHeight="1"/>
    <row r="2778" ht="15" customHeight="1"/>
    <row r="2779" ht="15" customHeight="1"/>
    <row r="2780" ht="15" customHeight="1"/>
    <row r="2781" ht="15" customHeight="1"/>
    <row r="2782" ht="15" customHeight="1"/>
    <row r="2783" ht="15" customHeight="1"/>
    <row r="2784" ht="15" customHeight="1"/>
    <row r="2785" ht="15" customHeight="1"/>
    <row r="2786" ht="15" customHeight="1"/>
    <row r="2787" ht="15" customHeight="1"/>
    <row r="2788" ht="15" customHeight="1"/>
    <row r="2789" ht="15" customHeight="1"/>
    <row r="2790" ht="15" customHeight="1"/>
    <row r="2791" ht="15" customHeight="1"/>
    <row r="2792" ht="15" customHeight="1"/>
    <row r="2793" ht="15" customHeight="1"/>
    <row r="2794" ht="15" customHeight="1"/>
    <row r="2795" ht="15" customHeight="1"/>
    <row r="2796" ht="15" customHeight="1"/>
    <row r="2797" ht="15" customHeight="1"/>
    <row r="2798" ht="15" customHeight="1"/>
    <row r="2799" ht="15" customHeight="1"/>
    <row r="2800" ht="15" customHeight="1"/>
    <row r="2801" ht="15" customHeight="1"/>
    <row r="2802" ht="15" customHeight="1"/>
    <row r="2803" ht="15" customHeight="1"/>
    <row r="2804" ht="15" customHeight="1"/>
    <row r="2805" ht="15" customHeight="1"/>
    <row r="2806" ht="15" customHeight="1"/>
    <row r="2807" ht="15" customHeight="1"/>
    <row r="2808" ht="15" customHeight="1"/>
    <row r="2809" ht="15" customHeight="1"/>
    <row r="2810" ht="15" customHeight="1"/>
    <row r="2811" ht="15" customHeight="1"/>
    <row r="2812" ht="15" customHeight="1"/>
    <row r="2813" ht="15" customHeight="1"/>
    <row r="2814" ht="15" customHeight="1"/>
    <row r="2815" ht="15" customHeight="1"/>
    <row r="2816" ht="15" customHeight="1"/>
    <row r="2817" ht="15" customHeight="1"/>
    <row r="2818" ht="15" customHeight="1"/>
    <row r="2819" ht="15" customHeight="1"/>
    <row r="2820" ht="15" customHeight="1"/>
    <row r="2821" ht="15" customHeight="1"/>
    <row r="2822" ht="15" customHeight="1"/>
    <row r="2823" ht="15" customHeight="1"/>
    <row r="2824" ht="15" customHeight="1"/>
    <row r="2825" ht="15" customHeight="1"/>
    <row r="2826" ht="15" customHeight="1"/>
    <row r="2827" ht="15" customHeight="1"/>
    <row r="2828" ht="15" customHeight="1"/>
    <row r="2829" ht="15" customHeight="1"/>
    <row r="2830" ht="15" customHeight="1"/>
    <row r="2831" ht="15" customHeight="1"/>
    <row r="2832" ht="15" customHeight="1"/>
    <row r="2833" ht="15" customHeight="1"/>
    <row r="2834" ht="15" customHeight="1"/>
    <row r="2835" ht="15" customHeight="1"/>
    <row r="2836" ht="15" customHeight="1"/>
    <row r="2837" ht="15" customHeight="1"/>
    <row r="2838" ht="15" customHeight="1"/>
    <row r="2839" ht="15" customHeight="1"/>
    <row r="2840" ht="15" customHeight="1"/>
    <row r="2841" ht="15" customHeight="1"/>
    <row r="2842" ht="15" customHeight="1"/>
    <row r="2843" ht="15" customHeight="1"/>
    <row r="2844" ht="15" customHeight="1"/>
    <row r="2845" ht="15" customHeight="1"/>
    <row r="2846" ht="15" customHeight="1"/>
    <row r="2847" ht="15" customHeight="1"/>
    <row r="2848" ht="15" customHeight="1"/>
    <row r="2849" ht="15" customHeight="1"/>
    <row r="2850" ht="15" customHeight="1"/>
    <row r="2851" ht="15" customHeight="1"/>
    <row r="2852" ht="15" customHeight="1"/>
    <row r="2853" ht="15" customHeight="1"/>
    <row r="2854" ht="15" customHeight="1"/>
    <row r="2855" ht="15" customHeight="1"/>
    <row r="2856" ht="15" customHeight="1"/>
    <row r="2857" ht="15" customHeight="1"/>
    <row r="2858" ht="15" customHeight="1"/>
    <row r="2859" ht="15" customHeight="1"/>
    <row r="2860" ht="15" customHeight="1"/>
    <row r="2861" ht="15" customHeight="1"/>
    <row r="2862" ht="15" customHeight="1"/>
    <row r="2863" ht="15" customHeight="1"/>
    <row r="2864" ht="15" customHeight="1"/>
    <row r="2865" ht="15" customHeight="1"/>
    <row r="2866" ht="15" customHeight="1"/>
    <row r="2867" ht="15" customHeight="1"/>
    <row r="2868" ht="15" customHeight="1"/>
    <row r="2869" ht="15" customHeight="1"/>
    <row r="2870" ht="15" customHeight="1"/>
    <row r="2871" ht="15" customHeight="1"/>
    <row r="2872" ht="15" customHeight="1"/>
    <row r="2873" ht="15" customHeight="1"/>
    <row r="2874" ht="15" customHeight="1"/>
    <row r="2875" ht="15" customHeight="1"/>
    <row r="2876" ht="15" customHeight="1"/>
    <row r="2877" ht="15" customHeight="1"/>
    <row r="2878" ht="15" customHeight="1"/>
    <row r="2879" ht="15" customHeight="1"/>
    <row r="2880" ht="15" customHeight="1"/>
    <row r="2881" ht="15" customHeight="1"/>
    <row r="2882" ht="15" customHeight="1"/>
    <row r="2883" ht="15" customHeight="1"/>
    <row r="2884" ht="15" customHeight="1"/>
    <row r="2885" ht="15" customHeight="1"/>
    <row r="2886" ht="15" customHeight="1"/>
    <row r="2887" ht="15" customHeight="1"/>
    <row r="2888" ht="15" customHeight="1"/>
    <row r="2889" ht="15" customHeight="1"/>
    <row r="2890" ht="15" customHeight="1"/>
    <row r="2891" ht="15" customHeight="1"/>
    <row r="2892" ht="15" customHeight="1"/>
    <row r="2893" ht="15" customHeight="1"/>
    <row r="2894" ht="15" customHeight="1"/>
    <row r="2895" ht="15" customHeight="1"/>
    <row r="2896" ht="15" customHeight="1"/>
    <row r="2897" ht="15" customHeight="1"/>
    <row r="2898" ht="15" customHeight="1"/>
    <row r="2899" ht="15" customHeight="1"/>
    <row r="2900" ht="15" customHeight="1"/>
    <row r="2901" ht="15" customHeight="1"/>
    <row r="2902" ht="15" customHeight="1"/>
    <row r="2903" ht="15" customHeight="1"/>
    <row r="2904" ht="15" customHeight="1"/>
    <row r="2905" ht="15" customHeight="1"/>
    <row r="2906" ht="15" customHeight="1"/>
    <row r="2907" ht="15" customHeight="1"/>
    <row r="2908" ht="15" customHeight="1"/>
    <row r="2909" ht="15" customHeight="1"/>
    <row r="2910" ht="15" customHeight="1"/>
    <row r="2911" ht="15" customHeight="1"/>
    <row r="2912" ht="15" customHeight="1"/>
    <row r="2913" ht="15" customHeight="1"/>
    <row r="2914" ht="15" customHeight="1"/>
    <row r="2915" ht="15" customHeight="1"/>
    <row r="2916" ht="15" customHeight="1"/>
    <row r="2917" ht="15" customHeight="1"/>
    <row r="2918" ht="15" customHeight="1"/>
    <row r="2919" ht="15" customHeight="1"/>
    <row r="2920" ht="15" customHeight="1"/>
    <row r="2921" ht="15" customHeight="1"/>
    <row r="2922" ht="15" customHeight="1"/>
    <row r="2923" ht="15" customHeight="1"/>
    <row r="2924" ht="15" customHeight="1"/>
    <row r="2925" ht="15" customHeight="1"/>
    <row r="2926" ht="15" customHeight="1"/>
    <row r="2927" ht="15" customHeight="1"/>
    <row r="2928" ht="15" customHeight="1"/>
    <row r="2929" ht="15" customHeight="1"/>
    <row r="2930" ht="15" customHeight="1"/>
    <row r="2931" ht="15" customHeight="1"/>
    <row r="2932" ht="15" customHeight="1"/>
    <row r="2933" ht="15" customHeight="1"/>
    <row r="2934" ht="15" customHeight="1"/>
    <row r="2935" ht="15" customHeight="1"/>
    <row r="2936" ht="15" customHeight="1"/>
    <row r="2937" ht="15" customHeight="1"/>
    <row r="2938" ht="15" customHeight="1"/>
    <row r="2939" ht="15" customHeight="1"/>
    <row r="2940" ht="15" customHeight="1"/>
    <row r="2941" ht="15" customHeight="1"/>
    <row r="2942" ht="15" customHeight="1"/>
    <row r="2943" ht="15" customHeight="1"/>
    <row r="2944" ht="15" customHeight="1"/>
    <row r="2945" ht="15" customHeight="1"/>
    <row r="2946" ht="15" customHeight="1"/>
    <row r="2947" ht="15" customHeight="1"/>
    <row r="2948" ht="15" customHeight="1"/>
    <row r="2949" ht="15" customHeight="1"/>
    <row r="2950" ht="15" customHeight="1"/>
    <row r="2951" ht="15" customHeight="1"/>
    <row r="2952" ht="15" customHeight="1"/>
    <row r="2953" ht="15" customHeight="1"/>
    <row r="2954" ht="15" customHeight="1"/>
    <row r="2955" ht="15" customHeight="1"/>
    <row r="2956" ht="15" customHeight="1"/>
    <row r="2957" ht="15" customHeight="1"/>
    <row r="2958" ht="15" customHeight="1"/>
    <row r="2959" ht="15" customHeight="1"/>
    <row r="2960" ht="15" customHeight="1"/>
    <row r="2961" ht="15" customHeight="1"/>
    <row r="2962" ht="15" customHeight="1"/>
    <row r="2963" ht="15" customHeight="1"/>
    <row r="2964" ht="15" customHeight="1"/>
    <row r="2965" ht="15" customHeight="1"/>
    <row r="2966" ht="15" customHeight="1"/>
    <row r="2967" ht="15" customHeight="1"/>
    <row r="2968" ht="15" customHeight="1"/>
    <row r="2969" ht="15" customHeight="1"/>
    <row r="2970" ht="15" customHeight="1"/>
    <row r="2971" ht="15" customHeight="1"/>
    <row r="2972" ht="15" customHeight="1"/>
    <row r="2973" ht="15" customHeight="1"/>
    <row r="2974" ht="15" customHeight="1"/>
    <row r="2975" ht="15" customHeight="1"/>
    <row r="2976" ht="15" customHeight="1"/>
    <row r="2977" ht="15" customHeight="1"/>
    <row r="2978" ht="15" customHeight="1"/>
    <row r="2979" ht="15" customHeight="1"/>
    <row r="2980" ht="15" customHeight="1"/>
    <row r="2981" ht="15" customHeight="1"/>
    <row r="2982" ht="15" customHeight="1"/>
    <row r="2983" ht="15" customHeight="1"/>
    <row r="2984" ht="15" customHeight="1"/>
    <row r="2985" ht="15" customHeight="1"/>
    <row r="2986" ht="15" customHeight="1"/>
    <row r="2987" ht="15" customHeight="1"/>
    <row r="2988" ht="15" customHeight="1"/>
    <row r="2989" ht="15" customHeight="1"/>
    <row r="2990" ht="15" customHeight="1"/>
    <row r="2991" ht="15" customHeight="1"/>
    <row r="2992" ht="15" customHeight="1"/>
    <row r="2993" ht="15" customHeight="1"/>
    <row r="2994" ht="15" customHeight="1"/>
    <row r="2995" ht="15" customHeight="1"/>
    <row r="2996" ht="15" customHeight="1"/>
    <row r="2997" ht="15" customHeight="1"/>
    <row r="2998" ht="15" customHeight="1"/>
    <row r="2999" ht="15" customHeight="1"/>
    <row r="3000" ht="15" customHeight="1"/>
    <row r="3001" ht="15" customHeight="1"/>
    <row r="3002" ht="15" customHeight="1"/>
    <row r="3003" ht="15" customHeight="1"/>
    <row r="3004" ht="15" customHeight="1"/>
    <row r="3005" ht="15" customHeight="1"/>
    <row r="3006" ht="15" customHeight="1"/>
    <row r="3007" ht="15" customHeight="1"/>
    <row r="3008" ht="15" customHeight="1"/>
    <row r="3009" ht="15" customHeight="1"/>
    <row r="3010" ht="15" customHeight="1"/>
    <row r="3011" ht="15" customHeight="1"/>
    <row r="3012" ht="15" customHeight="1"/>
    <row r="3013" ht="15" customHeight="1"/>
    <row r="3014" ht="15" customHeight="1"/>
    <row r="3015" ht="15" customHeight="1"/>
    <row r="3016" ht="15" customHeight="1"/>
    <row r="3017" ht="15" customHeight="1"/>
    <row r="3018" ht="15" customHeight="1"/>
    <row r="3019" ht="15" customHeight="1"/>
    <row r="3020" ht="15" customHeight="1"/>
    <row r="3021" ht="15" customHeight="1"/>
    <row r="3022" ht="15" customHeight="1"/>
    <row r="3023" ht="15" customHeight="1"/>
    <row r="3024" ht="15" customHeight="1"/>
    <row r="3025" ht="15" customHeight="1"/>
    <row r="3026" ht="15" customHeight="1"/>
    <row r="3027" ht="15" customHeight="1"/>
    <row r="3028" ht="15" customHeight="1"/>
    <row r="3029" ht="15" customHeight="1"/>
    <row r="3030" ht="15" customHeight="1"/>
    <row r="3031" ht="15" customHeight="1"/>
    <row r="3032" ht="15" customHeight="1"/>
    <row r="3033" ht="15" customHeight="1"/>
    <row r="3034" ht="15" customHeight="1"/>
    <row r="3035" ht="15" customHeight="1"/>
    <row r="3036" ht="15" customHeight="1"/>
    <row r="3037" ht="15" customHeight="1"/>
    <row r="3038" ht="15" customHeight="1"/>
    <row r="3039" ht="15" customHeight="1"/>
    <row r="3040" ht="15" customHeight="1"/>
    <row r="3041" ht="15" customHeight="1"/>
    <row r="3042" ht="15" customHeight="1"/>
    <row r="3043" ht="15" customHeight="1"/>
    <row r="3044" ht="15" customHeight="1"/>
    <row r="3045" ht="15" customHeight="1"/>
    <row r="3046" ht="15" customHeight="1"/>
    <row r="3047" ht="15" customHeight="1"/>
    <row r="3048" ht="15" customHeight="1"/>
    <row r="3049" ht="15" customHeight="1"/>
    <row r="3050" ht="15" customHeight="1"/>
    <row r="3051" ht="15" customHeight="1"/>
    <row r="3052" ht="15" customHeight="1"/>
    <row r="3053" ht="15" customHeight="1"/>
    <row r="3054" ht="15" customHeight="1"/>
    <row r="3055" ht="15" customHeight="1"/>
    <row r="3056" ht="15" customHeight="1"/>
    <row r="3057" ht="15" customHeight="1"/>
    <row r="3058" ht="15" customHeight="1"/>
    <row r="3059" ht="15" customHeight="1"/>
    <row r="3060" ht="15" customHeight="1"/>
    <row r="3061" ht="15" customHeight="1"/>
    <row r="3062" ht="15" customHeight="1"/>
    <row r="3063" ht="15" customHeight="1"/>
    <row r="3064" ht="15" customHeight="1"/>
    <row r="3065" ht="15" customHeight="1"/>
    <row r="3066" ht="15" customHeight="1"/>
    <row r="3067" ht="15" customHeight="1"/>
    <row r="3068" ht="15" customHeight="1"/>
    <row r="3069" ht="15" customHeight="1"/>
    <row r="3070" ht="15" customHeight="1"/>
    <row r="3071" ht="15" customHeight="1"/>
    <row r="3072" ht="15" customHeight="1"/>
    <row r="3073" ht="15" customHeight="1"/>
    <row r="3074" ht="15" customHeight="1"/>
    <row r="3075" ht="15" customHeight="1"/>
    <row r="3076" ht="15" customHeight="1"/>
    <row r="3077" ht="15" customHeight="1"/>
    <row r="3078" ht="15" customHeight="1"/>
    <row r="3079" ht="15" customHeight="1"/>
    <row r="3080" ht="15" customHeight="1"/>
    <row r="3081" ht="15" customHeight="1"/>
    <row r="3082" ht="15" customHeight="1"/>
    <row r="3083" ht="15" customHeight="1"/>
    <row r="3084" ht="15" customHeight="1"/>
    <row r="3085" ht="15" customHeight="1"/>
    <row r="3086" ht="15" customHeight="1"/>
    <row r="3087" ht="15" customHeight="1"/>
    <row r="3088" ht="15" customHeight="1"/>
    <row r="3089" ht="15" customHeight="1"/>
    <row r="3090" ht="15" customHeight="1"/>
    <row r="3091" ht="15" customHeight="1"/>
    <row r="3092" ht="15" customHeight="1"/>
    <row r="3093" ht="15" customHeight="1"/>
    <row r="3094" ht="15" customHeight="1"/>
    <row r="3095" ht="15" customHeight="1"/>
    <row r="3096" ht="15" customHeight="1"/>
    <row r="3097" ht="15" customHeight="1"/>
    <row r="3098" ht="15" customHeight="1"/>
    <row r="3099" ht="15" customHeight="1"/>
    <row r="3100" ht="15" customHeight="1"/>
    <row r="3101" ht="15" customHeight="1"/>
    <row r="3102" ht="15" customHeight="1"/>
    <row r="3103" ht="15" customHeight="1"/>
    <row r="3104" ht="15" customHeight="1"/>
    <row r="3105" ht="15" customHeight="1"/>
    <row r="3106" ht="15" customHeight="1"/>
    <row r="3107" ht="15" customHeight="1"/>
    <row r="3108" ht="15" customHeight="1"/>
    <row r="3109" ht="15" customHeight="1"/>
    <row r="3110" ht="15" customHeight="1"/>
    <row r="3111" ht="15" customHeight="1"/>
    <row r="3112" ht="15" customHeight="1"/>
    <row r="3113" ht="15" customHeight="1"/>
    <row r="3114" ht="15" customHeight="1"/>
    <row r="3115" ht="15" customHeight="1"/>
    <row r="3116" ht="15" customHeight="1"/>
    <row r="3117" ht="15" customHeight="1"/>
    <row r="3118" ht="15" customHeight="1"/>
    <row r="3119" ht="15" customHeight="1"/>
    <row r="3120" ht="15" customHeight="1"/>
    <row r="3121" ht="15" customHeight="1"/>
    <row r="3122" ht="15" customHeight="1"/>
    <row r="3123" ht="15" customHeight="1"/>
    <row r="3124" ht="15" customHeight="1"/>
    <row r="3125" ht="15" customHeight="1"/>
    <row r="3126" ht="15" customHeight="1"/>
    <row r="3127" ht="15" customHeight="1"/>
    <row r="3128" ht="15" customHeight="1"/>
    <row r="3129" ht="15" customHeight="1"/>
    <row r="3130" ht="15" customHeight="1"/>
    <row r="3131" ht="15" customHeight="1"/>
    <row r="3132" ht="15" customHeight="1"/>
    <row r="3133" ht="15" customHeight="1"/>
    <row r="3134" ht="15" customHeight="1"/>
    <row r="3135" ht="15" customHeight="1"/>
    <row r="3136" ht="15" customHeight="1"/>
    <row r="3137" ht="15" customHeight="1"/>
    <row r="3138" ht="15" customHeight="1"/>
    <row r="3139" ht="15" customHeight="1"/>
    <row r="3140" ht="15" customHeight="1"/>
    <row r="3141" ht="15" customHeight="1"/>
    <row r="3142" ht="15" customHeight="1"/>
    <row r="3143" ht="15" customHeight="1"/>
    <row r="3144" ht="15" customHeight="1"/>
    <row r="3145" ht="15" customHeight="1"/>
    <row r="3146" ht="15" customHeight="1"/>
    <row r="3147" ht="15" customHeight="1"/>
    <row r="3148" ht="15" customHeight="1"/>
    <row r="3149" ht="15" customHeight="1"/>
    <row r="3150" ht="15" customHeight="1"/>
    <row r="3151" ht="15" customHeight="1"/>
    <row r="3152" ht="15" customHeight="1"/>
    <row r="3153" ht="15" customHeight="1"/>
    <row r="3154" ht="15" customHeight="1"/>
    <row r="3155" ht="15" customHeight="1"/>
    <row r="3156" ht="15" customHeight="1"/>
    <row r="3157" ht="15" customHeight="1"/>
    <row r="3158" ht="15" customHeight="1"/>
    <row r="3159" ht="15" customHeight="1"/>
    <row r="3160" ht="15" customHeight="1"/>
    <row r="3161" ht="15" customHeight="1"/>
    <row r="3162" ht="15" customHeight="1"/>
    <row r="3163" ht="15" customHeight="1"/>
    <row r="3164" ht="15" customHeight="1"/>
    <row r="3165" ht="15" customHeight="1"/>
    <row r="3166" ht="15" customHeight="1"/>
    <row r="3167" ht="15" customHeight="1"/>
    <row r="3168" ht="15" customHeight="1"/>
    <row r="3169" ht="15" customHeight="1"/>
    <row r="3170" ht="15" customHeight="1"/>
    <row r="3171" ht="15" customHeight="1"/>
    <row r="3172" ht="15" customHeight="1"/>
    <row r="3173" ht="15" customHeight="1"/>
    <row r="3174" ht="15" customHeight="1"/>
    <row r="3175" ht="15" customHeight="1"/>
    <row r="3176" ht="15" customHeight="1"/>
    <row r="3177" ht="15" customHeight="1"/>
    <row r="3178" ht="15" customHeight="1"/>
    <row r="3179" ht="15" customHeight="1"/>
    <row r="3180" ht="15" customHeight="1"/>
    <row r="3181" ht="15" customHeight="1"/>
    <row r="3182" ht="15" customHeight="1"/>
    <row r="3183" ht="15" customHeight="1"/>
    <row r="3184" ht="15" customHeight="1"/>
    <row r="3185" ht="15" customHeight="1"/>
    <row r="3186" ht="15" customHeight="1"/>
    <row r="3187" ht="15" customHeight="1"/>
    <row r="3188" ht="15" customHeight="1"/>
    <row r="3189" ht="15" customHeight="1"/>
    <row r="3190" ht="15" customHeight="1"/>
    <row r="3191" ht="15" customHeight="1"/>
    <row r="3192" ht="15" customHeight="1"/>
    <row r="3193" ht="15" customHeight="1"/>
    <row r="3194" ht="15" customHeight="1"/>
    <row r="3195" ht="15" customHeight="1"/>
    <row r="3196" ht="15" customHeight="1"/>
    <row r="3197" ht="15" customHeight="1"/>
    <row r="3198" ht="15" customHeight="1"/>
    <row r="3199" ht="15" customHeight="1"/>
    <row r="3200" ht="15" customHeight="1"/>
    <row r="3201" ht="15" customHeight="1"/>
    <row r="3202" ht="15" customHeight="1"/>
    <row r="3203" ht="15" customHeight="1"/>
    <row r="3204" ht="15" customHeight="1"/>
    <row r="3205" ht="15" customHeight="1"/>
    <row r="3206" ht="15" customHeight="1"/>
    <row r="3207" ht="15" customHeight="1"/>
    <row r="3208" ht="15" customHeight="1"/>
    <row r="3209" ht="15" customHeight="1"/>
    <row r="3210" ht="15" customHeight="1"/>
    <row r="3211" ht="15" customHeight="1"/>
    <row r="3212" ht="15" customHeight="1"/>
    <row r="3213" ht="15" customHeight="1"/>
    <row r="3214" ht="15" customHeight="1"/>
    <row r="3215" ht="15" customHeight="1"/>
    <row r="3216" ht="15" customHeight="1"/>
    <row r="3217" ht="15" customHeight="1"/>
    <row r="3218" ht="15" customHeight="1"/>
    <row r="3219" ht="15" customHeight="1"/>
    <row r="3220" ht="15" customHeight="1"/>
    <row r="3221" ht="15" customHeight="1"/>
    <row r="3222" ht="15" customHeight="1"/>
    <row r="3223" ht="15" customHeight="1"/>
    <row r="3224" ht="15" customHeight="1"/>
    <row r="3225" ht="15" customHeight="1"/>
    <row r="3226" ht="15" customHeight="1"/>
    <row r="3227" ht="15" customHeight="1"/>
    <row r="3228" ht="15" customHeight="1"/>
    <row r="3229" ht="15" customHeight="1"/>
    <row r="3230" ht="15" customHeight="1"/>
    <row r="3231" ht="15" customHeight="1"/>
    <row r="3232" ht="15" customHeight="1"/>
    <row r="3233" ht="15" customHeight="1"/>
    <row r="3234" ht="15" customHeight="1"/>
    <row r="3235" ht="15" customHeight="1"/>
    <row r="3236" ht="15" customHeight="1"/>
    <row r="3237" ht="15" customHeight="1"/>
    <row r="3238" ht="15" customHeight="1"/>
    <row r="3239" ht="15" customHeight="1"/>
    <row r="3240" ht="15" customHeight="1"/>
    <row r="3241" ht="15" customHeight="1"/>
    <row r="3242" ht="15" customHeight="1"/>
    <row r="3243" ht="15" customHeight="1"/>
    <row r="3244" ht="15" customHeight="1"/>
    <row r="3245" ht="15" customHeight="1"/>
    <row r="3246" ht="15" customHeight="1"/>
    <row r="3247" ht="15" customHeight="1"/>
    <row r="3248" ht="15" customHeight="1"/>
    <row r="3249" ht="15" customHeight="1"/>
    <row r="3250" ht="15" customHeight="1"/>
    <row r="3251" ht="15" customHeight="1"/>
    <row r="3252" ht="15" customHeight="1"/>
    <row r="3253" ht="15" customHeight="1"/>
    <row r="3254" ht="15" customHeight="1"/>
    <row r="3255" ht="15" customHeight="1"/>
    <row r="3256" ht="15" customHeight="1"/>
    <row r="3257" ht="15" customHeight="1"/>
    <row r="3258" ht="15" customHeight="1"/>
    <row r="3259" ht="15" customHeight="1"/>
    <row r="3260" ht="15" customHeight="1"/>
    <row r="3261" ht="15" customHeight="1"/>
    <row r="3262" ht="15" customHeight="1"/>
    <row r="3263" ht="15" customHeight="1"/>
    <row r="3264" ht="15" customHeight="1"/>
    <row r="3265" ht="15" customHeight="1"/>
    <row r="3266" ht="15" customHeight="1"/>
    <row r="3267" ht="15" customHeight="1"/>
    <row r="3268" ht="15" customHeight="1"/>
    <row r="3269" ht="15" customHeight="1"/>
    <row r="3270" ht="15" customHeight="1"/>
    <row r="3271" ht="15" customHeight="1"/>
    <row r="3272" ht="15" customHeight="1"/>
    <row r="3273" ht="15" customHeight="1"/>
    <row r="3274" ht="15" customHeight="1"/>
    <row r="3275" ht="15" customHeight="1"/>
    <row r="3276" ht="15" customHeight="1"/>
    <row r="3277" ht="15" customHeight="1"/>
    <row r="3278" ht="15" customHeight="1"/>
    <row r="3279" ht="15" customHeight="1"/>
    <row r="3280" ht="15" customHeight="1"/>
    <row r="3281" ht="15" customHeight="1"/>
    <row r="3282" ht="15" customHeight="1"/>
    <row r="3283" ht="15" customHeight="1"/>
    <row r="3284" ht="15" customHeight="1"/>
    <row r="3285" ht="15" customHeight="1"/>
    <row r="3286" ht="15" customHeight="1"/>
    <row r="3287" ht="15" customHeight="1"/>
    <row r="3288" ht="15" customHeight="1"/>
    <row r="3289" ht="15" customHeight="1"/>
    <row r="3290" ht="15" customHeight="1"/>
    <row r="3291" ht="15" customHeight="1"/>
    <row r="3292" ht="15" customHeight="1"/>
    <row r="3293" ht="15" customHeight="1"/>
    <row r="3294" ht="15" customHeight="1"/>
    <row r="3295" ht="15" customHeight="1"/>
    <row r="3296" ht="15" customHeight="1"/>
    <row r="3297" ht="15" customHeight="1"/>
    <row r="3298" ht="15" customHeight="1"/>
    <row r="3299" ht="15" customHeight="1"/>
    <row r="3300" ht="15" customHeight="1"/>
    <row r="3301" ht="15" customHeight="1"/>
    <row r="3302" ht="15" customHeight="1"/>
    <row r="3303" ht="15" customHeight="1"/>
    <row r="3304" ht="15" customHeight="1"/>
    <row r="3305" ht="15" customHeight="1"/>
    <row r="3306" ht="15" customHeight="1"/>
    <row r="3307" ht="15" customHeight="1"/>
    <row r="3308" ht="15" customHeight="1"/>
    <row r="3309" ht="15" customHeight="1"/>
    <row r="3310" ht="15" customHeight="1"/>
    <row r="3311" ht="15" customHeight="1"/>
    <row r="3312" ht="15" customHeight="1"/>
    <row r="3313" ht="15" customHeight="1"/>
    <row r="3314" ht="15" customHeight="1"/>
    <row r="3315" ht="15" customHeight="1"/>
    <row r="3316" ht="15" customHeight="1"/>
    <row r="3317" ht="15" customHeight="1"/>
    <row r="3318" ht="15" customHeight="1"/>
    <row r="3319" ht="15" customHeight="1"/>
    <row r="3320" ht="15" customHeight="1"/>
    <row r="3321" ht="15" customHeight="1"/>
    <row r="3322" ht="15" customHeight="1"/>
    <row r="3323" ht="15" customHeight="1"/>
    <row r="3324" ht="15" customHeight="1"/>
    <row r="3325" ht="15" customHeight="1"/>
    <row r="3326" ht="15" customHeight="1"/>
    <row r="3327" ht="15" customHeight="1"/>
    <row r="3328" ht="15" customHeight="1"/>
    <row r="3329" ht="15" customHeight="1"/>
    <row r="3330" ht="15" customHeight="1"/>
    <row r="3331" ht="15" customHeight="1"/>
    <row r="3332" ht="15" customHeight="1"/>
    <row r="3333" ht="15" customHeight="1"/>
    <row r="3334" ht="15" customHeight="1"/>
    <row r="3335" ht="15" customHeight="1"/>
    <row r="3336" ht="15" customHeight="1"/>
    <row r="3337" ht="15" customHeight="1"/>
    <row r="3338" ht="15" customHeight="1"/>
    <row r="3339" ht="15" customHeight="1"/>
    <row r="3340" ht="15" customHeight="1"/>
    <row r="3341" ht="15" customHeight="1"/>
    <row r="3342" ht="15" customHeight="1"/>
    <row r="3343" ht="15" customHeight="1"/>
    <row r="3344" ht="15" customHeight="1"/>
    <row r="3345" ht="15" customHeight="1"/>
    <row r="3346" ht="15" customHeight="1"/>
    <row r="3347" ht="15" customHeight="1"/>
    <row r="3348" ht="15" customHeight="1"/>
    <row r="3349" ht="15" customHeight="1"/>
    <row r="3350" ht="15" customHeight="1"/>
    <row r="3351" ht="15" customHeight="1"/>
    <row r="3352" ht="15" customHeight="1"/>
    <row r="3353" ht="15" customHeight="1"/>
    <row r="3354" ht="15" customHeight="1"/>
    <row r="3355" ht="15" customHeight="1"/>
    <row r="3356" ht="15" customHeight="1"/>
    <row r="3357" ht="15" customHeight="1"/>
    <row r="3358" ht="15" customHeight="1"/>
    <row r="3359" ht="15" customHeight="1"/>
    <row r="3360" ht="15" customHeight="1"/>
    <row r="3361" ht="15" customHeight="1"/>
    <row r="3362" ht="15" customHeight="1"/>
    <row r="3363" ht="15" customHeight="1"/>
    <row r="3364" ht="15" customHeight="1"/>
    <row r="3365" ht="15" customHeight="1"/>
    <row r="3366" ht="15" customHeight="1"/>
    <row r="3367" ht="15" customHeight="1"/>
    <row r="3368" ht="15" customHeight="1"/>
    <row r="3369" ht="15" customHeight="1"/>
    <row r="3370" ht="15" customHeight="1"/>
    <row r="3371" ht="15" customHeight="1"/>
    <row r="3372" ht="15" customHeight="1"/>
    <row r="3373" ht="15" customHeight="1"/>
    <row r="3374" ht="15" customHeight="1"/>
    <row r="3375" ht="15" customHeight="1"/>
    <row r="3376" ht="15" customHeight="1"/>
    <row r="3377" ht="15" customHeight="1"/>
    <row r="3378" ht="15" customHeight="1"/>
    <row r="3379" ht="15" customHeight="1"/>
    <row r="3380" ht="15" customHeight="1"/>
    <row r="3381" ht="15" customHeight="1"/>
    <row r="3382" ht="15" customHeight="1"/>
    <row r="3383" ht="15" customHeight="1"/>
    <row r="3384" ht="15" customHeight="1"/>
    <row r="3385" ht="15" customHeight="1"/>
    <row r="3386" ht="15" customHeight="1"/>
    <row r="3387" ht="15" customHeight="1"/>
    <row r="3388" ht="15" customHeight="1"/>
    <row r="3389" ht="15" customHeight="1"/>
    <row r="3390" ht="15" customHeight="1"/>
    <row r="3391" ht="15" customHeight="1"/>
    <row r="3392" ht="15" customHeight="1"/>
    <row r="3393" ht="15" customHeight="1"/>
    <row r="3394" ht="15" customHeight="1"/>
    <row r="3395" ht="15" customHeight="1"/>
    <row r="3396" ht="15" customHeight="1"/>
    <row r="3397" ht="15" customHeight="1"/>
    <row r="3398" ht="15" customHeight="1"/>
    <row r="3399" ht="15" customHeight="1"/>
    <row r="3400" ht="15" customHeight="1"/>
    <row r="3401" ht="15" customHeight="1"/>
    <row r="3402" ht="15" customHeight="1"/>
    <row r="3403" ht="15" customHeight="1"/>
    <row r="3404" ht="15" customHeight="1"/>
    <row r="3405" ht="15" customHeight="1"/>
    <row r="3406" ht="15" customHeight="1"/>
    <row r="3407" ht="15" customHeight="1"/>
    <row r="3408" ht="15" customHeight="1"/>
    <row r="3409" ht="15" customHeight="1"/>
    <row r="3410" ht="15" customHeight="1"/>
    <row r="3411" ht="15" customHeight="1"/>
    <row r="3412" ht="15" customHeight="1"/>
    <row r="3413" ht="15" customHeight="1"/>
    <row r="3414" ht="15" customHeight="1"/>
    <row r="3415" ht="15" customHeight="1"/>
    <row r="3416" ht="15" customHeight="1"/>
    <row r="3417" ht="15" customHeight="1"/>
    <row r="3418" ht="15" customHeight="1"/>
    <row r="3419" ht="15" customHeight="1"/>
    <row r="3420" ht="15" customHeight="1"/>
    <row r="3421" ht="15" customHeight="1"/>
    <row r="3422" ht="15" customHeight="1"/>
    <row r="3423" ht="15" customHeight="1"/>
    <row r="3424" ht="15" customHeight="1"/>
    <row r="3425" ht="15" customHeight="1"/>
    <row r="3426" ht="15" customHeight="1"/>
    <row r="3427" ht="15" customHeight="1"/>
    <row r="3428" ht="15" customHeight="1"/>
    <row r="3429" ht="15" customHeight="1"/>
    <row r="3430" ht="15" customHeight="1"/>
    <row r="3431" ht="15" customHeight="1"/>
    <row r="3432" ht="15" customHeight="1"/>
    <row r="3433" ht="15" customHeight="1"/>
    <row r="3434" ht="15" customHeight="1"/>
    <row r="3435" ht="15" customHeight="1"/>
    <row r="3436" ht="15" customHeight="1"/>
    <row r="3437" ht="15" customHeight="1"/>
    <row r="3438" ht="15" customHeight="1"/>
    <row r="3439" ht="15" customHeight="1"/>
    <row r="3440" ht="15" customHeight="1"/>
    <row r="3441" ht="15" customHeight="1"/>
    <row r="3442" ht="15" customHeight="1"/>
    <row r="3443" ht="15" customHeight="1"/>
    <row r="3444" ht="15" customHeight="1"/>
    <row r="3445" ht="15" customHeight="1"/>
    <row r="3446" ht="15" customHeight="1"/>
    <row r="3447" ht="15" customHeight="1"/>
    <row r="3448" ht="15" customHeight="1"/>
    <row r="3449" ht="15" customHeight="1"/>
    <row r="3450" ht="15" customHeight="1"/>
    <row r="3451" ht="15" customHeight="1"/>
    <row r="3452" ht="15" customHeight="1"/>
    <row r="3453" ht="15" customHeight="1"/>
    <row r="3454" ht="15" customHeight="1"/>
    <row r="3455" ht="15" customHeight="1"/>
    <row r="3456" ht="15" customHeight="1"/>
    <row r="3457" ht="15" customHeight="1"/>
    <row r="3458" ht="15" customHeight="1"/>
    <row r="3459" ht="15" customHeight="1"/>
    <row r="3460" ht="15" customHeight="1"/>
    <row r="3461" ht="15" customHeight="1"/>
    <row r="3462" ht="15" customHeight="1"/>
    <row r="3463" ht="15" customHeight="1"/>
    <row r="3464" ht="15" customHeight="1"/>
    <row r="3465" ht="15" customHeight="1"/>
    <row r="3466" ht="15" customHeight="1"/>
    <row r="3467" ht="15" customHeight="1"/>
    <row r="3468" ht="15" customHeight="1"/>
    <row r="3469" ht="15" customHeight="1"/>
    <row r="3470" ht="15" customHeight="1"/>
    <row r="3471" ht="15" customHeight="1"/>
    <row r="3472" ht="15" customHeight="1"/>
    <row r="3473" ht="15" customHeight="1"/>
    <row r="3474" ht="15" customHeight="1"/>
    <row r="3475" ht="15" customHeight="1"/>
    <row r="3476" ht="15" customHeight="1"/>
    <row r="3477" ht="15" customHeight="1"/>
    <row r="3478" ht="15" customHeight="1"/>
    <row r="3479" ht="15" customHeight="1"/>
    <row r="3480" ht="15" customHeight="1"/>
    <row r="3481" ht="15" customHeight="1"/>
    <row r="3482" ht="15" customHeight="1"/>
    <row r="3483" ht="15" customHeight="1"/>
    <row r="3484" ht="15" customHeight="1"/>
    <row r="3485" ht="15" customHeight="1"/>
    <row r="3486" ht="15" customHeight="1"/>
    <row r="3487" ht="15" customHeight="1"/>
    <row r="3488" ht="15" customHeight="1"/>
    <row r="3489" ht="15" customHeight="1"/>
    <row r="3490" ht="15" customHeight="1"/>
    <row r="3491" ht="15" customHeight="1"/>
    <row r="3492" ht="15" customHeight="1"/>
    <row r="3493" ht="15" customHeight="1"/>
    <row r="3494" ht="15" customHeight="1"/>
    <row r="3495" ht="15" customHeight="1"/>
    <row r="3496" ht="15" customHeight="1"/>
    <row r="3497" ht="15" customHeight="1"/>
    <row r="3498" ht="15" customHeight="1"/>
    <row r="3499" ht="15" customHeight="1"/>
    <row r="3500" ht="15" customHeight="1"/>
    <row r="3501" ht="15" customHeight="1"/>
    <row r="3502" ht="15" customHeight="1"/>
    <row r="3503" ht="15" customHeight="1"/>
    <row r="3504" ht="15" customHeight="1"/>
    <row r="3505" ht="15" customHeight="1"/>
    <row r="3506" ht="15" customHeight="1"/>
    <row r="3507" ht="15" customHeight="1"/>
    <row r="3508" ht="15" customHeight="1"/>
    <row r="3509" ht="15" customHeight="1"/>
    <row r="3510" ht="15" customHeight="1"/>
    <row r="3511" ht="15" customHeight="1"/>
    <row r="3512" ht="15" customHeight="1"/>
    <row r="3513" ht="15" customHeight="1"/>
    <row r="3514" ht="15" customHeight="1"/>
    <row r="3515" ht="15" customHeight="1"/>
    <row r="3516" ht="15" customHeight="1"/>
    <row r="3517" ht="15" customHeight="1"/>
    <row r="3518" ht="15" customHeight="1"/>
    <row r="3519" ht="15" customHeight="1"/>
    <row r="3520" ht="15" customHeight="1"/>
    <row r="3521" ht="15" customHeight="1"/>
    <row r="3522" ht="15" customHeight="1"/>
    <row r="3523" ht="15" customHeight="1"/>
    <row r="3524" ht="15" customHeight="1"/>
    <row r="3525" ht="15" customHeight="1"/>
    <row r="3526" ht="15" customHeight="1"/>
    <row r="3527" ht="15" customHeight="1"/>
    <row r="3528" ht="15" customHeight="1"/>
    <row r="3529" ht="15" customHeight="1"/>
    <row r="3530" ht="15" customHeight="1"/>
    <row r="3531" ht="15" customHeight="1"/>
    <row r="3532" ht="15" customHeight="1"/>
    <row r="3533" ht="15" customHeight="1"/>
    <row r="3534" ht="15" customHeight="1"/>
    <row r="3535" ht="15" customHeight="1"/>
    <row r="3536" ht="15" customHeight="1"/>
    <row r="3537" ht="15" customHeight="1"/>
    <row r="3538" ht="15" customHeight="1"/>
    <row r="3539" ht="15" customHeight="1"/>
    <row r="3540" ht="15" customHeight="1"/>
    <row r="3541" ht="15" customHeight="1"/>
    <row r="3542" ht="15" customHeight="1"/>
    <row r="3543" ht="15" customHeight="1"/>
    <row r="3544" ht="15" customHeight="1"/>
    <row r="3545" ht="15" customHeight="1"/>
    <row r="3546" ht="15" customHeight="1"/>
    <row r="3547" ht="15" customHeight="1"/>
    <row r="3548" ht="15" customHeight="1"/>
    <row r="3549" ht="15" customHeight="1"/>
    <row r="3550" ht="15" customHeight="1"/>
    <row r="3551" ht="15" customHeight="1"/>
    <row r="3552" ht="15" customHeight="1"/>
    <row r="3553" ht="15" customHeight="1"/>
    <row r="3554" ht="15" customHeight="1"/>
    <row r="3555" ht="15" customHeight="1"/>
    <row r="3556" ht="15" customHeight="1"/>
    <row r="3557" ht="15" customHeight="1"/>
    <row r="3558" ht="15" customHeight="1"/>
    <row r="3559" ht="15" customHeight="1"/>
    <row r="3560" ht="15" customHeight="1"/>
    <row r="3561" ht="15" customHeight="1"/>
    <row r="3562" ht="15" customHeight="1"/>
    <row r="3563" ht="15" customHeight="1"/>
    <row r="3564" ht="15" customHeight="1"/>
    <row r="3565" ht="15" customHeight="1"/>
    <row r="3566" ht="15" customHeight="1"/>
    <row r="3567" ht="15" customHeight="1"/>
    <row r="3568" ht="15" customHeight="1"/>
    <row r="3569" ht="15" customHeight="1"/>
    <row r="3570" ht="15" customHeight="1"/>
    <row r="3571" ht="15" customHeight="1"/>
    <row r="3572" ht="15" customHeight="1"/>
    <row r="3573" ht="15" customHeight="1"/>
    <row r="3574" ht="15" customHeight="1"/>
    <row r="3575" ht="15" customHeight="1"/>
    <row r="3576" ht="15" customHeight="1"/>
    <row r="3577" ht="15" customHeight="1"/>
    <row r="3578" ht="15" customHeight="1"/>
    <row r="3579" ht="15" customHeight="1"/>
    <row r="3580" ht="15" customHeight="1"/>
    <row r="3581" ht="15" customHeight="1"/>
    <row r="3582" ht="15" customHeight="1"/>
    <row r="3583" ht="15" customHeight="1"/>
    <row r="3584" ht="15" customHeight="1"/>
    <row r="3585" ht="15" customHeight="1"/>
    <row r="3586" ht="15" customHeight="1"/>
    <row r="3587" ht="15" customHeight="1"/>
    <row r="3588" ht="15" customHeight="1"/>
    <row r="3589" ht="15" customHeight="1"/>
    <row r="3590" ht="15" customHeight="1"/>
    <row r="3591" ht="15" customHeight="1"/>
    <row r="3592" ht="15" customHeight="1"/>
    <row r="3593" ht="15" customHeight="1"/>
    <row r="3594" ht="15" customHeight="1"/>
    <row r="3595" ht="15" customHeight="1"/>
    <row r="3596" ht="15" customHeight="1"/>
    <row r="3597" ht="15" customHeight="1"/>
    <row r="3598" ht="15" customHeight="1"/>
    <row r="3599" ht="15" customHeight="1"/>
    <row r="3600" ht="15" customHeight="1"/>
    <row r="3601" ht="15" customHeight="1"/>
    <row r="3602" ht="15" customHeight="1"/>
    <row r="3603" ht="15" customHeight="1"/>
    <row r="3604" ht="15" customHeight="1"/>
    <row r="3605" ht="15" customHeight="1"/>
    <row r="3606" ht="15" customHeight="1"/>
    <row r="3607" ht="15" customHeight="1"/>
    <row r="3608" ht="15" customHeight="1"/>
    <row r="3609" ht="15" customHeight="1"/>
    <row r="3610" ht="15" customHeight="1"/>
    <row r="3611" ht="15" customHeight="1"/>
    <row r="3612" ht="15" customHeight="1"/>
    <row r="3613" ht="15" customHeight="1"/>
    <row r="3614" ht="15" customHeight="1"/>
    <row r="3615" ht="15" customHeight="1"/>
    <row r="3616" ht="15" customHeight="1"/>
    <row r="3617" ht="15" customHeight="1"/>
    <row r="3618" ht="15" customHeight="1"/>
    <row r="3619" ht="15" customHeight="1"/>
    <row r="3620" ht="15" customHeight="1"/>
    <row r="3621" ht="15" customHeight="1"/>
    <row r="3622" ht="15" customHeight="1"/>
    <row r="3623" ht="15" customHeight="1"/>
    <row r="3624" ht="15" customHeight="1"/>
    <row r="3625" ht="15" customHeight="1"/>
    <row r="3626" ht="15" customHeight="1"/>
    <row r="3627" ht="15" customHeight="1"/>
    <row r="3628" ht="15" customHeight="1"/>
    <row r="3629" ht="15" customHeight="1"/>
    <row r="3630" ht="15" customHeight="1"/>
    <row r="3631" ht="15" customHeight="1"/>
    <row r="3632" ht="15" customHeight="1"/>
    <row r="3633" ht="15" customHeight="1"/>
    <row r="3634" ht="15" customHeight="1"/>
    <row r="3635" ht="15" customHeight="1"/>
    <row r="3636" ht="15" customHeight="1"/>
    <row r="3637" ht="15" customHeight="1"/>
    <row r="3638" ht="15" customHeight="1"/>
    <row r="3639" ht="15" customHeight="1"/>
    <row r="3640" ht="15" customHeight="1"/>
    <row r="3641" ht="15" customHeight="1"/>
    <row r="3642" ht="15" customHeight="1"/>
    <row r="3643" ht="15" customHeight="1"/>
    <row r="3644" ht="15" customHeight="1"/>
    <row r="3645" ht="15" customHeight="1"/>
    <row r="3646" ht="15" customHeight="1"/>
    <row r="3647" ht="15" customHeight="1"/>
    <row r="3648" ht="15" customHeight="1"/>
    <row r="3649" ht="15" customHeight="1"/>
    <row r="3650" ht="15" customHeight="1"/>
    <row r="3651" ht="15" customHeight="1"/>
    <row r="3652" ht="15" customHeight="1"/>
    <row r="3653" ht="15" customHeight="1"/>
    <row r="3654" ht="15" customHeight="1"/>
    <row r="3655" ht="15" customHeight="1"/>
    <row r="3656" ht="15" customHeight="1"/>
    <row r="3657" ht="15" customHeight="1"/>
    <row r="3658" ht="15" customHeight="1"/>
    <row r="3659" ht="15" customHeight="1"/>
    <row r="3660" ht="15" customHeight="1"/>
    <row r="3661" ht="15" customHeight="1"/>
    <row r="3662" ht="15" customHeight="1"/>
    <row r="3663" ht="15" customHeight="1"/>
    <row r="3664" ht="15" customHeight="1"/>
    <row r="3665" ht="15" customHeight="1"/>
    <row r="3666" ht="15" customHeight="1"/>
    <row r="3667" ht="15" customHeight="1"/>
    <row r="3668" ht="15" customHeight="1"/>
    <row r="3669" ht="15" customHeight="1"/>
    <row r="3670" ht="15" customHeight="1"/>
    <row r="3671" ht="15" customHeight="1"/>
    <row r="3672" ht="15" customHeight="1"/>
    <row r="3673" ht="15" customHeight="1"/>
    <row r="3674" ht="15" customHeight="1"/>
    <row r="3675" ht="15" customHeight="1"/>
    <row r="3676" ht="15" customHeight="1"/>
    <row r="3677" ht="15" customHeight="1"/>
    <row r="3678" ht="15" customHeight="1"/>
    <row r="3679" ht="15" customHeight="1"/>
    <row r="3680" ht="15" customHeight="1"/>
    <row r="3681" ht="15" customHeight="1"/>
    <row r="3682" ht="15" customHeight="1"/>
    <row r="3683" ht="15" customHeight="1"/>
    <row r="3684" ht="15" customHeight="1"/>
    <row r="3685" ht="15" customHeight="1"/>
    <row r="3686" ht="15" customHeight="1"/>
    <row r="3687" ht="15" customHeight="1"/>
    <row r="3688" ht="15" customHeight="1"/>
    <row r="3689" ht="15" customHeight="1"/>
    <row r="3690" ht="15" customHeight="1"/>
    <row r="3691" ht="15" customHeight="1"/>
    <row r="3692" ht="15" customHeight="1"/>
    <row r="3693" ht="15" customHeight="1"/>
    <row r="3694" ht="15" customHeight="1"/>
    <row r="3695" ht="15" customHeight="1"/>
    <row r="3696" ht="15" customHeight="1"/>
    <row r="3697" ht="15" customHeight="1"/>
    <row r="3698" ht="15" customHeight="1"/>
    <row r="3699" ht="15" customHeight="1"/>
    <row r="3700" ht="15" customHeight="1"/>
    <row r="3701" ht="15" customHeight="1"/>
    <row r="3702" ht="15" customHeight="1"/>
    <row r="3703" ht="15" customHeight="1"/>
    <row r="3704" ht="15" customHeight="1"/>
    <row r="3705" ht="15" customHeight="1"/>
    <row r="3706" ht="15" customHeight="1"/>
    <row r="3707" ht="15" customHeight="1"/>
    <row r="3708" ht="15" customHeight="1"/>
    <row r="3709" ht="15" customHeight="1"/>
    <row r="3710" ht="15" customHeight="1"/>
    <row r="3711" ht="15" customHeight="1"/>
    <row r="3712" ht="15" customHeight="1"/>
    <row r="3713" ht="15" customHeight="1"/>
    <row r="3714" ht="15" customHeight="1"/>
    <row r="3715" ht="15" customHeight="1"/>
    <row r="3716" ht="15" customHeight="1"/>
    <row r="3717" ht="15" customHeight="1"/>
    <row r="3718" ht="15" customHeight="1"/>
    <row r="3719" ht="15" customHeight="1"/>
    <row r="3720" ht="15" customHeight="1"/>
    <row r="3721" ht="15" customHeight="1"/>
    <row r="3722" ht="15" customHeight="1"/>
    <row r="3723" ht="15" customHeight="1"/>
    <row r="3724" ht="15" customHeight="1"/>
    <row r="3725" ht="15" customHeight="1"/>
    <row r="3726" ht="15" customHeight="1"/>
    <row r="3727" ht="15" customHeight="1"/>
    <row r="3728" ht="15" customHeight="1"/>
    <row r="3729" ht="15" customHeight="1"/>
    <row r="3730" ht="15" customHeight="1"/>
    <row r="3731" ht="15" customHeight="1"/>
    <row r="3732" ht="15" customHeight="1"/>
    <row r="3733" ht="15" customHeight="1"/>
    <row r="3734" ht="15" customHeight="1"/>
    <row r="3735" ht="15" customHeight="1"/>
    <row r="3736" ht="15" customHeight="1"/>
    <row r="3737" ht="15" customHeight="1"/>
    <row r="3738" ht="15" customHeight="1"/>
    <row r="3739" ht="15" customHeight="1"/>
    <row r="3740" ht="15" customHeight="1"/>
    <row r="3741" ht="15" customHeight="1"/>
    <row r="3742" ht="15" customHeight="1"/>
    <row r="3743" ht="15" customHeight="1"/>
    <row r="3744" ht="15" customHeight="1"/>
    <row r="3745" ht="15" customHeight="1"/>
    <row r="3746" ht="15" customHeight="1"/>
    <row r="3747" ht="15" customHeight="1"/>
    <row r="3748" ht="15" customHeight="1"/>
    <row r="3749" ht="15" customHeight="1"/>
    <row r="3750" ht="15" customHeight="1"/>
    <row r="3751" ht="15" customHeight="1"/>
    <row r="3752" ht="15" customHeight="1"/>
    <row r="3753" ht="15" customHeight="1"/>
    <row r="3754" ht="15" customHeight="1"/>
    <row r="3755" ht="15" customHeight="1"/>
    <row r="3756" ht="15" customHeight="1"/>
    <row r="3757" ht="15" customHeight="1"/>
    <row r="3758" ht="15" customHeight="1"/>
    <row r="3759" ht="15" customHeight="1"/>
    <row r="3760" ht="15" customHeight="1"/>
    <row r="3761" ht="15" customHeight="1"/>
    <row r="3762" ht="15" customHeight="1"/>
    <row r="3763" ht="15" customHeight="1"/>
    <row r="3764" ht="15" customHeight="1"/>
    <row r="3765" ht="15" customHeight="1"/>
    <row r="3766" ht="15" customHeight="1"/>
    <row r="3767" ht="15" customHeight="1"/>
    <row r="3768" ht="15" customHeight="1"/>
    <row r="3769" ht="15" customHeight="1"/>
    <row r="3770" ht="15" customHeight="1"/>
    <row r="3771" ht="15" customHeight="1"/>
    <row r="3772" ht="15" customHeight="1"/>
    <row r="3773" ht="15" customHeight="1"/>
    <row r="3774" ht="15" customHeight="1"/>
    <row r="3775" ht="15" customHeight="1"/>
    <row r="3776" ht="15" customHeight="1"/>
    <row r="3777" ht="15" customHeight="1"/>
    <row r="3778" ht="15" customHeight="1"/>
    <row r="3779" ht="15" customHeight="1"/>
    <row r="3780" ht="15" customHeight="1"/>
    <row r="3781" ht="15" customHeight="1"/>
    <row r="3782" ht="15" customHeight="1"/>
    <row r="3783" ht="15" customHeight="1"/>
    <row r="3784" ht="15" customHeight="1"/>
    <row r="3785" ht="15" customHeight="1"/>
    <row r="3786" ht="15" customHeight="1"/>
    <row r="3787" ht="15" customHeight="1"/>
    <row r="3788" ht="15" customHeight="1"/>
    <row r="3789" ht="15" customHeight="1"/>
    <row r="3790" ht="15" customHeight="1"/>
    <row r="3791" ht="15" customHeight="1"/>
    <row r="3792" ht="15" customHeight="1"/>
    <row r="3793" ht="15" customHeight="1"/>
    <row r="3794" ht="15" customHeight="1"/>
    <row r="3795" ht="15" customHeight="1"/>
    <row r="3796" ht="15" customHeight="1"/>
    <row r="3797" ht="15" customHeight="1"/>
    <row r="3798" ht="15" customHeight="1"/>
    <row r="3799" ht="15" customHeight="1"/>
    <row r="3800" ht="15" customHeight="1"/>
    <row r="3801" ht="15" customHeight="1"/>
    <row r="3802" ht="15" customHeight="1"/>
    <row r="3803" ht="15" customHeight="1"/>
    <row r="3804" ht="15" customHeight="1"/>
    <row r="3805" ht="15" customHeight="1"/>
    <row r="3806" ht="15" customHeight="1"/>
    <row r="3807" ht="15" customHeight="1"/>
    <row r="3808" ht="15" customHeight="1"/>
    <row r="3809" ht="15" customHeight="1"/>
    <row r="3810" ht="15" customHeight="1"/>
    <row r="3811" ht="15" customHeight="1"/>
    <row r="3812" ht="15" customHeight="1"/>
    <row r="3813" ht="15" customHeight="1"/>
    <row r="3814" ht="15" customHeight="1"/>
    <row r="3815" ht="15" customHeight="1"/>
    <row r="3816" ht="15" customHeight="1"/>
    <row r="3817" ht="15" customHeight="1"/>
    <row r="3818" ht="15" customHeight="1"/>
    <row r="3819" ht="15" customHeight="1"/>
    <row r="3820" ht="15" customHeight="1"/>
    <row r="3821" ht="15" customHeight="1"/>
    <row r="3822" ht="15" customHeight="1"/>
    <row r="3823" ht="15" customHeight="1"/>
    <row r="3824" ht="15" customHeight="1"/>
    <row r="3825" ht="15" customHeight="1"/>
    <row r="3826" ht="15" customHeight="1"/>
    <row r="3827" ht="15" customHeight="1"/>
    <row r="3828" ht="15" customHeight="1"/>
    <row r="3829" ht="15" customHeight="1"/>
    <row r="3830" ht="15" customHeight="1"/>
    <row r="3831" ht="15" customHeight="1"/>
    <row r="3832" ht="15" customHeight="1"/>
    <row r="3833" ht="15" customHeight="1"/>
    <row r="3834" ht="15" customHeight="1"/>
    <row r="3835" ht="15" customHeight="1"/>
    <row r="3836" ht="15" customHeight="1"/>
    <row r="3837" ht="15" customHeight="1"/>
    <row r="3838" ht="15" customHeight="1"/>
    <row r="3839" ht="15" customHeight="1"/>
    <row r="3840" ht="15" customHeight="1"/>
    <row r="3841" ht="15" customHeight="1"/>
    <row r="3842" ht="15" customHeight="1"/>
    <row r="3843" ht="15" customHeight="1"/>
    <row r="3844" ht="15" customHeight="1"/>
    <row r="3845" ht="15" customHeight="1"/>
    <row r="3846" ht="15" customHeight="1"/>
    <row r="3847" ht="15" customHeight="1"/>
    <row r="3848" ht="15" customHeight="1"/>
    <row r="3849" ht="15" customHeight="1"/>
    <row r="3850" ht="15" customHeight="1"/>
    <row r="3851" ht="15" customHeight="1"/>
    <row r="3852" ht="15" customHeight="1"/>
    <row r="3853" ht="15" customHeight="1"/>
    <row r="3854" ht="15" customHeight="1"/>
    <row r="3855" ht="15" customHeight="1"/>
    <row r="3856" ht="15" customHeight="1"/>
    <row r="3857" ht="15" customHeight="1"/>
    <row r="3858" ht="15" customHeight="1"/>
    <row r="3859" ht="15" customHeight="1"/>
    <row r="3860" ht="15" customHeight="1"/>
    <row r="3861" ht="15" customHeight="1"/>
    <row r="3862" ht="15" customHeight="1"/>
    <row r="3863" ht="15" customHeight="1"/>
    <row r="3864" ht="15" customHeight="1"/>
    <row r="3865" ht="15" customHeight="1"/>
    <row r="3866" ht="15" customHeight="1"/>
    <row r="3867" ht="15" customHeight="1"/>
    <row r="3868" ht="15" customHeight="1"/>
    <row r="3869" ht="15" customHeight="1"/>
    <row r="3870" ht="15" customHeight="1"/>
    <row r="3871" ht="15" customHeight="1"/>
    <row r="3872" ht="15" customHeight="1"/>
    <row r="3873" ht="15" customHeight="1"/>
    <row r="3874" ht="15" customHeight="1"/>
    <row r="3875" ht="15" customHeight="1"/>
    <row r="3876" ht="15" customHeight="1"/>
    <row r="3877" ht="15" customHeight="1"/>
    <row r="3878" ht="15" customHeight="1"/>
    <row r="3879" ht="15" customHeight="1"/>
    <row r="3880" ht="15" customHeight="1"/>
    <row r="3881" ht="15" customHeight="1"/>
    <row r="3882" ht="15" customHeight="1"/>
    <row r="3883" ht="15" customHeight="1"/>
    <row r="3884" ht="15" customHeight="1"/>
    <row r="3885" ht="15" customHeight="1"/>
    <row r="3886" ht="15" customHeight="1"/>
    <row r="3887" ht="15" customHeight="1"/>
    <row r="3888" ht="15" customHeight="1"/>
    <row r="3889" ht="15" customHeight="1"/>
    <row r="3890" ht="15" customHeight="1"/>
    <row r="3891" ht="15" customHeight="1"/>
    <row r="3892" ht="15" customHeight="1"/>
    <row r="3893" ht="15" customHeight="1"/>
    <row r="3894" ht="15" customHeight="1"/>
    <row r="3895" ht="15" customHeight="1"/>
    <row r="3896" ht="15" customHeight="1"/>
    <row r="3897" ht="15" customHeight="1"/>
    <row r="3898" ht="15" customHeight="1"/>
    <row r="3899" ht="15" customHeight="1"/>
    <row r="3900" ht="15" customHeight="1"/>
    <row r="3901" ht="15" customHeight="1"/>
    <row r="3902" ht="15" customHeight="1"/>
    <row r="3903" ht="15" customHeight="1"/>
    <row r="3904" ht="15" customHeight="1"/>
    <row r="3905" ht="15" customHeight="1"/>
    <row r="3906" ht="15" customHeight="1"/>
    <row r="3907" ht="15" customHeight="1"/>
    <row r="3908" ht="15" customHeight="1"/>
    <row r="3909" ht="15" customHeight="1"/>
    <row r="3910" ht="15" customHeight="1"/>
    <row r="3911" ht="15" customHeight="1"/>
    <row r="3912" ht="15" customHeight="1"/>
    <row r="3913" ht="15" customHeight="1"/>
    <row r="3914" ht="15" customHeight="1"/>
    <row r="3915" ht="15" customHeight="1"/>
    <row r="3916" ht="15" customHeight="1"/>
    <row r="3917" ht="15" customHeight="1"/>
    <row r="3918" ht="15" customHeight="1"/>
    <row r="3919" ht="15" customHeight="1"/>
    <row r="3920" ht="15" customHeight="1"/>
    <row r="3921" ht="15" customHeight="1"/>
    <row r="3922" ht="15" customHeight="1"/>
    <row r="3923" ht="15" customHeight="1"/>
    <row r="3924" ht="15" customHeight="1"/>
    <row r="3925" ht="15" customHeight="1"/>
    <row r="3926" ht="15" customHeight="1"/>
    <row r="3927" ht="15" customHeight="1"/>
    <row r="3928" ht="15" customHeight="1"/>
    <row r="3929" ht="15" customHeight="1"/>
    <row r="3930" ht="15" customHeight="1"/>
    <row r="3931" ht="15" customHeight="1"/>
    <row r="3932" ht="15" customHeight="1"/>
    <row r="3933" ht="15" customHeight="1"/>
    <row r="3934" ht="15" customHeight="1"/>
    <row r="3935" ht="15" customHeight="1"/>
    <row r="3936" ht="15" customHeight="1"/>
    <row r="3937" ht="15" customHeight="1"/>
    <row r="3938" ht="15" customHeight="1"/>
    <row r="3939" ht="15" customHeight="1"/>
    <row r="3940" ht="15" customHeight="1"/>
    <row r="3941" ht="15" customHeight="1"/>
    <row r="3942" ht="15" customHeight="1"/>
    <row r="3943" ht="15" customHeight="1"/>
    <row r="3944" ht="15" customHeight="1"/>
    <row r="3945" ht="15" customHeight="1"/>
    <row r="3946" ht="15" customHeight="1"/>
    <row r="3947" ht="15" customHeight="1"/>
    <row r="3948" ht="15" customHeight="1"/>
    <row r="3949" ht="15" customHeight="1"/>
    <row r="3950" ht="15" customHeight="1"/>
    <row r="3951" ht="15" customHeight="1"/>
    <row r="3952" ht="15" customHeight="1"/>
    <row r="3953" ht="15" customHeight="1"/>
    <row r="3954" ht="15" customHeight="1"/>
    <row r="3955" ht="15" customHeight="1"/>
    <row r="3956" ht="15" customHeight="1"/>
    <row r="3957" ht="15" customHeight="1"/>
    <row r="3958" ht="15" customHeight="1"/>
    <row r="3959" ht="15" customHeight="1"/>
    <row r="3960" ht="15" customHeight="1"/>
    <row r="3961" ht="15" customHeight="1"/>
    <row r="3962" ht="15" customHeight="1"/>
    <row r="3963" ht="15" customHeight="1"/>
    <row r="3964" ht="15" customHeight="1"/>
    <row r="3965" ht="15" customHeight="1"/>
    <row r="3966" ht="15" customHeight="1"/>
    <row r="3967" ht="15" customHeight="1"/>
    <row r="3968" ht="15" customHeight="1"/>
    <row r="3969" ht="15" customHeight="1"/>
    <row r="3970" ht="15" customHeight="1"/>
    <row r="3971" ht="15" customHeight="1"/>
    <row r="3972" ht="15" customHeight="1"/>
    <row r="3973" ht="15" customHeight="1"/>
    <row r="3974" ht="15" customHeight="1"/>
    <row r="3975" ht="15" customHeight="1"/>
    <row r="3976" ht="15" customHeight="1"/>
    <row r="3977" ht="15" customHeight="1"/>
    <row r="3978" ht="15" customHeight="1"/>
    <row r="3979" ht="15" customHeight="1"/>
    <row r="3980" ht="15" customHeight="1"/>
    <row r="3981" ht="15" customHeight="1"/>
    <row r="3982" ht="15" customHeight="1"/>
    <row r="3983" ht="15" customHeight="1"/>
    <row r="3984" ht="15" customHeight="1"/>
    <row r="3985" ht="15" customHeight="1"/>
    <row r="3986" ht="15" customHeight="1"/>
    <row r="3987" ht="15" customHeight="1"/>
    <row r="3988" ht="15" customHeight="1"/>
    <row r="3989" ht="15" customHeight="1"/>
    <row r="3990" ht="15" customHeight="1"/>
    <row r="3991" ht="15" customHeight="1"/>
    <row r="3992" ht="15" customHeight="1"/>
    <row r="3993" ht="15" customHeight="1"/>
    <row r="3994" ht="15" customHeight="1"/>
    <row r="3995" ht="15" customHeight="1"/>
    <row r="3996" ht="15" customHeight="1"/>
    <row r="3997" ht="15" customHeight="1"/>
    <row r="3998" ht="15" customHeight="1"/>
    <row r="3999" ht="15" customHeight="1"/>
    <row r="4000" ht="15" customHeight="1"/>
    <row r="4001" ht="15" customHeight="1"/>
    <row r="4002" ht="15" customHeight="1"/>
    <row r="4003" ht="15" customHeight="1"/>
    <row r="4004" ht="15" customHeight="1"/>
    <row r="4005" ht="15" customHeight="1"/>
    <row r="4006" ht="15" customHeight="1"/>
    <row r="4007" ht="15" customHeight="1"/>
    <row r="4008" ht="15" customHeight="1"/>
    <row r="4009" ht="15" customHeight="1"/>
    <row r="4010" ht="15" customHeight="1"/>
    <row r="4011" ht="15" customHeight="1"/>
    <row r="4012" ht="15" customHeight="1"/>
    <row r="4013" ht="15" customHeight="1"/>
    <row r="4014" ht="15" customHeight="1"/>
    <row r="4015" ht="15" customHeight="1"/>
    <row r="4016" ht="15" customHeight="1"/>
    <row r="4017" ht="15" customHeight="1"/>
    <row r="4018" ht="15" customHeight="1"/>
    <row r="4019" ht="15" customHeight="1"/>
    <row r="4020" ht="15" customHeight="1"/>
    <row r="4021" ht="15" customHeight="1"/>
    <row r="4022" ht="15" customHeight="1"/>
    <row r="4023" ht="15" customHeight="1"/>
    <row r="4024" ht="15" customHeight="1"/>
    <row r="4025" ht="15" customHeight="1"/>
    <row r="4026" ht="15" customHeight="1"/>
    <row r="4027" ht="15" customHeight="1"/>
    <row r="4028" ht="15" customHeight="1"/>
    <row r="4029" ht="15" customHeight="1"/>
    <row r="4030" ht="15" customHeight="1"/>
    <row r="4031" ht="15" customHeight="1"/>
    <row r="4032" ht="15" customHeight="1"/>
    <row r="4033" ht="15" customHeight="1"/>
    <row r="4034" ht="15" customHeight="1"/>
    <row r="4035" ht="15" customHeight="1"/>
    <row r="4036" ht="15" customHeight="1"/>
    <row r="4037" ht="15" customHeight="1"/>
    <row r="4038" ht="15" customHeight="1"/>
    <row r="4039" ht="15" customHeight="1"/>
    <row r="4040" ht="15" customHeight="1"/>
    <row r="4041" ht="15" customHeight="1"/>
    <row r="4042" ht="15" customHeight="1"/>
    <row r="4043" ht="15" customHeight="1"/>
    <row r="4044" ht="15" customHeight="1"/>
    <row r="4045" ht="15" customHeight="1"/>
    <row r="4046" ht="15" customHeight="1"/>
    <row r="4047" ht="15" customHeight="1"/>
    <row r="4048" ht="15" customHeight="1"/>
    <row r="4049" ht="15" customHeight="1"/>
    <row r="4050" ht="15" customHeight="1"/>
    <row r="4051" ht="15" customHeight="1"/>
    <row r="4052" ht="15" customHeight="1"/>
    <row r="4053" ht="15" customHeight="1"/>
    <row r="4054" ht="15" customHeight="1"/>
    <row r="4055" ht="15" customHeight="1"/>
    <row r="4056" ht="15" customHeight="1"/>
    <row r="4057" ht="15" customHeight="1"/>
    <row r="4058" ht="15" customHeight="1"/>
    <row r="4059" ht="15" customHeight="1"/>
    <row r="4060" ht="15" customHeight="1"/>
    <row r="4061" ht="15" customHeight="1"/>
    <row r="4062" ht="15" customHeight="1"/>
    <row r="4063" ht="15" customHeight="1"/>
    <row r="4064" ht="15" customHeight="1"/>
    <row r="4065" ht="15" customHeight="1"/>
    <row r="4066" ht="15" customHeight="1"/>
    <row r="4067" ht="15" customHeight="1"/>
    <row r="4068" ht="15" customHeight="1"/>
    <row r="4069" ht="15" customHeight="1"/>
    <row r="4070" ht="15" customHeight="1"/>
    <row r="4071" ht="15" customHeight="1"/>
    <row r="4072" ht="15" customHeight="1"/>
    <row r="4073" ht="15" customHeight="1"/>
    <row r="4074" ht="15" customHeight="1"/>
    <row r="4075" ht="15" customHeight="1"/>
    <row r="4076" ht="15" customHeight="1"/>
    <row r="4077" ht="15" customHeight="1"/>
    <row r="4078" ht="15" customHeight="1"/>
    <row r="4079" ht="15" customHeight="1"/>
    <row r="4080" ht="15" customHeight="1"/>
    <row r="4081" ht="15" customHeight="1"/>
    <row r="4082" ht="15" customHeight="1"/>
    <row r="4083" ht="15" customHeight="1"/>
    <row r="4084" ht="15" customHeight="1"/>
    <row r="4085" ht="15" customHeight="1"/>
    <row r="4086" ht="15" customHeight="1"/>
    <row r="4087" ht="15" customHeight="1"/>
    <row r="4088" ht="15" customHeight="1"/>
    <row r="4089" ht="15" customHeight="1"/>
    <row r="4090" ht="15" customHeight="1"/>
    <row r="4091" ht="15" customHeight="1"/>
    <row r="4092" ht="15" customHeight="1"/>
    <row r="4093" ht="15" customHeight="1"/>
    <row r="4094" ht="15" customHeight="1"/>
    <row r="4095" ht="15" customHeight="1"/>
    <row r="4096" ht="15" customHeight="1"/>
    <row r="4097" ht="15" customHeight="1"/>
    <row r="4098" ht="15" customHeight="1"/>
    <row r="4099" ht="15" customHeight="1"/>
    <row r="4100" ht="15" customHeight="1"/>
    <row r="4101" ht="15" customHeight="1"/>
    <row r="4102" ht="15" customHeight="1"/>
    <row r="4103" ht="15" customHeight="1"/>
    <row r="4104" ht="15" customHeight="1"/>
    <row r="4105" ht="15" customHeight="1"/>
    <row r="4106" ht="15" customHeight="1"/>
    <row r="4107" ht="15" customHeight="1"/>
    <row r="4108" ht="15" customHeight="1"/>
    <row r="4109" ht="15" customHeight="1"/>
    <row r="4110" ht="15" customHeight="1"/>
    <row r="4111" ht="15" customHeight="1"/>
    <row r="4112" ht="15" customHeight="1"/>
    <row r="4113" ht="15" customHeight="1"/>
    <row r="4114" ht="15" customHeight="1"/>
    <row r="4115" ht="15" customHeight="1"/>
    <row r="4116" ht="15" customHeight="1"/>
    <row r="4117" ht="15" customHeight="1"/>
    <row r="4118" ht="15" customHeight="1"/>
    <row r="4119" ht="15" customHeight="1"/>
    <row r="4120" ht="15" customHeight="1"/>
    <row r="4121" ht="15" customHeight="1"/>
    <row r="4122" ht="15" customHeight="1"/>
    <row r="4123" ht="15" customHeight="1"/>
    <row r="4124" ht="15" customHeight="1"/>
    <row r="4125" ht="15" customHeight="1"/>
    <row r="4126" ht="15" customHeight="1"/>
    <row r="4127" ht="15" customHeight="1"/>
    <row r="4128" ht="15" customHeight="1"/>
    <row r="4129" ht="15" customHeight="1"/>
    <row r="4130" ht="15" customHeight="1"/>
    <row r="4131" ht="15" customHeight="1"/>
    <row r="4132" ht="15" customHeight="1"/>
    <row r="4133" ht="15" customHeight="1"/>
    <row r="4134" ht="15" customHeight="1"/>
    <row r="4135" ht="15" customHeight="1"/>
    <row r="4136" ht="15" customHeight="1"/>
    <row r="4137" ht="15" customHeight="1"/>
    <row r="4138" ht="15" customHeight="1"/>
    <row r="4139" ht="15" customHeight="1"/>
    <row r="4140" ht="15" customHeight="1"/>
    <row r="4141" ht="15" customHeight="1"/>
    <row r="4142" ht="15" customHeight="1"/>
    <row r="4143" ht="15" customHeight="1"/>
    <row r="4144" ht="15" customHeight="1"/>
    <row r="4145" ht="15" customHeight="1"/>
    <row r="4146" ht="15" customHeight="1"/>
    <row r="4147" ht="15" customHeight="1"/>
    <row r="4148" ht="15" customHeight="1"/>
    <row r="4149" ht="15" customHeight="1"/>
    <row r="4150" ht="15" customHeight="1"/>
    <row r="4151" ht="15" customHeight="1"/>
    <row r="4152" ht="15" customHeight="1"/>
    <row r="4153" ht="15" customHeight="1"/>
    <row r="4154" ht="15" customHeight="1"/>
    <row r="4155" ht="15" customHeight="1"/>
    <row r="4156" ht="15" customHeight="1"/>
    <row r="4157" ht="15" customHeight="1"/>
    <row r="4158" ht="15" customHeight="1"/>
    <row r="4159" ht="15" customHeight="1"/>
    <row r="4160" ht="15" customHeight="1"/>
    <row r="4161" ht="15" customHeight="1"/>
    <row r="4162" ht="15" customHeight="1"/>
    <row r="4163" ht="15" customHeight="1"/>
    <row r="4164" ht="15" customHeight="1"/>
    <row r="4165" ht="15" customHeight="1"/>
    <row r="4166" ht="15" customHeight="1"/>
    <row r="4167" ht="15" customHeight="1"/>
    <row r="4168" ht="15" customHeight="1"/>
    <row r="4169" ht="15" customHeight="1"/>
    <row r="4170" ht="15" customHeight="1"/>
    <row r="4171" ht="15" customHeight="1"/>
    <row r="4172" ht="15" customHeight="1"/>
    <row r="4173" ht="15" customHeight="1"/>
    <row r="4174" ht="15" customHeight="1"/>
    <row r="4175" ht="15" customHeight="1"/>
    <row r="4176" ht="15" customHeight="1"/>
    <row r="4177" ht="15" customHeight="1"/>
    <row r="4178" ht="15" customHeight="1"/>
    <row r="4179" ht="15" customHeight="1"/>
    <row r="4180" ht="15" customHeight="1"/>
    <row r="4181" ht="15" customHeight="1"/>
    <row r="4182" ht="15" customHeight="1"/>
    <row r="4183" ht="15" customHeight="1"/>
    <row r="4184" ht="15" customHeight="1"/>
    <row r="4185" ht="15" customHeight="1"/>
    <row r="4186" ht="15" customHeight="1"/>
    <row r="4187" ht="15" customHeight="1"/>
    <row r="4188" ht="15" customHeight="1"/>
    <row r="4189" ht="15" customHeight="1"/>
    <row r="4190" ht="15" customHeight="1"/>
    <row r="4191" ht="15" customHeight="1"/>
    <row r="4192" ht="15" customHeight="1"/>
    <row r="4193" ht="15" customHeight="1"/>
    <row r="4194" ht="15" customHeight="1"/>
    <row r="4195" ht="15" customHeight="1"/>
    <row r="4196" ht="15" customHeight="1"/>
    <row r="4197" ht="15" customHeight="1"/>
    <row r="4198" ht="15" customHeight="1"/>
    <row r="4199" ht="15" customHeight="1"/>
    <row r="4200" ht="15" customHeight="1"/>
    <row r="4201" ht="15" customHeight="1"/>
    <row r="4202" ht="15" customHeight="1"/>
    <row r="4203" ht="15" customHeight="1"/>
    <row r="4204" ht="15" customHeight="1"/>
    <row r="4205" ht="15" customHeight="1"/>
    <row r="4206" ht="15" customHeight="1"/>
    <row r="4207" ht="15" customHeight="1"/>
    <row r="4208" ht="15" customHeight="1"/>
    <row r="4209" ht="15" customHeight="1"/>
    <row r="4210" ht="15" customHeight="1"/>
    <row r="4211" ht="15" customHeight="1"/>
    <row r="4212" ht="15" customHeight="1"/>
    <row r="4213" ht="15" customHeight="1"/>
    <row r="4214" ht="15" customHeight="1"/>
    <row r="4215" ht="15" customHeight="1"/>
    <row r="4216" ht="15" customHeight="1"/>
    <row r="4217" ht="15" customHeight="1"/>
    <row r="4218" ht="15" customHeight="1"/>
    <row r="4219" ht="15" customHeight="1"/>
    <row r="4220" ht="15" customHeight="1"/>
    <row r="4221" ht="15" customHeight="1"/>
    <row r="4222" ht="15" customHeight="1"/>
    <row r="4223" ht="15" customHeight="1"/>
    <row r="4224" ht="15" customHeight="1"/>
    <row r="4225" ht="15" customHeight="1"/>
    <row r="4226" ht="15" customHeight="1"/>
    <row r="4227" ht="15" customHeight="1"/>
    <row r="4228" ht="15" customHeight="1"/>
    <row r="4229" ht="15" customHeight="1"/>
    <row r="4230" ht="15" customHeight="1"/>
    <row r="4231" ht="15" customHeight="1"/>
    <row r="4232" ht="15" customHeight="1"/>
    <row r="4233" ht="15" customHeight="1"/>
    <row r="4234" ht="15" customHeight="1"/>
    <row r="4235" ht="15" customHeight="1"/>
    <row r="4236" ht="15" customHeight="1"/>
    <row r="4237" ht="15" customHeight="1"/>
    <row r="4238" ht="15" customHeight="1"/>
    <row r="4239" ht="15" customHeight="1"/>
    <row r="4240" ht="15" customHeight="1"/>
    <row r="4241" ht="15" customHeight="1"/>
    <row r="4242" ht="15" customHeight="1"/>
    <row r="4243" ht="15" customHeight="1"/>
    <row r="4244" ht="15" customHeight="1"/>
    <row r="4245" ht="15" customHeight="1"/>
    <row r="4246" ht="15" customHeight="1"/>
    <row r="4247" ht="15" customHeight="1"/>
    <row r="4248" ht="15" customHeight="1"/>
    <row r="4249" ht="15" customHeight="1"/>
    <row r="4250" ht="15" customHeight="1"/>
    <row r="4251" ht="15" customHeight="1"/>
    <row r="4252" ht="15" customHeight="1"/>
    <row r="4253" ht="15" customHeight="1"/>
    <row r="4254" ht="15" customHeight="1"/>
    <row r="4255" ht="15" customHeight="1"/>
    <row r="4256" ht="15" customHeight="1"/>
    <row r="4257" ht="15" customHeight="1"/>
    <row r="4258" ht="15" customHeight="1"/>
    <row r="4259" ht="15" customHeight="1"/>
    <row r="4260" ht="15" customHeight="1"/>
    <row r="4261" ht="15" customHeight="1"/>
    <row r="4262" ht="15" customHeight="1"/>
    <row r="4263" ht="15" customHeight="1"/>
    <row r="4264" ht="15" customHeight="1"/>
    <row r="4265" ht="15" customHeight="1"/>
    <row r="4266" ht="15" customHeight="1"/>
    <row r="4267" ht="15" customHeight="1"/>
    <row r="4268" ht="15" customHeight="1"/>
    <row r="4269" ht="15" customHeight="1"/>
    <row r="4270" ht="15" customHeight="1"/>
    <row r="4271" ht="15" customHeight="1"/>
    <row r="4272" ht="15" customHeight="1"/>
    <row r="4273" ht="15" customHeight="1"/>
    <row r="4274" ht="15" customHeight="1"/>
    <row r="4275" ht="15" customHeight="1"/>
    <row r="4276" ht="15" customHeight="1"/>
    <row r="4277" ht="15" customHeight="1"/>
    <row r="4278" ht="15" customHeight="1"/>
    <row r="4279" ht="15" customHeight="1"/>
    <row r="4280" ht="15" customHeight="1"/>
    <row r="4281" ht="15" customHeight="1"/>
    <row r="4282" ht="15" customHeight="1"/>
    <row r="4283" ht="15" customHeight="1"/>
    <row r="4284" ht="15" customHeight="1"/>
    <row r="4285" ht="15" customHeight="1"/>
    <row r="4286" ht="15" customHeight="1"/>
    <row r="4287" ht="15" customHeight="1"/>
    <row r="4288" ht="15" customHeight="1"/>
    <row r="4289" ht="15" customHeight="1"/>
    <row r="4290" ht="15" customHeight="1"/>
    <row r="4291" ht="15" customHeight="1"/>
    <row r="4292" ht="15" customHeight="1"/>
    <row r="4293" ht="15" customHeight="1"/>
    <row r="4294" ht="15" customHeight="1"/>
    <row r="4295" ht="15" customHeight="1"/>
    <row r="4296" ht="15" customHeight="1"/>
    <row r="4297" ht="15" customHeight="1"/>
    <row r="4298" ht="15" customHeight="1"/>
    <row r="4299" ht="15" customHeight="1"/>
    <row r="4300" ht="15" customHeight="1"/>
    <row r="4301" ht="15" customHeight="1"/>
    <row r="4302" ht="15" customHeight="1"/>
    <row r="4303" ht="15" customHeight="1"/>
    <row r="4304" ht="15" customHeight="1"/>
    <row r="4305" ht="15" customHeight="1"/>
    <row r="4306" ht="15" customHeight="1"/>
    <row r="4307" ht="15" customHeight="1"/>
    <row r="4308" ht="15" customHeight="1"/>
    <row r="4309" ht="15" customHeight="1"/>
    <row r="4310" ht="15" customHeight="1"/>
    <row r="4311" ht="15" customHeight="1"/>
    <row r="4312" ht="15" customHeight="1"/>
    <row r="4313" ht="15" customHeight="1"/>
    <row r="4314" ht="15" customHeight="1"/>
    <row r="4315" ht="15" customHeight="1"/>
    <row r="4316" ht="15" customHeight="1"/>
    <row r="4317" ht="15" customHeight="1"/>
    <row r="4318" ht="15" customHeight="1"/>
    <row r="4319" ht="15" customHeight="1"/>
    <row r="4320" ht="15" customHeight="1"/>
    <row r="4321" ht="15" customHeight="1"/>
    <row r="4322" ht="15" customHeight="1"/>
    <row r="4323" ht="15" customHeight="1"/>
    <row r="4324" ht="15" customHeight="1"/>
    <row r="4325" ht="15" customHeight="1"/>
    <row r="4326" ht="15" customHeight="1"/>
    <row r="4327" ht="15" customHeight="1"/>
    <row r="4328" ht="15" customHeight="1"/>
    <row r="4329" ht="15" customHeight="1"/>
    <row r="4330" ht="15" customHeight="1"/>
    <row r="4331" ht="15" customHeight="1"/>
    <row r="4332" ht="15" customHeight="1"/>
    <row r="4333" ht="15" customHeight="1"/>
    <row r="4334" ht="15" customHeight="1"/>
    <row r="4335" ht="15" customHeight="1"/>
    <row r="4336" ht="15" customHeight="1"/>
    <row r="4337" ht="15" customHeight="1"/>
    <row r="4338" ht="15" customHeight="1"/>
    <row r="4339" ht="15" customHeight="1"/>
    <row r="4340" ht="15" customHeight="1"/>
    <row r="4341" ht="15" customHeight="1"/>
    <row r="4342" ht="15" customHeight="1"/>
    <row r="4343" ht="15" customHeight="1"/>
    <row r="4344" ht="15" customHeight="1"/>
    <row r="4345" ht="15" customHeight="1"/>
    <row r="4346" ht="15" customHeight="1"/>
    <row r="4347" ht="15" customHeight="1"/>
    <row r="4348" ht="15" customHeight="1"/>
    <row r="4349" ht="15" customHeight="1"/>
    <row r="4350" ht="15" customHeight="1"/>
    <row r="4351" ht="15" customHeight="1"/>
    <row r="4352" ht="15" customHeight="1"/>
    <row r="4353" ht="15" customHeight="1"/>
    <row r="4354" ht="15" customHeight="1"/>
    <row r="4355" ht="15" customHeight="1"/>
    <row r="4356" ht="15" customHeight="1"/>
    <row r="4357" ht="15" customHeight="1"/>
    <row r="4358" ht="15" customHeight="1"/>
    <row r="4359" ht="15" customHeight="1"/>
    <row r="4360" ht="15" customHeight="1"/>
    <row r="4361" ht="15" customHeight="1"/>
    <row r="4362" ht="15" customHeight="1"/>
    <row r="4363" ht="15" customHeight="1"/>
    <row r="4364" ht="15" customHeight="1"/>
    <row r="4365" ht="15" customHeight="1"/>
    <row r="4366" ht="15" customHeight="1"/>
    <row r="4367" ht="15" customHeight="1"/>
    <row r="4368" ht="15" customHeight="1"/>
    <row r="4369" ht="15" customHeight="1"/>
    <row r="4370" ht="15" customHeight="1"/>
    <row r="4371" ht="15" customHeight="1"/>
    <row r="4372" ht="15" customHeight="1"/>
    <row r="4373" ht="15" customHeight="1"/>
    <row r="4374" ht="15" customHeight="1"/>
    <row r="4375" ht="15" customHeight="1"/>
    <row r="4376" ht="15" customHeight="1"/>
    <row r="4377" ht="15" customHeight="1"/>
    <row r="4378" ht="15" customHeight="1"/>
    <row r="4379" ht="15" customHeight="1"/>
    <row r="4380" ht="15" customHeight="1"/>
    <row r="4381" ht="15" customHeight="1"/>
    <row r="4382" ht="15" customHeight="1"/>
    <row r="4383" ht="15" customHeight="1"/>
    <row r="4384" ht="15" customHeight="1"/>
    <row r="4385" ht="15" customHeight="1"/>
    <row r="4386" ht="15" customHeight="1"/>
    <row r="4387" ht="15" customHeight="1"/>
    <row r="4388" ht="15" customHeight="1"/>
    <row r="4389" ht="15" customHeight="1"/>
    <row r="4390" ht="15" customHeight="1"/>
    <row r="4391" ht="15" customHeight="1"/>
    <row r="4392" ht="15" customHeight="1"/>
    <row r="4393" ht="15" customHeight="1"/>
    <row r="4394" ht="15" customHeight="1"/>
    <row r="4395" ht="15" customHeight="1"/>
    <row r="4396" ht="15" customHeight="1"/>
    <row r="4397" ht="15" customHeight="1"/>
    <row r="4398" ht="15" customHeight="1"/>
    <row r="4399" ht="15" customHeight="1"/>
    <row r="4400" ht="15" customHeight="1"/>
    <row r="4401" ht="15" customHeight="1"/>
    <row r="4402" ht="15" customHeight="1"/>
    <row r="4403" ht="15" customHeight="1"/>
    <row r="4404" ht="15" customHeight="1"/>
    <row r="4405" ht="15" customHeight="1"/>
    <row r="4406" ht="15" customHeight="1"/>
    <row r="4407" ht="15" customHeight="1"/>
    <row r="4408" ht="15" customHeight="1"/>
    <row r="4409" ht="15" customHeight="1"/>
    <row r="4410" ht="15" customHeight="1"/>
    <row r="4411" ht="15" customHeight="1"/>
    <row r="4412" ht="15" customHeight="1"/>
    <row r="4413" ht="15" customHeight="1"/>
    <row r="4414" ht="15" customHeight="1"/>
    <row r="4415" ht="15" customHeight="1"/>
    <row r="4416" ht="15" customHeight="1"/>
    <row r="4417" ht="15" customHeight="1"/>
    <row r="4418" ht="15" customHeight="1"/>
    <row r="4419" ht="15" customHeight="1"/>
    <row r="4420" ht="15" customHeight="1"/>
    <row r="4421" ht="15" customHeight="1"/>
    <row r="4422" ht="15" customHeight="1"/>
    <row r="4423" ht="15" customHeight="1"/>
    <row r="4424" ht="15" customHeight="1"/>
    <row r="4425" ht="15" customHeight="1"/>
    <row r="4426" ht="15" customHeight="1"/>
    <row r="4427" ht="15" customHeight="1"/>
    <row r="4428" ht="15" customHeight="1"/>
    <row r="4429" ht="15" customHeight="1"/>
    <row r="4430" ht="15" customHeight="1"/>
    <row r="4431" ht="15" customHeight="1"/>
    <row r="4432" ht="15" customHeight="1"/>
    <row r="4433" ht="15" customHeight="1"/>
    <row r="4434" ht="15" customHeight="1"/>
    <row r="4435" ht="15" customHeight="1"/>
    <row r="4436" ht="15" customHeight="1"/>
    <row r="4437" ht="15" customHeight="1"/>
    <row r="4438" ht="15" customHeight="1"/>
    <row r="4439" ht="15" customHeight="1"/>
    <row r="4440" ht="15" customHeight="1"/>
    <row r="4441" ht="15" customHeight="1"/>
    <row r="4442" ht="15" customHeight="1"/>
    <row r="4443" ht="15" customHeight="1"/>
    <row r="4444" ht="15" customHeight="1"/>
    <row r="4445" ht="15" customHeight="1"/>
    <row r="4446" ht="15" customHeight="1"/>
    <row r="4447" ht="15" customHeight="1"/>
    <row r="4448" ht="15" customHeight="1"/>
    <row r="4449" ht="15" customHeight="1"/>
    <row r="4450" ht="15" customHeight="1"/>
    <row r="4451" ht="15" customHeight="1"/>
    <row r="4452" ht="15" customHeight="1"/>
    <row r="4453" ht="15" customHeight="1"/>
    <row r="4454" ht="15" customHeight="1"/>
    <row r="4455" ht="15" customHeight="1"/>
    <row r="4456" ht="15" customHeight="1"/>
    <row r="4457" ht="15" customHeight="1"/>
    <row r="4458" ht="15" customHeight="1"/>
    <row r="4459" ht="15" customHeight="1"/>
    <row r="4460" ht="15" customHeight="1"/>
    <row r="4461" ht="15" customHeight="1"/>
    <row r="4462" ht="15" customHeight="1"/>
    <row r="4463" ht="15" customHeight="1"/>
    <row r="4464" ht="15" customHeight="1"/>
    <row r="4465" ht="15" customHeight="1"/>
    <row r="4466" ht="15" customHeight="1"/>
    <row r="4467" ht="15" customHeight="1"/>
    <row r="4468" ht="15" customHeight="1"/>
    <row r="4469" ht="15" customHeight="1"/>
    <row r="4470" ht="15" customHeight="1"/>
    <row r="4471" ht="15" customHeight="1"/>
    <row r="4472" ht="15" customHeight="1"/>
    <row r="4473" ht="15" customHeight="1"/>
    <row r="4474" ht="15" customHeight="1"/>
    <row r="4475" ht="15" customHeight="1"/>
    <row r="4476" ht="15" customHeight="1"/>
    <row r="4477" ht="15" customHeight="1"/>
    <row r="4478" ht="15" customHeight="1"/>
    <row r="4479" ht="15" customHeight="1"/>
    <row r="4480" ht="15" customHeight="1"/>
    <row r="4481" ht="15" customHeight="1"/>
    <row r="4482" ht="15" customHeight="1"/>
    <row r="4483" ht="15" customHeight="1"/>
    <row r="4484" ht="15" customHeight="1"/>
    <row r="4485" ht="15" customHeight="1"/>
    <row r="4486" ht="15" customHeight="1"/>
    <row r="4487" ht="15" customHeight="1"/>
    <row r="4488" ht="15" customHeight="1"/>
    <row r="4489" ht="15" customHeight="1"/>
    <row r="4490" ht="15" customHeight="1"/>
    <row r="4491" ht="15" customHeight="1"/>
    <row r="4492" ht="15" customHeight="1"/>
    <row r="4493" ht="15" customHeight="1"/>
    <row r="4494" ht="15" customHeight="1"/>
    <row r="4495" ht="15" customHeight="1"/>
    <row r="4496" ht="15" customHeight="1"/>
    <row r="4497" ht="15" customHeight="1"/>
    <row r="4498" ht="15" customHeight="1"/>
    <row r="4499" ht="15" customHeight="1"/>
    <row r="4500" ht="15" customHeight="1"/>
    <row r="4501" ht="15" customHeight="1"/>
    <row r="4502" ht="15" customHeight="1"/>
    <row r="4503" ht="15" customHeight="1"/>
    <row r="4504" ht="15" customHeight="1"/>
    <row r="4505" ht="15" customHeight="1"/>
    <row r="4506" ht="15" customHeight="1"/>
    <row r="4507" ht="15" customHeight="1"/>
    <row r="4508" ht="15" customHeight="1"/>
    <row r="4509" ht="15" customHeight="1"/>
    <row r="4510" ht="15" customHeight="1"/>
    <row r="4511" ht="15" customHeight="1"/>
    <row r="4512" ht="15" customHeight="1"/>
    <row r="4513" ht="15" customHeight="1"/>
    <row r="4514" ht="15" customHeight="1"/>
    <row r="4515" ht="15" customHeight="1"/>
    <row r="4516" ht="15" customHeight="1"/>
    <row r="4517" ht="15" customHeight="1"/>
    <row r="4518" ht="15" customHeight="1"/>
    <row r="4519" ht="15" customHeight="1"/>
    <row r="4520" ht="15" customHeight="1"/>
    <row r="4521" ht="15" customHeight="1"/>
    <row r="4522" ht="15" customHeight="1"/>
    <row r="4523" ht="15" customHeight="1"/>
    <row r="4524" ht="15" customHeight="1"/>
    <row r="4525" ht="15" customHeight="1"/>
    <row r="4526" ht="15" customHeight="1"/>
    <row r="4527" ht="15" customHeight="1"/>
    <row r="4528" ht="15" customHeight="1"/>
    <row r="4529" ht="15" customHeight="1"/>
    <row r="4530" ht="15" customHeight="1"/>
    <row r="4531" ht="15" customHeight="1"/>
    <row r="4532" ht="15" customHeight="1"/>
    <row r="4533" ht="15" customHeight="1"/>
    <row r="4534" ht="15" customHeight="1"/>
    <row r="4535" ht="15" customHeight="1"/>
    <row r="4536" ht="15" customHeight="1"/>
    <row r="4537" ht="15" customHeight="1"/>
    <row r="4538" ht="15" customHeight="1"/>
    <row r="4539" ht="15" customHeight="1"/>
    <row r="4540" ht="15" customHeight="1"/>
    <row r="4541" ht="15" customHeight="1"/>
    <row r="4542" ht="15" customHeight="1"/>
    <row r="4543" ht="15" customHeight="1"/>
    <row r="4544" ht="15" customHeight="1"/>
    <row r="4545" ht="15" customHeight="1"/>
    <row r="4546" ht="15" customHeight="1"/>
    <row r="4547" ht="15" customHeight="1"/>
    <row r="4548" ht="15" customHeight="1"/>
    <row r="4549" ht="15" customHeight="1"/>
    <row r="4550" ht="15" customHeight="1"/>
    <row r="4551" ht="15" customHeight="1"/>
    <row r="4552" ht="15" customHeight="1"/>
    <row r="4553" ht="15" customHeight="1"/>
    <row r="4554" ht="15" customHeight="1"/>
    <row r="4555" ht="15" customHeight="1"/>
    <row r="4556" ht="15" customHeight="1"/>
    <row r="4557" ht="15" customHeight="1"/>
    <row r="4558" ht="15" customHeight="1"/>
    <row r="4559" ht="15" customHeight="1"/>
    <row r="4560" ht="15" customHeight="1"/>
    <row r="4561" ht="15" customHeight="1"/>
    <row r="4562" ht="15" customHeight="1"/>
    <row r="4563" ht="15" customHeight="1"/>
    <row r="4564" ht="15" customHeight="1"/>
    <row r="4565" ht="15" customHeight="1"/>
    <row r="4566" ht="15" customHeight="1"/>
    <row r="4567" ht="15" customHeight="1"/>
    <row r="4568" ht="15" customHeight="1"/>
    <row r="4569" ht="15" customHeight="1"/>
    <row r="4570" ht="15" customHeight="1"/>
    <row r="4571" ht="15" customHeight="1"/>
    <row r="4572" ht="15" customHeight="1"/>
    <row r="4573" ht="15" customHeight="1"/>
    <row r="4574" ht="15" customHeight="1"/>
    <row r="4575" ht="15" customHeight="1"/>
    <row r="4576" ht="15" customHeight="1"/>
    <row r="4577" ht="15" customHeight="1"/>
    <row r="4578" ht="15" customHeight="1"/>
    <row r="4579" ht="15" customHeight="1"/>
    <row r="4580" ht="15" customHeight="1"/>
    <row r="4581" ht="15" customHeight="1"/>
    <row r="4582" ht="15" customHeight="1"/>
    <row r="4583" ht="15" customHeight="1"/>
    <row r="4584" ht="15" customHeight="1"/>
    <row r="4585" ht="15" customHeight="1"/>
    <row r="4586" ht="15" customHeight="1"/>
    <row r="4587" ht="15" customHeight="1"/>
    <row r="4588" ht="15" customHeight="1"/>
    <row r="4589" ht="15" customHeight="1"/>
    <row r="4590" ht="15" customHeight="1"/>
    <row r="4591" ht="15" customHeight="1"/>
    <row r="4592" ht="15" customHeight="1"/>
    <row r="4593" ht="15" customHeight="1"/>
    <row r="4594" ht="15" customHeight="1"/>
    <row r="4595" ht="15" customHeight="1"/>
    <row r="4596" ht="15" customHeight="1"/>
    <row r="4597" ht="15" customHeight="1"/>
    <row r="4598" ht="15" customHeight="1"/>
    <row r="4599" ht="15" customHeight="1"/>
    <row r="4600" ht="15" customHeight="1"/>
    <row r="4601" ht="15" customHeight="1"/>
    <row r="4602" ht="15" customHeight="1"/>
    <row r="4603" ht="15" customHeight="1"/>
    <row r="4604" ht="15" customHeight="1"/>
    <row r="4605" ht="15" customHeight="1"/>
    <row r="4606" ht="15" customHeight="1"/>
    <row r="4607" ht="15" customHeight="1"/>
    <row r="4608" ht="15" customHeight="1"/>
    <row r="4609" ht="15" customHeight="1"/>
    <row r="4610" ht="15" customHeight="1"/>
    <row r="4611" ht="15" customHeight="1"/>
    <row r="4612" ht="15" customHeight="1"/>
    <row r="4613" ht="15" customHeight="1"/>
    <row r="4614" ht="15" customHeight="1"/>
    <row r="4615" ht="15" customHeight="1"/>
    <row r="4616" ht="15" customHeight="1"/>
    <row r="4617" ht="15" customHeight="1"/>
    <row r="4618" ht="15" customHeight="1"/>
    <row r="4619" ht="15" customHeight="1"/>
    <row r="4620" ht="15" customHeight="1"/>
    <row r="4621" ht="15" customHeight="1"/>
    <row r="4622" ht="15" customHeight="1"/>
    <row r="4623" ht="15" customHeight="1"/>
    <row r="4624" ht="15" customHeight="1"/>
    <row r="4625" ht="15" customHeight="1"/>
    <row r="4626" ht="15" customHeight="1"/>
    <row r="4627" ht="15" customHeight="1"/>
    <row r="4628" ht="15" customHeight="1"/>
    <row r="4629" ht="15" customHeight="1"/>
    <row r="4630" ht="15" customHeight="1"/>
    <row r="4631" ht="15" customHeight="1"/>
    <row r="4632" ht="15" customHeight="1"/>
    <row r="4633" ht="15" customHeight="1"/>
    <row r="4634" ht="15" customHeight="1"/>
    <row r="4635" ht="15" customHeight="1"/>
    <row r="4636" ht="15" customHeight="1"/>
    <row r="4637" ht="15" customHeight="1"/>
    <row r="4638" ht="15" customHeight="1"/>
    <row r="4639" ht="15" customHeight="1"/>
    <row r="4640" ht="15" customHeight="1"/>
    <row r="4641" ht="15" customHeight="1"/>
    <row r="4642" ht="15" customHeight="1"/>
    <row r="4643" ht="15" customHeight="1"/>
    <row r="4644" ht="15" customHeight="1"/>
    <row r="4645" ht="15" customHeight="1"/>
    <row r="4646" ht="15" customHeight="1"/>
    <row r="4647" ht="15" customHeight="1"/>
    <row r="4648" ht="15" customHeight="1"/>
    <row r="4649" ht="15" customHeight="1"/>
    <row r="4650" ht="15" customHeight="1"/>
    <row r="4651" ht="15" customHeight="1"/>
    <row r="4652" ht="15" customHeight="1"/>
    <row r="4653" ht="15" customHeight="1"/>
    <row r="4654" ht="15" customHeight="1"/>
    <row r="4655" ht="15" customHeight="1"/>
    <row r="4656" ht="15" customHeight="1"/>
    <row r="4657" ht="15" customHeight="1"/>
    <row r="4658" ht="15" customHeight="1"/>
    <row r="4659" ht="15" customHeight="1"/>
    <row r="4660" ht="15" customHeight="1"/>
    <row r="4661" ht="15" customHeight="1"/>
    <row r="4662" ht="15" customHeight="1"/>
    <row r="4663" ht="15" customHeight="1"/>
    <row r="4664" ht="15" customHeight="1"/>
    <row r="4665" ht="15" customHeight="1"/>
    <row r="4666" ht="15" customHeight="1"/>
    <row r="4667" ht="15" customHeight="1"/>
    <row r="4668" ht="15" customHeight="1"/>
    <row r="4669" ht="15" customHeight="1"/>
    <row r="4670" ht="15" customHeight="1"/>
    <row r="4671" ht="15" customHeight="1"/>
    <row r="4672" ht="15" customHeight="1"/>
    <row r="4673" ht="15" customHeight="1"/>
    <row r="4674" ht="15" customHeight="1"/>
    <row r="4675" ht="15" customHeight="1"/>
    <row r="4676" ht="15" customHeight="1"/>
    <row r="4677" ht="15" customHeight="1"/>
    <row r="4678" ht="15" customHeight="1"/>
    <row r="4679" ht="15" customHeight="1"/>
    <row r="4680" ht="15" customHeight="1"/>
    <row r="4681" ht="15" customHeight="1"/>
    <row r="4682" ht="15" customHeight="1"/>
    <row r="4683" ht="15" customHeight="1"/>
    <row r="4684" ht="15" customHeight="1"/>
    <row r="4685" ht="15" customHeight="1"/>
    <row r="4686" ht="15" customHeight="1"/>
    <row r="4687" ht="15" customHeight="1"/>
    <row r="4688" ht="15" customHeight="1"/>
    <row r="4689" ht="15" customHeight="1"/>
    <row r="4690" ht="15" customHeight="1"/>
    <row r="4691" ht="15" customHeight="1"/>
    <row r="4692" ht="15" customHeight="1"/>
    <row r="4693" ht="15" customHeight="1"/>
    <row r="4694" ht="15" customHeight="1"/>
    <row r="4695" ht="15" customHeight="1"/>
    <row r="4696" ht="15" customHeight="1"/>
    <row r="4697" ht="15" customHeight="1"/>
    <row r="4698" ht="15" customHeight="1"/>
    <row r="4699" ht="15" customHeight="1"/>
    <row r="4700" ht="15" customHeight="1"/>
    <row r="4701" ht="15" customHeight="1"/>
    <row r="4702" ht="15" customHeight="1"/>
    <row r="4703" ht="15" customHeight="1"/>
    <row r="4704" ht="15" customHeight="1"/>
    <row r="4705" ht="15" customHeight="1"/>
    <row r="4706" ht="15" customHeight="1"/>
    <row r="4707" ht="15" customHeight="1"/>
    <row r="4708" ht="15" customHeight="1"/>
    <row r="4709" ht="15" customHeight="1"/>
    <row r="4710" ht="15" customHeight="1"/>
    <row r="4711" ht="15" customHeight="1"/>
    <row r="4712" ht="15" customHeight="1"/>
    <row r="4713" ht="15" customHeight="1"/>
    <row r="4714" ht="15" customHeight="1"/>
    <row r="4715" ht="15" customHeight="1"/>
    <row r="4716" ht="15" customHeight="1"/>
    <row r="4717" ht="15" customHeight="1"/>
    <row r="4718" ht="15" customHeight="1"/>
    <row r="4719" ht="15" customHeight="1"/>
    <row r="4720" ht="15" customHeight="1"/>
    <row r="4721" ht="15" customHeight="1"/>
    <row r="4722" ht="15" customHeight="1"/>
    <row r="4723" ht="15" customHeight="1"/>
    <row r="4724" ht="15" customHeight="1"/>
    <row r="4725" ht="15" customHeight="1"/>
    <row r="4726" ht="15" customHeight="1"/>
    <row r="4727" ht="15" customHeight="1"/>
    <row r="4728" ht="15" customHeight="1"/>
    <row r="4729" ht="15" customHeight="1"/>
    <row r="4730" ht="15" customHeight="1"/>
    <row r="4731" ht="15" customHeight="1"/>
    <row r="4732" ht="15" customHeight="1"/>
    <row r="4733" ht="15" customHeight="1"/>
    <row r="4734" ht="15" customHeight="1"/>
    <row r="4735" ht="15" customHeight="1"/>
    <row r="4736" ht="15" customHeight="1"/>
    <row r="4737" ht="15" customHeight="1"/>
    <row r="4738" ht="15" customHeight="1"/>
    <row r="4739" ht="15" customHeight="1"/>
    <row r="4740" ht="15" customHeight="1"/>
    <row r="4741" ht="15" customHeight="1"/>
    <row r="4742" ht="15" customHeight="1"/>
    <row r="4743" ht="15" customHeight="1"/>
    <row r="4744" ht="15" customHeight="1"/>
    <row r="4745" ht="15" customHeight="1"/>
    <row r="4746" ht="15" customHeight="1"/>
    <row r="4747" ht="15" customHeight="1"/>
    <row r="4748" ht="15" customHeight="1"/>
    <row r="4749" ht="15" customHeight="1"/>
    <row r="4750" ht="15" customHeight="1"/>
    <row r="4751" ht="15" customHeight="1"/>
    <row r="4752" ht="15" customHeight="1"/>
    <row r="4753" ht="15" customHeight="1"/>
    <row r="4754" ht="15" customHeight="1"/>
    <row r="4755" ht="15" customHeight="1"/>
    <row r="4756" ht="15" customHeight="1"/>
    <row r="4757" ht="15" customHeight="1"/>
    <row r="4758" ht="15" customHeight="1"/>
    <row r="4759" ht="15" customHeight="1"/>
    <row r="4760" ht="15" customHeight="1"/>
    <row r="4761" ht="15" customHeight="1"/>
    <row r="4762" ht="15" customHeight="1"/>
    <row r="4763" ht="15" customHeight="1"/>
    <row r="4764" ht="15" customHeight="1"/>
    <row r="4765" ht="15" customHeight="1"/>
    <row r="4766" ht="15" customHeight="1"/>
    <row r="4767" ht="15" customHeight="1"/>
    <row r="4768" ht="15" customHeight="1"/>
    <row r="4769" ht="15" customHeight="1"/>
    <row r="4770" ht="15" customHeight="1"/>
    <row r="4771" ht="15" customHeight="1"/>
    <row r="4772" ht="15" customHeight="1"/>
    <row r="4773" ht="15" customHeight="1"/>
    <row r="4774" ht="15" customHeight="1"/>
    <row r="4775" ht="15" customHeight="1"/>
    <row r="4776" ht="15" customHeight="1"/>
    <row r="4777" ht="15" customHeight="1"/>
    <row r="4778" ht="15" customHeight="1"/>
    <row r="4779" ht="15" customHeight="1"/>
    <row r="4780" ht="15" customHeight="1"/>
    <row r="4781" ht="15" customHeight="1"/>
    <row r="4782" ht="15" customHeight="1"/>
    <row r="4783" ht="15" customHeight="1"/>
    <row r="4784" ht="15" customHeight="1"/>
    <row r="4785" ht="15" customHeight="1"/>
    <row r="4786" ht="15" customHeight="1"/>
    <row r="4787" ht="15" customHeight="1"/>
    <row r="4788" ht="15" customHeight="1"/>
    <row r="4789" ht="15" customHeight="1"/>
    <row r="4790" ht="15" customHeight="1"/>
    <row r="4791" ht="15" customHeight="1"/>
    <row r="4792" ht="15" customHeight="1"/>
    <row r="4793" ht="15" customHeight="1"/>
    <row r="4794" ht="15" customHeight="1"/>
    <row r="4795" ht="15" customHeight="1"/>
    <row r="4796" ht="15" customHeight="1"/>
    <row r="4797" ht="15" customHeight="1"/>
    <row r="4798" ht="15" customHeight="1"/>
    <row r="4799" ht="15" customHeight="1"/>
    <row r="4800" ht="15" customHeight="1"/>
    <row r="4801" ht="15" customHeight="1"/>
    <row r="4802" ht="15" customHeight="1"/>
    <row r="4803" ht="15" customHeight="1"/>
    <row r="4804" ht="15" customHeight="1"/>
    <row r="4805" ht="15" customHeight="1"/>
    <row r="4806" ht="15" customHeight="1"/>
    <row r="4807" ht="15" customHeight="1"/>
    <row r="4808" ht="15" customHeight="1"/>
    <row r="4809" ht="15" customHeight="1"/>
    <row r="4810" ht="15" customHeight="1"/>
    <row r="4811" ht="15" customHeight="1"/>
    <row r="4812" ht="15" customHeight="1"/>
    <row r="4813" ht="15" customHeight="1"/>
    <row r="4814" ht="15" customHeight="1"/>
    <row r="4815" ht="15" customHeight="1"/>
    <row r="4816" ht="15" customHeight="1"/>
    <row r="4817" ht="15" customHeight="1"/>
    <row r="4818" ht="15" customHeight="1"/>
    <row r="4819" ht="15" customHeight="1"/>
    <row r="4820" ht="15" customHeight="1"/>
    <row r="4821" ht="15" customHeight="1"/>
    <row r="4822" ht="15" customHeight="1"/>
    <row r="4823" ht="15" customHeight="1"/>
    <row r="4824" ht="15" customHeight="1"/>
    <row r="4825" ht="15" customHeight="1"/>
    <row r="4826" ht="15" customHeight="1"/>
    <row r="4827" ht="15" customHeight="1"/>
    <row r="4828" ht="15" customHeight="1"/>
    <row r="4829" ht="15" customHeight="1"/>
    <row r="4830" ht="15" customHeight="1"/>
    <row r="4831" ht="15" customHeight="1"/>
    <row r="4832" ht="15" customHeight="1"/>
    <row r="4833" ht="15" customHeight="1"/>
    <row r="4834" ht="15" customHeight="1"/>
    <row r="4835" ht="15" customHeight="1"/>
    <row r="4836" ht="15" customHeight="1"/>
    <row r="4837" ht="15" customHeight="1"/>
    <row r="4838" ht="15" customHeight="1"/>
    <row r="4839" ht="15" customHeight="1"/>
    <row r="4840" ht="15" customHeight="1"/>
    <row r="4841" ht="15" customHeight="1"/>
    <row r="4842" ht="15" customHeight="1"/>
    <row r="4843" ht="15" customHeight="1"/>
    <row r="4844" ht="15" customHeight="1"/>
    <row r="4845" ht="15" customHeight="1"/>
    <row r="4846" ht="15" customHeight="1"/>
    <row r="4847" ht="15" customHeight="1"/>
    <row r="4848" ht="15" customHeight="1"/>
    <row r="4849" ht="15" customHeight="1"/>
    <row r="4850" ht="15" customHeight="1"/>
    <row r="4851" ht="15" customHeight="1"/>
    <row r="4852" ht="15" customHeight="1"/>
    <row r="4853" ht="15" customHeight="1"/>
    <row r="4854" ht="15" customHeight="1"/>
    <row r="4855" ht="15" customHeight="1"/>
    <row r="4856" ht="15" customHeight="1"/>
    <row r="4857" ht="15" customHeight="1"/>
    <row r="4858" ht="15" customHeight="1"/>
    <row r="4859" ht="15" customHeight="1"/>
    <row r="4860" ht="15" customHeight="1"/>
    <row r="4861" ht="15" customHeight="1"/>
    <row r="4862" ht="15" customHeight="1"/>
    <row r="4863" ht="15" customHeight="1"/>
    <row r="4864" ht="15" customHeight="1"/>
    <row r="4865" ht="15" customHeight="1"/>
    <row r="4866" ht="15" customHeight="1"/>
    <row r="4867" ht="15" customHeight="1"/>
    <row r="4868" ht="15" customHeight="1"/>
    <row r="4869" ht="15" customHeight="1"/>
    <row r="4870" ht="15" customHeight="1"/>
    <row r="4871" ht="15" customHeight="1"/>
    <row r="4872" ht="15" customHeight="1"/>
    <row r="4873" ht="15" customHeight="1"/>
    <row r="4874" ht="15" customHeight="1"/>
    <row r="4875" ht="15" customHeight="1"/>
    <row r="4876" ht="15" customHeight="1"/>
    <row r="4877" ht="15" customHeight="1"/>
    <row r="4878" ht="15" customHeight="1"/>
    <row r="4879" ht="15" customHeight="1"/>
    <row r="4880" ht="15" customHeight="1"/>
    <row r="4881" ht="15" customHeight="1"/>
    <row r="4882" ht="15" customHeight="1"/>
    <row r="4883" ht="15" customHeight="1"/>
    <row r="4884" ht="15" customHeight="1"/>
    <row r="4885" ht="15" customHeight="1"/>
    <row r="4886" ht="15" customHeight="1"/>
    <row r="4887" ht="15" customHeight="1"/>
    <row r="4888" ht="15" customHeight="1"/>
    <row r="4889" ht="15" customHeight="1"/>
    <row r="4890" ht="15" customHeight="1"/>
    <row r="4891" ht="15" customHeight="1"/>
    <row r="4892" ht="15" customHeight="1"/>
    <row r="4893" ht="15" customHeight="1"/>
    <row r="4894" ht="15" customHeight="1"/>
    <row r="4895" ht="15" customHeight="1"/>
    <row r="4896" ht="15" customHeight="1"/>
    <row r="4897" ht="15" customHeight="1"/>
    <row r="4898" ht="15" customHeight="1"/>
    <row r="4899" ht="15" customHeight="1"/>
    <row r="4900" ht="15" customHeight="1"/>
    <row r="4901" ht="15" customHeight="1"/>
    <row r="4902" ht="15" customHeight="1"/>
    <row r="4903" ht="15" customHeight="1"/>
    <row r="4904" ht="15" customHeight="1"/>
    <row r="4905" ht="15" customHeight="1"/>
    <row r="4906" ht="15" customHeight="1"/>
    <row r="4907" ht="15" customHeight="1"/>
    <row r="4908" ht="15" customHeight="1"/>
    <row r="4909" ht="15" customHeight="1"/>
    <row r="4910" ht="15" customHeight="1"/>
    <row r="4911" ht="15" customHeight="1"/>
    <row r="4912" ht="15" customHeight="1"/>
    <row r="4913" ht="15" customHeight="1"/>
    <row r="4914" ht="15" customHeight="1"/>
    <row r="4915" ht="15" customHeight="1"/>
    <row r="4916" ht="15" customHeight="1"/>
    <row r="4917" ht="15" customHeight="1"/>
    <row r="4918" ht="15" customHeight="1"/>
    <row r="4919" ht="15" customHeight="1"/>
    <row r="4920" ht="15" customHeight="1"/>
    <row r="4921" ht="15" customHeight="1"/>
    <row r="4922" ht="15" customHeight="1"/>
    <row r="4923" ht="15" customHeight="1"/>
    <row r="4924" ht="15" customHeight="1"/>
    <row r="4925" ht="15" customHeight="1"/>
    <row r="4926" ht="15" customHeight="1"/>
    <row r="4927" ht="15" customHeight="1"/>
    <row r="4928" ht="15" customHeight="1"/>
    <row r="4929" ht="15" customHeight="1"/>
    <row r="4930" ht="15" customHeight="1"/>
    <row r="4931" ht="15" customHeight="1"/>
    <row r="4932" ht="15" customHeight="1"/>
    <row r="4933" ht="15" customHeight="1"/>
    <row r="4934" ht="15" customHeight="1"/>
    <row r="4935" ht="15" customHeight="1"/>
    <row r="4936" ht="15" customHeight="1"/>
    <row r="4937" ht="15" customHeight="1"/>
    <row r="4938" ht="15" customHeight="1"/>
    <row r="4939" ht="15" customHeight="1"/>
    <row r="4940" ht="15" customHeight="1"/>
    <row r="4941" ht="15" customHeight="1"/>
    <row r="4942" ht="15" customHeight="1"/>
    <row r="4943" ht="15" customHeight="1"/>
    <row r="4944" ht="15" customHeight="1"/>
    <row r="4945" ht="15" customHeight="1"/>
    <row r="4946" ht="15" customHeight="1"/>
    <row r="4947" ht="15" customHeight="1"/>
    <row r="4948" ht="15" customHeight="1"/>
    <row r="4949" ht="15" customHeight="1"/>
    <row r="4950" ht="15" customHeight="1"/>
    <row r="4951" ht="15" customHeight="1"/>
    <row r="4952" ht="15" customHeight="1"/>
    <row r="4953" ht="15" customHeight="1"/>
    <row r="4954" ht="15" customHeight="1"/>
    <row r="4955" ht="15" customHeight="1"/>
    <row r="4956" ht="15" customHeight="1"/>
    <row r="4957" ht="15" customHeight="1"/>
    <row r="4958" ht="15" customHeight="1"/>
    <row r="4959" ht="15" customHeight="1"/>
    <row r="4960" ht="15" customHeight="1"/>
    <row r="4961" ht="15" customHeight="1"/>
    <row r="4962" ht="15" customHeight="1"/>
    <row r="4963" ht="15" customHeight="1"/>
    <row r="4964" ht="15" customHeight="1"/>
    <row r="4965" ht="15" customHeight="1"/>
    <row r="4966" ht="15" customHeight="1"/>
    <row r="4967" ht="15" customHeight="1"/>
    <row r="4968" ht="15" customHeight="1"/>
    <row r="4969" ht="15" customHeight="1"/>
    <row r="4970" ht="15" customHeight="1"/>
    <row r="4971" ht="15" customHeight="1"/>
    <row r="4972" ht="15" customHeight="1"/>
    <row r="4973" ht="15" customHeight="1"/>
    <row r="4974" ht="15" customHeight="1"/>
    <row r="4975" ht="15" customHeight="1"/>
    <row r="4976" ht="15" customHeight="1"/>
    <row r="4977" ht="15" customHeight="1"/>
    <row r="4978" ht="15" customHeight="1"/>
    <row r="4979" ht="15" customHeight="1"/>
    <row r="4980" ht="15" customHeight="1"/>
    <row r="4981" ht="15" customHeight="1"/>
    <row r="4982" ht="15" customHeight="1"/>
    <row r="4983" ht="15" customHeight="1"/>
    <row r="4984" ht="15" customHeight="1"/>
    <row r="4985" ht="15" customHeight="1"/>
    <row r="4986" ht="15" customHeight="1"/>
    <row r="4987" ht="15" customHeight="1"/>
    <row r="4988" ht="15" customHeight="1"/>
    <row r="4989" ht="15" customHeight="1"/>
    <row r="4990" ht="15" customHeight="1"/>
    <row r="4991" ht="15" customHeight="1"/>
    <row r="4992" ht="15" customHeight="1"/>
    <row r="4993" ht="15" customHeight="1"/>
    <row r="4994" ht="15" customHeight="1"/>
    <row r="4995" ht="15" customHeight="1"/>
    <row r="4996" ht="15" customHeight="1"/>
    <row r="4997" ht="15" customHeight="1"/>
    <row r="4998" ht="15" customHeight="1"/>
    <row r="4999" ht="15" customHeight="1"/>
    <row r="5000" ht="15" customHeight="1"/>
    <row r="5001" ht="15" customHeight="1"/>
    <row r="5002" ht="15" customHeight="1"/>
    <row r="5003" ht="15" customHeight="1"/>
    <row r="5004" ht="15" customHeight="1"/>
    <row r="5005" ht="15" customHeight="1"/>
    <row r="5006" ht="15" customHeight="1"/>
    <row r="5007" ht="15" customHeight="1"/>
    <row r="5008" ht="15" customHeight="1"/>
    <row r="5009" ht="15" customHeight="1"/>
    <row r="5010" ht="15" customHeight="1"/>
    <row r="5011" ht="15" customHeight="1"/>
    <row r="5012" ht="15" customHeight="1"/>
    <row r="5013" ht="15" customHeight="1"/>
    <row r="5014" ht="15" customHeight="1"/>
    <row r="5015" ht="15" customHeight="1"/>
    <row r="5016" ht="15" customHeight="1"/>
    <row r="5017" ht="15" customHeight="1"/>
    <row r="5018" ht="15" customHeight="1"/>
    <row r="5019" ht="15" customHeight="1"/>
    <row r="5020" ht="15" customHeight="1"/>
    <row r="5021" ht="15" customHeight="1"/>
    <row r="5022" ht="15" customHeight="1"/>
    <row r="5023" ht="15" customHeight="1"/>
    <row r="5024" ht="15" customHeight="1"/>
    <row r="5025" ht="15" customHeight="1"/>
    <row r="5026" ht="15" customHeight="1"/>
    <row r="5027" ht="15" customHeight="1"/>
    <row r="5028" ht="15" customHeight="1"/>
    <row r="5029" ht="15" customHeight="1"/>
    <row r="5030" ht="15" customHeight="1"/>
    <row r="5031" ht="15" customHeight="1"/>
    <row r="5032" ht="15" customHeight="1"/>
    <row r="5033" ht="15" customHeight="1"/>
    <row r="5034" ht="15" customHeight="1"/>
    <row r="5035" ht="15" customHeight="1"/>
    <row r="5036" ht="15" customHeight="1"/>
    <row r="5037" ht="15" customHeight="1"/>
    <row r="5038" ht="15" customHeight="1"/>
    <row r="5039" ht="15" customHeight="1"/>
    <row r="5040" ht="15" customHeight="1"/>
    <row r="5041" ht="15" customHeight="1"/>
    <row r="5042" ht="15" customHeight="1"/>
    <row r="5043" ht="15" customHeight="1"/>
    <row r="5044" ht="15" customHeight="1"/>
    <row r="5045" ht="15" customHeight="1"/>
    <row r="5046" ht="15" customHeight="1"/>
    <row r="5047" ht="15" customHeight="1"/>
    <row r="5048" ht="15" customHeight="1"/>
    <row r="5049" ht="15" customHeight="1"/>
    <row r="5050" ht="15" customHeight="1"/>
    <row r="5051" ht="15" customHeight="1"/>
    <row r="5052" ht="15" customHeight="1"/>
    <row r="5053" ht="15" customHeight="1"/>
    <row r="5054" ht="15" customHeight="1"/>
    <row r="5055" ht="15" customHeight="1"/>
    <row r="5056" ht="15" customHeight="1"/>
    <row r="5057" ht="15" customHeight="1"/>
    <row r="5058" ht="15" customHeight="1"/>
    <row r="5059" ht="15" customHeight="1"/>
    <row r="5060" ht="15" customHeight="1"/>
    <row r="5061" ht="15" customHeight="1"/>
    <row r="5062" ht="15" customHeight="1"/>
    <row r="5063" ht="15" customHeight="1"/>
    <row r="5064" ht="15" customHeight="1"/>
    <row r="5065" ht="15" customHeight="1"/>
    <row r="5066" ht="15" customHeight="1"/>
    <row r="5067" ht="15" customHeight="1"/>
    <row r="5068" ht="15" customHeight="1"/>
    <row r="5069" ht="15" customHeight="1"/>
    <row r="5070" ht="15" customHeight="1"/>
    <row r="5071" ht="15" customHeight="1"/>
    <row r="5072" ht="15" customHeight="1"/>
    <row r="5073" ht="15" customHeight="1"/>
    <row r="5074" ht="15" customHeight="1"/>
    <row r="5075" ht="15" customHeight="1"/>
    <row r="5076" ht="15" customHeight="1"/>
    <row r="5077" ht="15" customHeight="1"/>
    <row r="5078" ht="15" customHeight="1"/>
    <row r="5079" ht="15" customHeight="1"/>
    <row r="5080" ht="15" customHeight="1"/>
    <row r="5081" ht="15" customHeight="1"/>
    <row r="5082" ht="15" customHeight="1"/>
    <row r="5083" ht="15" customHeight="1"/>
    <row r="5084" ht="15" customHeight="1"/>
    <row r="5085" ht="15" customHeight="1"/>
    <row r="5086" ht="15" customHeight="1"/>
    <row r="5087" ht="15" customHeight="1"/>
    <row r="5088" ht="15" customHeight="1"/>
    <row r="5089" ht="15" customHeight="1"/>
    <row r="5090" ht="15" customHeight="1"/>
    <row r="5091" ht="15" customHeight="1"/>
    <row r="5092" ht="15" customHeight="1"/>
    <row r="5093" ht="15" customHeight="1"/>
    <row r="5094" ht="15" customHeight="1"/>
    <row r="5095" ht="15" customHeight="1"/>
    <row r="5096" ht="15" customHeight="1"/>
    <row r="5097" ht="15" customHeight="1"/>
    <row r="5098" ht="15" customHeight="1"/>
    <row r="5099" ht="15" customHeight="1"/>
    <row r="5100" ht="15" customHeight="1"/>
    <row r="5101" ht="15" customHeight="1"/>
    <row r="5102" ht="15" customHeight="1"/>
    <row r="5103" ht="15" customHeight="1"/>
    <row r="5104" ht="15" customHeight="1"/>
    <row r="5105" ht="15" customHeight="1"/>
    <row r="5106" ht="15" customHeight="1"/>
    <row r="5107" ht="15" customHeight="1"/>
    <row r="5108" ht="15" customHeight="1"/>
    <row r="5109" ht="15" customHeight="1"/>
    <row r="5110" ht="15" customHeight="1"/>
    <row r="5111" ht="15" customHeight="1"/>
    <row r="5112" ht="15" customHeight="1"/>
    <row r="5113" ht="15" customHeight="1"/>
    <row r="5114" ht="15" customHeight="1"/>
    <row r="5115" ht="15" customHeight="1"/>
    <row r="5116" ht="15" customHeight="1"/>
    <row r="5117" ht="15" customHeight="1"/>
    <row r="5118" ht="15" customHeight="1"/>
    <row r="5119" ht="15" customHeight="1"/>
    <row r="5120" ht="15" customHeight="1"/>
    <row r="5121" ht="15" customHeight="1"/>
    <row r="5122" ht="15" customHeight="1"/>
    <row r="5123" ht="15" customHeight="1"/>
    <row r="5124" ht="15" customHeight="1"/>
    <row r="5125" ht="15" customHeight="1"/>
    <row r="5126" ht="15" customHeight="1"/>
    <row r="5127" ht="15" customHeight="1"/>
    <row r="5128" ht="15" customHeight="1"/>
    <row r="5129" ht="15" customHeight="1"/>
    <row r="5130" ht="15" customHeight="1"/>
    <row r="5131" ht="15" customHeight="1"/>
    <row r="5132" ht="15" customHeight="1"/>
    <row r="5133" ht="15" customHeight="1"/>
    <row r="5134" ht="15" customHeight="1"/>
    <row r="5135" ht="15" customHeight="1"/>
    <row r="5136" ht="15" customHeight="1"/>
    <row r="5137" ht="15" customHeight="1"/>
    <row r="5138" ht="15" customHeight="1"/>
    <row r="5139" ht="15" customHeight="1"/>
    <row r="5140" ht="15" customHeight="1"/>
    <row r="5141" ht="15" customHeight="1"/>
    <row r="5142" ht="15" customHeight="1"/>
    <row r="5143" ht="15" customHeight="1"/>
    <row r="5144" ht="15" customHeight="1"/>
    <row r="5145" ht="15" customHeight="1"/>
    <row r="5146" ht="15" customHeight="1"/>
    <row r="5147" ht="15" customHeight="1"/>
    <row r="5148" ht="15" customHeight="1"/>
    <row r="5149" ht="15" customHeight="1"/>
    <row r="5150" ht="15" customHeight="1"/>
    <row r="5151" ht="15" customHeight="1"/>
    <row r="5152" ht="15" customHeight="1"/>
    <row r="5153" ht="15" customHeight="1"/>
    <row r="5154" ht="15" customHeight="1"/>
    <row r="5155" ht="15" customHeight="1"/>
    <row r="5156" ht="15" customHeight="1"/>
    <row r="5157" ht="15" customHeight="1"/>
    <row r="5158" ht="15" customHeight="1"/>
    <row r="5159" ht="15" customHeight="1"/>
    <row r="5160" ht="15" customHeight="1"/>
    <row r="5161" ht="15" customHeight="1"/>
    <row r="5162" ht="15" customHeight="1"/>
    <row r="5163" ht="15" customHeight="1"/>
    <row r="5164" ht="15" customHeight="1"/>
    <row r="5165" ht="15" customHeight="1"/>
    <row r="5166" ht="15" customHeight="1"/>
    <row r="5167" ht="15" customHeight="1"/>
    <row r="5168" ht="15" customHeight="1"/>
    <row r="5169" ht="15" customHeight="1"/>
    <row r="5170" ht="15" customHeight="1"/>
    <row r="5171" ht="15" customHeight="1"/>
    <row r="5172" ht="15" customHeight="1"/>
    <row r="5173" ht="15" customHeight="1"/>
    <row r="5174" ht="15" customHeight="1"/>
    <row r="5175" ht="15" customHeight="1"/>
    <row r="5176" ht="15" customHeight="1"/>
    <row r="5177" ht="15" customHeight="1"/>
    <row r="5178" ht="15" customHeight="1"/>
    <row r="5179" ht="15" customHeight="1"/>
    <row r="5180" ht="15" customHeight="1"/>
    <row r="5181" ht="15" customHeight="1"/>
    <row r="5182" ht="15" customHeight="1"/>
    <row r="5183" ht="15" customHeight="1"/>
    <row r="5184" ht="15" customHeight="1"/>
    <row r="5185" ht="15" customHeight="1"/>
    <row r="5186" ht="15" customHeight="1"/>
    <row r="5187" ht="15" customHeight="1"/>
    <row r="5188" ht="15" customHeight="1"/>
    <row r="5189" ht="15" customHeight="1"/>
    <row r="5190" ht="15" customHeight="1"/>
    <row r="5191" ht="15" customHeight="1"/>
    <row r="5192" ht="15" customHeight="1"/>
    <row r="5193" ht="15" customHeight="1"/>
    <row r="5194" ht="15" customHeight="1"/>
    <row r="5195" ht="15" customHeight="1"/>
    <row r="5196" ht="15" customHeight="1"/>
    <row r="5197" ht="15" customHeight="1"/>
    <row r="5198" ht="15" customHeight="1"/>
    <row r="5199" ht="15" customHeight="1"/>
    <row r="5200" ht="15" customHeight="1"/>
    <row r="5201" ht="15" customHeight="1"/>
    <row r="5202" ht="15" customHeight="1"/>
    <row r="5203" ht="15" customHeight="1"/>
    <row r="5204" ht="15" customHeight="1"/>
    <row r="5205" ht="15" customHeight="1"/>
    <row r="5206" ht="15" customHeight="1"/>
    <row r="5207" ht="15" customHeight="1"/>
    <row r="5208" ht="15" customHeight="1"/>
    <row r="5209" ht="15" customHeight="1"/>
    <row r="5210" ht="15" customHeight="1"/>
    <row r="5211" ht="15" customHeight="1"/>
    <row r="5212" ht="15" customHeight="1"/>
    <row r="5213" ht="15" customHeight="1"/>
    <row r="5214" ht="15" customHeight="1"/>
    <row r="5215" ht="15" customHeight="1"/>
    <row r="5216" ht="15" customHeight="1"/>
    <row r="5217" ht="15" customHeight="1"/>
    <row r="5218" ht="15" customHeight="1"/>
    <row r="5219" ht="15" customHeight="1"/>
    <row r="5220" ht="15" customHeight="1"/>
    <row r="5221" ht="15" customHeight="1"/>
    <row r="5222" ht="15" customHeight="1"/>
    <row r="5223" ht="15" customHeight="1"/>
    <row r="5224" ht="15" customHeight="1"/>
    <row r="5225" ht="15" customHeight="1"/>
    <row r="5226" ht="15" customHeight="1"/>
    <row r="5227" ht="15" customHeight="1"/>
    <row r="5228" ht="15" customHeight="1"/>
    <row r="5229" ht="15" customHeight="1"/>
    <row r="5230" ht="15" customHeight="1"/>
    <row r="5231" ht="15" customHeight="1"/>
    <row r="5232" ht="15" customHeight="1"/>
    <row r="5233" ht="15" customHeight="1"/>
    <row r="5234" ht="15" customHeight="1"/>
    <row r="5235" ht="15" customHeight="1"/>
    <row r="5236" ht="15" customHeight="1"/>
    <row r="5237" ht="15" customHeight="1"/>
    <row r="5238" ht="15" customHeight="1"/>
    <row r="5239" ht="15" customHeight="1"/>
    <row r="5240" ht="15" customHeight="1"/>
    <row r="5241" ht="15" customHeight="1"/>
    <row r="5242" ht="15" customHeight="1"/>
    <row r="5243" ht="15" customHeight="1"/>
    <row r="5244" ht="15" customHeight="1"/>
    <row r="5245" ht="15" customHeight="1"/>
    <row r="5246" ht="15" customHeight="1"/>
    <row r="5247" ht="15" customHeight="1"/>
    <row r="5248" ht="15" customHeight="1"/>
    <row r="5249" ht="15" customHeight="1"/>
    <row r="5250" ht="15" customHeight="1"/>
    <row r="5251" ht="15" customHeight="1"/>
    <row r="5252" ht="15" customHeight="1"/>
    <row r="5253" ht="15" customHeight="1"/>
    <row r="5254" ht="15" customHeight="1"/>
    <row r="5255" ht="15" customHeight="1"/>
    <row r="5256" ht="15" customHeight="1"/>
    <row r="5257" ht="15" customHeight="1"/>
    <row r="5258" ht="15" customHeight="1"/>
    <row r="5259" ht="15" customHeight="1"/>
    <row r="5260" ht="15" customHeight="1"/>
    <row r="5261" ht="15" customHeight="1"/>
    <row r="5262" ht="15" customHeight="1"/>
    <row r="5263" ht="15" customHeight="1"/>
    <row r="5264" ht="15" customHeight="1"/>
    <row r="5265" ht="15" customHeight="1"/>
    <row r="5266" ht="15" customHeight="1"/>
    <row r="5267" ht="15" customHeight="1"/>
    <row r="5268" ht="15" customHeight="1"/>
    <row r="5269" ht="15" customHeight="1"/>
    <row r="5270" ht="15" customHeight="1"/>
    <row r="5271" ht="15" customHeight="1"/>
    <row r="5272" ht="15" customHeight="1"/>
    <row r="5273" ht="15" customHeight="1"/>
    <row r="5274" ht="15" customHeight="1"/>
    <row r="5275" ht="15" customHeight="1"/>
    <row r="5276" ht="15" customHeight="1"/>
    <row r="5277" ht="15" customHeight="1"/>
    <row r="5278" ht="15" customHeight="1"/>
    <row r="5279" ht="15" customHeight="1"/>
    <row r="5280" ht="15" customHeight="1"/>
    <row r="5281" ht="15" customHeight="1"/>
    <row r="5282" ht="15" customHeight="1"/>
    <row r="5283" ht="15" customHeight="1"/>
    <row r="5284" ht="15" customHeight="1"/>
    <row r="5285" ht="15" customHeight="1"/>
    <row r="5286" ht="15" customHeight="1"/>
    <row r="5287" ht="15" customHeight="1"/>
    <row r="5288" ht="15" customHeight="1"/>
    <row r="5289" ht="15" customHeight="1"/>
    <row r="5290" ht="15" customHeight="1"/>
    <row r="5291" ht="15" customHeight="1"/>
    <row r="5292" ht="15" customHeight="1"/>
    <row r="5293" ht="15" customHeight="1"/>
    <row r="5294" ht="15" customHeight="1"/>
    <row r="5295" ht="15" customHeight="1"/>
    <row r="5296" ht="15" customHeight="1"/>
    <row r="5297" ht="15" customHeight="1"/>
    <row r="5298" ht="15" customHeight="1"/>
    <row r="5299" ht="15" customHeight="1"/>
    <row r="5300" ht="15" customHeight="1"/>
    <row r="5301" ht="15" customHeight="1"/>
    <row r="5302" ht="15" customHeight="1"/>
    <row r="5303" ht="15" customHeight="1"/>
    <row r="5304" ht="15" customHeight="1"/>
    <row r="5305" ht="15" customHeight="1"/>
    <row r="5306" ht="15" customHeight="1"/>
    <row r="5307" ht="15" customHeight="1"/>
    <row r="5308" ht="15" customHeight="1"/>
    <row r="5309" ht="15" customHeight="1"/>
    <row r="5310" ht="15" customHeight="1"/>
    <row r="5311" ht="15" customHeight="1"/>
    <row r="5312" ht="15" customHeight="1"/>
    <row r="5313" ht="15" customHeight="1"/>
    <row r="5314" ht="15" customHeight="1"/>
    <row r="5315" ht="15" customHeight="1"/>
    <row r="5316" ht="15" customHeight="1"/>
    <row r="5317" ht="15" customHeight="1"/>
    <row r="5318" ht="15" customHeight="1"/>
    <row r="5319" ht="15" customHeight="1"/>
    <row r="5320" ht="15" customHeight="1"/>
    <row r="5321" ht="15" customHeight="1"/>
    <row r="5322" ht="15" customHeight="1"/>
    <row r="5323" ht="15" customHeight="1"/>
    <row r="5324" ht="15" customHeight="1"/>
    <row r="5325" ht="15" customHeight="1"/>
    <row r="5326" ht="15" customHeight="1"/>
    <row r="5327" ht="15" customHeight="1"/>
    <row r="5328" ht="15" customHeight="1"/>
    <row r="5329" ht="15" customHeight="1"/>
    <row r="5330" ht="15" customHeight="1"/>
    <row r="5331" ht="15" customHeight="1"/>
    <row r="5332" ht="15" customHeight="1"/>
    <row r="5333" ht="15" customHeight="1"/>
    <row r="5334" ht="15" customHeight="1"/>
    <row r="5335" ht="15" customHeight="1"/>
    <row r="5336" ht="15" customHeight="1"/>
    <row r="5337" ht="15" customHeight="1"/>
    <row r="5338" ht="15" customHeight="1"/>
    <row r="5339" ht="15" customHeight="1"/>
    <row r="5340" ht="15" customHeight="1"/>
    <row r="5341" ht="15" customHeight="1"/>
    <row r="5342" ht="15" customHeight="1"/>
    <row r="5343" ht="15" customHeight="1"/>
    <row r="5344" ht="15" customHeight="1"/>
    <row r="5345" ht="15" customHeight="1"/>
    <row r="5346" ht="15" customHeight="1"/>
    <row r="5347" ht="15" customHeight="1"/>
    <row r="5348" ht="15" customHeight="1"/>
    <row r="5349" ht="15" customHeight="1"/>
    <row r="5350" ht="15" customHeight="1"/>
    <row r="5351" ht="15" customHeight="1"/>
    <row r="5352" ht="15" customHeight="1"/>
    <row r="5353" ht="15" customHeight="1"/>
    <row r="5354" ht="15" customHeight="1"/>
    <row r="5355" ht="15" customHeight="1"/>
    <row r="5356" ht="15" customHeight="1"/>
    <row r="5357" ht="15" customHeight="1"/>
    <row r="5358" ht="15" customHeight="1"/>
    <row r="5359" ht="15" customHeight="1"/>
    <row r="5360" ht="15" customHeight="1"/>
    <row r="5361" ht="15" customHeight="1"/>
    <row r="5362" ht="15" customHeight="1"/>
    <row r="5363" ht="15" customHeight="1"/>
    <row r="5364" ht="15" customHeight="1"/>
    <row r="5365" ht="15" customHeight="1"/>
    <row r="5366" ht="15" customHeight="1"/>
    <row r="5367" ht="15" customHeight="1"/>
    <row r="5368" ht="15" customHeight="1"/>
    <row r="5369" ht="15" customHeight="1"/>
    <row r="5370" ht="15" customHeight="1"/>
    <row r="5371" ht="15" customHeight="1"/>
    <row r="5372" ht="15" customHeight="1"/>
    <row r="5373" ht="15" customHeight="1"/>
    <row r="5374" ht="15" customHeight="1"/>
    <row r="5375" ht="15" customHeight="1"/>
    <row r="5376" ht="15" customHeight="1"/>
    <row r="5377" ht="15" customHeight="1"/>
    <row r="5378" ht="15" customHeight="1"/>
    <row r="5379" ht="15" customHeight="1"/>
    <row r="5380" ht="15" customHeight="1"/>
    <row r="5381" ht="15" customHeight="1"/>
    <row r="5382" ht="15" customHeight="1"/>
    <row r="5383" ht="15" customHeight="1"/>
    <row r="5384" ht="15" customHeight="1"/>
    <row r="5385" ht="15" customHeight="1"/>
    <row r="5386" ht="15" customHeight="1"/>
    <row r="5387" ht="15" customHeight="1"/>
    <row r="5388" ht="15" customHeight="1"/>
    <row r="5389" ht="15" customHeight="1"/>
    <row r="5390" ht="15" customHeight="1"/>
    <row r="5391" ht="15" customHeight="1"/>
    <row r="5392" ht="15" customHeight="1"/>
    <row r="5393" ht="15" customHeight="1"/>
    <row r="5394" ht="15" customHeight="1"/>
    <row r="5395" ht="15" customHeight="1"/>
    <row r="5396" ht="15" customHeight="1"/>
    <row r="5397" ht="15" customHeight="1"/>
    <row r="5398" ht="15" customHeight="1"/>
    <row r="5399" ht="15" customHeight="1"/>
    <row r="5400" ht="15" customHeight="1"/>
    <row r="5401" ht="15" customHeight="1"/>
    <row r="5402" ht="15" customHeight="1"/>
    <row r="5403" ht="15" customHeight="1"/>
    <row r="5404" ht="15" customHeight="1"/>
    <row r="5405" ht="15" customHeight="1"/>
    <row r="5406" ht="15" customHeight="1"/>
    <row r="5407" ht="15" customHeight="1"/>
    <row r="5408" ht="15" customHeight="1"/>
    <row r="5409" ht="15" customHeight="1"/>
    <row r="5410" ht="15" customHeight="1"/>
    <row r="5411" ht="15" customHeight="1"/>
    <row r="5412" ht="15" customHeight="1"/>
    <row r="5413" ht="15" customHeight="1"/>
    <row r="5414" ht="15" customHeight="1"/>
    <row r="5415" ht="15" customHeight="1"/>
    <row r="5416" ht="15" customHeight="1"/>
    <row r="5417" ht="15" customHeight="1"/>
    <row r="5418" ht="15" customHeight="1"/>
    <row r="5419" ht="15" customHeight="1"/>
    <row r="5420" ht="15" customHeight="1"/>
    <row r="5421" ht="15" customHeight="1"/>
    <row r="5422" ht="15" customHeight="1"/>
    <row r="5423" ht="15" customHeight="1"/>
    <row r="5424" ht="15" customHeight="1"/>
    <row r="5425" ht="15" customHeight="1"/>
    <row r="5426" ht="15" customHeight="1"/>
    <row r="5427" ht="15" customHeight="1"/>
    <row r="5428" ht="15" customHeight="1"/>
    <row r="5429" ht="15" customHeight="1"/>
    <row r="5430" ht="15" customHeight="1"/>
    <row r="5431" ht="15" customHeight="1"/>
    <row r="5432" ht="15" customHeight="1"/>
    <row r="5433" ht="15" customHeight="1"/>
    <row r="5434" ht="15" customHeight="1"/>
    <row r="5435" ht="15" customHeight="1"/>
    <row r="5436" ht="15" customHeight="1"/>
    <row r="5437" ht="15" customHeight="1"/>
    <row r="5438" ht="15" customHeight="1"/>
    <row r="5439" ht="15" customHeight="1"/>
    <row r="5440" ht="15" customHeight="1"/>
    <row r="5441" ht="15" customHeight="1"/>
    <row r="5442" ht="15" customHeight="1"/>
    <row r="5443" ht="15" customHeight="1"/>
    <row r="5444" ht="15" customHeight="1"/>
    <row r="5445" ht="15" customHeight="1"/>
    <row r="5446" ht="15" customHeight="1"/>
    <row r="5447" ht="15" customHeight="1"/>
    <row r="5448" ht="15" customHeight="1"/>
    <row r="5449" ht="15" customHeight="1"/>
    <row r="5450" ht="15" customHeight="1"/>
    <row r="5451" ht="15" customHeight="1"/>
    <row r="5452" ht="15" customHeight="1"/>
    <row r="5453" ht="15" customHeight="1"/>
    <row r="5454" ht="15" customHeight="1"/>
    <row r="5455" ht="15" customHeight="1"/>
    <row r="5456" ht="15" customHeight="1"/>
    <row r="5457" ht="15" customHeight="1"/>
    <row r="5458" ht="15" customHeight="1"/>
    <row r="5459" ht="15" customHeight="1"/>
    <row r="5460" ht="15" customHeight="1"/>
    <row r="5461" ht="15" customHeight="1"/>
    <row r="5462" ht="15" customHeight="1"/>
    <row r="5463" ht="15" customHeight="1"/>
    <row r="5464" ht="15" customHeight="1"/>
    <row r="5465" ht="15" customHeight="1"/>
    <row r="5466" ht="15" customHeight="1"/>
    <row r="5467" ht="15" customHeight="1"/>
    <row r="5468" ht="15" customHeight="1"/>
    <row r="5469" ht="15" customHeight="1"/>
    <row r="5470" ht="15" customHeight="1"/>
    <row r="5471" ht="15" customHeight="1"/>
    <row r="5472" ht="15" customHeight="1"/>
    <row r="5473" ht="15" customHeight="1"/>
    <row r="5474" ht="15" customHeight="1"/>
    <row r="5475" ht="15" customHeight="1"/>
    <row r="5476" ht="15" customHeight="1"/>
    <row r="5477" ht="15" customHeight="1"/>
    <row r="5478" ht="15" customHeight="1"/>
    <row r="5479" ht="15" customHeight="1"/>
    <row r="5480" ht="15" customHeight="1"/>
    <row r="5481" ht="15" customHeight="1"/>
    <row r="5482" ht="15" customHeight="1"/>
    <row r="5483" ht="15" customHeight="1"/>
    <row r="5484" ht="15" customHeight="1"/>
    <row r="5485" ht="15" customHeight="1"/>
    <row r="5486" ht="15" customHeight="1"/>
    <row r="5487" ht="15" customHeight="1"/>
    <row r="5488" ht="15" customHeight="1"/>
    <row r="5489" ht="15" customHeight="1"/>
    <row r="5490" ht="15" customHeight="1"/>
    <row r="5491" ht="15" customHeight="1"/>
    <row r="5492" ht="15" customHeight="1"/>
    <row r="5493" ht="15" customHeight="1"/>
    <row r="5494" ht="15" customHeight="1"/>
    <row r="5495" ht="15" customHeight="1"/>
    <row r="5496" ht="15" customHeight="1"/>
    <row r="5497" ht="15" customHeight="1"/>
    <row r="5498" ht="15" customHeight="1"/>
    <row r="5499" ht="15" customHeight="1"/>
    <row r="5500" ht="15" customHeight="1"/>
    <row r="5501" ht="15" customHeight="1"/>
    <row r="5502" ht="15" customHeight="1"/>
    <row r="5503" ht="15" customHeight="1"/>
    <row r="5504" ht="15" customHeight="1"/>
    <row r="5505" ht="15" customHeight="1"/>
    <row r="5506" ht="15" customHeight="1"/>
    <row r="5507" ht="15" customHeight="1"/>
    <row r="5508" ht="15" customHeight="1"/>
    <row r="5509" ht="15" customHeight="1"/>
    <row r="5510" ht="15" customHeight="1"/>
    <row r="5511" ht="15" customHeight="1"/>
    <row r="5512" ht="15" customHeight="1"/>
    <row r="5513" ht="15" customHeight="1"/>
    <row r="5514" ht="15" customHeight="1"/>
    <row r="5515" ht="15" customHeight="1"/>
    <row r="5516" ht="15" customHeight="1"/>
    <row r="5517" ht="15" customHeight="1"/>
    <row r="5518" ht="15" customHeight="1"/>
    <row r="5519" ht="15" customHeight="1"/>
    <row r="5520" ht="15" customHeight="1"/>
    <row r="5521" ht="15" customHeight="1"/>
    <row r="5522" ht="15" customHeight="1"/>
    <row r="5523" ht="15" customHeight="1"/>
    <row r="5524" ht="15" customHeight="1"/>
    <row r="5525" ht="15" customHeight="1"/>
    <row r="5526" ht="15" customHeight="1"/>
    <row r="5527" ht="15" customHeight="1"/>
    <row r="5528" ht="15" customHeight="1"/>
    <row r="5529" ht="15" customHeight="1"/>
    <row r="5530" ht="15" customHeight="1"/>
    <row r="5531" ht="15" customHeight="1"/>
    <row r="5532" ht="15" customHeight="1"/>
    <row r="5533" ht="15" customHeight="1"/>
    <row r="5534" ht="15" customHeight="1"/>
    <row r="5535" ht="15" customHeight="1"/>
    <row r="5536" ht="15" customHeight="1"/>
    <row r="5537" ht="15" customHeight="1"/>
    <row r="5538" ht="15" customHeight="1"/>
    <row r="5539" ht="15" customHeight="1"/>
    <row r="5540" ht="15" customHeight="1"/>
    <row r="5541" ht="15" customHeight="1"/>
    <row r="5542" ht="15" customHeight="1"/>
    <row r="5543" ht="15" customHeight="1"/>
    <row r="5544" ht="15" customHeight="1"/>
    <row r="5545" ht="15" customHeight="1"/>
    <row r="5546" ht="15" customHeight="1"/>
    <row r="5547" ht="15" customHeight="1"/>
    <row r="5548" ht="15" customHeight="1"/>
    <row r="5549" ht="15" customHeight="1"/>
    <row r="5550" ht="15" customHeight="1"/>
    <row r="5551" ht="15" customHeight="1"/>
    <row r="5552" ht="15" customHeight="1"/>
    <row r="5553" ht="15" customHeight="1"/>
    <row r="5554" ht="15" customHeight="1"/>
    <row r="5555" ht="15" customHeight="1"/>
    <row r="5556" ht="15" customHeight="1"/>
    <row r="5557" ht="15" customHeight="1"/>
    <row r="5558" ht="15" customHeight="1"/>
    <row r="5559" ht="15" customHeight="1"/>
    <row r="5560" ht="15" customHeight="1"/>
    <row r="5561" ht="15" customHeight="1"/>
    <row r="5562" ht="15" customHeight="1"/>
    <row r="5563" ht="15" customHeight="1"/>
    <row r="5564" ht="15" customHeight="1"/>
    <row r="5565" ht="15" customHeight="1"/>
    <row r="5566" ht="15" customHeight="1"/>
    <row r="5567" ht="15" customHeight="1"/>
    <row r="5568" ht="15" customHeight="1"/>
    <row r="5569" ht="15" customHeight="1"/>
    <row r="5570" ht="15" customHeight="1"/>
    <row r="5571" ht="15" customHeight="1"/>
    <row r="5572" ht="15" customHeight="1"/>
    <row r="5573" ht="15" customHeight="1"/>
    <row r="5574" ht="15" customHeight="1"/>
    <row r="5575" ht="15" customHeight="1"/>
    <row r="5576" ht="15" customHeight="1"/>
    <row r="5577" ht="15" customHeight="1"/>
    <row r="5578" ht="15" customHeight="1"/>
    <row r="5579" ht="15" customHeight="1"/>
    <row r="5580" ht="15" customHeight="1"/>
    <row r="5581" ht="15" customHeight="1"/>
    <row r="5582" ht="15" customHeight="1"/>
    <row r="5583" ht="15" customHeight="1"/>
    <row r="5584" ht="15" customHeight="1"/>
    <row r="5585" ht="15" customHeight="1"/>
    <row r="5586" ht="15" customHeight="1"/>
    <row r="5587" ht="15" customHeight="1"/>
    <row r="5588" ht="15" customHeight="1"/>
    <row r="5589" ht="15" customHeight="1"/>
    <row r="5590" ht="15" customHeight="1"/>
    <row r="5591" ht="15" customHeight="1"/>
    <row r="5592" ht="15" customHeight="1"/>
    <row r="5593" ht="15" customHeight="1"/>
    <row r="5594" ht="15" customHeight="1"/>
    <row r="5595" ht="15" customHeight="1"/>
    <row r="5596" ht="15" customHeight="1"/>
    <row r="5597" ht="15" customHeight="1"/>
    <row r="5598" ht="15" customHeight="1"/>
    <row r="5599" ht="15" customHeight="1"/>
    <row r="5600" ht="15" customHeight="1"/>
    <row r="5601" ht="15" customHeight="1"/>
    <row r="5602" ht="15" customHeight="1"/>
    <row r="5603" ht="15" customHeight="1"/>
    <row r="5604" ht="15" customHeight="1"/>
    <row r="5605" ht="15" customHeight="1"/>
    <row r="5606" ht="15" customHeight="1"/>
    <row r="5607" ht="15" customHeight="1"/>
    <row r="5608" ht="15" customHeight="1"/>
    <row r="5609" ht="15" customHeight="1"/>
    <row r="5610" ht="15" customHeight="1"/>
    <row r="5611" ht="15" customHeight="1"/>
    <row r="5612" ht="15" customHeight="1"/>
    <row r="5613" ht="15" customHeight="1"/>
    <row r="5614" ht="15" customHeight="1"/>
    <row r="5615" ht="15" customHeight="1"/>
    <row r="5616" ht="15" customHeight="1"/>
    <row r="5617" ht="15" customHeight="1"/>
    <row r="5618" ht="15" customHeight="1"/>
    <row r="5619" ht="15" customHeight="1"/>
    <row r="5620" ht="15" customHeight="1"/>
    <row r="5621" ht="15" customHeight="1"/>
    <row r="5622" ht="15" customHeight="1"/>
    <row r="5623" ht="15" customHeight="1"/>
    <row r="5624" ht="15" customHeight="1"/>
    <row r="5625" ht="15" customHeight="1"/>
    <row r="5626" ht="15" customHeight="1"/>
    <row r="5627" ht="15" customHeight="1"/>
    <row r="5628" ht="15" customHeight="1"/>
    <row r="5629" ht="15" customHeight="1"/>
    <row r="5630" ht="15" customHeight="1"/>
    <row r="5631" ht="15" customHeight="1"/>
    <row r="5632" ht="15" customHeight="1"/>
    <row r="5633" ht="15" customHeight="1"/>
    <row r="5634" ht="15" customHeight="1"/>
    <row r="5635" ht="15" customHeight="1"/>
    <row r="5636" ht="15" customHeight="1"/>
    <row r="5637" ht="15" customHeight="1"/>
    <row r="5638" ht="15" customHeight="1"/>
    <row r="5639" ht="15" customHeight="1"/>
    <row r="5640" ht="15" customHeight="1"/>
    <row r="5641" ht="15" customHeight="1"/>
    <row r="5642" ht="15" customHeight="1"/>
    <row r="5643" ht="15" customHeight="1"/>
    <row r="5644" ht="15" customHeight="1"/>
    <row r="5645" ht="15" customHeight="1"/>
    <row r="5646" ht="15" customHeight="1"/>
    <row r="5647" ht="15" customHeight="1"/>
    <row r="5648" ht="15" customHeight="1"/>
    <row r="5649" ht="15" customHeight="1"/>
    <row r="5650" ht="15" customHeight="1"/>
    <row r="5651" ht="15" customHeight="1"/>
    <row r="5652" ht="15" customHeight="1"/>
    <row r="5653" ht="15" customHeight="1"/>
    <row r="5654" ht="15" customHeight="1"/>
    <row r="5655" ht="15" customHeight="1"/>
    <row r="5656" ht="15" customHeight="1"/>
    <row r="5657" ht="15" customHeight="1"/>
    <row r="5658" ht="15" customHeight="1"/>
    <row r="5659" ht="15" customHeight="1"/>
    <row r="5660" ht="15" customHeight="1"/>
    <row r="5661" ht="15" customHeight="1"/>
    <row r="5662" ht="15" customHeight="1"/>
    <row r="5663" ht="15" customHeight="1"/>
    <row r="5664" ht="15" customHeight="1"/>
    <row r="5665" ht="15" customHeight="1"/>
    <row r="5666" ht="15" customHeight="1"/>
    <row r="5667" ht="15" customHeight="1"/>
    <row r="5668" ht="15" customHeight="1"/>
    <row r="5669" ht="15" customHeight="1"/>
    <row r="5670" ht="15" customHeight="1"/>
    <row r="5671" ht="15" customHeight="1"/>
    <row r="5672" ht="15" customHeight="1"/>
    <row r="5673" ht="15" customHeight="1"/>
    <row r="5674" ht="15" customHeight="1"/>
    <row r="5675" ht="15" customHeight="1"/>
    <row r="5676" ht="15" customHeight="1"/>
    <row r="5677" ht="15" customHeight="1"/>
    <row r="5678" ht="15" customHeight="1"/>
    <row r="5679" ht="15" customHeight="1"/>
    <row r="5680" ht="15" customHeight="1"/>
    <row r="5681" ht="15" customHeight="1"/>
    <row r="5682" ht="15" customHeight="1"/>
    <row r="5683" ht="15" customHeight="1"/>
    <row r="5684" ht="15" customHeight="1"/>
    <row r="5685" ht="15" customHeight="1"/>
    <row r="5686" ht="15" customHeight="1"/>
    <row r="5687" ht="15" customHeight="1"/>
    <row r="5688" ht="15" customHeight="1"/>
    <row r="5689" ht="15" customHeight="1"/>
    <row r="5690" ht="15" customHeight="1"/>
    <row r="5691" ht="15" customHeight="1"/>
    <row r="5692" ht="15" customHeight="1"/>
    <row r="5693" ht="15" customHeight="1"/>
    <row r="5694" ht="15" customHeight="1"/>
    <row r="5695" ht="15" customHeight="1"/>
    <row r="5696" ht="15" customHeight="1"/>
    <row r="5697" ht="15" customHeight="1"/>
    <row r="5698" ht="15" customHeight="1"/>
    <row r="5699" ht="15" customHeight="1"/>
    <row r="5700" ht="15" customHeight="1"/>
    <row r="5701" ht="15" customHeight="1"/>
    <row r="5702" ht="15" customHeight="1"/>
    <row r="5703" ht="15" customHeight="1"/>
    <row r="5704" ht="15" customHeight="1"/>
    <row r="5705" ht="15" customHeight="1"/>
    <row r="5706" ht="15" customHeight="1"/>
    <row r="5707" ht="15" customHeight="1"/>
    <row r="5708" ht="15" customHeight="1"/>
    <row r="5709" ht="15" customHeight="1"/>
    <row r="5710" ht="15" customHeight="1"/>
    <row r="5711" ht="15" customHeight="1"/>
    <row r="5712" ht="15" customHeight="1"/>
    <row r="5713" ht="15" customHeight="1"/>
    <row r="5714" ht="15" customHeight="1"/>
    <row r="5715" ht="15" customHeight="1"/>
    <row r="5716" ht="15" customHeight="1"/>
    <row r="5717" ht="15" customHeight="1"/>
    <row r="5718" ht="15" customHeight="1"/>
    <row r="5719" ht="15" customHeight="1"/>
    <row r="5720" ht="15" customHeight="1"/>
    <row r="5721" ht="15" customHeight="1"/>
    <row r="5722" ht="15" customHeight="1"/>
    <row r="5723" ht="15" customHeight="1"/>
    <row r="5724" ht="15" customHeight="1"/>
    <row r="5725" ht="15" customHeight="1"/>
    <row r="5726" ht="15" customHeight="1"/>
    <row r="5727" ht="15" customHeight="1"/>
    <row r="5728" ht="15" customHeight="1"/>
    <row r="5729" ht="15" customHeight="1"/>
    <row r="5730" ht="15" customHeight="1"/>
    <row r="5731" ht="15" customHeight="1"/>
    <row r="5732" ht="15" customHeight="1"/>
    <row r="5733" ht="15" customHeight="1"/>
    <row r="5734" ht="15" customHeight="1"/>
    <row r="5735" ht="15" customHeight="1"/>
    <row r="5736" ht="15" customHeight="1"/>
    <row r="5737" ht="15" customHeight="1"/>
    <row r="5738" ht="15" customHeight="1"/>
    <row r="5739" ht="15" customHeight="1"/>
    <row r="5740" ht="15" customHeight="1"/>
    <row r="5741" ht="15" customHeight="1"/>
    <row r="5742" ht="15" customHeight="1"/>
    <row r="5743" ht="15" customHeight="1"/>
    <row r="5744" ht="15" customHeight="1"/>
    <row r="5745" ht="15" customHeight="1"/>
    <row r="5746" ht="15" customHeight="1"/>
    <row r="5747" ht="15" customHeight="1"/>
    <row r="5748" ht="15" customHeight="1"/>
    <row r="5749" ht="15" customHeight="1"/>
    <row r="5750" ht="15" customHeight="1"/>
    <row r="5751" ht="15" customHeight="1"/>
    <row r="5752" ht="15" customHeight="1"/>
    <row r="5753" ht="15" customHeight="1"/>
    <row r="5754" ht="15" customHeight="1"/>
    <row r="5755" ht="15" customHeight="1"/>
    <row r="5756" ht="15" customHeight="1"/>
    <row r="5757" ht="15" customHeight="1"/>
    <row r="5758" ht="15" customHeight="1"/>
    <row r="5759" ht="15" customHeight="1"/>
    <row r="5760" ht="15" customHeight="1"/>
    <row r="5761" ht="15" customHeight="1"/>
    <row r="5762" ht="15" customHeight="1"/>
    <row r="5763" ht="15" customHeight="1"/>
    <row r="5764" ht="15" customHeight="1"/>
    <row r="5765" ht="15" customHeight="1"/>
    <row r="5766" ht="15" customHeight="1"/>
    <row r="5767" ht="15" customHeight="1"/>
    <row r="5768" ht="15" customHeight="1"/>
    <row r="5769" ht="15" customHeight="1"/>
    <row r="5770" ht="15" customHeight="1"/>
    <row r="5771" ht="15" customHeight="1"/>
    <row r="5772" ht="15" customHeight="1"/>
    <row r="5773" ht="15" customHeight="1"/>
    <row r="5774" ht="15" customHeight="1"/>
    <row r="5775" ht="15" customHeight="1"/>
    <row r="5776" ht="15" customHeight="1"/>
    <row r="5777" ht="15" customHeight="1"/>
    <row r="5778" ht="15" customHeight="1"/>
    <row r="5779" ht="15" customHeight="1"/>
    <row r="5780" ht="15" customHeight="1"/>
    <row r="5781" ht="15" customHeight="1"/>
    <row r="5782" ht="15" customHeight="1"/>
    <row r="5783" ht="15" customHeight="1"/>
    <row r="5784" ht="15" customHeight="1"/>
    <row r="5785" ht="15" customHeight="1"/>
    <row r="5786" ht="15" customHeight="1"/>
    <row r="5787" ht="15" customHeight="1"/>
    <row r="5788" ht="15" customHeight="1"/>
    <row r="5789" ht="15" customHeight="1"/>
    <row r="5790" ht="15" customHeight="1"/>
    <row r="5791" ht="15" customHeight="1"/>
    <row r="5792" ht="15" customHeight="1"/>
    <row r="5793" ht="15" customHeight="1"/>
    <row r="5794" ht="15" customHeight="1"/>
    <row r="5795" ht="15" customHeight="1"/>
    <row r="5796" ht="15" customHeight="1"/>
    <row r="5797" ht="15" customHeight="1"/>
    <row r="5798" ht="15" customHeight="1"/>
    <row r="5799" ht="15" customHeight="1"/>
    <row r="5800" ht="15" customHeight="1"/>
    <row r="5801" ht="15" customHeight="1"/>
    <row r="5802" ht="15" customHeight="1"/>
    <row r="5803" ht="15" customHeight="1"/>
    <row r="5804" ht="15" customHeight="1"/>
    <row r="5805" ht="15" customHeight="1"/>
    <row r="5806" ht="15" customHeight="1"/>
    <row r="5807" ht="15" customHeight="1"/>
    <row r="5808" ht="15" customHeight="1"/>
    <row r="5809" ht="15" customHeight="1"/>
    <row r="5810" ht="15" customHeight="1"/>
    <row r="5811" ht="15" customHeight="1"/>
    <row r="5812" ht="15" customHeight="1"/>
    <row r="5813" ht="15" customHeight="1"/>
    <row r="5814" ht="15" customHeight="1"/>
    <row r="5815" ht="15" customHeight="1"/>
    <row r="5816" ht="15" customHeight="1"/>
    <row r="5817" ht="15" customHeight="1"/>
    <row r="5818" ht="15" customHeight="1"/>
    <row r="5819" ht="15" customHeight="1"/>
    <row r="5820" ht="15" customHeight="1"/>
    <row r="5821" ht="15" customHeight="1"/>
    <row r="5822" ht="15" customHeight="1"/>
    <row r="5823" ht="15" customHeight="1"/>
    <row r="5824" ht="15" customHeight="1"/>
    <row r="5825" ht="15" customHeight="1"/>
    <row r="5826" ht="15" customHeight="1"/>
    <row r="5827" ht="15" customHeight="1"/>
    <row r="5828" ht="15" customHeight="1"/>
    <row r="5829" ht="15" customHeight="1"/>
    <row r="5830" ht="15" customHeight="1"/>
    <row r="5831" ht="15" customHeight="1"/>
    <row r="5832" ht="15" customHeight="1"/>
    <row r="5833" ht="15" customHeight="1"/>
    <row r="5834" ht="15" customHeight="1"/>
    <row r="5835" ht="15" customHeight="1"/>
    <row r="5836" ht="15" customHeight="1"/>
    <row r="5837" ht="15" customHeight="1"/>
    <row r="5838" ht="15" customHeight="1"/>
    <row r="5839" ht="15" customHeight="1"/>
    <row r="5840" ht="15" customHeight="1"/>
    <row r="5841" ht="15" customHeight="1"/>
    <row r="5842" ht="15" customHeight="1"/>
    <row r="5843" ht="15" customHeight="1"/>
    <row r="5844" ht="15" customHeight="1"/>
    <row r="5845" ht="15" customHeight="1"/>
    <row r="5846" ht="15" customHeight="1"/>
    <row r="5847" ht="15" customHeight="1"/>
    <row r="5848" ht="15" customHeight="1"/>
    <row r="5849" ht="15" customHeight="1"/>
    <row r="5850" ht="15" customHeight="1"/>
    <row r="5851" ht="15" customHeight="1"/>
    <row r="5852" ht="15" customHeight="1"/>
    <row r="5853" ht="15" customHeight="1"/>
    <row r="5854" ht="15" customHeight="1"/>
    <row r="5855" ht="15" customHeight="1"/>
    <row r="5856" ht="15" customHeight="1"/>
    <row r="5857" ht="15" customHeight="1"/>
    <row r="5858" ht="15" customHeight="1"/>
    <row r="5859" ht="15" customHeight="1"/>
    <row r="5860" ht="15" customHeight="1"/>
    <row r="5861" ht="15" customHeight="1"/>
    <row r="5862" ht="15" customHeight="1"/>
    <row r="5863" ht="15" customHeight="1"/>
    <row r="5864" ht="15" customHeight="1"/>
    <row r="5865" ht="15" customHeight="1"/>
    <row r="5866" ht="15" customHeight="1"/>
    <row r="5867" ht="15" customHeight="1"/>
    <row r="5868" ht="15" customHeight="1"/>
    <row r="5869" ht="15" customHeight="1"/>
    <row r="5870" ht="15" customHeight="1"/>
    <row r="5871" ht="15" customHeight="1"/>
    <row r="5872" ht="15" customHeight="1"/>
    <row r="5873" ht="15" customHeight="1"/>
    <row r="5874" ht="15" customHeight="1"/>
    <row r="5875" ht="15" customHeight="1"/>
    <row r="5876" ht="15" customHeight="1"/>
    <row r="5877" ht="15" customHeight="1"/>
    <row r="5878" ht="15" customHeight="1"/>
    <row r="5879" ht="15" customHeight="1"/>
    <row r="5880" ht="15" customHeight="1"/>
    <row r="5881" ht="15" customHeight="1"/>
    <row r="5882" ht="15" customHeight="1"/>
    <row r="5883" ht="15" customHeight="1"/>
    <row r="5884" ht="15" customHeight="1"/>
    <row r="5885" ht="15" customHeight="1"/>
    <row r="5886" ht="15" customHeight="1"/>
    <row r="5887" ht="15" customHeight="1"/>
    <row r="5888" ht="15" customHeight="1"/>
    <row r="5889" ht="15" customHeight="1"/>
    <row r="5890" ht="15" customHeight="1"/>
    <row r="5891" ht="15" customHeight="1"/>
    <row r="5892" ht="15" customHeight="1"/>
    <row r="5893" ht="15" customHeight="1"/>
    <row r="5894" ht="15" customHeight="1"/>
    <row r="5895" ht="15" customHeight="1"/>
    <row r="5896" ht="15" customHeight="1"/>
    <row r="5897" ht="15" customHeight="1"/>
    <row r="5898" ht="15" customHeight="1"/>
    <row r="5899" ht="15" customHeight="1"/>
    <row r="5900" ht="15" customHeight="1"/>
    <row r="5901" ht="15" customHeight="1"/>
    <row r="5902" ht="15" customHeight="1"/>
    <row r="5903" ht="15" customHeight="1"/>
    <row r="5904" ht="15" customHeight="1"/>
    <row r="5905" ht="15" customHeight="1"/>
    <row r="5906" ht="15" customHeight="1"/>
    <row r="5907" ht="15" customHeight="1"/>
    <row r="5908" ht="15" customHeight="1"/>
    <row r="5909" ht="15" customHeight="1"/>
    <row r="5910" ht="15" customHeight="1"/>
    <row r="5911" ht="15" customHeight="1"/>
    <row r="5912" ht="15" customHeight="1"/>
    <row r="5913" ht="15" customHeight="1"/>
    <row r="5914" ht="15" customHeight="1"/>
    <row r="5915" ht="15" customHeight="1"/>
    <row r="5916" ht="15" customHeight="1"/>
    <row r="5917" ht="15" customHeight="1"/>
    <row r="5918" ht="15" customHeight="1"/>
    <row r="5919" ht="15" customHeight="1"/>
    <row r="5920" ht="15" customHeight="1"/>
    <row r="5921" ht="15" customHeight="1"/>
    <row r="5922" ht="15" customHeight="1"/>
    <row r="5923" ht="15" customHeight="1"/>
    <row r="5924" ht="15" customHeight="1"/>
    <row r="5925" ht="15" customHeight="1"/>
    <row r="5926" ht="15" customHeight="1"/>
    <row r="5927" ht="15" customHeight="1"/>
    <row r="5928" ht="15" customHeight="1"/>
    <row r="5929" ht="15" customHeight="1"/>
    <row r="5930" ht="15" customHeight="1"/>
    <row r="5931" ht="15" customHeight="1"/>
    <row r="5932" ht="15" customHeight="1"/>
    <row r="5933" ht="15" customHeight="1"/>
    <row r="5934" ht="15" customHeight="1"/>
    <row r="5935" ht="15" customHeight="1"/>
    <row r="5936" ht="15" customHeight="1"/>
    <row r="5937" ht="15" customHeight="1"/>
    <row r="5938" ht="15" customHeight="1"/>
    <row r="5939" ht="15" customHeight="1"/>
    <row r="5940" ht="15" customHeight="1"/>
    <row r="5941" ht="15" customHeight="1"/>
    <row r="5942" ht="15" customHeight="1"/>
    <row r="5943" ht="15" customHeight="1"/>
    <row r="5944" ht="15" customHeight="1"/>
    <row r="5945" ht="15" customHeight="1"/>
    <row r="5946" ht="15" customHeight="1"/>
    <row r="5947" ht="15" customHeight="1"/>
    <row r="5948" ht="15" customHeight="1"/>
    <row r="5949" ht="15" customHeight="1"/>
    <row r="5950" ht="15" customHeight="1"/>
    <row r="5951" ht="15" customHeight="1"/>
    <row r="5952" ht="15" customHeight="1"/>
    <row r="5953" ht="15" customHeight="1"/>
    <row r="5954" ht="15" customHeight="1"/>
    <row r="5955" ht="15" customHeight="1"/>
    <row r="5956" ht="15" customHeight="1"/>
    <row r="5957" ht="15" customHeight="1"/>
    <row r="5958" ht="15" customHeight="1"/>
    <row r="5959" ht="15" customHeight="1"/>
    <row r="5960" ht="15" customHeight="1"/>
    <row r="5961" ht="15" customHeight="1"/>
    <row r="5962" ht="15" customHeight="1"/>
    <row r="5963" ht="15" customHeight="1"/>
    <row r="5964" ht="15" customHeight="1"/>
    <row r="5965" ht="15" customHeight="1"/>
    <row r="5966" ht="15" customHeight="1"/>
    <row r="5967" ht="15" customHeight="1"/>
    <row r="5968" ht="15" customHeight="1"/>
    <row r="5969" ht="15" customHeight="1"/>
    <row r="5970" ht="15" customHeight="1"/>
    <row r="5971" ht="15" customHeight="1"/>
    <row r="5972" ht="15" customHeight="1"/>
    <row r="5973" ht="15" customHeight="1"/>
    <row r="5974" ht="15" customHeight="1"/>
    <row r="5975" ht="15" customHeight="1"/>
    <row r="5976" ht="15" customHeight="1"/>
    <row r="5977" ht="15" customHeight="1"/>
    <row r="5978" ht="15" customHeight="1"/>
    <row r="5979" ht="15" customHeight="1"/>
    <row r="5980" ht="15" customHeight="1"/>
    <row r="5981" ht="15" customHeight="1"/>
    <row r="5982" ht="15" customHeight="1"/>
    <row r="5983" ht="15" customHeight="1"/>
    <row r="5984" ht="15" customHeight="1"/>
    <row r="5985" ht="15" customHeight="1"/>
    <row r="5986" ht="15" customHeight="1"/>
    <row r="5987" ht="15" customHeight="1"/>
    <row r="5988" ht="15" customHeight="1"/>
    <row r="5989" ht="15" customHeight="1"/>
    <row r="5990" ht="15" customHeight="1"/>
    <row r="5991" ht="15" customHeight="1"/>
    <row r="5992" ht="15" customHeight="1"/>
    <row r="5993" ht="15" customHeight="1"/>
    <row r="5994" ht="15" customHeight="1"/>
    <row r="5995" ht="15" customHeight="1"/>
    <row r="5996" ht="15" customHeight="1"/>
    <row r="5997" ht="15" customHeight="1"/>
    <row r="5998" ht="15" customHeight="1"/>
    <row r="5999" ht="15" customHeight="1"/>
    <row r="6000" ht="15" customHeight="1"/>
    <row r="6001" ht="15" customHeight="1"/>
    <row r="6002" ht="15" customHeight="1"/>
    <row r="6003" ht="15" customHeight="1"/>
    <row r="6004" ht="15" customHeight="1"/>
    <row r="6005" ht="15" customHeight="1"/>
    <row r="6006" ht="15" customHeight="1"/>
    <row r="6007" ht="15" customHeight="1"/>
    <row r="6008" ht="15" customHeight="1"/>
    <row r="6009" ht="15" customHeight="1"/>
    <row r="6010" ht="15" customHeight="1"/>
    <row r="6011" ht="15" customHeight="1"/>
    <row r="6012" ht="15" customHeight="1"/>
    <row r="6013" ht="15" customHeight="1"/>
    <row r="6014" ht="15" customHeight="1"/>
    <row r="6015" ht="15" customHeight="1"/>
    <row r="6016" ht="15" customHeight="1"/>
    <row r="6017" ht="15" customHeight="1"/>
    <row r="6018" ht="15" customHeight="1"/>
    <row r="6019" ht="15" customHeight="1"/>
    <row r="6020" ht="15" customHeight="1"/>
    <row r="6021" ht="15" customHeight="1"/>
    <row r="6022" ht="15" customHeight="1"/>
    <row r="6023" ht="15" customHeight="1"/>
    <row r="6024" ht="15" customHeight="1"/>
    <row r="6025" ht="15" customHeight="1"/>
    <row r="6026" ht="15" customHeight="1"/>
    <row r="6027" ht="15" customHeight="1"/>
    <row r="6028" ht="15" customHeight="1"/>
    <row r="6029" ht="15" customHeight="1"/>
    <row r="6030" ht="15" customHeight="1"/>
    <row r="6031" ht="15" customHeight="1"/>
    <row r="6032" ht="15" customHeight="1"/>
    <row r="6033" ht="15" customHeight="1"/>
    <row r="6034" ht="15" customHeight="1"/>
    <row r="6035" ht="15" customHeight="1"/>
    <row r="6036" ht="15" customHeight="1"/>
    <row r="6037" ht="15" customHeight="1"/>
    <row r="6038" ht="15" customHeight="1"/>
    <row r="6039" ht="15" customHeight="1"/>
    <row r="6040" ht="15" customHeight="1"/>
    <row r="6041" ht="15" customHeight="1"/>
    <row r="6042" ht="15" customHeight="1"/>
    <row r="6043" ht="15" customHeight="1"/>
    <row r="6044" ht="15" customHeight="1"/>
    <row r="6045" ht="15" customHeight="1"/>
    <row r="6046" ht="15" customHeight="1"/>
    <row r="6047" ht="15" customHeight="1"/>
    <row r="6048" ht="15" customHeight="1"/>
    <row r="6049" ht="15" customHeight="1"/>
    <row r="6050" ht="15" customHeight="1"/>
    <row r="6051" ht="15" customHeight="1"/>
    <row r="6052" ht="15" customHeight="1"/>
    <row r="6053" ht="15" customHeight="1"/>
    <row r="6054" ht="15" customHeight="1"/>
    <row r="6055" ht="15" customHeight="1"/>
    <row r="6056" ht="15" customHeight="1"/>
    <row r="6057" ht="15" customHeight="1"/>
    <row r="6058" ht="15" customHeight="1"/>
    <row r="6059" ht="15" customHeight="1"/>
    <row r="6060" ht="15" customHeight="1"/>
    <row r="6061" ht="15" customHeight="1"/>
    <row r="6062" ht="15" customHeight="1"/>
    <row r="6063" ht="15" customHeight="1"/>
    <row r="6064" ht="15" customHeight="1"/>
    <row r="6065" ht="15" customHeight="1"/>
    <row r="6066" ht="15" customHeight="1"/>
    <row r="6067" ht="15" customHeight="1"/>
    <row r="6068" ht="15" customHeight="1"/>
    <row r="6069" ht="15" customHeight="1"/>
    <row r="6070" ht="15" customHeight="1"/>
    <row r="6071" ht="15" customHeight="1"/>
    <row r="6072" ht="15" customHeight="1"/>
    <row r="6073" ht="15" customHeight="1"/>
    <row r="6074" ht="15" customHeight="1"/>
    <row r="6075" ht="15" customHeight="1"/>
    <row r="6076" ht="15" customHeight="1"/>
    <row r="6077" ht="15" customHeight="1"/>
    <row r="6078" ht="15" customHeight="1"/>
    <row r="6079" ht="15" customHeight="1"/>
    <row r="6080" ht="15" customHeight="1"/>
    <row r="6081" ht="15" customHeight="1"/>
    <row r="6082" ht="15" customHeight="1"/>
    <row r="6083" ht="15" customHeight="1"/>
    <row r="6084" ht="15" customHeight="1"/>
    <row r="6085" ht="15" customHeight="1"/>
    <row r="6086" ht="15" customHeight="1"/>
    <row r="6087" ht="15" customHeight="1"/>
    <row r="6088" ht="15" customHeight="1"/>
    <row r="6089" ht="15" customHeight="1"/>
    <row r="6090" ht="15" customHeight="1"/>
    <row r="6091" ht="15" customHeight="1"/>
    <row r="6092" ht="15" customHeight="1"/>
    <row r="6093" ht="15" customHeight="1"/>
    <row r="6094" ht="15" customHeight="1"/>
    <row r="6095" ht="15" customHeight="1"/>
    <row r="6096" ht="15" customHeight="1"/>
    <row r="6097" ht="15" customHeight="1"/>
    <row r="6098" ht="15" customHeight="1"/>
    <row r="6099" ht="15" customHeight="1"/>
    <row r="6100" ht="15" customHeight="1"/>
    <row r="6101" ht="15" customHeight="1"/>
    <row r="6102" ht="15" customHeight="1"/>
    <row r="6103" ht="15" customHeight="1"/>
    <row r="6104" ht="15" customHeight="1"/>
    <row r="6105" ht="15" customHeight="1"/>
    <row r="6106" ht="15" customHeight="1"/>
    <row r="6107" ht="15" customHeight="1"/>
    <row r="6108" ht="15" customHeight="1"/>
    <row r="6109" ht="15" customHeight="1"/>
    <row r="6110" ht="15" customHeight="1"/>
    <row r="6111" ht="15" customHeight="1"/>
    <row r="6112" ht="15" customHeight="1"/>
    <row r="6113" ht="15" customHeight="1"/>
    <row r="6114" ht="15" customHeight="1"/>
    <row r="6115" ht="15" customHeight="1"/>
    <row r="6116" ht="15" customHeight="1"/>
    <row r="6117" ht="15" customHeight="1"/>
    <row r="6118" ht="15" customHeight="1"/>
    <row r="6119" ht="15" customHeight="1"/>
    <row r="6120" ht="15" customHeight="1"/>
    <row r="6121" ht="15" customHeight="1"/>
    <row r="6122" ht="15" customHeight="1"/>
    <row r="6123" ht="15" customHeight="1"/>
    <row r="6124" ht="15" customHeight="1"/>
    <row r="6125" ht="15" customHeight="1"/>
    <row r="6126" ht="15" customHeight="1"/>
    <row r="6127" ht="15" customHeight="1"/>
    <row r="6128" ht="15" customHeight="1"/>
    <row r="6129" ht="15" customHeight="1"/>
    <row r="6130" ht="15" customHeight="1"/>
    <row r="6131" ht="15" customHeight="1"/>
    <row r="6132" ht="15" customHeight="1"/>
    <row r="6133" ht="15" customHeight="1"/>
    <row r="6134" ht="15" customHeight="1"/>
    <row r="6135" ht="15" customHeight="1"/>
    <row r="6136" ht="15" customHeight="1"/>
    <row r="6137" ht="15" customHeight="1"/>
    <row r="6138" ht="15" customHeight="1"/>
    <row r="6139" ht="15" customHeight="1"/>
    <row r="6140" ht="15" customHeight="1"/>
    <row r="6141" ht="15" customHeight="1"/>
    <row r="6142" ht="15" customHeight="1"/>
    <row r="6143" ht="15" customHeight="1"/>
    <row r="6144" ht="15" customHeight="1"/>
    <row r="6145" ht="15" customHeight="1"/>
    <row r="6146" ht="15" customHeight="1"/>
    <row r="6147" ht="15" customHeight="1"/>
    <row r="6148" ht="15" customHeight="1"/>
    <row r="6149" ht="15" customHeight="1"/>
    <row r="6150" ht="15" customHeight="1"/>
    <row r="6151" ht="15" customHeight="1"/>
    <row r="6152" ht="15" customHeight="1"/>
    <row r="6153" ht="15" customHeight="1"/>
    <row r="6154" ht="15" customHeight="1"/>
    <row r="6155" ht="15" customHeight="1"/>
    <row r="6156" ht="15" customHeight="1"/>
    <row r="6157" ht="15" customHeight="1"/>
    <row r="6158" ht="15" customHeight="1"/>
    <row r="6159" ht="15" customHeight="1"/>
    <row r="6160" ht="15" customHeight="1"/>
    <row r="6161" ht="15" customHeight="1"/>
    <row r="6162" ht="15" customHeight="1"/>
    <row r="6163" ht="15" customHeight="1"/>
    <row r="6164" ht="15" customHeight="1"/>
    <row r="6165" ht="15" customHeight="1"/>
    <row r="6166" ht="15" customHeight="1"/>
    <row r="6167" ht="15" customHeight="1"/>
    <row r="6168" ht="15" customHeight="1"/>
    <row r="6169" ht="15" customHeight="1"/>
    <row r="6170" ht="15" customHeight="1"/>
    <row r="6171" ht="15" customHeight="1"/>
    <row r="6172" ht="15" customHeight="1"/>
    <row r="6173" ht="15" customHeight="1"/>
    <row r="6174" ht="15" customHeight="1"/>
    <row r="6175" ht="15" customHeight="1"/>
    <row r="6176" ht="15" customHeight="1"/>
    <row r="6177" ht="15" customHeight="1"/>
    <row r="6178" ht="15" customHeight="1"/>
    <row r="6179" ht="15" customHeight="1"/>
    <row r="6180" ht="15" customHeight="1"/>
    <row r="6181" ht="15" customHeight="1"/>
    <row r="6182" ht="15" customHeight="1"/>
    <row r="6183" ht="15" customHeight="1"/>
    <row r="6184" ht="15" customHeight="1"/>
    <row r="6185" ht="15" customHeight="1"/>
    <row r="6186" ht="15" customHeight="1"/>
    <row r="6187" ht="15" customHeight="1"/>
    <row r="6188" ht="15" customHeight="1"/>
    <row r="6189" ht="15" customHeight="1"/>
    <row r="6190" ht="15" customHeight="1"/>
    <row r="6191" ht="15" customHeight="1"/>
    <row r="6192" ht="15" customHeight="1"/>
    <row r="6193" ht="15" customHeight="1"/>
    <row r="6194" ht="15" customHeight="1"/>
    <row r="6195" ht="15" customHeight="1"/>
    <row r="6196" ht="15" customHeight="1"/>
    <row r="6197" ht="15" customHeight="1"/>
    <row r="6198" ht="15" customHeight="1"/>
    <row r="6199" ht="15" customHeight="1"/>
    <row r="6200" ht="15" customHeight="1"/>
    <row r="6201" ht="15" customHeight="1"/>
    <row r="6202" ht="15" customHeight="1"/>
    <row r="6203" ht="15" customHeight="1"/>
    <row r="6204" ht="15" customHeight="1"/>
    <row r="6205" ht="15" customHeight="1"/>
    <row r="6206" ht="15" customHeight="1"/>
    <row r="6207" ht="15" customHeight="1"/>
    <row r="6208" ht="15" customHeight="1"/>
    <row r="6209" ht="15" customHeight="1"/>
    <row r="6210" ht="15" customHeight="1"/>
    <row r="6211" ht="15" customHeight="1"/>
    <row r="6212" ht="15" customHeight="1"/>
    <row r="6213" ht="15" customHeight="1"/>
    <row r="6214" ht="15" customHeight="1"/>
    <row r="6215" ht="15" customHeight="1"/>
    <row r="6216" ht="15" customHeight="1"/>
    <row r="6217" ht="15" customHeight="1"/>
    <row r="6218" ht="15" customHeight="1"/>
    <row r="6219" ht="15" customHeight="1"/>
    <row r="6220" ht="15" customHeight="1"/>
    <row r="6221" ht="15" customHeight="1"/>
    <row r="6222" ht="15" customHeight="1"/>
    <row r="6223" ht="15" customHeight="1"/>
    <row r="6224" ht="15" customHeight="1"/>
    <row r="6225" ht="15" customHeight="1"/>
    <row r="6226" ht="15" customHeight="1"/>
    <row r="6227" ht="15" customHeight="1"/>
    <row r="6228" ht="15" customHeight="1"/>
    <row r="6229" ht="15" customHeight="1"/>
    <row r="6230" ht="15" customHeight="1"/>
    <row r="6231" ht="15" customHeight="1"/>
    <row r="6232" ht="15" customHeight="1"/>
    <row r="6233" ht="15" customHeight="1"/>
    <row r="6234" ht="15" customHeight="1"/>
    <row r="6235" ht="15" customHeight="1"/>
    <row r="6236" ht="15" customHeight="1"/>
    <row r="6237" ht="15" customHeight="1"/>
    <row r="6238" ht="15" customHeight="1"/>
    <row r="6239" ht="15" customHeight="1"/>
    <row r="6240" ht="15" customHeight="1"/>
    <row r="6241" ht="15" customHeight="1"/>
    <row r="6242" ht="15" customHeight="1"/>
    <row r="6243" ht="15" customHeight="1"/>
    <row r="6244" ht="15" customHeight="1"/>
    <row r="6245" ht="15" customHeight="1"/>
    <row r="6246" ht="15" customHeight="1"/>
    <row r="6247" ht="15" customHeight="1"/>
    <row r="6248" ht="15" customHeight="1"/>
    <row r="6249" ht="15" customHeight="1"/>
    <row r="6250" ht="15" customHeight="1"/>
    <row r="6251" ht="15" customHeight="1"/>
    <row r="6252" ht="15" customHeight="1"/>
    <row r="6253" ht="15" customHeight="1"/>
    <row r="6254" ht="15" customHeight="1"/>
    <row r="6255" ht="15" customHeight="1"/>
    <row r="6256" ht="15" customHeight="1"/>
    <row r="6257" ht="15" customHeight="1"/>
    <row r="6258" ht="15" customHeight="1"/>
    <row r="6259" ht="15" customHeight="1"/>
    <row r="6260" ht="15" customHeight="1"/>
    <row r="6261" ht="15" customHeight="1"/>
    <row r="6262" ht="15" customHeight="1"/>
    <row r="6263" ht="15" customHeight="1"/>
    <row r="6264" ht="15" customHeight="1"/>
    <row r="6265" ht="15" customHeight="1"/>
    <row r="6266" ht="15" customHeight="1"/>
    <row r="6267" ht="15" customHeight="1"/>
    <row r="6268" ht="15" customHeight="1"/>
    <row r="6269" ht="15" customHeight="1"/>
    <row r="6270" ht="15" customHeight="1"/>
    <row r="6271" ht="15" customHeight="1"/>
    <row r="6272" ht="15" customHeight="1"/>
    <row r="6273" ht="15" customHeight="1"/>
    <row r="6274" ht="15" customHeight="1"/>
    <row r="6275" ht="15" customHeight="1"/>
    <row r="6276" ht="15" customHeight="1"/>
    <row r="6277" ht="15" customHeight="1"/>
    <row r="6278" ht="15" customHeight="1"/>
    <row r="6279" ht="15" customHeight="1"/>
    <row r="6280" ht="15" customHeight="1"/>
    <row r="6281" ht="15" customHeight="1"/>
    <row r="6282" ht="15" customHeight="1"/>
    <row r="6283" ht="15" customHeight="1"/>
    <row r="6284" ht="15" customHeight="1"/>
    <row r="6285" ht="15" customHeight="1"/>
    <row r="6286" ht="15" customHeight="1"/>
    <row r="6287" ht="15" customHeight="1"/>
    <row r="6288" ht="15" customHeight="1"/>
    <row r="6289" ht="15" customHeight="1"/>
    <row r="6290" ht="15" customHeight="1"/>
    <row r="6291" ht="15" customHeight="1"/>
    <row r="6292" ht="15" customHeight="1"/>
    <row r="6293" ht="15" customHeight="1"/>
    <row r="6294" ht="15" customHeight="1"/>
    <row r="6295" ht="15" customHeight="1"/>
    <row r="6296" ht="15" customHeight="1"/>
    <row r="6297" ht="15" customHeight="1"/>
    <row r="6298" ht="15" customHeight="1"/>
    <row r="6299" ht="15" customHeight="1"/>
    <row r="6300" ht="15" customHeight="1"/>
    <row r="6301" ht="15" customHeight="1"/>
    <row r="6302" ht="15" customHeight="1"/>
    <row r="6303" ht="15" customHeight="1"/>
    <row r="6304" ht="15" customHeight="1"/>
    <row r="6305" ht="15" customHeight="1"/>
    <row r="6306" ht="15" customHeight="1"/>
    <row r="6307" ht="15" customHeight="1"/>
    <row r="6308" ht="15" customHeight="1"/>
    <row r="6309" ht="15" customHeight="1"/>
    <row r="6310" ht="15" customHeight="1"/>
    <row r="6311" ht="15" customHeight="1"/>
    <row r="6312" ht="15" customHeight="1"/>
    <row r="6313" ht="15" customHeight="1"/>
    <row r="6314" ht="15" customHeight="1"/>
    <row r="6315" ht="15" customHeight="1"/>
    <row r="6316" ht="15" customHeight="1"/>
    <row r="6317" ht="15" customHeight="1"/>
    <row r="6318" ht="15" customHeight="1"/>
    <row r="6319" ht="15" customHeight="1"/>
    <row r="6320" ht="15" customHeight="1"/>
    <row r="6321" ht="15" customHeight="1"/>
    <row r="6322" ht="15" customHeight="1"/>
    <row r="6323" ht="15" customHeight="1"/>
    <row r="6324" ht="15" customHeight="1"/>
    <row r="6325" ht="15" customHeight="1"/>
    <row r="6326" ht="15" customHeight="1"/>
    <row r="6327" ht="15" customHeight="1"/>
    <row r="6328" ht="15" customHeight="1"/>
    <row r="6329" ht="15" customHeight="1"/>
    <row r="6330" ht="15" customHeight="1"/>
    <row r="6331" ht="15" customHeight="1"/>
    <row r="6332" ht="15" customHeight="1"/>
    <row r="6333" ht="15" customHeight="1"/>
    <row r="6334" ht="15" customHeight="1"/>
    <row r="6335" ht="15" customHeight="1"/>
    <row r="6336" ht="15" customHeight="1"/>
    <row r="6337" ht="15" customHeight="1"/>
    <row r="6338" ht="15" customHeight="1"/>
    <row r="6339" ht="15" customHeight="1"/>
    <row r="6340" ht="15" customHeight="1"/>
    <row r="6341" ht="15" customHeight="1"/>
    <row r="6342" ht="15" customHeight="1"/>
    <row r="6343" ht="15" customHeight="1"/>
    <row r="6344" ht="15" customHeight="1"/>
    <row r="6345" ht="15" customHeight="1"/>
    <row r="6346" ht="15" customHeight="1"/>
    <row r="6347" ht="15" customHeight="1"/>
    <row r="6348" ht="15" customHeight="1"/>
    <row r="6349" ht="15" customHeight="1"/>
    <row r="6350" ht="15" customHeight="1"/>
    <row r="6351" ht="15" customHeight="1"/>
    <row r="6352" ht="15" customHeight="1"/>
    <row r="6353" ht="15" customHeight="1"/>
    <row r="6354" ht="15" customHeight="1"/>
    <row r="6355" ht="15" customHeight="1"/>
    <row r="6356" ht="15" customHeight="1"/>
    <row r="6357" ht="15" customHeight="1"/>
    <row r="6358" ht="15" customHeight="1"/>
    <row r="6359" ht="15" customHeight="1"/>
    <row r="6360" ht="15" customHeight="1"/>
    <row r="6361" ht="15" customHeight="1"/>
    <row r="6362" ht="15" customHeight="1"/>
    <row r="6363" ht="15" customHeight="1"/>
    <row r="6364" ht="15" customHeight="1"/>
    <row r="6365" ht="15" customHeight="1"/>
    <row r="6366" ht="15" customHeight="1"/>
    <row r="6367" ht="15" customHeight="1"/>
    <row r="6368" ht="15" customHeight="1"/>
    <row r="6369" ht="15" customHeight="1"/>
    <row r="6370" ht="15" customHeight="1"/>
    <row r="6371" ht="15" customHeight="1"/>
    <row r="6372" ht="15" customHeight="1"/>
    <row r="6373" ht="15" customHeight="1"/>
    <row r="6374" ht="15" customHeight="1"/>
    <row r="6375" ht="15" customHeight="1"/>
    <row r="6376" ht="15" customHeight="1"/>
    <row r="6377" ht="15" customHeight="1"/>
    <row r="6378" ht="15" customHeight="1"/>
    <row r="6379" ht="15" customHeight="1"/>
    <row r="6380" ht="15" customHeight="1"/>
    <row r="6381" ht="15" customHeight="1"/>
    <row r="6382" ht="15" customHeight="1"/>
    <row r="6383" ht="15" customHeight="1"/>
    <row r="6384" ht="15" customHeight="1"/>
    <row r="6385" ht="15" customHeight="1"/>
    <row r="6386" ht="15" customHeight="1"/>
    <row r="6387" ht="15" customHeight="1"/>
    <row r="6388" ht="15" customHeight="1"/>
    <row r="6389" ht="15" customHeight="1"/>
    <row r="6390" ht="15" customHeight="1"/>
    <row r="6391" ht="15" customHeight="1"/>
    <row r="6392" ht="15" customHeight="1"/>
    <row r="6393" ht="15" customHeight="1"/>
    <row r="6394" ht="15" customHeight="1"/>
    <row r="6395" ht="15" customHeight="1"/>
    <row r="6396" ht="15" customHeight="1"/>
    <row r="6397" ht="15" customHeight="1"/>
    <row r="6398" ht="15" customHeight="1"/>
    <row r="6399" ht="15" customHeight="1"/>
    <row r="6400" ht="15" customHeight="1"/>
    <row r="6401" ht="15" customHeight="1"/>
    <row r="6402" ht="15" customHeight="1"/>
    <row r="6403" ht="15" customHeight="1"/>
    <row r="6404" ht="15" customHeight="1"/>
    <row r="6405" ht="15" customHeight="1"/>
    <row r="6406" ht="15" customHeight="1"/>
    <row r="6407" ht="15" customHeight="1"/>
    <row r="6408" ht="15" customHeight="1"/>
    <row r="6409" ht="15" customHeight="1"/>
    <row r="6410" ht="15" customHeight="1"/>
    <row r="6411" ht="15" customHeight="1"/>
    <row r="6412" ht="15" customHeight="1"/>
    <row r="6413" ht="15" customHeight="1"/>
    <row r="6414" ht="15" customHeight="1"/>
    <row r="6415" ht="15" customHeight="1"/>
    <row r="6416" ht="15" customHeight="1"/>
    <row r="6417" ht="15" customHeight="1"/>
    <row r="6418" ht="15" customHeight="1"/>
    <row r="6419" ht="15" customHeight="1"/>
    <row r="6420" ht="15" customHeight="1"/>
    <row r="6421" ht="15" customHeight="1"/>
    <row r="6422" ht="15" customHeight="1"/>
    <row r="6423" ht="15" customHeight="1"/>
    <row r="6424" ht="15" customHeight="1"/>
    <row r="6425" ht="15" customHeight="1"/>
    <row r="6426" ht="15" customHeight="1"/>
    <row r="6427" ht="15" customHeight="1"/>
    <row r="6428" ht="15" customHeight="1"/>
    <row r="6429" ht="15" customHeight="1"/>
    <row r="6430" ht="15" customHeight="1"/>
    <row r="6431" ht="15" customHeight="1"/>
    <row r="6432" ht="15" customHeight="1"/>
    <row r="6433" ht="15" customHeight="1"/>
    <row r="6434" ht="15" customHeight="1"/>
    <row r="6435" ht="15" customHeight="1"/>
    <row r="6436" ht="15" customHeight="1"/>
    <row r="6437" ht="15" customHeight="1"/>
    <row r="6438" ht="15" customHeight="1"/>
    <row r="6439" ht="15" customHeight="1"/>
    <row r="6440" ht="15" customHeight="1"/>
    <row r="6441" ht="15" customHeight="1"/>
    <row r="6442" ht="15" customHeight="1"/>
    <row r="6443" ht="15" customHeight="1"/>
    <row r="6444" ht="15" customHeight="1"/>
    <row r="6445" ht="15" customHeight="1"/>
    <row r="6446" ht="15" customHeight="1"/>
    <row r="6447" ht="15" customHeight="1"/>
    <row r="6448" ht="15" customHeight="1"/>
    <row r="6449" ht="15" customHeight="1"/>
    <row r="6450" ht="15" customHeight="1"/>
    <row r="6451" ht="15" customHeight="1"/>
    <row r="6452" ht="15" customHeight="1"/>
    <row r="6453" ht="15" customHeight="1"/>
    <row r="6454" ht="15" customHeight="1"/>
    <row r="6455" ht="15" customHeight="1"/>
    <row r="6456" ht="15" customHeight="1"/>
    <row r="6457" ht="15" customHeight="1"/>
    <row r="6458" ht="15" customHeight="1"/>
    <row r="6459" ht="15" customHeight="1"/>
    <row r="6460" ht="15" customHeight="1"/>
    <row r="6461" ht="15" customHeight="1"/>
    <row r="6462" ht="15" customHeight="1"/>
    <row r="6463" ht="15" customHeight="1"/>
    <row r="6464" ht="15" customHeight="1"/>
    <row r="6465" ht="15" customHeight="1"/>
    <row r="6466" ht="15" customHeight="1"/>
    <row r="6467" ht="15" customHeight="1"/>
    <row r="6468" ht="15" customHeight="1"/>
    <row r="6469" ht="15" customHeight="1"/>
    <row r="6470" ht="15" customHeight="1"/>
    <row r="6471" ht="15" customHeight="1"/>
    <row r="6472" ht="15" customHeight="1"/>
    <row r="6473" ht="15" customHeight="1"/>
    <row r="6474" ht="15" customHeight="1"/>
    <row r="6475" ht="15" customHeight="1"/>
    <row r="6476" ht="15" customHeight="1"/>
    <row r="6477" ht="15" customHeight="1"/>
    <row r="6478" ht="15" customHeight="1"/>
    <row r="6479" ht="15" customHeight="1"/>
    <row r="6480" ht="15" customHeight="1"/>
    <row r="6481" ht="15" customHeight="1"/>
    <row r="6482" ht="15" customHeight="1"/>
    <row r="6483" ht="15" customHeight="1"/>
    <row r="6484" ht="15" customHeight="1"/>
    <row r="6485" ht="15" customHeight="1"/>
    <row r="6486" ht="15" customHeight="1"/>
    <row r="6487" ht="15" customHeight="1"/>
    <row r="6488" ht="15" customHeight="1"/>
    <row r="6489" ht="15" customHeight="1"/>
    <row r="6490" ht="15" customHeight="1"/>
    <row r="6491" ht="15" customHeight="1"/>
    <row r="6492" ht="15" customHeight="1"/>
    <row r="6493" ht="15" customHeight="1"/>
    <row r="6494" ht="15" customHeight="1"/>
    <row r="6495" ht="15" customHeight="1"/>
    <row r="6496" ht="15" customHeight="1"/>
    <row r="6497" ht="15" customHeight="1"/>
    <row r="6498" ht="15" customHeight="1"/>
    <row r="6499" ht="15" customHeight="1"/>
    <row r="6500" ht="15" customHeight="1"/>
    <row r="6501" ht="15" customHeight="1"/>
    <row r="6502" ht="15" customHeight="1"/>
    <row r="6503" ht="15" customHeight="1"/>
    <row r="6504" ht="15" customHeight="1"/>
    <row r="6505" ht="15" customHeight="1"/>
    <row r="6506" ht="15" customHeight="1"/>
    <row r="6507" ht="15" customHeight="1"/>
    <row r="6508" ht="15" customHeight="1"/>
    <row r="6509" ht="15" customHeight="1"/>
    <row r="6510" ht="15" customHeight="1"/>
    <row r="6511" ht="15" customHeight="1"/>
    <row r="6512" ht="15" customHeight="1"/>
    <row r="6513" ht="15" customHeight="1"/>
    <row r="6514" ht="15" customHeight="1"/>
    <row r="6515" ht="15" customHeight="1"/>
    <row r="6516" ht="15" customHeight="1"/>
    <row r="6517" ht="15" customHeight="1"/>
    <row r="6518" ht="15" customHeight="1"/>
    <row r="6519" ht="15" customHeight="1"/>
    <row r="6520" ht="15" customHeight="1"/>
    <row r="6521" ht="15" customHeight="1"/>
    <row r="6522" ht="15" customHeight="1"/>
    <row r="6523" ht="15" customHeight="1"/>
    <row r="6524" ht="15" customHeight="1"/>
    <row r="6525" ht="15" customHeight="1"/>
    <row r="6526" ht="15" customHeight="1"/>
    <row r="6527" ht="15" customHeight="1"/>
    <row r="6528" ht="15" customHeight="1"/>
    <row r="6529" ht="15" customHeight="1"/>
    <row r="6530" ht="15" customHeight="1"/>
    <row r="6531" ht="15" customHeight="1"/>
    <row r="6532" ht="15" customHeight="1"/>
    <row r="6533" ht="15" customHeight="1"/>
    <row r="6534" ht="15" customHeight="1"/>
    <row r="6535" ht="15" customHeight="1"/>
    <row r="6536" ht="15" customHeight="1"/>
    <row r="6537" ht="15" customHeight="1"/>
    <row r="6538" ht="15" customHeight="1"/>
    <row r="6539" ht="15" customHeight="1"/>
    <row r="6540" ht="15" customHeight="1"/>
    <row r="6541" ht="15" customHeight="1"/>
    <row r="6542" ht="15" customHeight="1"/>
    <row r="6543" ht="15" customHeight="1"/>
    <row r="6544" ht="15" customHeight="1"/>
    <row r="6545" ht="15" customHeight="1"/>
    <row r="6546" ht="15" customHeight="1"/>
    <row r="6547" ht="15" customHeight="1"/>
    <row r="6548" ht="15" customHeight="1"/>
    <row r="6549" ht="15" customHeight="1"/>
    <row r="6550" ht="15" customHeight="1"/>
    <row r="6551" ht="15" customHeight="1"/>
    <row r="6552" ht="15" customHeight="1"/>
    <row r="6553" ht="15" customHeight="1"/>
    <row r="6554" ht="15" customHeight="1"/>
    <row r="6555" ht="15" customHeight="1"/>
    <row r="6556" ht="15" customHeight="1"/>
    <row r="6557" ht="15" customHeight="1"/>
    <row r="6558" ht="15" customHeight="1"/>
    <row r="6559" ht="15" customHeight="1"/>
    <row r="6560" ht="15" customHeight="1"/>
    <row r="6561" ht="15" customHeight="1"/>
    <row r="6562" ht="15" customHeight="1"/>
    <row r="6563" ht="15" customHeight="1"/>
    <row r="6564" ht="15" customHeight="1"/>
    <row r="6565" ht="15" customHeight="1"/>
    <row r="6566" ht="15" customHeight="1"/>
    <row r="6567" ht="15" customHeight="1"/>
    <row r="6568" ht="15" customHeight="1"/>
    <row r="6569" ht="15" customHeight="1"/>
    <row r="6570" ht="15" customHeight="1"/>
    <row r="6571" ht="15" customHeight="1"/>
    <row r="6572" ht="15" customHeight="1"/>
    <row r="6573" ht="15" customHeight="1"/>
    <row r="6574" ht="15" customHeight="1"/>
    <row r="6575" ht="15" customHeight="1"/>
    <row r="6576" ht="15" customHeight="1"/>
    <row r="6577" ht="15" customHeight="1"/>
    <row r="6578" ht="15" customHeight="1"/>
    <row r="6579" ht="15" customHeight="1"/>
    <row r="6580" ht="15" customHeight="1"/>
    <row r="6581" ht="15" customHeight="1"/>
    <row r="6582" ht="15" customHeight="1"/>
    <row r="6583" ht="15" customHeight="1"/>
    <row r="6584" ht="15" customHeight="1"/>
    <row r="6585" ht="15" customHeight="1"/>
    <row r="6586" ht="15" customHeight="1"/>
    <row r="6587" ht="15" customHeight="1"/>
    <row r="6588" ht="15" customHeight="1"/>
    <row r="6589" ht="15" customHeight="1"/>
    <row r="6590" ht="15" customHeight="1"/>
    <row r="6591" ht="15" customHeight="1"/>
    <row r="6592" ht="15" customHeight="1"/>
    <row r="6593" ht="15" customHeight="1"/>
    <row r="6594" ht="15" customHeight="1"/>
    <row r="6595" ht="15" customHeight="1"/>
    <row r="6596" ht="15" customHeight="1"/>
    <row r="6597" ht="15" customHeight="1"/>
    <row r="6598" ht="15" customHeight="1"/>
    <row r="6599" ht="15" customHeight="1"/>
    <row r="6600" ht="15" customHeight="1"/>
    <row r="6601" ht="15" customHeight="1"/>
    <row r="6602" ht="15" customHeight="1"/>
    <row r="6603" ht="15" customHeight="1"/>
    <row r="6604" ht="15" customHeight="1"/>
    <row r="6605" ht="15" customHeight="1"/>
    <row r="6606" ht="15" customHeight="1"/>
    <row r="6607" ht="15" customHeight="1"/>
    <row r="6608" ht="15" customHeight="1"/>
    <row r="6609" ht="15" customHeight="1"/>
    <row r="6610" ht="15" customHeight="1"/>
    <row r="6611" ht="15" customHeight="1"/>
    <row r="6612" ht="15" customHeight="1"/>
    <row r="6613" ht="15" customHeight="1"/>
    <row r="6614" ht="15" customHeight="1"/>
    <row r="6615" ht="15" customHeight="1"/>
    <row r="6616" ht="15" customHeight="1"/>
    <row r="6617" ht="15" customHeight="1"/>
    <row r="6618" ht="15" customHeight="1"/>
    <row r="6619" ht="15" customHeight="1"/>
    <row r="6620" ht="15" customHeight="1"/>
    <row r="6621" ht="15" customHeight="1"/>
    <row r="6622" ht="15" customHeight="1"/>
    <row r="6623" ht="15" customHeight="1"/>
    <row r="6624" ht="15" customHeight="1"/>
    <row r="6625" ht="15" customHeight="1"/>
    <row r="6626" ht="15" customHeight="1"/>
    <row r="6627" ht="15" customHeight="1"/>
    <row r="6628" ht="15" customHeight="1"/>
    <row r="6629" ht="15" customHeight="1"/>
    <row r="6630" ht="15" customHeight="1"/>
    <row r="6631" ht="15" customHeight="1"/>
    <row r="6632" ht="15" customHeight="1"/>
    <row r="6633" ht="15" customHeight="1"/>
    <row r="6634" ht="15" customHeight="1"/>
    <row r="6635" ht="15" customHeight="1"/>
    <row r="6636" ht="15" customHeight="1"/>
    <row r="6637" ht="15" customHeight="1"/>
    <row r="6638" ht="15" customHeight="1"/>
    <row r="6639" ht="15" customHeight="1"/>
    <row r="6640" ht="15" customHeight="1"/>
    <row r="6641" ht="15" customHeight="1"/>
    <row r="6642" ht="15" customHeight="1"/>
    <row r="6643" ht="15" customHeight="1"/>
    <row r="6644" ht="15" customHeight="1"/>
    <row r="6645" ht="15" customHeight="1"/>
    <row r="6646" ht="15" customHeight="1"/>
    <row r="6647" ht="15" customHeight="1"/>
    <row r="6648" ht="15" customHeight="1"/>
    <row r="6649" ht="15" customHeight="1"/>
    <row r="6650" ht="15" customHeight="1"/>
    <row r="6651" ht="15" customHeight="1"/>
    <row r="6652" ht="15" customHeight="1"/>
    <row r="6653" ht="15" customHeight="1"/>
    <row r="6654" ht="15" customHeight="1"/>
    <row r="6655" ht="15" customHeight="1"/>
    <row r="6656" ht="15" customHeight="1"/>
    <row r="6657" ht="15" customHeight="1"/>
    <row r="6658" ht="15" customHeight="1"/>
    <row r="6659" ht="15" customHeight="1"/>
    <row r="6660" ht="15" customHeight="1"/>
    <row r="6661" ht="15" customHeight="1"/>
    <row r="6662" ht="15" customHeight="1"/>
    <row r="6663" ht="15" customHeight="1"/>
    <row r="6664" ht="15" customHeight="1"/>
    <row r="6665" ht="15" customHeight="1"/>
    <row r="6666" ht="15" customHeight="1"/>
    <row r="6667" ht="15" customHeight="1"/>
    <row r="6668" ht="15" customHeight="1"/>
    <row r="6669" ht="15" customHeight="1"/>
    <row r="6670" ht="15" customHeight="1"/>
    <row r="6671" ht="15" customHeight="1"/>
    <row r="6672" ht="15" customHeight="1"/>
    <row r="6673" ht="15" customHeight="1"/>
    <row r="6674" ht="15" customHeight="1"/>
    <row r="6675" ht="15" customHeight="1"/>
    <row r="6676" ht="15" customHeight="1"/>
    <row r="6677" ht="15" customHeight="1"/>
    <row r="6678" ht="15" customHeight="1"/>
    <row r="6679" ht="15" customHeight="1"/>
    <row r="6680" ht="15" customHeight="1"/>
    <row r="6681" ht="15" customHeight="1"/>
    <row r="6682" ht="15" customHeight="1"/>
    <row r="6683" ht="15" customHeight="1"/>
    <row r="6684" ht="15" customHeight="1"/>
    <row r="6685" ht="15" customHeight="1"/>
    <row r="6686" ht="15" customHeight="1"/>
    <row r="6687" ht="15" customHeight="1"/>
    <row r="6688" ht="15" customHeight="1"/>
    <row r="6689" ht="15" customHeight="1"/>
    <row r="6690" ht="15" customHeight="1"/>
    <row r="6691" ht="15" customHeight="1"/>
    <row r="6692" ht="15" customHeight="1"/>
    <row r="6693" ht="15" customHeight="1"/>
    <row r="6694" ht="15" customHeight="1"/>
    <row r="6695" ht="15" customHeight="1"/>
    <row r="6696" ht="15" customHeight="1"/>
    <row r="6697" ht="15" customHeight="1"/>
    <row r="6698" ht="15" customHeight="1"/>
    <row r="6699" ht="15" customHeight="1"/>
    <row r="6700" ht="15" customHeight="1"/>
    <row r="6701" ht="15" customHeight="1"/>
    <row r="6702" ht="15" customHeight="1"/>
    <row r="6703" ht="15" customHeight="1"/>
    <row r="6704" ht="15" customHeight="1"/>
    <row r="6705" ht="15" customHeight="1"/>
    <row r="6706" ht="15" customHeight="1"/>
    <row r="6707" ht="15" customHeight="1"/>
    <row r="6708" ht="15" customHeight="1"/>
    <row r="6709" ht="15" customHeight="1"/>
    <row r="6710" ht="15" customHeight="1"/>
    <row r="6711" ht="15" customHeight="1"/>
    <row r="6712" ht="15" customHeight="1"/>
    <row r="6713" ht="15" customHeight="1"/>
    <row r="6714" ht="15" customHeight="1"/>
    <row r="6715" ht="15" customHeight="1"/>
    <row r="6716" ht="15" customHeight="1"/>
    <row r="6717" ht="15" customHeight="1"/>
    <row r="6718" ht="15" customHeight="1"/>
    <row r="6719" ht="15" customHeight="1"/>
    <row r="6720" ht="15" customHeight="1"/>
    <row r="6721" ht="15" customHeight="1"/>
    <row r="6722" ht="15" customHeight="1"/>
    <row r="6723" ht="15" customHeight="1"/>
    <row r="6724" ht="15" customHeight="1"/>
    <row r="6725" ht="15" customHeight="1"/>
    <row r="6726" ht="15" customHeight="1"/>
    <row r="6727" ht="15" customHeight="1"/>
    <row r="6728" ht="15" customHeight="1"/>
    <row r="6729" ht="15" customHeight="1"/>
    <row r="6730" ht="15" customHeight="1"/>
    <row r="6731" ht="15" customHeight="1"/>
    <row r="6732" ht="15" customHeight="1"/>
    <row r="6733" ht="15" customHeight="1"/>
    <row r="6734" ht="15" customHeight="1"/>
    <row r="6735" ht="15" customHeight="1"/>
    <row r="6736" ht="15" customHeight="1"/>
    <row r="6737" ht="15" customHeight="1"/>
    <row r="6738" ht="15" customHeight="1"/>
    <row r="6739" ht="15" customHeight="1"/>
    <row r="6740" ht="15" customHeight="1"/>
    <row r="6741" ht="15" customHeight="1"/>
    <row r="6742" ht="15" customHeight="1"/>
    <row r="6743" ht="15" customHeight="1"/>
    <row r="6744" ht="15" customHeight="1"/>
    <row r="6745" ht="15" customHeight="1"/>
    <row r="6746" ht="15" customHeight="1"/>
    <row r="6747" ht="15" customHeight="1"/>
    <row r="6748" ht="15" customHeight="1"/>
    <row r="6749" ht="15" customHeight="1"/>
    <row r="6750" ht="15" customHeight="1"/>
    <row r="6751" ht="15" customHeight="1"/>
    <row r="6752" ht="15" customHeight="1"/>
    <row r="6753" ht="15" customHeight="1"/>
    <row r="6754" ht="15" customHeight="1"/>
    <row r="6755" ht="15" customHeight="1"/>
    <row r="6756" ht="15" customHeight="1"/>
    <row r="6757" ht="15" customHeight="1"/>
    <row r="6758" ht="15" customHeight="1"/>
    <row r="6759" ht="15" customHeight="1"/>
    <row r="6760" ht="15" customHeight="1"/>
    <row r="6761" ht="15" customHeight="1"/>
    <row r="6762" ht="15" customHeight="1"/>
    <row r="6763" ht="15" customHeight="1"/>
    <row r="6764" ht="15" customHeight="1"/>
    <row r="6765" ht="15" customHeight="1"/>
    <row r="6766" ht="15" customHeight="1"/>
    <row r="6767" ht="15" customHeight="1"/>
    <row r="6768" ht="15" customHeight="1"/>
    <row r="6769" ht="15" customHeight="1"/>
    <row r="6770" ht="15" customHeight="1"/>
    <row r="6771" ht="15" customHeight="1"/>
    <row r="6772" ht="15" customHeight="1"/>
    <row r="6773" ht="15" customHeight="1"/>
    <row r="6774" ht="15" customHeight="1"/>
    <row r="6775" ht="15" customHeight="1"/>
    <row r="6776" ht="15" customHeight="1"/>
    <row r="6777" ht="15" customHeight="1"/>
    <row r="6778" ht="15" customHeight="1"/>
    <row r="6779" ht="15" customHeight="1"/>
    <row r="6780" ht="15" customHeight="1"/>
    <row r="6781" ht="15" customHeight="1"/>
    <row r="6782" ht="15" customHeight="1"/>
    <row r="6783" ht="15" customHeight="1"/>
    <row r="6784" ht="15" customHeight="1"/>
    <row r="6785" ht="15" customHeight="1"/>
    <row r="6786" ht="15" customHeight="1"/>
    <row r="6787" ht="15" customHeight="1"/>
    <row r="6788" ht="15" customHeight="1"/>
    <row r="6789" ht="15" customHeight="1"/>
    <row r="6790" ht="15" customHeight="1"/>
    <row r="6791" ht="15" customHeight="1"/>
    <row r="6792" ht="15" customHeight="1"/>
    <row r="6793" ht="15" customHeight="1"/>
    <row r="6794" ht="15" customHeight="1"/>
    <row r="6795" ht="15" customHeight="1"/>
    <row r="6796" ht="15" customHeight="1"/>
    <row r="6797" ht="15" customHeight="1"/>
    <row r="6798" ht="15" customHeight="1"/>
    <row r="6799" ht="15" customHeight="1"/>
    <row r="6800" ht="15" customHeight="1"/>
    <row r="6801" ht="15" customHeight="1"/>
    <row r="6802" ht="15" customHeight="1"/>
    <row r="6803" ht="15" customHeight="1"/>
    <row r="6804" ht="15" customHeight="1"/>
    <row r="6805" ht="15" customHeight="1"/>
    <row r="6806" ht="15" customHeight="1"/>
    <row r="6807" ht="15" customHeight="1"/>
    <row r="6808" ht="15" customHeight="1"/>
    <row r="6809" ht="15" customHeight="1"/>
    <row r="6810" ht="15" customHeight="1"/>
    <row r="6811" ht="15" customHeight="1"/>
    <row r="6812" ht="15" customHeight="1"/>
    <row r="6813" ht="15" customHeight="1"/>
    <row r="6814" ht="15" customHeight="1"/>
    <row r="6815" ht="15" customHeight="1"/>
    <row r="6816" ht="15" customHeight="1"/>
    <row r="6817" ht="15" customHeight="1"/>
    <row r="6818" ht="15" customHeight="1"/>
    <row r="6819" ht="15" customHeight="1"/>
    <row r="6820" ht="15" customHeight="1"/>
    <row r="6821" ht="15" customHeight="1"/>
    <row r="6822" ht="15" customHeight="1"/>
    <row r="6823" ht="15" customHeight="1"/>
    <row r="6824" ht="15" customHeight="1"/>
    <row r="6825" ht="15" customHeight="1"/>
    <row r="6826" ht="15" customHeight="1"/>
    <row r="6827" ht="15" customHeight="1"/>
    <row r="6828" ht="15" customHeight="1"/>
    <row r="6829" ht="15" customHeight="1"/>
    <row r="6830" ht="15" customHeight="1"/>
    <row r="6831" ht="15" customHeight="1"/>
    <row r="6832" ht="15" customHeight="1"/>
    <row r="6833" ht="15" customHeight="1"/>
    <row r="6834" ht="15" customHeight="1"/>
    <row r="6835" ht="15" customHeight="1"/>
    <row r="6836" ht="15" customHeight="1"/>
    <row r="6837" ht="15" customHeight="1"/>
    <row r="6838" ht="15" customHeight="1"/>
    <row r="6839" ht="15" customHeight="1"/>
    <row r="6840" ht="15" customHeight="1"/>
    <row r="6841" ht="15" customHeight="1"/>
    <row r="6842" ht="15" customHeight="1"/>
    <row r="6843" ht="15" customHeight="1"/>
    <row r="6844" ht="15" customHeight="1"/>
    <row r="6845" ht="15" customHeight="1"/>
    <row r="6846" ht="15" customHeight="1"/>
    <row r="6847" ht="15" customHeight="1"/>
    <row r="6848" ht="15" customHeight="1"/>
    <row r="6849" ht="15" customHeight="1"/>
    <row r="6850" ht="15" customHeight="1"/>
    <row r="6851" ht="15" customHeight="1"/>
    <row r="6852" ht="15" customHeight="1"/>
    <row r="6853" ht="15" customHeight="1"/>
    <row r="6854" ht="15" customHeight="1"/>
    <row r="6855" ht="15" customHeight="1"/>
    <row r="6856" ht="15" customHeight="1"/>
    <row r="6857" ht="15" customHeight="1"/>
    <row r="6858" ht="15" customHeight="1"/>
    <row r="6859" ht="15" customHeight="1"/>
    <row r="6860" ht="15" customHeight="1"/>
    <row r="6861" ht="15" customHeight="1"/>
    <row r="6862" ht="15" customHeight="1"/>
    <row r="6863" ht="15" customHeight="1"/>
    <row r="6864" ht="15" customHeight="1"/>
    <row r="6865" ht="15" customHeight="1"/>
    <row r="6866" ht="15" customHeight="1"/>
    <row r="6867" ht="15" customHeight="1"/>
    <row r="6868" ht="15" customHeight="1"/>
    <row r="6869" ht="15" customHeight="1"/>
    <row r="6870" ht="15" customHeight="1"/>
    <row r="6871" ht="15" customHeight="1"/>
    <row r="6872" ht="15" customHeight="1"/>
    <row r="6873" ht="15" customHeight="1"/>
    <row r="6874" ht="15" customHeight="1"/>
    <row r="6875" ht="15" customHeight="1"/>
    <row r="6876" ht="15" customHeight="1"/>
    <row r="6877" ht="15" customHeight="1"/>
    <row r="6878" ht="15" customHeight="1"/>
    <row r="6879" ht="15" customHeight="1"/>
    <row r="6880" ht="15" customHeight="1"/>
    <row r="6881" ht="15" customHeight="1"/>
    <row r="6882" ht="15" customHeight="1"/>
    <row r="6883" ht="15" customHeight="1"/>
    <row r="6884" ht="15" customHeight="1"/>
    <row r="6885" ht="15" customHeight="1"/>
    <row r="6886" ht="15" customHeight="1"/>
    <row r="6887" ht="15" customHeight="1"/>
    <row r="6888" ht="15" customHeight="1"/>
    <row r="6889" ht="15" customHeight="1"/>
    <row r="6890" ht="15" customHeight="1"/>
    <row r="6891" ht="15" customHeight="1"/>
    <row r="6892" ht="15" customHeight="1"/>
    <row r="6893" ht="15" customHeight="1"/>
    <row r="6894" ht="15" customHeight="1"/>
    <row r="6895" ht="15" customHeight="1"/>
    <row r="6896" ht="15" customHeight="1"/>
    <row r="6897" ht="15" customHeight="1"/>
    <row r="6898" ht="15" customHeight="1"/>
    <row r="6899" ht="15" customHeight="1"/>
    <row r="6900" ht="15" customHeight="1"/>
    <row r="6901" ht="15" customHeight="1"/>
    <row r="6902" ht="15" customHeight="1"/>
    <row r="6903" ht="15" customHeight="1"/>
    <row r="6904" ht="15" customHeight="1"/>
    <row r="6905" ht="15" customHeight="1"/>
    <row r="6906" ht="15" customHeight="1"/>
    <row r="6907" ht="15" customHeight="1"/>
    <row r="6908" ht="15" customHeight="1"/>
    <row r="6909" ht="15" customHeight="1"/>
    <row r="6910" ht="15" customHeight="1"/>
    <row r="6911" ht="15" customHeight="1"/>
    <row r="6912" ht="15" customHeight="1"/>
    <row r="6913" ht="15" customHeight="1"/>
    <row r="6914" ht="15" customHeight="1"/>
    <row r="6915" ht="15" customHeight="1"/>
    <row r="6916" ht="15" customHeight="1"/>
    <row r="6917" ht="15" customHeight="1"/>
    <row r="6918" ht="15" customHeight="1"/>
    <row r="6919" ht="15" customHeight="1"/>
    <row r="6920" ht="15" customHeight="1"/>
    <row r="6921" ht="15" customHeight="1"/>
    <row r="6922" ht="15" customHeight="1"/>
    <row r="6923" ht="15" customHeight="1"/>
    <row r="6924" ht="15" customHeight="1"/>
    <row r="6925" ht="15" customHeight="1"/>
    <row r="6926" ht="15" customHeight="1"/>
    <row r="6927" ht="15" customHeight="1"/>
    <row r="6928" ht="15" customHeight="1"/>
    <row r="6929" ht="15" customHeight="1"/>
    <row r="6930" ht="15" customHeight="1"/>
    <row r="6931" ht="15" customHeight="1"/>
    <row r="6932" ht="15" customHeight="1"/>
    <row r="6933" ht="15" customHeight="1"/>
    <row r="6934" ht="15" customHeight="1"/>
    <row r="6935" ht="15" customHeight="1"/>
    <row r="6936" ht="15" customHeight="1"/>
    <row r="6937" ht="15" customHeight="1"/>
    <row r="6938" ht="15" customHeight="1"/>
    <row r="6939" ht="15" customHeight="1"/>
    <row r="6940" ht="15" customHeight="1"/>
    <row r="6941" ht="15" customHeight="1"/>
    <row r="6942" ht="15" customHeight="1"/>
    <row r="6943" ht="15" customHeight="1"/>
    <row r="6944" ht="15" customHeight="1"/>
    <row r="6945" ht="15" customHeight="1"/>
    <row r="6946" ht="15" customHeight="1"/>
    <row r="6947" ht="15" customHeight="1"/>
    <row r="6948" ht="15" customHeight="1"/>
    <row r="6949" ht="15" customHeight="1"/>
    <row r="6950" ht="15" customHeight="1"/>
    <row r="6951" ht="15" customHeight="1"/>
    <row r="6952" ht="15" customHeight="1"/>
    <row r="6953" ht="15" customHeight="1"/>
    <row r="6954" ht="15" customHeight="1"/>
    <row r="6955" ht="15" customHeight="1"/>
    <row r="6956" ht="15" customHeight="1"/>
    <row r="6957" ht="15" customHeight="1"/>
    <row r="6958" ht="15" customHeight="1"/>
    <row r="6959" ht="15" customHeight="1"/>
    <row r="6960" ht="15" customHeight="1"/>
    <row r="6961" ht="15" customHeight="1"/>
    <row r="6962" ht="15" customHeight="1"/>
    <row r="6963" ht="15" customHeight="1"/>
    <row r="6964" ht="15" customHeight="1"/>
    <row r="6965" ht="15" customHeight="1"/>
    <row r="6966" ht="15" customHeight="1"/>
    <row r="6967" ht="15" customHeight="1"/>
    <row r="6968" ht="15" customHeight="1"/>
    <row r="6969" ht="15" customHeight="1"/>
    <row r="6970" ht="15" customHeight="1"/>
    <row r="6971" ht="15" customHeight="1"/>
    <row r="6972" ht="15" customHeight="1"/>
    <row r="6973" ht="15" customHeight="1"/>
    <row r="6974" ht="15" customHeight="1"/>
    <row r="6975" ht="15" customHeight="1"/>
    <row r="6976" ht="15" customHeight="1"/>
    <row r="6977" ht="15" customHeight="1"/>
    <row r="6978" ht="15" customHeight="1"/>
    <row r="6979" ht="15" customHeight="1"/>
    <row r="6980" ht="15" customHeight="1"/>
    <row r="6981" ht="15" customHeight="1"/>
    <row r="6982" ht="15" customHeight="1"/>
    <row r="6983" ht="15" customHeight="1"/>
    <row r="6984" ht="15" customHeight="1"/>
    <row r="6985" ht="15" customHeight="1"/>
    <row r="6986" ht="15" customHeight="1"/>
    <row r="6987" ht="15" customHeight="1"/>
    <row r="6988" ht="15" customHeight="1"/>
    <row r="6989" ht="15" customHeight="1"/>
    <row r="6990" ht="15" customHeight="1"/>
    <row r="6991" ht="15" customHeight="1"/>
    <row r="6992" ht="15" customHeight="1"/>
    <row r="6993" ht="15" customHeight="1"/>
    <row r="6994" ht="15" customHeight="1"/>
    <row r="6995" ht="15" customHeight="1"/>
    <row r="6996" ht="15" customHeight="1"/>
    <row r="6997" ht="15" customHeight="1"/>
    <row r="6998" ht="15" customHeight="1"/>
    <row r="6999" ht="15" customHeight="1"/>
    <row r="7000" ht="15" customHeight="1"/>
    <row r="7001" ht="15" customHeight="1"/>
    <row r="7002" ht="15" customHeight="1"/>
    <row r="7003" ht="15" customHeight="1"/>
    <row r="7004" ht="15" customHeight="1"/>
    <row r="7005" ht="15" customHeight="1"/>
    <row r="7006" ht="15" customHeight="1"/>
    <row r="7007" ht="15" customHeight="1"/>
    <row r="7008" ht="15" customHeight="1"/>
    <row r="7009" ht="15" customHeight="1"/>
    <row r="7010" ht="15" customHeight="1"/>
    <row r="7011" ht="15" customHeight="1"/>
    <row r="7012" ht="15" customHeight="1"/>
    <row r="7013" ht="15" customHeight="1"/>
    <row r="7014" ht="15" customHeight="1"/>
    <row r="7015" ht="15" customHeight="1"/>
    <row r="7016" ht="15" customHeight="1"/>
    <row r="7017" ht="15" customHeight="1"/>
    <row r="7018" ht="15" customHeight="1"/>
    <row r="7019" ht="15" customHeight="1"/>
    <row r="7020" ht="15" customHeight="1"/>
    <row r="7021" ht="15" customHeight="1"/>
    <row r="7022" ht="15" customHeight="1"/>
    <row r="7023" ht="15" customHeight="1"/>
    <row r="7024" ht="15" customHeight="1"/>
    <row r="7025" ht="15" customHeight="1"/>
    <row r="7026" ht="15" customHeight="1"/>
    <row r="7027" ht="15" customHeight="1"/>
    <row r="7028" ht="15" customHeight="1"/>
    <row r="7029" ht="15" customHeight="1"/>
    <row r="7030" ht="15" customHeight="1"/>
    <row r="7031" ht="15" customHeight="1"/>
    <row r="7032" ht="15" customHeight="1"/>
    <row r="7033" ht="15" customHeight="1"/>
    <row r="7034" ht="15" customHeight="1"/>
    <row r="7035" ht="15" customHeight="1"/>
    <row r="7036" ht="15" customHeight="1"/>
    <row r="7037" ht="15" customHeight="1"/>
    <row r="7038" ht="15" customHeight="1"/>
    <row r="7039" ht="15" customHeight="1"/>
    <row r="7040" ht="15" customHeight="1"/>
    <row r="7041" ht="15" customHeight="1"/>
    <row r="7042" ht="15" customHeight="1"/>
    <row r="7043" ht="15" customHeight="1"/>
    <row r="7044" ht="15" customHeight="1"/>
    <row r="7045" ht="15" customHeight="1"/>
    <row r="7046" ht="15" customHeight="1"/>
    <row r="7047" ht="15" customHeight="1"/>
    <row r="7048" ht="15" customHeight="1"/>
    <row r="7049" ht="15" customHeight="1"/>
    <row r="7050" ht="15" customHeight="1"/>
    <row r="7051" ht="15" customHeight="1"/>
    <row r="7052" ht="15" customHeight="1"/>
    <row r="7053" ht="15" customHeight="1"/>
    <row r="7054" ht="15" customHeight="1"/>
    <row r="7055" ht="15" customHeight="1"/>
    <row r="7056" ht="15" customHeight="1"/>
    <row r="7057" ht="15" customHeight="1"/>
    <row r="7058" ht="15" customHeight="1"/>
    <row r="7059" ht="15" customHeight="1"/>
    <row r="7060" ht="15" customHeight="1"/>
    <row r="7061" ht="15" customHeight="1"/>
    <row r="7062" ht="15" customHeight="1"/>
    <row r="7063" ht="15" customHeight="1"/>
    <row r="7064" ht="15" customHeight="1"/>
    <row r="7065" ht="15" customHeight="1"/>
    <row r="7066" ht="15" customHeight="1"/>
    <row r="7067" ht="15" customHeight="1"/>
    <row r="7068" ht="15" customHeight="1"/>
    <row r="7069" ht="15" customHeight="1"/>
    <row r="7070" ht="15" customHeight="1"/>
    <row r="7071" ht="15" customHeight="1"/>
    <row r="7072" ht="15" customHeight="1"/>
    <row r="7073" ht="15" customHeight="1"/>
    <row r="7074" ht="15" customHeight="1"/>
    <row r="7075" ht="15" customHeight="1"/>
    <row r="7076" ht="15" customHeight="1"/>
    <row r="7077" ht="15" customHeight="1"/>
    <row r="7078" ht="15" customHeight="1"/>
    <row r="7079" ht="15" customHeight="1"/>
    <row r="7080" ht="15" customHeight="1"/>
    <row r="7081" ht="15" customHeight="1"/>
    <row r="7082" ht="15" customHeight="1"/>
    <row r="7083" ht="15" customHeight="1"/>
    <row r="7084" ht="15" customHeight="1"/>
    <row r="7085" ht="15" customHeight="1"/>
    <row r="7086" ht="15" customHeight="1"/>
    <row r="7087" ht="15" customHeight="1"/>
    <row r="7088" ht="15" customHeight="1"/>
    <row r="7089" ht="15" customHeight="1"/>
    <row r="7090" ht="15" customHeight="1"/>
    <row r="7091" ht="15" customHeight="1"/>
    <row r="7092" ht="15" customHeight="1"/>
    <row r="7093" ht="15" customHeight="1"/>
    <row r="7094" ht="15" customHeight="1"/>
    <row r="7095" ht="15" customHeight="1"/>
    <row r="7096" ht="15" customHeight="1"/>
    <row r="7097" ht="15" customHeight="1"/>
    <row r="7098" ht="15" customHeight="1"/>
    <row r="7099" ht="15" customHeight="1"/>
    <row r="7100" ht="15" customHeight="1"/>
    <row r="7101" ht="15" customHeight="1"/>
    <row r="7102" ht="15" customHeight="1"/>
    <row r="7103" ht="15" customHeight="1"/>
    <row r="7104" ht="15" customHeight="1"/>
    <row r="7105" ht="15" customHeight="1"/>
    <row r="7106" ht="15" customHeight="1"/>
    <row r="7107" ht="15" customHeight="1"/>
    <row r="7108" ht="15" customHeight="1"/>
    <row r="7109" ht="15" customHeight="1"/>
    <row r="7110" ht="15" customHeight="1"/>
    <row r="7111" ht="15" customHeight="1"/>
    <row r="7112" ht="15" customHeight="1"/>
    <row r="7113" ht="15" customHeight="1"/>
    <row r="7114" ht="15" customHeight="1"/>
    <row r="7115" ht="15" customHeight="1"/>
    <row r="7116" ht="15" customHeight="1"/>
    <row r="7117" ht="15" customHeight="1"/>
    <row r="7118" ht="15" customHeight="1"/>
    <row r="7119" ht="15" customHeight="1"/>
    <row r="7120" ht="15" customHeight="1"/>
    <row r="7121" ht="15" customHeight="1"/>
    <row r="7122" ht="15" customHeight="1"/>
    <row r="7123" ht="15" customHeight="1"/>
    <row r="7124" ht="15" customHeight="1"/>
    <row r="7125" ht="15" customHeight="1"/>
    <row r="7126" ht="15" customHeight="1"/>
    <row r="7127" ht="15" customHeight="1"/>
    <row r="7128" ht="15" customHeight="1"/>
    <row r="7129" ht="15" customHeight="1"/>
    <row r="7130" ht="15" customHeight="1"/>
    <row r="7131" ht="15" customHeight="1"/>
    <row r="7132" ht="15" customHeight="1"/>
    <row r="7133" ht="15" customHeight="1"/>
    <row r="7134" ht="15" customHeight="1"/>
    <row r="7135" ht="15" customHeight="1"/>
    <row r="7136" ht="15" customHeight="1"/>
    <row r="7137" ht="15" customHeight="1"/>
    <row r="7138" ht="15" customHeight="1"/>
    <row r="7139" ht="15" customHeight="1"/>
    <row r="7140" ht="15" customHeight="1"/>
    <row r="7141" ht="15" customHeight="1"/>
    <row r="7142" ht="15" customHeight="1"/>
    <row r="7143" ht="15" customHeight="1"/>
    <row r="7144" ht="15" customHeight="1"/>
    <row r="7145" ht="15" customHeight="1"/>
    <row r="7146" ht="15" customHeight="1"/>
    <row r="7147" ht="15" customHeight="1"/>
    <row r="7148" ht="15" customHeight="1"/>
    <row r="7149" ht="15" customHeight="1"/>
    <row r="7150" ht="15" customHeight="1"/>
    <row r="7151" ht="15" customHeight="1"/>
    <row r="7152" ht="15" customHeight="1"/>
    <row r="7153" ht="15" customHeight="1"/>
    <row r="7154" ht="15" customHeight="1"/>
    <row r="7155" ht="15" customHeight="1"/>
    <row r="7156" ht="15" customHeight="1"/>
    <row r="7157" ht="15" customHeight="1"/>
    <row r="7158" ht="15" customHeight="1"/>
    <row r="7159" ht="15" customHeight="1"/>
    <row r="7160" ht="15" customHeight="1"/>
    <row r="7161" ht="15" customHeight="1"/>
    <row r="7162" ht="15" customHeight="1"/>
    <row r="7163" ht="15" customHeight="1"/>
    <row r="7164" ht="15" customHeight="1"/>
    <row r="7165" ht="15" customHeight="1"/>
    <row r="7166" ht="15" customHeight="1"/>
    <row r="7167" ht="15" customHeight="1"/>
    <row r="7168" ht="15" customHeight="1"/>
    <row r="7169" ht="15" customHeight="1"/>
    <row r="7170" ht="15" customHeight="1"/>
    <row r="7171" ht="15" customHeight="1"/>
    <row r="7172" ht="15" customHeight="1"/>
    <row r="7173" ht="15" customHeight="1"/>
    <row r="7174" ht="15" customHeight="1"/>
    <row r="7175" ht="15" customHeight="1"/>
    <row r="7176" ht="15" customHeight="1"/>
    <row r="7177" ht="15" customHeight="1"/>
    <row r="7178" ht="15" customHeight="1"/>
    <row r="7179" ht="15" customHeight="1"/>
    <row r="7180" ht="15" customHeight="1"/>
    <row r="7181" ht="15" customHeight="1"/>
    <row r="7182" ht="15" customHeight="1"/>
    <row r="7183" ht="15" customHeight="1"/>
    <row r="7184" ht="15" customHeight="1"/>
    <row r="7185" ht="15" customHeight="1"/>
    <row r="7186" ht="15" customHeight="1"/>
    <row r="7187" ht="15" customHeight="1"/>
    <row r="7188" ht="15" customHeight="1"/>
    <row r="7189" ht="15" customHeight="1"/>
    <row r="7190" ht="15" customHeight="1"/>
    <row r="7191" ht="15" customHeight="1"/>
    <row r="7192" ht="15" customHeight="1"/>
    <row r="7193" ht="15" customHeight="1"/>
    <row r="7194" ht="15" customHeight="1"/>
    <row r="7195" ht="15" customHeight="1"/>
    <row r="7196" ht="15" customHeight="1"/>
    <row r="7197" ht="15" customHeight="1"/>
    <row r="7198" ht="15" customHeight="1"/>
    <row r="7199" ht="15" customHeight="1"/>
    <row r="7200" ht="15" customHeight="1"/>
    <row r="7201" ht="15" customHeight="1"/>
    <row r="7202" ht="15" customHeight="1"/>
    <row r="7203" ht="15" customHeight="1"/>
    <row r="7204" ht="15" customHeight="1"/>
    <row r="7205" ht="15" customHeight="1"/>
    <row r="7206" ht="15" customHeight="1"/>
    <row r="7207" ht="15" customHeight="1"/>
    <row r="7208" ht="15" customHeight="1"/>
    <row r="7209" ht="15" customHeight="1"/>
    <row r="7210" ht="15" customHeight="1"/>
    <row r="7211" ht="15" customHeight="1"/>
    <row r="7212" ht="15" customHeight="1"/>
    <row r="7213" ht="15" customHeight="1"/>
    <row r="7214" ht="15" customHeight="1"/>
    <row r="7215" ht="15" customHeight="1"/>
    <row r="7216" ht="15" customHeight="1"/>
    <row r="7217" ht="15" customHeight="1"/>
    <row r="7218" ht="15" customHeight="1"/>
    <row r="7219" ht="15" customHeight="1"/>
    <row r="7220" ht="15" customHeight="1"/>
    <row r="7221" ht="15" customHeight="1"/>
    <row r="7222" ht="15" customHeight="1"/>
    <row r="7223" ht="15" customHeight="1"/>
    <row r="7224" ht="15" customHeight="1"/>
    <row r="7225" ht="15" customHeight="1"/>
    <row r="7226" ht="15" customHeight="1"/>
    <row r="7227" ht="15" customHeight="1"/>
    <row r="7228" ht="15" customHeight="1"/>
    <row r="7229" ht="15" customHeight="1"/>
    <row r="7230" ht="15" customHeight="1"/>
    <row r="7231" ht="15" customHeight="1"/>
    <row r="7232" ht="15" customHeight="1"/>
    <row r="7233" ht="15" customHeight="1"/>
    <row r="7234" ht="15" customHeight="1"/>
    <row r="7235" ht="15" customHeight="1"/>
    <row r="7236" ht="15" customHeight="1"/>
    <row r="7237" ht="15" customHeight="1"/>
    <row r="7238" ht="15" customHeight="1"/>
    <row r="7239" ht="15" customHeight="1"/>
    <row r="7240" ht="15" customHeight="1"/>
    <row r="7241" ht="15" customHeight="1"/>
    <row r="7242" ht="15" customHeight="1"/>
    <row r="7243" ht="15" customHeight="1"/>
    <row r="7244" ht="15" customHeight="1"/>
    <row r="7245" ht="15" customHeight="1"/>
    <row r="7246" ht="15" customHeight="1"/>
    <row r="7247" ht="15" customHeight="1"/>
    <row r="7248" ht="15" customHeight="1"/>
    <row r="7249" ht="15" customHeight="1"/>
    <row r="7250" ht="15" customHeight="1"/>
    <row r="7251" ht="15" customHeight="1"/>
    <row r="7252" ht="15" customHeight="1"/>
    <row r="7253" ht="15" customHeight="1"/>
    <row r="7254" ht="15" customHeight="1"/>
    <row r="7255" ht="15" customHeight="1"/>
    <row r="7256" ht="15" customHeight="1"/>
    <row r="7257" ht="15" customHeight="1"/>
    <row r="7258" ht="15" customHeight="1"/>
    <row r="7259" ht="15" customHeight="1"/>
    <row r="7260" ht="15" customHeight="1"/>
    <row r="7261" ht="15" customHeight="1"/>
    <row r="7262" ht="15" customHeight="1"/>
    <row r="7263" ht="15" customHeight="1"/>
    <row r="7264" ht="15" customHeight="1"/>
    <row r="7265" ht="15" customHeight="1"/>
    <row r="7266" ht="15" customHeight="1"/>
    <row r="7267" ht="15" customHeight="1"/>
    <row r="7268" ht="15" customHeight="1"/>
    <row r="7269" ht="15" customHeight="1"/>
    <row r="7270" ht="15" customHeight="1"/>
    <row r="7271" ht="15" customHeight="1"/>
    <row r="7272" ht="15" customHeight="1"/>
    <row r="7273" ht="15" customHeight="1"/>
    <row r="7274" ht="15" customHeight="1"/>
    <row r="7275" ht="15" customHeight="1"/>
    <row r="7276" ht="15" customHeight="1"/>
    <row r="7277" ht="15" customHeight="1"/>
    <row r="7278" ht="15" customHeight="1"/>
    <row r="7279" ht="15" customHeight="1"/>
    <row r="7280" ht="15" customHeight="1"/>
    <row r="7281" ht="15" customHeight="1"/>
    <row r="7282" ht="15" customHeight="1"/>
    <row r="7283" ht="15" customHeight="1"/>
    <row r="7284" ht="15" customHeight="1"/>
    <row r="7285" ht="15" customHeight="1"/>
    <row r="7286" ht="15" customHeight="1"/>
    <row r="7287" ht="15" customHeight="1"/>
    <row r="7288" ht="15" customHeight="1"/>
    <row r="7289" ht="15" customHeight="1"/>
    <row r="7290" ht="15" customHeight="1"/>
    <row r="7291" ht="15" customHeight="1"/>
    <row r="7292" ht="15" customHeight="1"/>
    <row r="7293" ht="15" customHeight="1"/>
    <row r="7294" ht="15" customHeight="1"/>
    <row r="7295" ht="15" customHeight="1"/>
    <row r="7296" ht="15" customHeight="1"/>
    <row r="7297" ht="15" customHeight="1"/>
    <row r="7298" ht="15" customHeight="1"/>
    <row r="7299" ht="15" customHeight="1"/>
    <row r="7300" ht="15" customHeight="1"/>
    <row r="7301" ht="15" customHeight="1"/>
    <row r="7302" ht="15" customHeight="1"/>
    <row r="7303" ht="15" customHeight="1"/>
    <row r="7304" ht="15" customHeight="1"/>
    <row r="7305" ht="15" customHeight="1"/>
    <row r="7306" ht="15" customHeight="1"/>
    <row r="7307" ht="15" customHeight="1"/>
    <row r="7308" ht="15" customHeight="1"/>
    <row r="7309" ht="15" customHeight="1"/>
    <row r="7310" ht="15" customHeight="1"/>
    <row r="7311" ht="15" customHeight="1"/>
    <row r="7312" ht="15" customHeight="1"/>
    <row r="7313" ht="15" customHeight="1"/>
    <row r="7314" ht="15" customHeight="1"/>
    <row r="7315" ht="15" customHeight="1"/>
    <row r="7316" ht="15" customHeight="1"/>
    <row r="7317" ht="15" customHeight="1"/>
    <row r="7318" ht="15" customHeight="1"/>
    <row r="7319" ht="15" customHeight="1"/>
    <row r="7320" ht="15" customHeight="1"/>
    <row r="7321" ht="15" customHeight="1"/>
    <row r="7322" ht="15" customHeight="1"/>
    <row r="7323" ht="15" customHeight="1"/>
    <row r="7324" ht="15" customHeight="1"/>
    <row r="7325" ht="15" customHeight="1"/>
    <row r="7326" ht="15" customHeight="1"/>
    <row r="7327" ht="15" customHeight="1"/>
    <row r="7328" ht="15" customHeight="1"/>
    <row r="7329" ht="15" customHeight="1"/>
    <row r="7330" ht="15" customHeight="1"/>
    <row r="7331" ht="15" customHeight="1"/>
    <row r="7332" ht="15" customHeight="1"/>
    <row r="7333" ht="15" customHeight="1"/>
    <row r="7334" ht="15" customHeight="1"/>
    <row r="7335" ht="15" customHeight="1"/>
    <row r="7336" ht="15" customHeight="1"/>
    <row r="7337" ht="15" customHeight="1"/>
    <row r="7338" ht="15" customHeight="1"/>
    <row r="7339" ht="15" customHeight="1"/>
    <row r="7340" ht="15" customHeight="1"/>
    <row r="7341" ht="15" customHeight="1"/>
    <row r="7342" ht="15" customHeight="1"/>
    <row r="7343" ht="15" customHeight="1"/>
    <row r="7344" ht="15" customHeight="1"/>
    <row r="7345" ht="15" customHeight="1"/>
    <row r="7346" ht="15" customHeight="1"/>
    <row r="7347" ht="15" customHeight="1"/>
    <row r="7348" ht="15" customHeight="1"/>
    <row r="7349" ht="15" customHeight="1"/>
    <row r="7350" ht="15" customHeight="1"/>
    <row r="7351" ht="15" customHeight="1"/>
    <row r="7352" ht="15" customHeight="1"/>
    <row r="7353" ht="15" customHeight="1"/>
    <row r="7354" ht="15" customHeight="1"/>
    <row r="7355" ht="15" customHeight="1"/>
    <row r="7356" ht="15" customHeight="1"/>
    <row r="7357" ht="15" customHeight="1"/>
    <row r="7358" ht="15" customHeight="1"/>
    <row r="7359" ht="15" customHeight="1"/>
    <row r="7360" ht="15" customHeight="1"/>
    <row r="7361" ht="15" customHeight="1"/>
    <row r="7362" ht="15" customHeight="1"/>
    <row r="7363" ht="15" customHeight="1"/>
    <row r="7364" ht="15" customHeight="1"/>
    <row r="7365" ht="15" customHeight="1"/>
    <row r="7366" ht="15" customHeight="1"/>
    <row r="7367" ht="15" customHeight="1"/>
    <row r="7368" ht="15" customHeight="1"/>
    <row r="7369" ht="15" customHeight="1"/>
    <row r="7370" ht="15" customHeight="1"/>
    <row r="7371" ht="15" customHeight="1"/>
    <row r="7372" ht="15" customHeight="1"/>
    <row r="7373" ht="15" customHeight="1"/>
    <row r="7374" ht="15" customHeight="1"/>
    <row r="7375" ht="15" customHeight="1"/>
    <row r="7376" ht="15" customHeight="1"/>
    <row r="7377" ht="15" customHeight="1"/>
    <row r="7378" ht="15" customHeight="1"/>
    <row r="7379" ht="15" customHeight="1"/>
    <row r="7380" ht="15" customHeight="1"/>
    <row r="7381" ht="15" customHeight="1"/>
    <row r="7382" ht="15" customHeight="1"/>
    <row r="7383" ht="15" customHeight="1"/>
    <row r="7384" ht="15" customHeight="1"/>
    <row r="7385" ht="15" customHeight="1"/>
    <row r="7386" ht="15" customHeight="1"/>
    <row r="7387" ht="15" customHeight="1"/>
    <row r="7388" ht="15" customHeight="1"/>
    <row r="7389" ht="15" customHeight="1"/>
    <row r="7390" ht="15" customHeight="1"/>
    <row r="7391" ht="15" customHeight="1"/>
    <row r="7392" ht="15" customHeight="1"/>
    <row r="7393" ht="15" customHeight="1"/>
    <row r="7394" ht="15" customHeight="1"/>
    <row r="7395" ht="15" customHeight="1"/>
    <row r="7396" ht="15" customHeight="1"/>
    <row r="7397" ht="15" customHeight="1"/>
    <row r="7398" ht="15" customHeight="1"/>
    <row r="7399" ht="15" customHeight="1"/>
    <row r="7400" ht="15" customHeight="1"/>
    <row r="7401" ht="15" customHeight="1"/>
    <row r="7402" ht="15" customHeight="1"/>
    <row r="7403" ht="15" customHeight="1"/>
    <row r="7404" ht="15" customHeight="1"/>
    <row r="7405" ht="15" customHeight="1"/>
    <row r="7406" ht="15" customHeight="1"/>
    <row r="7407" ht="15" customHeight="1"/>
    <row r="7408" ht="15" customHeight="1"/>
    <row r="7409" ht="15" customHeight="1"/>
    <row r="7410" ht="15" customHeight="1"/>
    <row r="7411" ht="15" customHeight="1"/>
    <row r="7412" ht="15" customHeight="1"/>
    <row r="7413" ht="15" customHeight="1"/>
    <row r="7414" ht="15" customHeight="1"/>
    <row r="7415" ht="15" customHeight="1"/>
    <row r="7416" ht="15" customHeight="1"/>
    <row r="7417" ht="15" customHeight="1"/>
    <row r="7418" ht="15" customHeight="1"/>
    <row r="7419" ht="15" customHeight="1"/>
    <row r="7420" ht="15" customHeight="1"/>
    <row r="7421" ht="15" customHeight="1"/>
    <row r="7422" ht="15" customHeight="1"/>
    <row r="7423" ht="15" customHeight="1"/>
    <row r="7424" ht="15" customHeight="1"/>
    <row r="7425" ht="15" customHeight="1"/>
    <row r="7426" ht="15" customHeight="1"/>
    <row r="7427" ht="15" customHeight="1"/>
    <row r="7428" ht="15" customHeight="1"/>
    <row r="7429" ht="15" customHeight="1"/>
    <row r="7430" ht="15" customHeight="1"/>
    <row r="7431" ht="15" customHeight="1"/>
    <row r="7432" ht="15" customHeight="1"/>
    <row r="7433" ht="15" customHeight="1"/>
    <row r="7434" ht="15" customHeight="1"/>
    <row r="7435" ht="15" customHeight="1"/>
    <row r="7436" ht="15" customHeight="1"/>
    <row r="7437" ht="15" customHeight="1"/>
    <row r="7438" ht="15" customHeight="1"/>
    <row r="7439" ht="15" customHeight="1"/>
    <row r="7440" ht="15" customHeight="1"/>
    <row r="7441" ht="15" customHeight="1"/>
    <row r="7442" ht="15" customHeight="1"/>
    <row r="7443" ht="15" customHeight="1"/>
    <row r="7444" ht="15" customHeight="1"/>
    <row r="7445" ht="15" customHeight="1"/>
    <row r="7446" ht="15" customHeight="1"/>
    <row r="7447" ht="15" customHeight="1"/>
    <row r="7448" ht="15" customHeight="1"/>
    <row r="7449" ht="15" customHeight="1"/>
    <row r="7450" ht="15" customHeight="1"/>
    <row r="7451" ht="15" customHeight="1"/>
    <row r="7452" ht="15" customHeight="1"/>
    <row r="7453" ht="15" customHeight="1"/>
    <row r="7454" ht="15" customHeight="1"/>
    <row r="7455" ht="15" customHeight="1"/>
    <row r="7456" ht="15" customHeight="1"/>
    <row r="7457" ht="15" customHeight="1"/>
    <row r="7458" ht="15" customHeight="1"/>
    <row r="7459" ht="15" customHeight="1"/>
    <row r="7460" ht="15" customHeight="1"/>
    <row r="7461" ht="15" customHeight="1"/>
    <row r="7462" ht="15" customHeight="1"/>
    <row r="7463" ht="15" customHeight="1"/>
    <row r="7464" ht="15" customHeight="1"/>
    <row r="7465" ht="15" customHeight="1"/>
    <row r="7466" ht="15" customHeight="1"/>
    <row r="7467" ht="15" customHeight="1"/>
    <row r="7468" ht="15" customHeight="1"/>
    <row r="7469" ht="15" customHeight="1"/>
    <row r="7470" ht="15" customHeight="1"/>
    <row r="7471" ht="15" customHeight="1"/>
    <row r="7472" ht="15" customHeight="1"/>
    <row r="7473" ht="15" customHeight="1"/>
    <row r="7474" ht="15" customHeight="1"/>
    <row r="7475" ht="15" customHeight="1"/>
    <row r="7476" ht="15" customHeight="1"/>
    <row r="7477" ht="15" customHeight="1"/>
    <row r="7478" ht="15" customHeight="1"/>
    <row r="7479" ht="15" customHeight="1"/>
    <row r="7480" ht="15" customHeight="1"/>
    <row r="7481" ht="15" customHeight="1"/>
    <row r="7482" ht="15" customHeight="1"/>
    <row r="7483" ht="15" customHeight="1"/>
    <row r="7484" ht="15" customHeight="1"/>
    <row r="7485" ht="15" customHeight="1"/>
    <row r="7486" ht="15" customHeight="1"/>
    <row r="7487" ht="15" customHeight="1"/>
    <row r="7488" ht="15" customHeight="1"/>
    <row r="7489" ht="15" customHeight="1"/>
    <row r="7490" ht="15" customHeight="1"/>
    <row r="7491" ht="15" customHeight="1"/>
    <row r="7492" ht="15" customHeight="1"/>
    <row r="7493" ht="15" customHeight="1"/>
    <row r="7494" ht="15" customHeight="1"/>
    <row r="7495" ht="15" customHeight="1"/>
    <row r="7496" ht="15" customHeight="1"/>
    <row r="7497" ht="15" customHeight="1"/>
    <row r="7498" ht="15" customHeight="1"/>
    <row r="7499" ht="15" customHeight="1"/>
    <row r="7500" ht="15" customHeight="1"/>
    <row r="7501" ht="15" customHeight="1"/>
    <row r="7502" ht="15" customHeight="1"/>
    <row r="7503" ht="15" customHeight="1"/>
    <row r="7504" ht="15" customHeight="1"/>
    <row r="7505" ht="15" customHeight="1"/>
    <row r="7506" ht="15" customHeight="1"/>
    <row r="7507" ht="15" customHeight="1"/>
    <row r="7508" ht="15" customHeight="1"/>
    <row r="7509" ht="15" customHeight="1"/>
    <row r="7510" ht="15" customHeight="1"/>
    <row r="7511" ht="15" customHeight="1"/>
    <row r="7512" ht="15" customHeight="1"/>
    <row r="7513" ht="15" customHeight="1"/>
    <row r="7514" ht="15" customHeight="1"/>
    <row r="7515" ht="15" customHeight="1"/>
    <row r="7516" ht="15" customHeight="1"/>
    <row r="7517" ht="15" customHeight="1"/>
    <row r="7518" ht="15" customHeight="1"/>
    <row r="7519" ht="15" customHeight="1"/>
    <row r="7520" ht="15" customHeight="1"/>
    <row r="7521" ht="15" customHeight="1"/>
    <row r="7522" ht="15" customHeight="1"/>
    <row r="7523" ht="15" customHeight="1"/>
    <row r="7524" ht="15" customHeight="1"/>
    <row r="7525" ht="15" customHeight="1"/>
    <row r="7526" ht="15" customHeight="1"/>
    <row r="7527" ht="15" customHeight="1"/>
    <row r="7528" ht="15" customHeight="1"/>
    <row r="7529" ht="15" customHeight="1"/>
    <row r="7530" ht="15" customHeight="1"/>
    <row r="7531" ht="15" customHeight="1"/>
    <row r="7532" ht="15" customHeight="1"/>
    <row r="7533" ht="15" customHeight="1"/>
    <row r="7534" ht="15" customHeight="1"/>
    <row r="7535" ht="15" customHeight="1"/>
    <row r="7536" ht="15" customHeight="1"/>
    <row r="7537" ht="15" customHeight="1"/>
    <row r="7538" ht="15" customHeight="1"/>
    <row r="7539" ht="15" customHeight="1"/>
    <row r="7540" ht="15" customHeight="1"/>
    <row r="7541" ht="15" customHeight="1"/>
    <row r="7542" ht="15" customHeight="1"/>
    <row r="7543" ht="15" customHeight="1"/>
    <row r="7544" ht="15" customHeight="1"/>
    <row r="7545" ht="15" customHeight="1"/>
    <row r="7546" ht="15" customHeight="1"/>
    <row r="7547" ht="15" customHeight="1"/>
    <row r="7548" ht="15" customHeight="1"/>
    <row r="7549" ht="15" customHeight="1"/>
    <row r="7550" ht="15" customHeight="1"/>
    <row r="7551" ht="15" customHeight="1"/>
    <row r="7552" ht="15" customHeight="1"/>
    <row r="7553" ht="15" customHeight="1"/>
    <row r="7554" ht="15" customHeight="1"/>
    <row r="7555" ht="15" customHeight="1"/>
    <row r="7556" ht="15" customHeight="1"/>
    <row r="7557" ht="15" customHeight="1"/>
    <row r="7558" ht="15" customHeight="1"/>
    <row r="7559" ht="15" customHeight="1"/>
    <row r="7560" ht="15" customHeight="1"/>
    <row r="7561" ht="15" customHeight="1"/>
    <row r="7562" ht="15" customHeight="1"/>
    <row r="7563" ht="15" customHeight="1"/>
    <row r="7564" ht="15" customHeight="1"/>
    <row r="7565" ht="15" customHeight="1"/>
    <row r="7566" ht="15" customHeight="1"/>
    <row r="7567" ht="15" customHeight="1"/>
    <row r="7568" ht="15" customHeight="1"/>
    <row r="7569" ht="15" customHeight="1"/>
    <row r="7570" ht="15" customHeight="1"/>
    <row r="7571" ht="15" customHeight="1"/>
    <row r="7572" ht="15" customHeight="1"/>
    <row r="7573" ht="15" customHeight="1"/>
    <row r="7574" ht="15" customHeight="1"/>
    <row r="7575" ht="15" customHeight="1"/>
    <row r="7576" ht="15" customHeight="1"/>
    <row r="7577" ht="15" customHeight="1"/>
    <row r="7578" ht="15" customHeight="1"/>
    <row r="7579" ht="15" customHeight="1"/>
    <row r="7580" ht="15" customHeight="1"/>
    <row r="7581" ht="15" customHeight="1"/>
    <row r="7582" ht="15" customHeight="1"/>
    <row r="7583" ht="15" customHeight="1"/>
    <row r="7584" ht="15" customHeight="1"/>
    <row r="7585" ht="15" customHeight="1"/>
    <row r="7586" ht="15" customHeight="1"/>
    <row r="7587" ht="15" customHeight="1"/>
    <row r="7588" ht="15" customHeight="1"/>
    <row r="7589" ht="15" customHeight="1"/>
    <row r="7590" ht="15" customHeight="1"/>
    <row r="7591" ht="15" customHeight="1"/>
    <row r="7592" ht="15" customHeight="1"/>
    <row r="7593" ht="15" customHeight="1"/>
    <row r="7594" ht="15" customHeight="1"/>
    <row r="7595" ht="15" customHeight="1"/>
    <row r="7596" ht="15" customHeight="1"/>
    <row r="7597" ht="15" customHeight="1"/>
    <row r="7598" ht="15" customHeight="1"/>
    <row r="7599" ht="15" customHeight="1"/>
    <row r="7600" ht="15" customHeight="1"/>
    <row r="7601" ht="15" customHeight="1"/>
    <row r="7602" ht="15" customHeight="1"/>
    <row r="7603" ht="15" customHeight="1"/>
    <row r="7604" ht="15" customHeight="1"/>
    <row r="7605" ht="15" customHeight="1"/>
    <row r="7606" ht="15" customHeight="1"/>
    <row r="7607" ht="15" customHeight="1"/>
    <row r="7608" ht="15" customHeight="1"/>
    <row r="7609" ht="15" customHeight="1"/>
    <row r="7610" ht="15" customHeight="1"/>
    <row r="7611" ht="15" customHeight="1"/>
    <row r="7612" ht="15" customHeight="1"/>
    <row r="7613" ht="15" customHeight="1"/>
    <row r="7614" ht="15" customHeight="1"/>
    <row r="7615" ht="15" customHeight="1"/>
    <row r="7616" ht="15" customHeight="1"/>
    <row r="7617" ht="15" customHeight="1"/>
    <row r="7618" ht="15" customHeight="1"/>
    <row r="7619" ht="15" customHeight="1"/>
    <row r="7620" ht="15" customHeight="1"/>
    <row r="7621" ht="15" customHeight="1"/>
    <row r="7622" ht="15" customHeight="1"/>
    <row r="7623" ht="15" customHeight="1"/>
    <row r="7624" ht="15" customHeight="1"/>
    <row r="7625" ht="15" customHeight="1"/>
    <row r="7626" ht="15" customHeight="1"/>
    <row r="7627" ht="15" customHeight="1"/>
    <row r="7628" ht="15" customHeight="1"/>
    <row r="7629" ht="15" customHeight="1"/>
    <row r="7630" ht="15" customHeight="1"/>
    <row r="7631" ht="15" customHeight="1"/>
    <row r="7632" ht="15" customHeight="1"/>
    <row r="7633" ht="15" customHeight="1"/>
    <row r="7634" ht="15" customHeight="1"/>
    <row r="7635" ht="15" customHeight="1"/>
    <row r="7636" ht="15" customHeight="1"/>
    <row r="7637" ht="15" customHeight="1"/>
    <row r="7638" ht="15" customHeight="1"/>
    <row r="7639" ht="15" customHeight="1"/>
    <row r="7640" ht="15" customHeight="1"/>
    <row r="7641" ht="15" customHeight="1"/>
    <row r="7642" ht="15" customHeight="1"/>
    <row r="7643" ht="15" customHeight="1"/>
    <row r="7644" ht="15" customHeight="1"/>
    <row r="7645" ht="15" customHeight="1"/>
    <row r="7646" ht="15" customHeight="1"/>
    <row r="7647" ht="15" customHeight="1"/>
    <row r="7648" ht="15" customHeight="1"/>
    <row r="7649" ht="15" customHeight="1"/>
    <row r="7650" ht="15" customHeight="1"/>
    <row r="7651" ht="15" customHeight="1"/>
    <row r="7652" ht="15" customHeight="1"/>
    <row r="7653" ht="15" customHeight="1"/>
    <row r="7654" ht="15" customHeight="1"/>
    <row r="7655" ht="15" customHeight="1"/>
    <row r="7656" ht="15" customHeight="1"/>
    <row r="7657" ht="15" customHeight="1"/>
    <row r="7658" ht="15" customHeight="1"/>
    <row r="7659" ht="15" customHeight="1"/>
    <row r="7660" ht="15" customHeight="1"/>
    <row r="7661" ht="15" customHeight="1"/>
    <row r="7662" ht="15" customHeight="1"/>
    <row r="7663" ht="15" customHeight="1"/>
    <row r="7664" ht="15" customHeight="1"/>
    <row r="7665" ht="15" customHeight="1"/>
    <row r="7666" ht="15" customHeight="1"/>
    <row r="7667" ht="15" customHeight="1"/>
    <row r="7668" ht="15" customHeight="1"/>
    <row r="7669" ht="15" customHeight="1"/>
    <row r="7670" ht="15" customHeight="1"/>
    <row r="7671" ht="15" customHeight="1"/>
    <row r="7672" ht="15" customHeight="1"/>
    <row r="7673" ht="15" customHeight="1"/>
    <row r="7674" ht="15" customHeight="1"/>
    <row r="7675" ht="15" customHeight="1"/>
    <row r="7676" ht="15" customHeight="1"/>
    <row r="7677" ht="15" customHeight="1"/>
    <row r="7678" ht="15" customHeight="1"/>
    <row r="7679" ht="15" customHeight="1"/>
    <row r="7680" ht="15" customHeight="1"/>
    <row r="7681" ht="15" customHeight="1"/>
    <row r="7682" ht="15" customHeight="1"/>
    <row r="7683" ht="15" customHeight="1"/>
    <row r="7684" ht="15" customHeight="1"/>
    <row r="7685" ht="15" customHeight="1"/>
    <row r="7686" ht="15" customHeight="1"/>
    <row r="7687" ht="15" customHeight="1"/>
    <row r="7688" ht="15" customHeight="1"/>
    <row r="7689" ht="15" customHeight="1"/>
    <row r="7690" ht="15" customHeight="1"/>
    <row r="7691" ht="15" customHeight="1"/>
    <row r="7692" ht="15" customHeight="1"/>
    <row r="7693" ht="15" customHeight="1"/>
    <row r="7694" ht="15" customHeight="1"/>
    <row r="7695" ht="15" customHeight="1"/>
    <row r="7696" ht="15" customHeight="1"/>
    <row r="7697" ht="15" customHeight="1"/>
    <row r="7698" ht="15" customHeight="1"/>
    <row r="7699" ht="15" customHeight="1"/>
    <row r="7700" ht="15" customHeight="1"/>
    <row r="7701" ht="15" customHeight="1"/>
    <row r="7702" ht="15" customHeight="1"/>
    <row r="7703" ht="15" customHeight="1"/>
    <row r="7704" ht="15" customHeight="1"/>
    <row r="7705" ht="15" customHeight="1"/>
    <row r="7706" ht="15" customHeight="1"/>
    <row r="7707" ht="15" customHeight="1"/>
    <row r="7708" ht="15" customHeight="1"/>
    <row r="7709" ht="15" customHeight="1"/>
    <row r="7710" ht="15" customHeight="1"/>
    <row r="7711" ht="15" customHeight="1"/>
    <row r="7712" ht="15" customHeight="1"/>
    <row r="7713" ht="15" customHeight="1"/>
    <row r="7714" ht="15" customHeight="1"/>
    <row r="7715" ht="15" customHeight="1"/>
    <row r="7716" ht="15" customHeight="1"/>
    <row r="7717" ht="15" customHeight="1"/>
    <row r="7718" ht="15" customHeight="1"/>
    <row r="7719" ht="15" customHeight="1"/>
    <row r="7720" ht="15" customHeight="1"/>
    <row r="7721" ht="15" customHeight="1"/>
    <row r="7722" ht="15" customHeight="1"/>
    <row r="7723" ht="15" customHeight="1"/>
    <row r="7724" ht="15" customHeight="1"/>
    <row r="7725" ht="15" customHeight="1"/>
    <row r="7726" ht="15" customHeight="1"/>
    <row r="7727" ht="15" customHeight="1"/>
    <row r="7728" ht="15" customHeight="1"/>
    <row r="7729" ht="15" customHeight="1"/>
    <row r="7730" ht="15" customHeight="1"/>
    <row r="7731" ht="15" customHeight="1"/>
    <row r="7732" ht="15" customHeight="1"/>
    <row r="7733" ht="15" customHeight="1"/>
    <row r="7734" ht="15" customHeight="1"/>
    <row r="7735" ht="15" customHeight="1"/>
    <row r="7736" ht="15" customHeight="1"/>
    <row r="7737" ht="15" customHeight="1"/>
    <row r="7738" ht="15" customHeight="1"/>
    <row r="7739" ht="15" customHeight="1"/>
    <row r="7740" ht="15" customHeight="1"/>
    <row r="7741" ht="15" customHeight="1"/>
    <row r="7742" ht="15" customHeight="1"/>
    <row r="7743" ht="15" customHeight="1"/>
    <row r="7744" ht="15" customHeight="1"/>
    <row r="7745" ht="15" customHeight="1"/>
    <row r="7746" ht="15" customHeight="1"/>
    <row r="7747" ht="15" customHeight="1"/>
    <row r="7748" ht="15" customHeight="1"/>
    <row r="7749" ht="15" customHeight="1"/>
    <row r="7750" ht="15" customHeight="1"/>
    <row r="7751" ht="15" customHeight="1"/>
    <row r="7752" ht="15" customHeight="1"/>
    <row r="7753" ht="15" customHeight="1"/>
    <row r="7754" ht="15" customHeight="1"/>
    <row r="7755" ht="15" customHeight="1"/>
    <row r="7756" ht="15" customHeight="1"/>
    <row r="7757" ht="15" customHeight="1"/>
    <row r="7758" ht="15" customHeight="1"/>
    <row r="7759" ht="15" customHeight="1"/>
    <row r="7760" ht="15" customHeight="1"/>
    <row r="7761" ht="15" customHeight="1"/>
    <row r="7762" ht="15" customHeight="1"/>
    <row r="7763" ht="15" customHeight="1"/>
    <row r="7764" ht="15" customHeight="1"/>
    <row r="7765" ht="15" customHeight="1"/>
    <row r="7766" ht="15" customHeight="1"/>
    <row r="7767" ht="15" customHeight="1"/>
    <row r="7768" ht="15" customHeight="1"/>
    <row r="7769" ht="15" customHeight="1"/>
    <row r="7770" ht="15" customHeight="1"/>
    <row r="7771" ht="15" customHeight="1"/>
    <row r="7772" ht="15" customHeight="1"/>
    <row r="7773" ht="15" customHeight="1"/>
    <row r="7774" ht="15" customHeight="1"/>
    <row r="7775" ht="15" customHeight="1"/>
    <row r="7776" ht="15" customHeight="1"/>
    <row r="7777" ht="15" customHeight="1"/>
    <row r="7778" ht="15" customHeight="1"/>
    <row r="7779" ht="15" customHeight="1"/>
    <row r="7780" ht="15" customHeight="1"/>
    <row r="7781" ht="15" customHeight="1"/>
    <row r="7782" ht="15" customHeight="1"/>
    <row r="7783" ht="15" customHeight="1"/>
    <row r="7784" ht="15" customHeight="1"/>
    <row r="7785" ht="15" customHeight="1"/>
    <row r="7786" ht="15" customHeight="1"/>
    <row r="7787" ht="15" customHeight="1"/>
    <row r="7788" ht="15" customHeight="1"/>
    <row r="7789" ht="15" customHeight="1"/>
    <row r="7790" ht="15" customHeight="1"/>
    <row r="7791" ht="15" customHeight="1"/>
    <row r="7792" ht="15" customHeight="1"/>
    <row r="7793" ht="15" customHeight="1"/>
    <row r="7794" ht="15" customHeight="1"/>
    <row r="7795" ht="15" customHeight="1"/>
    <row r="7796" ht="15" customHeight="1"/>
    <row r="7797" ht="15" customHeight="1"/>
    <row r="7798" ht="15" customHeight="1"/>
    <row r="7799" ht="15" customHeight="1"/>
    <row r="7800" ht="15" customHeight="1"/>
    <row r="7801" ht="15" customHeight="1"/>
    <row r="7802" ht="15" customHeight="1"/>
    <row r="7803" ht="15" customHeight="1"/>
    <row r="7804" ht="15" customHeight="1"/>
    <row r="7805" ht="15" customHeight="1"/>
    <row r="7806" ht="15" customHeight="1"/>
    <row r="7807" ht="15" customHeight="1"/>
    <row r="7808" ht="15" customHeight="1"/>
    <row r="7809" ht="15" customHeight="1"/>
    <row r="7810" ht="15" customHeight="1"/>
    <row r="7811" ht="15" customHeight="1"/>
    <row r="7812" ht="15" customHeight="1"/>
    <row r="7813" ht="15" customHeight="1"/>
    <row r="7814" ht="15" customHeight="1"/>
    <row r="7815" ht="15" customHeight="1"/>
    <row r="7816" ht="15" customHeight="1"/>
    <row r="7817" ht="15" customHeight="1"/>
    <row r="7818" ht="15" customHeight="1"/>
    <row r="7819" ht="15" customHeight="1"/>
    <row r="7820" ht="15" customHeight="1"/>
    <row r="7821" ht="15" customHeight="1"/>
    <row r="7822" ht="15" customHeight="1"/>
    <row r="7823" ht="15" customHeight="1"/>
    <row r="7824" ht="15" customHeight="1"/>
    <row r="7825" ht="15" customHeight="1"/>
    <row r="7826" ht="15" customHeight="1"/>
    <row r="7827" ht="15" customHeight="1"/>
    <row r="7828" ht="15" customHeight="1"/>
    <row r="7829" ht="15" customHeight="1"/>
    <row r="7830" ht="15" customHeight="1"/>
    <row r="7831" ht="15" customHeight="1"/>
    <row r="7832" ht="15" customHeight="1"/>
    <row r="7833" ht="15" customHeight="1"/>
    <row r="7834" ht="15" customHeight="1"/>
    <row r="7835" ht="15" customHeight="1"/>
    <row r="7836" ht="15" customHeight="1"/>
    <row r="7837" ht="15" customHeight="1"/>
    <row r="7838" ht="15" customHeight="1"/>
    <row r="7839" ht="15" customHeight="1"/>
    <row r="7840" ht="15" customHeight="1"/>
    <row r="7841" ht="15" customHeight="1"/>
    <row r="7842" ht="15" customHeight="1"/>
    <row r="7843" ht="15" customHeight="1"/>
    <row r="7844" ht="15" customHeight="1"/>
    <row r="7845" ht="15" customHeight="1"/>
    <row r="7846" ht="15" customHeight="1"/>
    <row r="7847" ht="15" customHeight="1"/>
    <row r="7848" ht="15" customHeight="1"/>
    <row r="7849" ht="15" customHeight="1"/>
    <row r="7850" ht="15" customHeight="1"/>
    <row r="7851" ht="15" customHeight="1"/>
    <row r="7852" ht="15" customHeight="1"/>
    <row r="7853" ht="15" customHeight="1"/>
    <row r="7854" ht="15" customHeight="1"/>
    <row r="7855" ht="15" customHeight="1"/>
    <row r="7856" ht="15" customHeight="1"/>
    <row r="7857" ht="15" customHeight="1"/>
    <row r="7858" ht="15" customHeight="1"/>
    <row r="7859" ht="15" customHeight="1"/>
    <row r="7860" ht="15" customHeight="1"/>
    <row r="7861" ht="15" customHeight="1"/>
    <row r="7862" ht="15" customHeight="1"/>
    <row r="7863" ht="15" customHeight="1"/>
    <row r="7864" ht="15" customHeight="1"/>
    <row r="7865" ht="15" customHeight="1"/>
    <row r="7866" ht="15" customHeight="1"/>
    <row r="7867" ht="15" customHeight="1"/>
    <row r="7868" ht="15" customHeight="1"/>
    <row r="7869" ht="15" customHeight="1"/>
    <row r="7870" ht="15" customHeight="1"/>
    <row r="7871" ht="15" customHeight="1"/>
    <row r="7872" ht="15" customHeight="1"/>
    <row r="7873" ht="15" customHeight="1"/>
    <row r="7874" ht="15" customHeight="1"/>
    <row r="7875" ht="15" customHeight="1"/>
    <row r="7876" ht="15" customHeight="1"/>
    <row r="7877" ht="15" customHeight="1"/>
    <row r="7878" ht="15" customHeight="1"/>
    <row r="7879" ht="15" customHeight="1"/>
    <row r="7880" ht="15" customHeight="1"/>
    <row r="7881" ht="15" customHeight="1"/>
    <row r="7882" ht="15" customHeight="1"/>
    <row r="7883" ht="15" customHeight="1"/>
    <row r="7884" ht="15" customHeight="1"/>
    <row r="7885" ht="15" customHeight="1"/>
    <row r="7886" ht="15" customHeight="1"/>
    <row r="7887" ht="15" customHeight="1"/>
    <row r="7888" ht="15" customHeight="1"/>
    <row r="7889" ht="15" customHeight="1"/>
    <row r="7890" ht="15" customHeight="1"/>
    <row r="7891" ht="15" customHeight="1"/>
    <row r="7892" ht="15" customHeight="1"/>
    <row r="7893" ht="15" customHeight="1"/>
    <row r="7894" ht="15" customHeight="1"/>
    <row r="7895" ht="15" customHeight="1"/>
    <row r="7896" ht="15" customHeight="1"/>
    <row r="7897" ht="15" customHeight="1"/>
    <row r="7898" ht="15" customHeight="1"/>
    <row r="7899" ht="15" customHeight="1"/>
    <row r="7900" ht="15" customHeight="1"/>
    <row r="7901" ht="15" customHeight="1"/>
    <row r="7902" ht="15" customHeight="1"/>
    <row r="7903" ht="15" customHeight="1"/>
    <row r="7904" ht="15" customHeight="1"/>
    <row r="7905" ht="15" customHeight="1"/>
    <row r="7906" ht="15" customHeight="1"/>
    <row r="7907" ht="15" customHeight="1"/>
    <row r="7908" ht="15" customHeight="1"/>
    <row r="7909" ht="15" customHeight="1"/>
    <row r="7910" ht="15" customHeight="1"/>
    <row r="7911" ht="15" customHeight="1"/>
    <row r="7912" ht="15" customHeight="1"/>
    <row r="7913" ht="15" customHeight="1"/>
    <row r="7914" ht="15" customHeight="1"/>
    <row r="7915" ht="15" customHeight="1"/>
    <row r="7916" ht="15" customHeight="1"/>
    <row r="7917" ht="15" customHeight="1"/>
    <row r="7918" ht="15" customHeight="1"/>
    <row r="7919" ht="15" customHeight="1"/>
    <row r="7920" ht="15" customHeight="1"/>
    <row r="7921" ht="15" customHeight="1"/>
    <row r="7922" ht="15" customHeight="1"/>
    <row r="7923" ht="15" customHeight="1"/>
    <row r="7924" ht="15" customHeight="1"/>
    <row r="7925" ht="15" customHeight="1"/>
    <row r="7926" ht="15" customHeight="1"/>
    <row r="7927" ht="15" customHeight="1"/>
    <row r="7928" ht="15" customHeight="1"/>
    <row r="7929" ht="15" customHeight="1"/>
    <row r="7930" ht="15" customHeight="1"/>
    <row r="7931" ht="15" customHeight="1"/>
    <row r="7932" ht="15" customHeight="1"/>
    <row r="7933" ht="15" customHeight="1"/>
    <row r="7934" ht="15" customHeight="1"/>
    <row r="7935" ht="15" customHeight="1"/>
    <row r="7936" ht="15" customHeight="1"/>
    <row r="7937" ht="15" customHeight="1"/>
    <row r="7938" ht="15" customHeight="1"/>
    <row r="7939" ht="15" customHeight="1"/>
    <row r="7940" ht="15" customHeight="1"/>
    <row r="7941" ht="15" customHeight="1"/>
    <row r="7942" ht="15" customHeight="1"/>
    <row r="7943" ht="15" customHeight="1"/>
    <row r="7944" ht="15" customHeight="1"/>
    <row r="7945" ht="15" customHeight="1"/>
    <row r="7946" ht="15" customHeight="1"/>
    <row r="7947" ht="15" customHeight="1"/>
    <row r="7948" ht="15" customHeight="1"/>
    <row r="7949" ht="15" customHeight="1"/>
    <row r="7950" ht="15" customHeight="1"/>
    <row r="7951" ht="15" customHeight="1"/>
    <row r="7952" ht="15" customHeight="1"/>
    <row r="7953" ht="15" customHeight="1"/>
    <row r="7954" ht="15" customHeight="1"/>
    <row r="7955" ht="15" customHeight="1"/>
    <row r="7956" ht="15" customHeight="1"/>
    <row r="7957" ht="15" customHeight="1"/>
    <row r="7958" ht="15" customHeight="1"/>
    <row r="7959" ht="15" customHeight="1"/>
    <row r="7960" ht="15" customHeight="1"/>
    <row r="7961" ht="15" customHeight="1"/>
    <row r="7962" ht="15" customHeight="1"/>
    <row r="7963" ht="15" customHeight="1"/>
    <row r="7964" ht="15" customHeight="1"/>
    <row r="7965" ht="15" customHeight="1"/>
    <row r="7966" ht="15" customHeight="1"/>
    <row r="7967" ht="15" customHeight="1"/>
    <row r="7968" ht="15" customHeight="1"/>
    <row r="7969" ht="15" customHeight="1"/>
    <row r="7970" ht="15" customHeight="1"/>
    <row r="7971" ht="15" customHeight="1"/>
    <row r="7972" ht="15" customHeight="1"/>
    <row r="7973" ht="15" customHeight="1"/>
    <row r="7974" ht="15" customHeight="1"/>
    <row r="7975" ht="15" customHeight="1"/>
    <row r="7976" ht="15" customHeight="1"/>
    <row r="7977" ht="15" customHeight="1"/>
    <row r="7978" ht="15" customHeight="1"/>
    <row r="7979" ht="15" customHeight="1"/>
    <row r="7980" ht="15" customHeight="1"/>
    <row r="7981" ht="15" customHeight="1"/>
    <row r="7982" ht="15" customHeight="1"/>
    <row r="7983" ht="15" customHeight="1"/>
    <row r="7984" ht="15" customHeight="1"/>
    <row r="7985" ht="15" customHeight="1"/>
    <row r="7986" ht="15" customHeight="1"/>
    <row r="7987" ht="15" customHeight="1"/>
    <row r="7988" ht="15" customHeight="1"/>
    <row r="7989" ht="15" customHeight="1"/>
    <row r="7990" ht="15" customHeight="1"/>
    <row r="7991" ht="15" customHeight="1"/>
    <row r="7992" ht="15" customHeight="1"/>
    <row r="7993" ht="15" customHeight="1"/>
    <row r="7994" ht="15" customHeight="1"/>
    <row r="7995" ht="15" customHeight="1"/>
    <row r="7996" ht="15" customHeight="1"/>
    <row r="7997" ht="15" customHeight="1"/>
    <row r="7998" ht="15" customHeight="1"/>
    <row r="7999" ht="15" customHeight="1"/>
    <row r="8000" ht="15" customHeight="1"/>
    <row r="8001" ht="15" customHeight="1"/>
    <row r="8002" ht="15" customHeight="1"/>
    <row r="8003" ht="15" customHeight="1"/>
    <row r="8004" ht="15" customHeight="1"/>
    <row r="8005" ht="15" customHeight="1"/>
    <row r="8006" ht="15" customHeight="1"/>
    <row r="8007" ht="15" customHeight="1"/>
    <row r="8008" ht="15" customHeight="1"/>
    <row r="8009" ht="15" customHeight="1"/>
    <row r="8010" ht="15" customHeight="1"/>
    <row r="8011" ht="15" customHeight="1"/>
    <row r="8012" ht="15" customHeight="1"/>
    <row r="8013" ht="15" customHeight="1"/>
    <row r="8014" ht="15" customHeight="1"/>
    <row r="8015" ht="15" customHeight="1"/>
    <row r="8016" ht="15" customHeight="1"/>
    <row r="8017" ht="15" customHeight="1"/>
    <row r="8018" ht="15" customHeight="1"/>
    <row r="8019" ht="15" customHeight="1"/>
    <row r="8020" ht="15" customHeight="1"/>
    <row r="8021" ht="15" customHeight="1"/>
    <row r="8022" ht="15" customHeight="1"/>
    <row r="8023" ht="15" customHeight="1"/>
    <row r="8024" ht="15" customHeight="1"/>
    <row r="8025" ht="15" customHeight="1"/>
    <row r="8026" ht="15" customHeight="1"/>
    <row r="8027" ht="15" customHeight="1"/>
    <row r="8028" ht="15" customHeight="1"/>
    <row r="8029" ht="15" customHeight="1"/>
    <row r="8030" ht="15" customHeight="1"/>
    <row r="8031" ht="15" customHeight="1"/>
    <row r="8032" ht="15" customHeight="1"/>
    <row r="8033" ht="15" customHeight="1"/>
    <row r="8034" ht="15" customHeight="1"/>
    <row r="8035" ht="15" customHeight="1"/>
    <row r="8036" ht="15" customHeight="1"/>
    <row r="8037" ht="15" customHeight="1"/>
    <row r="8038" ht="15" customHeight="1"/>
    <row r="8039" ht="15" customHeight="1"/>
    <row r="8040" ht="15" customHeight="1"/>
    <row r="8041" ht="15" customHeight="1"/>
    <row r="8042" ht="15" customHeight="1"/>
    <row r="8043" ht="15" customHeight="1"/>
    <row r="8044" ht="15" customHeight="1"/>
    <row r="8045" ht="15" customHeight="1"/>
    <row r="8046" ht="15" customHeight="1"/>
    <row r="8047" ht="15" customHeight="1"/>
    <row r="8048" ht="15" customHeight="1"/>
    <row r="8049" ht="15" customHeight="1"/>
    <row r="8050" ht="15" customHeight="1"/>
    <row r="8051" ht="15" customHeight="1"/>
    <row r="8052" ht="15" customHeight="1"/>
    <row r="8053" ht="15" customHeight="1"/>
    <row r="8054" ht="15" customHeight="1"/>
    <row r="8055" ht="15" customHeight="1"/>
    <row r="8056" ht="15" customHeight="1"/>
    <row r="8057" ht="15" customHeight="1"/>
    <row r="8058" ht="15" customHeight="1"/>
    <row r="8059" ht="15" customHeight="1"/>
    <row r="8060" ht="15" customHeight="1"/>
    <row r="8061" ht="15" customHeight="1"/>
    <row r="8062" ht="15" customHeight="1"/>
    <row r="8063" ht="15" customHeight="1"/>
    <row r="8064" ht="15" customHeight="1"/>
    <row r="8065" ht="15" customHeight="1"/>
    <row r="8066" ht="15" customHeight="1"/>
    <row r="8067" ht="15" customHeight="1"/>
    <row r="8068" ht="15" customHeight="1"/>
    <row r="8069" ht="15" customHeight="1"/>
    <row r="8070" ht="15" customHeight="1"/>
    <row r="8071" ht="15" customHeight="1"/>
    <row r="8072" ht="15" customHeight="1"/>
    <row r="8073" ht="15" customHeight="1"/>
    <row r="8074" ht="15" customHeight="1"/>
    <row r="8075" ht="15" customHeight="1"/>
    <row r="8076" ht="15" customHeight="1"/>
    <row r="8077" ht="15" customHeight="1"/>
    <row r="8078" ht="15" customHeight="1"/>
    <row r="8079" ht="15" customHeight="1"/>
    <row r="8080" ht="15" customHeight="1"/>
    <row r="8081" ht="15" customHeight="1"/>
    <row r="8082" ht="15" customHeight="1"/>
    <row r="8083" ht="15" customHeight="1"/>
    <row r="8084" ht="15" customHeight="1"/>
    <row r="8085" ht="15" customHeight="1"/>
    <row r="8086" ht="15" customHeight="1"/>
    <row r="8087" ht="15" customHeight="1"/>
    <row r="8088" ht="15" customHeight="1"/>
    <row r="8089" ht="15" customHeight="1"/>
    <row r="8090" ht="15" customHeight="1"/>
    <row r="8091" ht="15" customHeight="1"/>
    <row r="8092" ht="15" customHeight="1"/>
    <row r="8093" ht="15" customHeight="1"/>
    <row r="8094" ht="15" customHeight="1"/>
    <row r="8095" ht="15" customHeight="1"/>
    <row r="8096" ht="15" customHeight="1"/>
    <row r="8097" ht="15" customHeight="1"/>
    <row r="8098" ht="15" customHeight="1"/>
    <row r="8099" ht="15" customHeight="1"/>
    <row r="8100" ht="15" customHeight="1"/>
    <row r="8101" ht="15" customHeight="1"/>
    <row r="8102" ht="15" customHeight="1"/>
    <row r="8103" ht="15" customHeight="1"/>
    <row r="8104" ht="15" customHeight="1"/>
    <row r="8105" ht="15" customHeight="1"/>
    <row r="8106" ht="15" customHeight="1"/>
    <row r="8107" ht="15" customHeight="1"/>
    <row r="8108" ht="15" customHeight="1"/>
    <row r="8109" ht="15" customHeight="1"/>
    <row r="8110" ht="15" customHeight="1"/>
    <row r="8111" ht="15" customHeight="1"/>
    <row r="8112" ht="15" customHeight="1"/>
    <row r="8113" ht="15" customHeight="1"/>
    <row r="8114" ht="15" customHeight="1"/>
    <row r="8115" ht="15" customHeight="1"/>
    <row r="8116" ht="15" customHeight="1"/>
    <row r="8117" ht="15" customHeight="1"/>
    <row r="8118" ht="15" customHeight="1"/>
    <row r="8119" ht="15" customHeight="1"/>
    <row r="8120" ht="15" customHeight="1"/>
    <row r="8121" ht="15" customHeight="1"/>
    <row r="8122" ht="15" customHeight="1"/>
    <row r="8123" ht="15" customHeight="1"/>
    <row r="8124" ht="15" customHeight="1"/>
    <row r="8125" ht="15" customHeight="1"/>
    <row r="8126" ht="15" customHeight="1"/>
    <row r="8127" ht="15" customHeight="1"/>
    <row r="8128" ht="15" customHeight="1"/>
    <row r="8129" ht="15" customHeight="1"/>
    <row r="8130" ht="15" customHeight="1"/>
    <row r="8131" ht="15" customHeight="1"/>
    <row r="8132" ht="15" customHeight="1"/>
    <row r="8133" ht="15" customHeight="1"/>
    <row r="8134" ht="15" customHeight="1"/>
    <row r="8135" ht="15" customHeight="1"/>
    <row r="8136" ht="15" customHeight="1"/>
    <row r="8137" ht="15" customHeight="1"/>
    <row r="8138" ht="15" customHeight="1"/>
    <row r="8139" ht="15" customHeight="1"/>
    <row r="8140" ht="15" customHeight="1"/>
    <row r="8141" ht="15" customHeight="1"/>
    <row r="8142" ht="15" customHeight="1"/>
    <row r="8143" ht="15" customHeight="1"/>
    <row r="8144" ht="15" customHeight="1"/>
    <row r="8145" ht="15" customHeight="1"/>
    <row r="8146" ht="15" customHeight="1"/>
    <row r="8147" ht="15" customHeight="1"/>
    <row r="8148" ht="15" customHeight="1"/>
    <row r="8149" ht="15" customHeight="1"/>
    <row r="8150" ht="15" customHeight="1"/>
    <row r="8151" ht="15" customHeight="1"/>
    <row r="8152" ht="15" customHeight="1"/>
    <row r="8153" ht="15" customHeight="1"/>
    <row r="8154" ht="15" customHeight="1"/>
    <row r="8155" ht="15" customHeight="1"/>
    <row r="8156" ht="15" customHeight="1"/>
    <row r="8157" ht="15" customHeight="1"/>
    <row r="8158" ht="15" customHeight="1"/>
    <row r="8159" ht="15" customHeight="1"/>
    <row r="8160" ht="15" customHeight="1"/>
    <row r="8161" ht="15" customHeight="1"/>
    <row r="8162" ht="15" customHeight="1"/>
    <row r="8163" ht="15" customHeight="1"/>
    <row r="8164" ht="15" customHeight="1"/>
    <row r="8165" ht="15" customHeight="1"/>
    <row r="8166" ht="15" customHeight="1"/>
    <row r="8167" ht="15" customHeight="1"/>
    <row r="8168" ht="15" customHeight="1"/>
    <row r="8169" ht="15" customHeight="1"/>
    <row r="8170" ht="15" customHeight="1"/>
    <row r="8171" ht="15" customHeight="1"/>
    <row r="8172" ht="15" customHeight="1"/>
    <row r="8173" ht="15" customHeight="1"/>
    <row r="8174" ht="15" customHeight="1"/>
    <row r="8175" ht="15" customHeight="1"/>
    <row r="8176" ht="15" customHeight="1"/>
    <row r="8177" ht="15" customHeight="1"/>
    <row r="8178" ht="15" customHeight="1"/>
    <row r="8179" ht="15" customHeight="1"/>
    <row r="8180" ht="15" customHeight="1"/>
    <row r="8181" ht="15" customHeight="1"/>
    <row r="8182" ht="15" customHeight="1"/>
    <row r="8183" ht="15" customHeight="1"/>
    <row r="8184" ht="15" customHeight="1"/>
    <row r="8185" ht="15" customHeight="1"/>
    <row r="8186" ht="15" customHeight="1"/>
    <row r="8187" ht="15" customHeight="1"/>
    <row r="8188" ht="15" customHeight="1"/>
    <row r="8189" ht="15" customHeight="1"/>
    <row r="8190" ht="15" customHeight="1"/>
    <row r="8191" ht="15" customHeight="1"/>
    <row r="8192" ht="15" customHeight="1"/>
    <row r="8193" ht="15" customHeight="1"/>
    <row r="8194" ht="15" customHeight="1"/>
    <row r="8195" ht="15" customHeight="1"/>
    <row r="8196" ht="15" customHeight="1"/>
    <row r="8197" ht="15" customHeight="1"/>
    <row r="8198" ht="15" customHeight="1"/>
    <row r="8199" ht="15" customHeight="1"/>
    <row r="8200" ht="15" customHeight="1"/>
    <row r="8201" ht="15" customHeight="1"/>
    <row r="8202" ht="15" customHeight="1"/>
    <row r="8203" ht="15" customHeight="1"/>
    <row r="8204" ht="15" customHeight="1"/>
    <row r="8205" ht="15" customHeight="1"/>
    <row r="8206" ht="15" customHeight="1"/>
    <row r="8207" ht="15" customHeight="1"/>
    <row r="8208" ht="15" customHeight="1"/>
    <row r="8209" ht="15" customHeight="1"/>
    <row r="8210" ht="15" customHeight="1"/>
    <row r="8211" ht="15" customHeight="1"/>
    <row r="8212" ht="15" customHeight="1"/>
    <row r="8213" ht="15" customHeight="1"/>
    <row r="8214" ht="15" customHeight="1"/>
    <row r="8215" ht="15" customHeight="1"/>
    <row r="8216" ht="15" customHeight="1"/>
    <row r="8217" ht="15" customHeight="1"/>
    <row r="8218" ht="15" customHeight="1"/>
    <row r="8219" ht="15" customHeight="1"/>
    <row r="8220" ht="15" customHeight="1"/>
    <row r="8221" ht="15" customHeight="1"/>
    <row r="8222" ht="15" customHeight="1"/>
    <row r="8223" ht="15" customHeight="1"/>
    <row r="8224" ht="15" customHeight="1"/>
    <row r="8225" ht="15" customHeight="1"/>
    <row r="8226" ht="15" customHeight="1"/>
    <row r="8227" ht="15" customHeight="1"/>
    <row r="8228" ht="15" customHeight="1"/>
    <row r="8229" ht="15" customHeight="1"/>
    <row r="8230" ht="15" customHeight="1"/>
    <row r="8231" ht="15" customHeight="1"/>
    <row r="8232" ht="15" customHeight="1"/>
    <row r="8233" ht="15" customHeight="1"/>
    <row r="8234" ht="15" customHeight="1"/>
    <row r="8235" ht="15" customHeight="1"/>
    <row r="8236" ht="15" customHeight="1"/>
    <row r="8237" ht="15" customHeight="1"/>
    <row r="8238" ht="15" customHeight="1"/>
    <row r="8239" ht="15" customHeight="1"/>
    <row r="8240" ht="15" customHeight="1"/>
    <row r="8241" ht="15" customHeight="1"/>
    <row r="8242" ht="15" customHeight="1"/>
    <row r="8243" ht="15" customHeight="1"/>
    <row r="8244" ht="15" customHeight="1"/>
    <row r="8245" ht="15" customHeight="1"/>
    <row r="8246" ht="15" customHeight="1"/>
    <row r="8247" ht="15" customHeight="1"/>
    <row r="8248" ht="15" customHeight="1"/>
    <row r="8249" ht="15" customHeight="1"/>
    <row r="8250" ht="15" customHeight="1"/>
    <row r="8251" ht="15" customHeight="1"/>
    <row r="8252" ht="15" customHeight="1"/>
    <row r="8253" ht="15" customHeight="1"/>
    <row r="8254" ht="15" customHeight="1"/>
    <row r="8255" ht="15" customHeight="1"/>
    <row r="8256" ht="15" customHeight="1"/>
    <row r="8257" ht="15" customHeight="1"/>
    <row r="8258" ht="15" customHeight="1"/>
    <row r="8259" ht="15" customHeight="1"/>
    <row r="8260" ht="15" customHeight="1"/>
    <row r="8261" ht="15" customHeight="1"/>
    <row r="8262" ht="15" customHeight="1"/>
    <row r="8263" ht="15" customHeight="1"/>
    <row r="8264" ht="15" customHeight="1"/>
    <row r="8265" ht="15" customHeight="1"/>
    <row r="8266" ht="15" customHeight="1"/>
    <row r="8267" ht="15" customHeight="1"/>
    <row r="8268" ht="15" customHeight="1"/>
    <row r="8269" ht="15" customHeight="1"/>
    <row r="8270" ht="15" customHeight="1"/>
    <row r="8271" ht="15" customHeight="1"/>
    <row r="8272" ht="15" customHeight="1"/>
    <row r="8273" ht="15" customHeight="1"/>
    <row r="8274" ht="15" customHeight="1"/>
    <row r="8275" ht="15" customHeight="1"/>
    <row r="8276" ht="15" customHeight="1"/>
    <row r="8277" ht="15" customHeight="1"/>
    <row r="8278" ht="15" customHeight="1"/>
    <row r="8279" ht="15" customHeight="1"/>
    <row r="8280" ht="15" customHeight="1"/>
    <row r="8281" ht="15" customHeight="1"/>
    <row r="8282" ht="15" customHeight="1"/>
    <row r="8283" ht="15" customHeight="1"/>
    <row r="8284" ht="15" customHeight="1"/>
    <row r="8285" ht="15" customHeight="1"/>
    <row r="8286" ht="15" customHeight="1"/>
    <row r="8287" ht="15" customHeight="1"/>
    <row r="8288" ht="15" customHeight="1"/>
    <row r="8289" ht="15" customHeight="1"/>
    <row r="8290" ht="15" customHeight="1"/>
    <row r="8291" ht="15" customHeight="1"/>
    <row r="8292" ht="15" customHeight="1"/>
    <row r="8293" ht="15" customHeight="1"/>
    <row r="8294" ht="15" customHeight="1"/>
    <row r="8295" ht="15" customHeight="1"/>
    <row r="8296" ht="15" customHeight="1"/>
    <row r="8297" ht="15" customHeight="1"/>
    <row r="8298" ht="15" customHeight="1"/>
    <row r="8299" ht="15" customHeight="1"/>
    <row r="8300" ht="15" customHeight="1"/>
    <row r="8301" ht="15" customHeight="1"/>
    <row r="8302" ht="15" customHeight="1"/>
    <row r="8303" ht="15" customHeight="1"/>
    <row r="8304" ht="15" customHeight="1"/>
    <row r="8305" ht="15" customHeight="1"/>
    <row r="8306" ht="15" customHeight="1"/>
    <row r="8307" ht="15" customHeight="1"/>
    <row r="8308" ht="15" customHeight="1"/>
    <row r="8309" ht="15" customHeight="1"/>
    <row r="8310" ht="15" customHeight="1"/>
    <row r="8311" ht="15" customHeight="1"/>
    <row r="8312" ht="15" customHeight="1"/>
    <row r="8313" ht="15" customHeight="1"/>
    <row r="8314" ht="15" customHeight="1"/>
    <row r="8315" ht="15" customHeight="1"/>
    <row r="8316" ht="15" customHeight="1"/>
    <row r="8317" ht="15" customHeight="1"/>
    <row r="8318" ht="15" customHeight="1"/>
    <row r="8319" ht="15" customHeight="1"/>
    <row r="8320" ht="15" customHeight="1"/>
    <row r="8321" ht="15" customHeight="1"/>
    <row r="8322" ht="15" customHeight="1"/>
    <row r="8323" ht="15" customHeight="1"/>
    <row r="8324" ht="15" customHeight="1"/>
    <row r="8325" ht="15" customHeight="1"/>
    <row r="8326" ht="15" customHeight="1"/>
    <row r="8327" ht="15" customHeight="1"/>
    <row r="8328" ht="15" customHeight="1"/>
    <row r="8329" ht="15" customHeight="1"/>
    <row r="8330" ht="15" customHeight="1"/>
    <row r="8331" ht="15" customHeight="1"/>
    <row r="8332" ht="15" customHeight="1"/>
    <row r="8333" ht="15" customHeight="1"/>
    <row r="8334" ht="15" customHeight="1"/>
    <row r="8335" ht="15" customHeight="1"/>
    <row r="8336" ht="15" customHeight="1"/>
    <row r="8337" ht="15" customHeight="1"/>
    <row r="8338" ht="15" customHeight="1"/>
    <row r="8339" ht="15" customHeight="1"/>
    <row r="8340" ht="15" customHeight="1"/>
    <row r="8341" ht="15" customHeight="1"/>
    <row r="8342" ht="15" customHeight="1"/>
    <row r="8343" ht="15" customHeight="1"/>
    <row r="8344" ht="15" customHeight="1"/>
    <row r="8345" ht="15" customHeight="1"/>
    <row r="8346" ht="15" customHeight="1"/>
    <row r="8347" ht="15" customHeight="1"/>
    <row r="8348" ht="15" customHeight="1"/>
    <row r="8349" ht="15" customHeight="1"/>
    <row r="8350" ht="15" customHeight="1"/>
    <row r="8351" ht="15" customHeight="1"/>
    <row r="8352" ht="15" customHeight="1"/>
    <row r="8353" ht="15" customHeight="1"/>
    <row r="8354" ht="15" customHeight="1"/>
    <row r="8355" ht="15" customHeight="1"/>
    <row r="8356" ht="15" customHeight="1"/>
    <row r="8357" ht="15" customHeight="1"/>
    <row r="8358" ht="15" customHeight="1"/>
    <row r="8359" ht="15" customHeight="1"/>
    <row r="8360" ht="15" customHeight="1"/>
    <row r="8361" ht="15" customHeight="1"/>
    <row r="8362" ht="15" customHeight="1"/>
    <row r="8363" ht="15" customHeight="1"/>
    <row r="8364" ht="15" customHeight="1"/>
    <row r="8365" ht="15" customHeight="1"/>
    <row r="8366" ht="15" customHeight="1"/>
    <row r="8367" ht="15" customHeight="1"/>
    <row r="8368" ht="15" customHeight="1"/>
    <row r="8369" ht="15" customHeight="1"/>
    <row r="8370" ht="15" customHeight="1"/>
    <row r="8371" ht="15" customHeight="1"/>
    <row r="8372" ht="15" customHeight="1"/>
    <row r="8373" ht="15" customHeight="1"/>
    <row r="8374" ht="15" customHeight="1"/>
    <row r="8375" ht="15" customHeight="1"/>
    <row r="8376" ht="15" customHeight="1"/>
    <row r="8377" ht="15" customHeight="1"/>
    <row r="8378" ht="15" customHeight="1"/>
    <row r="8379" ht="15" customHeight="1"/>
    <row r="8380" ht="15" customHeight="1"/>
    <row r="8381" ht="15" customHeight="1"/>
    <row r="8382" ht="15" customHeight="1"/>
    <row r="8383" ht="15" customHeight="1"/>
    <row r="8384" ht="15" customHeight="1"/>
    <row r="8385" ht="15" customHeight="1"/>
    <row r="8386" ht="15" customHeight="1"/>
    <row r="8387" ht="15" customHeight="1"/>
    <row r="8388" ht="15" customHeight="1"/>
    <row r="8389" ht="15" customHeight="1"/>
    <row r="8390" ht="15" customHeight="1"/>
    <row r="8391" ht="15" customHeight="1"/>
    <row r="8392" ht="15" customHeight="1"/>
    <row r="8393" ht="15" customHeight="1"/>
    <row r="8394" ht="15" customHeight="1"/>
    <row r="8395" ht="15" customHeight="1"/>
    <row r="8396" ht="15" customHeight="1"/>
    <row r="8397" ht="15" customHeight="1"/>
    <row r="8398" ht="15" customHeight="1"/>
    <row r="8399" ht="15" customHeight="1"/>
    <row r="8400" ht="15" customHeight="1"/>
    <row r="8401" ht="15" customHeight="1"/>
    <row r="8402" ht="15" customHeight="1"/>
    <row r="8403" ht="15" customHeight="1"/>
    <row r="8404" ht="15" customHeight="1"/>
    <row r="8405" ht="15" customHeight="1"/>
    <row r="8406" ht="15" customHeight="1"/>
    <row r="8407" ht="15" customHeight="1"/>
    <row r="8408" ht="15" customHeight="1"/>
    <row r="8409" ht="15" customHeight="1"/>
    <row r="8410" ht="15" customHeight="1"/>
    <row r="8411" ht="15" customHeight="1"/>
    <row r="8412" ht="15" customHeight="1"/>
    <row r="8413" ht="15" customHeight="1"/>
    <row r="8414" ht="15" customHeight="1"/>
    <row r="8415" ht="15" customHeight="1"/>
    <row r="8416" ht="15" customHeight="1"/>
    <row r="8417" ht="15" customHeight="1"/>
    <row r="8418" ht="15" customHeight="1"/>
    <row r="8419" ht="15" customHeight="1"/>
    <row r="8420" ht="15" customHeight="1"/>
    <row r="8421" ht="15" customHeight="1"/>
    <row r="8422" ht="15" customHeight="1"/>
    <row r="8423" ht="15" customHeight="1"/>
    <row r="8424" ht="15" customHeight="1"/>
    <row r="8425" ht="15" customHeight="1"/>
    <row r="8426" ht="15" customHeight="1"/>
    <row r="8427" ht="15" customHeight="1"/>
    <row r="8428" ht="15" customHeight="1"/>
    <row r="8429" ht="15" customHeight="1"/>
    <row r="8430" ht="15" customHeight="1"/>
    <row r="8431" ht="15" customHeight="1"/>
    <row r="8432" ht="15" customHeight="1"/>
    <row r="8433" ht="15" customHeight="1"/>
    <row r="8434" ht="15" customHeight="1"/>
    <row r="8435" ht="15" customHeight="1"/>
    <row r="8436" ht="15" customHeight="1"/>
    <row r="8437" ht="15" customHeight="1"/>
    <row r="8438" ht="15" customHeight="1"/>
    <row r="8439" ht="15" customHeight="1"/>
    <row r="8440" ht="15" customHeight="1"/>
    <row r="8441" ht="15" customHeight="1"/>
    <row r="8442" ht="15" customHeight="1"/>
    <row r="8443" ht="15" customHeight="1"/>
    <row r="8444" ht="15" customHeight="1"/>
    <row r="8445" ht="15" customHeight="1"/>
    <row r="8446" ht="15" customHeight="1"/>
    <row r="8447" ht="15" customHeight="1"/>
    <row r="8448" ht="15" customHeight="1"/>
    <row r="8449" ht="15" customHeight="1"/>
    <row r="8450" ht="15" customHeight="1"/>
    <row r="8451" ht="15" customHeight="1"/>
    <row r="8452" ht="15" customHeight="1"/>
    <row r="8453" ht="15" customHeight="1"/>
    <row r="8454" ht="15" customHeight="1"/>
    <row r="8455" ht="15" customHeight="1"/>
    <row r="8456" ht="15" customHeight="1"/>
    <row r="8457" ht="15" customHeight="1"/>
    <row r="8458" ht="15" customHeight="1"/>
    <row r="8459" ht="15" customHeight="1"/>
    <row r="8460" ht="15" customHeight="1"/>
    <row r="8461" ht="15" customHeight="1"/>
    <row r="8462" ht="15" customHeight="1"/>
    <row r="8463" ht="15" customHeight="1"/>
    <row r="8464" ht="15" customHeight="1"/>
    <row r="8465" ht="15" customHeight="1"/>
    <row r="8466" ht="15" customHeight="1"/>
    <row r="8467" ht="15" customHeight="1"/>
    <row r="8468" ht="15" customHeight="1"/>
    <row r="8469" ht="15" customHeight="1"/>
    <row r="8470" ht="15" customHeight="1"/>
    <row r="8471" ht="15" customHeight="1"/>
    <row r="8472" ht="15" customHeight="1"/>
    <row r="8473" ht="15" customHeight="1"/>
    <row r="8474" ht="15" customHeight="1"/>
    <row r="8475" ht="15" customHeight="1"/>
    <row r="8476" ht="15" customHeight="1"/>
    <row r="8477" ht="15" customHeight="1"/>
    <row r="8478" ht="15" customHeight="1"/>
    <row r="8479" ht="15" customHeight="1"/>
    <row r="8480" ht="15" customHeight="1"/>
    <row r="8481" ht="15" customHeight="1"/>
    <row r="8482" ht="15" customHeight="1"/>
    <row r="8483" ht="15" customHeight="1"/>
    <row r="8484" ht="15" customHeight="1"/>
    <row r="8485" ht="15" customHeight="1"/>
    <row r="8486" ht="15" customHeight="1"/>
    <row r="8487" ht="15" customHeight="1"/>
    <row r="8488" ht="15" customHeight="1"/>
    <row r="8489" ht="15" customHeight="1"/>
    <row r="8490" ht="15" customHeight="1"/>
    <row r="8491" ht="15" customHeight="1"/>
    <row r="8492" ht="15" customHeight="1"/>
    <row r="8493" ht="15" customHeight="1"/>
    <row r="8494" ht="15" customHeight="1"/>
    <row r="8495" ht="15" customHeight="1"/>
    <row r="8496" ht="15" customHeight="1"/>
    <row r="8497" ht="15" customHeight="1"/>
    <row r="8498" ht="15" customHeight="1"/>
    <row r="8499" ht="15" customHeight="1"/>
    <row r="8500" ht="15" customHeight="1"/>
    <row r="8501" ht="15" customHeight="1"/>
    <row r="8502" ht="15" customHeight="1"/>
    <row r="8503" ht="15" customHeight="1"/>
    <row r="8504" ht="15" customHeight="1"/>
    <row r="8505" ht="15" customHeight="1"/>
    <row r="8506" ht="15" customHeight="1"/>
    <row r="8507" ht="15" customHeight="1"/>
    <row r="8508" ht="15" customHeight="1"/>
    <row r="8509" ht="15" customHeight="1"/>
    <row r="8510" ht="15" customHeight="1"/>
    <row r="8511" ht="15" customHeight="1"/>
    <row r="8512" ht="15" customHeight="1"/>
    <row r="8513" ht="15" customHeight="1"/>
    <row r="8514" ht="15" customHeight="1"/>
    <row r="8515" ht="15" customHeight="1"/>
    <row r="8516" ht="15" customHeight="1"/>
    <row r="8517" ht="15" customHeight="1"/>
    <row r="8518" ht="15" customHeight="1"/>
    <row r="8519" ht="15" customHeight="1"/>
    <row r="8520" ht="15" customHeight="1"/>
    <row r="8521" ht="15" customHeight="1"/>
    <row r="8522" ht="15" customHeight="1"/>
    <row r="8523" ht="15" customHeight="1"/>
    <row r="8524" ht="15" customHeight="1"/>
    <row r="8525" ht="15" customHeight="1"/>
    <row r="8526" ht="15" customHeight="1"/>
    <row r="8527" ht="15" customHeight="1"/>
    <row r="8528" ht="15" customHeight="1"/>
    <row r="8529" ht="15" customHeight="1"/>
    <row r="8530" ht="15" customHeight="1"/>
    <row r="8531" ht="15" customHeight="1"/>
    <row r="8532" ht="15" customHeight="1"/>
    <row r="8533" ht="15" customHeight="1"/>
    <row r="8534" ht="15" customHeight="1"/>
    <row r="8535" ht="15" customHeight="1"/>
    <row r="8536" ht="15" customHeight="1"/>
    <row r="8537" ht="15" customHeight="1"/>
    <row r="8538" ht="15" customHeight="1"/>
    <row r="8539" ht="15" customHeight="1"/>
    <row r="8540" ht="15" customHeight="1"/>
    <row r="8541" ht="15" customHeight="1"/>
    <row r="8542" ht="15" customHeight="1"/>
    <row r="8543" ht="15" customHeight="1"/>
    <row r="8544" ht="15" customHeight="1"/>
    <row r="8545" ht="15" customHeight="1"/>
    <row r="8546" ht="15" customHeight="1"/>
    <row r="8547" ht="15" customHeight="1"/>
    <row r="8548" ht="15" customHeight="1"/>
    <row r="8549" ht="15" customHeight="1"/>
    <row r="8550" ht="15" customHeight="1"/>
    <row r="8551" ht="15" customHeight="1"/>
    <row r="8552" ht="15" customHeight="1"/>
    <row r="8553" ht="15" customHeight="1"/>
    <row r="8554" ht="15" customHeight="1"/>
    <row r="8555" ht="15" customHeight="1"/>
    <row r="8556" ht="15" customHeight="1"/>
    <row r="8557" ht="15" customHeight="1"/>
    <row r="8558" ht="15" customHeight="1"/>
    <row r="8559" ht="15" customHeight="1"/>
    <row r="8560" ht="15" customHeight="1"/>
    <row r="8561" ht="15" customHeight="1"/>
    <row r="8562" ht="15" customHeight="1"/>
    <row r="8563" ht="15" customHeight="1"/>
    <row r="8564" ht="15" customHeight="1"/>
    <row r="8565" ht="15" customHeight="1"/>
    <row r="8566" ht="15" customHeight="1"/>
    <row r="8567" ht="15" customHeight="1"/>
    <row r="8568" ht="15" customHeight="1"/>
    <row r="8569" ht="15" customHeight="1"/>
    <row r="8570" ht="15" customHeight="1"/>
    <row r="8571" ht="15" customHeight="1"/>
    <row r="8572" ht="15" customHeight="1"/>
    <row r="8573" ht="15" customHeight="1"/>
    <row r="8574" ht="15" customHeight="1"/>
    <row r="8575" ht="15" customHeight="1"/>
    <row r="8576" ht="15" customHeight="1"/>
    <row r="8577" ht="15" customHeight="1"/>
    <row r="8578" ht="15" customHeight="1"/>
    <row r="8579" ht="15" customHeight="1"/>
    <row r="8580" ht="15" customHeight="1"/>
    <row r="8581" ht="15" customHeight="1"/>
    <row r="8582" ht="15" customHeight="1"/>
    <row r="8583" ht="15" customHeight="1"/>
    <row r="8584" ht="15" customHeight="1"/>
    <row r="8585" ht="15" customHeight="1"/>
    <row r="8586" ht="15" customHeight="1"/>
    <row r="8587" ht="15" customHeight="1"/>
    <row r="8588" ht="15" customHeight="1"/>
    <row r="8589" ht="15" customHeight="1"/>
    <row r="8590" ht="15" customHeight="1"/>
    <row r="8591" ht="15" customHeight="1"/>
    <row r="8592" ht="15" customHeight="1"/>
    <row r="8593" ht="15" customHeight="1"/>
    <row r="8594" ht="15" customHeight="1"/>
    <row r="8595" ht="15" customHeight="1"/>
    <row r="8596" ht="15" customHeight="1"/>
    <row r="8597" ht="15" customHeight="1"/>
    <row r="8598" ht="15" customHeight="1"/>
    <row r="8599" ht="15" customHeight="1"/>
    <row r="8600" ht="15" customHeight="1"/>
    <row r="8601" ht="15" customHeight="1"/>
    <row r="8602" ht="15" customHeight="1"/>
    <row r="8603" ht="15" customHeight="1"/>
    <row r="8604" ht="15" customHeight="1"/>
    <row r="8605" ht="15" customHeight="1"/>
    <row r="8606" ht="15" customHeight="1"/>
    <row r="8607" ht="15" customHeight="1"/>
    <row r="8608" ht="15" customHeight="1"/>
    <row r="8609" ht="15" customHeight="1"/>
    <row r="8610" ht="15" customHeight="1"/>
    <row r="8611" ht="15" customHeight="1"/>
    <row r="8612" ht="15" customHeight="1"/>
    <row r="8613" ht="15" customHeight="1"/>
    <row r="8614" ht="15" customHeight="1"/>
    <row r="8615" ht="15" customHeight="1"/>
    <row r="8616" ht="15" customHeight="1"/>
    <row r="8617" ht="15" customHeight="1"/>
    <row r="8618" ht="15" customHeight="1"/>
    <row r="8619" ht="15" customHeight="1"/>
    <row r="8620" ht="15" customHeight="1"/>
    <row r="8621" ht="15" customHeight="1"/>
    <row r="8622" ht="15" customHeight="1"/>
    <row r="8623" ht="15" customHeight="1"/>
    <row r="8624" ht="15" customHeight="1"/>
    <row r="8625" ht="15" customHeight="1"/>
    <row r="8626" ht="15" customHeight="1"/>
    <row r="8627" ht="15" customHeight="1"/>
    <row r="8628" ht="15" customHeight="1"/>
    <row r="8629" ht="15" customHeight="1"/>
    <row r="8630" ht="15" customHeight="1"/>
    <row r="8631" ht="15" customHeight="1"/>
    <row r="8632" ht="15" customHeight="1"/>
    <row r="8633" ht="15" customHeight="1"/>
    <row r="8634" ht="15" customHeight="1"/>
    <row r="8635" ht="15" customHeight="1"/>
    <row r="8636" ht="15" customHeight="1"/>
    <row r="8637" ht="15" customHeight="1"/>
    <row r="8638" ht="15" customHeight="1"/>
    <row r="8639" ht="15" customHeight="1"/>
    <row r="8640" ht="15" customHeight="1"/>
    <row r="8641" ht="15" customHeight="1"/>
    <row r="8642" ht="15" customHeight="1"/>
    <row r="8643" ht="15" customHeight="1"/>
    <row r="8644" ht="15" customHeight="1"/>
    <row r="8645" ht="15" customHeight="1"/>
    <row r="8646" ht="15" customHeight="1"/>
    <row r="8647" ht="15" customHeight="1"/>
    <row r="8648" ht="15" customHeight="1"/>
    <row r="8649" ht="15" customHeight="1"/>
    <row r="8650" ht="15" customHeight="1"/>
    <row r="8651" ht="15" customHeight="1"/>
    <row r="8652" ht="15" customHeight="1"/>
    <row r="8653" ht="15" customHeight="1"/>
    <row r="8654" ht="15" customHeight="1"/>
    <row r="8655" ht="15" customHeight="1"/>
    <row r="8656" ht="15" customHeight="1"/>
    <row r="8657" ht="15" customHeight="1"/>
    <row r="8658" ht="15" customHeight="1"/>
    <row r="8659" ht="15" customHeight="1"/>
    <row r="8660" ht="15" customHeight="1"/>
    <row r="8661" ht="15" customHeight="1"/>
    <row r="8662" ht="15" customHeight="1"/>
    <row r="8663" ht="15" customHeight="1"/>
    <row r="8664" ht="15" customHeight="1"/>
    <row r="8665" ht="15" customHeight="1"/>
    <row r="8666" ht="15" customHeight="1"/>
    <row r="8667" ht="15" customHeight="1"/>
    <row r="8668" ht="15" customHeight="1"/>
    <row r="8669" ht="15" customHeight="1"/>
    <row r="8670" ht="15" customHeight="1"/>
    <row r="8671" ht="15" customHeight="1"/>
    <row r="8672" ht="15" customHeight="1"/>
    <row r="8673" ht="15" customHeight="1"/>
    <row r="8674" ht="15" customHeight="1"/>
    <row r="8675" ht="15" customHeight="1"/>
    <row r="8676" ht="15" customHeight="1"/>
    <row r="8677" ht="15" customHeight="1"/>
    <row r="8678" ht="15" customHeight="1"/>
    <row r="8679" ht="15" customHeight="1"/>
    <row r="8680" ht="15" customHeight="1"/>
    <row r="8681" ht="15" customHeight="1"/>
    <row r="8682" ht="15" customHeight="1"/>
    <row r="8683" ht="15" customHeight="1"/>
    <row r="8684" ht="15" customHeight="1"/>
    <row r="8685" ht="15" customHeight="1"/>
    <row r="8686" ht="15" customHeight="1"/>
    <row r="8687" ht="15" customHeight="1"/>
    <row r="8688" ht="15" customHeight="1"/>
    <row r="8689" ht="15" customHeight="1"/>
    <row r="8690" ht="15" customHeight="1"/>
    <row r="8691" ht="15" customHeight="1"/>
    <row r="8692" ht="15" customHeight="1"/>
    <row r="8693" ht="15" customHeight="1"/>
    <row r="8694" ht="15" customHeight="1"/>
    <row r="8695" ht="15" customHeight="1"/>
    <row r="8696" ht="15" customHeight="1"/>
    <row r="8697" ht="15" customHeight="1"/>
    <row r="8698" ht="15" customHeight="1"/>
    <row r="8699" ht="15" customHeight="1"/>
    <row r="8700" ht="15" customHeight="1"/>
    <row r="8701" ht="15" customHeight="1"/>
    <row r="8702" ht="15" customHeight="1"/>
    <row r="8703" ht="15" customHeight="1"/>
    <row r="8704" ht="15" customHeight="1"/>
    <row r="8705" ht="15" customHeight="1"/>
    <row r="8706" ht="15" customHeight="1"/>
    <row r="8707" ht="15" customHeight="1"/>
    <row r="8708" ht="15" customHeight="1"/>
    <row r="8709" ht="15" customHeight="1"/>
    <row r="8710" ht="15" customHeight="1"/>
    <row r="8711" ht="15" customHeight="1"/>
    <row r="8712" ht="15" customHeight="1"/>
    <row r="8713" ht="15" customHeight="1"/>
    <row r="8714" ht="15" customHeight="1"/>
    <row r="8715" ht="15" customHeight="1"/>
    <row r="8716" ht="15" customHeight="1"/>
    <row r="8717" ht="15" customHeight="1"/>
    <row r="8718" ht="15" customHeight="1"/>
    <row r="8719" ht="15" customHeight="1"/>
    <row r="8720" ht="15" customHeight="1"/>
    <row r="8721" ht="15" customHeight="1"/>
    <row r="8722" ht="15" customHeight="1"/>
    <row r="8723" ht="15" customHeight="1"/>
    <row r="8724" ht="15" customHeight="1"/>
    <row r="8725" ht="15" customHeight="1"/>
    <row r="8726" ht="15" customHeight="1"/>
    <row r="8727" ht="15" customHeight="1"/>
    <row r="8728" ht="15" customHeight="1"/>
    <row r="8729" ht="15" customHeight="1"/>
    <row r="8730" ht="15" customHeight="1"/>
    <row r="8731" ht="15" customHeight="1"/>
    <row r="8732" ht="15" customHeight="1"/>
    <row r="8733" ht="15" customHeight="1"/>
    <row r="8734" ht="15" customHeight="1"/>
    <row r="8735" ht="15" customHeight="1"/>
    <row r="8736" ht="15" customHeight="1"/>
    <row r="8737" ht="15" customHeight="1"/>
    <row r="8738" ht="15" customHeight="1"/>
    <row r="8739" ht="15" customHeight="1"/>
    <row r="8740" ht="15" customHeight="1"/>
    <row r="8741" ht="15" customHeight="1"/>
    <row r="8742" ht="15" customHeight="1"/>
    <row r="8743" ht="15" customHeight="1"/>
    <row r="8744" ht="15" customHeight="1"/>
    <row r="8745" ht="15" customHeight="1"/>
    <row r="8746" ht="15" customHeight="1"/>
    <row r="8747" ht="15" customHeight="1"/>
    <row r="8748" ht="15" customHeight="1"/>
    <row r="8749" ht="15" customHeight="1"/>
    <row r="8750" ht="15" customHeight="1"/>
    <row r="8751" ht="15" customHeight="1"/>
    <row r="8752" ht="15" customHeight="1"/>
    <row r="8753" ht="15" customHeight="1"/>
    <row r="8754" ht="15" customHeight="1"/>
    <row r="8755" ht="15" customHeight="1"/>
    <row r="8756" ht="15" customHeight="1"/>
    <row r="8757" ht="15" customHeight="1"/>
    <row r="8758" ht="15" customHeight="1"/>
    <row r="8759" ht="15" customHeight="1"/>
    <row r="8760" ht="15" customHeight="1"/>
    <row r="8761" ht="15" customHeight="1"/>
    <row r="8762" ht="15" customHeight="1"/>
    <row r="8763" ht="15" customHeight="1"/>
    <row r="8764" ht="15" customHeight="1"/>
    <row r="8765" ht="15" customHeight="1"/>
    <row r="8766" ht="15" customHeight="1"/>
    <row r="8767" ht="15" customHeight="1"/>
    <row r="8768" ht="15" customHeight="1"/>
    <row r="8769" ht="15" customHeight="1"/>
    <row r="8770" ht="15" customHeight="1"/>
    <row r="8771" ht="15" customHeight="1"/>
    <row r="8772" ht="15" customHeight="1"/>
    <row r="8773" ht="15" customHeight="1"/>
    <row r="8774" ht="15" customHeight="1"/>
    <row r="8775" ht="15" customHeight="1"/>
    <row r="8776" ht="15" customHeight="1"/>
    <row r="8777" ht="15" customHeight="1"/>
    <row r="8778" ht="15" customHeight="1"/>
    <row r="8779" ht="15" customHeight="1"/>
    <row r="8780" ht="15" customHeight="1"/>
    <row r="8781" ht="15" customHeight="1"/>
    <row r="8782" ht="15" customHeight="1"/>
    <row r="8783" ht="15" customHeight="1"/>
    <row r="8784" ht="15" customHeight="1"/>
    <row r="8785" ht="15" customHeight="1"/>
    <row r="8786" ht="15" customHeight="1"/>
    <row r="8787" ht="15" customHeight="1"/>
    <row r="8788" ht="15" customHeight="1"/>
    <row r="8789" ht="15" customHeight="1"/>
    <row r="8790" ht="15" customHeight="1"/>
    <row r="8791" ht="15" customHeight="1"/>
    <row r="8792" ht="15" customHeight="1"/>
    <row r="8793" ht="15" customHeight="1"/>
    <row r="8794" ht="15" customHeight="1"/>
    <row r="8795" ht="15" customHeight="1"/>
    <row r="8796" ht="15" customHeight="1"/>
    <row r="8797" ht="15" customHeight="1"/>
    <row r="8798" ht="15" customHeight="1"/>
    <row r="8799" ht="15" customHeight="1"/>
    <row r="8800" ht="15" customHeight="1"/>
    <row r="8801" ht="15" customHeight="1"/>
    <row r="8802" ht="15" customHeight="1"/>
    <row r="8803" ht="15" customHeight="1"/>
    <row r="8804" ht="15" customHeight="1"/>
    <row r="8805" ht="15" customHeight="1"/>
    <row r="8806" ht="15" customHeight="1"/>
    <row r="8807" ht="15" customHeight="1"/>
    <row r="8808" ht="15" customHeight="1"/>
    <row r="8809" ht="15" customHeight="1"/>
    <row r="8810" ht="15" customHeight="1"/>
    <row r="8811" ht="15" customHeight="1"/>
    <row r="8812" ht="15" customHeight="1"/>
    <row r="8813" ht="15" customHeight="1"/>
    <row r="8814" ht="15" customHeight="1"/>
    <row r="8815" ht="15" customHeight="1"/>
    <row r="8816" ht="15" customHeight="1"/>
    <row r="8817" ht="15" customHeight="1"/>
    <row r="8818" ht="15" customHeight="1"/>
    <row r="8819" ht="15" customHeight="1"/>
    <row r="8820" ht="15" customHeight="1"/>
    <row r="8821" ht="15" customHeight="1"/>
    <row r="8822" ht="15" customHeight="1"/>
    <row r="8823" ht="15" customHeight="1"/>
    <row r="8824" ht="15" customHeight="1"/>
    <row r="8825" ht="15" customHeight="1"/>
    <row r="8826" ht="15" customHeight="1"/>
    <row r="8827" ht="15" customHeight="1"/>
    <row r="8828" ht="15" customHeight="1"/>
    <row r="8829" ht="15" customHeight="1"/>
    <row r="8830" ht="15" customHeight="1"/>
    <row r="8831" ht="15" customHeight="1"/>
    <row r="8832" ht="15" customHeight="1"/>
    <row r="8833" ht="15" customHeight="1"/>
    <row r="8834" ht="15" customHeight="1"/>
    <row r="8835" ht="15" customHeight="1"/>
    <row r="8836" ht="15" customHeight="1"/>
    <row r="8837" ht="15" customHeight="1"/>
    <row r="8838" ht="15" customHeight="1"/>
    <row r="8839" ht="15" customHeight="1"/>
    <row r="8840" ht="15" customHeight="1"/>
    <row r="8841" ht="15" customHeight="1"/>
    <row r="8842" ht="15" customHeight="1"/>
    <row r="8843" ht="15" customHeight="1"/>
    <row r="8844" ht="15" customHeight="1"/>
    <row r="8845" ht="15" customHeight="1"/>
    <row r="8846" ht="15" customHeight="1"/>
    <row r="8847" ht="15" customHeight="1"/>
    <row r="8848" ht="15" customHeight="1"/>
    <row r="8849" ht="15" customHeight="1"/>
    <row r="8850" ht="15" customHeight="1"/>
    <row r="8851" ht="15" customHeight="1"/>
    <row r="8852" ht="15" customHeight="1"/>
    <row r="8853" ht="15" customHeight="1"/>
    <row r="8854" ht="15" customHeight="1"/>
    <row r="8855" ht="15" customHeight="1"/>
    <row r="8856" ht="15" customHeight="1"/>
    <row r="8857" ht="15" customHeight="1"/>
    <row r="8858" ht="15" customHeight="1"/>
    <row r="8859" ht="15" customHeight="1"/>
    <row r="8860" ht="15" customHeight="1"/>
    <row r="8861" ht="15" customHeight="1"/>
    <row r="8862" ht="15" customHeight="1"/>
    <row r="8863" ht="15" customHeight="1"/>
    <row r="8864" ht="15" customHeight="1"/>
    <row r="8865" ht="15" customHeight="1"/>
    <row r="8866" ht="15" customHeight="1"/>
    <row r="8867" ht="15" customHeight="1"/>
    <row r="8868" ht="15" customHeight="1"/>
    <row r="8869" ht="15" customHeight="1"/>
    <row r="8870" ht="15" customHeight="1"/>
    <row r="8871" ht="15" customHeight="1"/>
    <row r="8872" ht="15" customHeight="1"/>
    <row r="8873" ht="15" customHeight="1"/>
    <row r="8874" ht="15" customHeight="1"/>
    <row r="8875" ht="15" customHeight="1"/>
    <row r="8876" ht="15" customHeight="1"/>
    <row r="8877" ht="15" customHeight="1"/>
    <row r="8878" ht="15" customHeight="1"/>
    <row r="8879" ht="15" customHeight="1"/>
    <row r="8880" ht="15" customHeight="1"/>
    <row r="8881" ht="15" customHeight="1"/>
    <row r="8882" ht="15" customHeight="1"/>
    <row r="8883" ht="15" customHeight="1"/>
    <row r="8884" ht="15" customHeight="1"/>
    <row r="8885" ht="15" customHeight="1"/>
    <row r="8886" ht="15" customHeight="1"/>
    <row r="8887" ht="15" customHeight="1"/>
    <row r="8888" ht="15" customHeight="1"/>
    <row r="8889" ht="15" customHeight="1"/>
    <row r="8890" ht="15" customHeight="1"/>
    <row r="8891" ht="15" customHeight="1"/>
    <row r="8892" ht="15" customHeight="1"/>
    <row r="8893" ht="15" customHeight="1"/>
    <row r="8894" ht="15" customHeight="1"/>
    <row r="8895" ht="15" customHeight="1"/>
    <row r="8896" ht="15" customHeight="1"/>
    <row r="8897" ht="15" customHeight="1"/>
    <row r="8898" ht="15" customHeight="1"/>
    <row r="8899" ht="15" customHeight="1"/>
    <row r="8900" ht="15" customHeight="1"/>
    <row r="8901" ht="15" customHeight="1"/>
    <row r="8902" ht="15" customHeight="1"/>
    <row r="8903" ht="15" customHeight="1"/>
    <row r="8904" ht="15" customHeight="1"/>
    <row r="8905" ht="15" customHeight="1"/>
    <row r="8906" ht="15" customHeight="1"/>
    <row r="8907" ht="15" customHeight="1"/>
    <row r="8908" ht="15" customHeight="1"/>
    <row r="8909" ht="15" customHeight="1"/>
    <row r="8910" ht="15" customHeight="1"/>
    <row r="8911" ht="15" customHeight="1"/>
    <row r="8912" ht="15" customHeight="1"/>
    <row r="8913" ht="15" customHeight="1"/>
    <row r="8914" ht="15" customHeight="1"/>
    <row r="8915" ht="15" customHeight="1"/>
    <row r="8916" ht="15" customHeight="1"/>
    <row r="8917" ht="15" customHeight="1"/>
    <row r="8918" ht="15" customHeight="1"/>
    <row r="8919" ht="15" customHeight="1"/>
    <row r="8920" ht="15" customHeight="1"/>
    <row r="8921" ht="15" customHeight="1"/>
    <row r="8922" ht="15" customHeight="1"/>
    <row r="8923" ht="15" customHeight="1"/>
    <row r="8924" ht="15" customHeight="1"/>
    <row r="8925" ht="15" customHeight="1"/>
    <row r="8926" ht="15" customHeight="1"/>
    <row r="8927" ht="15" customHeight="1"/>
    <row r="8928" ht="15" customHeight="1"/>
    <row r="8929" ht="15" customHeight="1"/>
    <row r="8930" ht="15" customHeight="1"/>
    <row r="8931" ht="15" customHeight="1"/>
    <row r="8932" ht="15" customHeight="1"/>
    <row r="8933" ht="15" customHeight="1"/>
    <row r="8934" ht="15" customHeight="1"/>
    <row r="8935" ht="15" customHeight="1"/>
    <row r="8936" ht="15" customHeight="1"/>
    <row r="8937" ht="15" customHeight="1"/>
    <row r="8938" ht="15" customHeight="1"/>
    <row r="8939" ht="15" customHeight="1"/>
    <row r="8940" ht="15" customHeight="1"/>
    <row r="8941" ht="15" customHeight="1"/>
    <row r="8942" ht="15" customHeight="1"/>
    <row r="8943" ht="15" customHeight="1"/>
    <row r="8944" ht="15" customHeight="1"/>
    <row r="8945" ht="15" customHeight="1"/>
    <row r="8946" ht="15" customHeight="1"/>
    <row r="8947" ht="15" customHeight="1"/>
    <row r="8948" ht="15" customHeight="1"/>
    <row r="8949" ht="15" customHeight="1"/>
    <row r="8950" ht="15" customHeight="1"/>
    <row r="8951" ht="15" customHeight="1"/>
    <row r="8952" ht="15" customHeight="1"/>
    <row r="8953" ht="15" customHeight="1"/>
    <row r="8954" ht="15" customHeight="1"/>
    <row r="8955" ht="15" customHeight="1"/>
    <row r="8956" ht="15" customHeight="1"/>
    <row r="8957" ht="15" customHeight="1"/>
    <row r="8958" ht="15" customHeight="1"/>
    <row r="8959" ht="15" customHeight="1"/>
    <row r="8960" ht="15" customHeight="1"/>
    <row r="8961" ht="15" customHeight="1"/>
    <row r="8962" ht="15" customHeight="1"/>
    <row r="8963" ht="15" customHeight="1"/>
    <row r="8964" ht="15" customHeight="1"/>
    <row r="8965" ht="15" customHeight="1"/>
    <row r="8966" ht="15" customHeight="1"/>
    <row r="8967" ht="15" customHeight="1"/>
    <row r="8968" ht="15" customHeight="1"/>
    <row r="8969" ht="15" customHeight="1"/>
    <row r="8970" ht="15" customHeight="1"/>
    <row r="8971" ht="15" customHeight="1"/>
    <row r="8972" ht="15" customHeight="1"/>
    <row r="8973" ht="15" customHeight="1"/>
    <row r="8974" ht="15" customHeight="1"/>
    <row r="8975" ht="15" customHeight="1"/>
    <row r="8976" ht="15" customHeight="1"/>
    <row r="8977" ht="15" customHeight="1"/>
    <row r="8978" ht="15" customHeight="1"/>
    <row r="8979" ht="15" customHeight="1"/>
    <row r="8980" ht="15" customHeight="1"/>
    <row r="8981" ht="15" customHeight="1"/>
    <row r="8982" ht="15" customHeight="1"/>
    <row r="8983" ht="15" customHeight="1"/>
    <row r="8984" ht="15" customHeight="1"/>
    <row r="8985" ht="15" customHeight="1"/>
    <row r="8986" ht="15" customHeight="1"/>
    <row r="8987" ht="15" customHeight="1"/>
    <row r="8988" ht="15" customHeight="1"/>
    <row r="8989" ht="15" customHeight="1"/>
    <row r="8990" ht="15" customHeight="1"/>
    <row r="8991" ht="15" customHeight="1"/>
    <row r="8992" ht="15" customHeight="1"/>
    <row r="8993" ht="15" customHeight="1"/>
    <row r="8994" ht="15" customHeight="1"/>
    <row r="8995" ht="15" customHeight="1"/>
    <row r="8996" ht="15" customHeight="1"/>
    <row r="8997" ht="15" customHeight="1"/>
    <row r="8998" ht="15" customHeight="1"/>
    <row r="8999" ht="15" customHeight="1"/>
    <row r="9000" ht="15" customHeight="1"/>
    <row r="9001" ht="15" customHeight="1"/>
    <row r="9002" ht="15" customHeight="1"/>
    <row r="9003" ht="15" customHeight="1"/>
    <row r="9004" ht="15" customHeight="1"/>
    <row r="9005" ht="15" customHeight="1"/>
    <row r="9006" ht="15" customHeight="1"/>
    <row r="9007" ht="15" customHeight="1"/>
    <row r="9008" ht="15" customHeight="1"/>
    <row r="9009" ht="15" customHeight="1"/>
    <row r="9010" ht="15" customHeight="1"/>
    <row r="9011" ht="15" customHeight="1"/>
    <row r="9012" ht="15" customHeight="1"/>
    <row r="9013" ht="15" customHeight="1"/>
    <row r="9014" ht="15" customHeight="1"/>
    <row r="9015" ht="15" customHeight="1"/>
    <row r="9016" ht="15" customHeight="1"/>
    <row r="9017" ht="15" customHeight="1"/>
    <row r="9018" ht="15" customHeight="1"/>
    <row r="9019" ht="15" customHeight="1"/>
    <row r="9020" ht="15" customHeight="1"/>
    <row r="9021" ht="15" customHeight="1"/>
    <row r="9022" ht="15" customHeight="1"/>
    <row r="9023" ht="15" customHeight="1"/>
    <row r="9024" ht="15" customHeight="1"/>
    <row r="9025" ht="15" customHeight="1"/>
    <row r="9026" ht="15" customHeight="1"/>
    <row r="9027" ht="15" customHeight="1"/>
    <row r="9028" ht="15" customHeight="1"/>
    <row r="9029" ht="15" customHeight="1"/>
    <row r="9030" ht="15" customHeight="1"/>
    <row r="9031" ht="15" customHeight="1"/>
    <row r="9032" ht="15" customHeight="1"/>
    <row r="9033" ht="15" customHeight="1"/>
    <row r="9034" ht="15" customHeight="1"/>
    <row r="9035" ht="15" customHeight="1"/>
    <row r="9036" ht="15" customHeight="1"/>
    <row r="9037" ht="15" customHeight="1"/>
    <row r="9038" ht="15" customHeight="1"/>
    <row r="9039" ht="15" customHeight="1"/>
    <row r="9040" ht="15" customHeight="1"/>
    <row r="9041" ht="15" customHeight="1"/>
    <row r="9042" ht="15" customHeight="1"/>
    <row r="9043" ht="15" customHeight="1"/>
    <row r="9044" ht="15" customHeight="1"/>
    <row r="9045" ht="15" customHeight="1"/>
    <row r="9046" ht="15" customHeight="1"/>
    <row r="9047" ht="15" customHeight="1"/>
    <row r="9048" ht="15" customHeight="1"/>
    <row r="9049" ht="15" customHeight="1"/>
    <row r="9050" ht="15" customHeight="1"/>
    <row r="9051" ht="15" customHeight="1"/>
    <row r="9052" ht="15" customHeight="1"/>
    <row r="9053" ht="15" customHeight="1"/>
    <row r="9054" ht="15" customHeight="1"/>
    <row r="9055" ht="15" customHeight="1"/>
    <row r="9056" ht="15" customHeight="1"/>
    <row r="9057" ht="15" customHeight="1"/>
    <row r="9058" ht="15" customHeight="1"/>
    <row r="9059" ht="15" customHeight="1"/>
    <row r="9060" ht="15" customHeight="1"/>
    <row r="9061" ht="15" customHeight="1"/>
    <row r="9062" ht="15" customHeight="1"/>
    <row r="9063" ht="15" customHeight="1"/>
    <row r="9064" ht="15" customHeight="1"/>
    <row r="9065" ht="15" customHeight="1"/>
    <row r="9066" ht="15" customHeight="1"/>
    <row r="9067" ht="15" customHeight="1"/>
    <row r="9068" ht="15" customHeight="1"/>
    <row r="9069" ht="15" customHeight="1"/>
    <row r="9070" ht="15" customHeight="1"/>
    <row r="9071" ht="15" customHeight="1"/>
    <row r="9072" ht="15" customHeight="1"/>
    <row r="9073" ht="15" customHeight="1"/>
    <row r="9074" ht="15" customHeight="1"/>
    <row r="9075" ht="15" customHeight="1"/>
    <row r="9076" ht="15" customHeight="1"/>
    <row r="9077" ht="15" customHeight="1"/>
    <row r="9078" ht="15" customHeight="1"/>
    <row r="9079" ht="15" customHeight="1"/>
    <row r="9080" ht="15" customHeight="1"/>
    <row r="9081" ht="15" customHeight="1"/>
    <row r="9082" ht="15" customHeight="1"/>
    <row r="9083" ht="15" customHeight="1"/>
    <row r="9084" ht="15" customHeight="1"/>
    <row r="9085" ht="15" customHeight="1"/>
    <row r="9086" ht="15" customHeight="1"/>
    <row r="9087" ht="15" customHeight="1"/>
    <row r="9088" ht="15" customHeight="1"/>
    <row r="9089" ht="15" customHeight="1"/>
    <row r="9090" ht="15" customHeight="1"/>
    <row r="9091" ht="15" customHeight="1"/>
    <row r="9092" ht="15" customHeight="1"/>
    <row r="9093" ht="15" customHeight="1"/>
    <row r="9094" ht="15" customHeight="1"/>
    <row r="9095" ht="15" customHeight="1"/>
    <row r="9096" ht="15" customHeight="1"/>
    <row r="9097" ht="15" customHeight="1"/>
    <row r="9098" ht="15" customHeight="1"/>
    <row r="9099" ht="15" customHeight="1"/>
    <row r="9100" ht="15" customHeight="1"/>
    <row r="9101" ht="15" customHeight="1"/>
    <row r="9102" ht="15" customHeight="1"/>
    <row r="9103" ht="15" customHeight="1"/>
    <row r="9104" ht="15" customHeight="1"/>
    <row r="9105" ht="15" customHeight="1"/>
    <row r="9106" ht="15" customHeight="1"/>
    <row r="9107" ht="15" customHeight="1"/>
    <row r="9108" ht="15" customHeight="1"/>
    <row r="9109" ht="15" customHeight="1"/>
    <row r="9110" ht="15" customHeight="1"/>
    <row r="9111" ht="15" customHeight="1"/>
    <row r="9112" ht="15" customHeight="1"/>
    <row r="9113" ht="15" customHeight="1"/>
    <row r="9114" ht="15" customHeight="1"/>
    <row r="9115" ht="15" customHeight="1"/>
    <row r="9116" ht="15" customHeight="1"/>
    <row r="9117" ht="15" customHeight="1"/>
    <row r="9118" ht="15" customHeight="1"/>
    <row r="9119" ht="15" customHeight="1"/>
    <row r="9120" ht="15" customHeight="1"/>
    <row r="9121" ht="15" customHeight="1"/>
    <row r="9122" ht="15" customHeight="1"/>
    <row r="9123" ht="15" customHeight="1"/>
    <row r="9124" ht="15" customHeight="1"/>
    <row r="9125" ht="15" customHeight="1"/>
    <row r="9126" ht="15" customHeight="1"/>
    <row r="9127" ht="15" customHeight="1"/>
    <row r="9128" ht="15" customHeight="1"/>
    <row r="9129" ht="15" customHeight="1"/>
    <row r="9130" ht="15" customHeight="1"/>
    <row r="9131" ht="15" customHeight="1"/>
    <row r="9132" ht="15" customHeight="1"/>
    <row r="9133" ht="15" customHeight="1"/>
    <row r="9134" ht="15" customHeight="1"/>
    <row r="9135" ht="15" customHeight="1"/>
    <row r="9136" ht="15" customHeight="1"/>
    <row r="9137" ht="15" customHeight="1"/>
    <row r="9138" ht="15" customHeight="1"/>
    <row r="9139" ht="15" customHeight="1"/>
    <row r="9140" ht="15" customHeight="1"/>
    <row r="9141" ht="15" customHeight="1"/>
    <row r="9142" ht="15" customHeight="1"/>
    <row r="9143" ht="15" customHeight="1"/>
    <row r="9144" ht="15" customHeight="1"/>
    <row r="9145" ht="15" customHeight="1"/>
    <row r="9146" ht="15" customHeight="1"/>
    <row r="9147" ht="15" customHeight="1"/>
    <row r="9148" ht="15" customHeight="1"/>
    <row r="9149" ht="15" customHeight="1"/>
    <row r="9150" ht="15" customHeight="1"/>
    <row r="9151" ht="15" customHeight="1"/>
    <row r="9152" ht="15" customHeight="1"/>
    <row r="9153" ht="15" customHeight="1"/>
    <row r="9154" ht="15" customHeight="1"/>
    <row r="9155" ht="15" customHeight="1"/>
    <row r="9156" ht="15" customHeight="1"/>
    <row r="9157" ht="15" customHeight="1"/>
    <row r="9158" ht="15" customHeight="1"/>
    <row r="9159" ht="15" customHeight="1"/>
    <row r="9160" ht="15" customHeight="1"/>
    <row r="9161" ht="15" customHeight="1"/>
    <row r="9162" ht="15" customHeight="1"/>
    <row r="9163" ht="15" customHeight="1"/>
    <row r="9164" ht="15" customHeight="1"/>
    <row r="9165" ht="15" customHeight="1"/>
    <row r="9166" ht="15" customHeight="1"/>
    <row r="9167" ht="15" customHeight="1"/>
    <row r="9168" ht="15" customHeight="1"/>
    <row r="9169" ht="15" customHeight="1"/>
    <row r="9170" ht="15" customHeight="1"/>
    <row r="9171" ht="15" customHeight="1"/>
    <row r="9172" ht="15" customHeight="1"/>
    <row r="9173" ht="15" customHeight="1"/>
    <row r="9174" ht="15" customHeight="1"/>
    <row r="9175" ht="15" customHeight="1"/>
    <row r="9176" ht="15" customHeight="1"/>
    <row r="9177" ht="15" customHeight="1"/>
    <row r="9178" ht="15" customHeight="1"/>
    <row r="9179" ht="15" customHeight="1"/>
    <row r="9180" ht="15" customHeight="1"/>
    <row r="9181" ht="15" customHeight="1"/>
    <row r="9182" ht="15" customHeight="1"/>
    <row r="9183" ht="15" customHeight="1"/>
    <row r="9184" ht="15" customHeight="1"/>
    <row r="9185" ht="15" customHeight="1"/>
    <row r="9186" ht="15" customHeight="1"/>
    <row r="9187" ht="15" customHeight="1"/>
    <row r="9188" ht="15" customHeight="1"/>
    <row r="9189" ht="15" customHeight="1"/>
    <row r="9190" ht="15" customHeight="1"/>
    <row r="9191" ht="15" customHeight="1"/>
    <row r="9192" ht="15" customHeight="1"/>
    <row r="9193" ht="15" customHeight="1"/>
    <row r="9194" ht="15" customHeight="1"/>
    <row r="9195" ht="15" customHeight="1"/>
    <row r="9196" ht="15" customHeight="1"/>
    <row r="9197" ht="15" customHeight="1"/>
    <row r="9198" ht="15" customHeight="1"/>
    <row r="9199" ht="15" customHeight="1"/>
    <row r="9200" ht="15" customHeight="1"/>
    <row r="9201" ht="15" customHeight="1"/>
    <row r="9202" ht="15" customHeight="1"/>
    <row r="9203" ht="15" customHeight="1"/>
    <row r="9204" ht="15" customHeight="1"/>
    <row r="9205" ht="15" customHeight="1"/>
    <row r="9206" ht="15" customHeight="1"/>
    <row r="9207" ht="15" customHeight="1"/>
    <row r="9208" ht="15" customHeight="1"/>
    <row r="9209" ht="15" customHeight="1"/>
    <row r="9210" ht="15" customHeight="1"/>
    <row r="9211" ht="15" customHeight="1"/>
    <row r="9212" ht="15" customHeight="1"/>
    <row r="9213" ht="15" customHeight="1"/>
    <row r="9214" ht="15" customHeight="1"/>
    <row r="9215" ht="15" customHeight="1"/>
    <row r="9216" ht="15" customHeight="1"/>
    <row r="9217" ht="15" customHeight="1"/>
    <row r="9218" ht="15" customHeight="1"/>
    <row r="9219" ht="15" customHeight="1"/>
    <row r="9220" ht="15" customHeight="1"/>
    <row r="9221" ht="15" customHeight="1"/>
    <row r="9222" ht="15" customHeight="1"/>
    <row r="9223" ht="15" customHeight="1"/>
    <row r="9224" ht="15" customHeight="1"/>
    <row r="9225" ht="15" customHeight="1"/>
    <row r="9226" ht="15" customHeight="1"/>
    <row r="9227" ht="15" customHeight="1"/>
    <row r="9228" ht="15" customHeight="1"/>
    <row r="9229" ht="15" customHeight="1"/>
    <row r="9230" ht="15" customHeight="1"/>
    <row r="9231" ht="15" customHeight="1"/>
    <row r="9232" ht="15" customHeight="1"/>
    <row r="9233" ht="15" customHeight="1"/>
    <row r="9234" ht="15" customHeight="1"/>
    <row r="9235" ht="15" customHeight="1"/>
    <row r="9236" ht="15" customHeight="1"/>
    <row r="9237" ht="15" customHeight="1"/>
    <row r="9238" ht="15" customHeight="1"/>
    <row r="9239" ht="15" customHeight="1"/>
    <row r="9240" ht="15" customHeight="1"/>
    <row r="9241" ht="15" customHeight="1"/>
    <row r="9242" ht="15" customHeight="1"/>
    <row r="9243" ht="15" customHeight="1"/>
    <row r="9244" ht="15" customHeight="1"/>
    <row r="9245" ht="15" customHeight="1"/>
    <row r="9246" ht="15" customHeight="1"/>
    <row r="9247" ht="15" customHeight="1"/>
    <row r="9248" ht="15" customHeight="1"/>
    <row r="9249" ht="15" customHeight="1"/>
    <row r="9250" ht="15" customHeight="1"/>
    <row r="9251" ht="15" customHeight="1"/>
    <row r="9252" ht="15" customHeight="1"/>
    <row r="9253" ht="15" customHeight="1"/>
    <row r="9254" ht="15" customHeight="1"/>
    <row r="9255" ht="15" customHeight="1"/>
    <row r="9256" ht="15" customHeight="1"/>
    <row r="9257" ht="15" customHeight="1"/>
    <row r="9258" ht="15" customHeight="1"/>
    <row r="9259" ht="15" customHeight="1"/>
    <row r="9260" ht="15" customHeight="1"/>
    <row r="9261" ht="15" customHeight="1"/>
    <row r="9262" ht="15" customHeight="1"/>
    <row r="9263" ht="15" customHeight="1"/>
    <row r="9264" ht="15" customHeight="1"/>
    <row r="9265" ht="15" customHeight="1"/>
    <row r="9266" ht="15" customHeight="1"/>
    <row r="9267" ht="15" customHeight="1"/>
    <row r="9268" ht="15" customHeight="1"/>
    <row r="9269" ht="15" customHeight="1"/>
    <row r="9270" ht="15" customHeight="1"/>
    <row r="9271" ht="15" customHeight="1"/>
    <row r="9272" ht="15" customHeight="1"/>
    <row r="9273" ht="15" customHeight="1"/>
    <row r="9274" ht="15" customHeight="1"/>
    <row r="9275" ht="15" customHeight="1"/>
    <row r="9276" ht="15" customHeight="1"/>
    <row r="9277" ht="15" customHeight="1"/>
    <row r="9278" ht="15" customHeight="1"/>
    <row r="9279" ht="15" customHeight="1"/>
    <row r="9280" ht="15" customHeight="1"/>
    <row r="9281" ht="15" customHeight="1"/>
    <row r="9282" ht="15" customHeight="1"/>
    <row r="9283" ht="15" customHeight="1"/>
    <row r="9284" ht="15" customHeight="1"/>
    <row r="9285" ht="15" customHeight="1"/>
    <row r="9286" ht="15" customHeight="1"/>
    <row r="9287" ht="15" customHeight="1"/>
    <row r="9288" ht="15" customHeight="1"/>
    <row r="9289" ht="15" customHeight="1"/>
    <row r="9290" ht="15" customHeight="1"/>
    <row r="9291" ht="15" customHeight="1"/>
    <row r="9292" ht="15" customHeight="1"/>
    <row r="9293" ht="15" customHeight="1"/>
    <row r="9294" ht="15" customHeight="1"/>
    <row r="9295" ht="15" customHeight="1"/>
    <row r="9296" ht="15" customHeight="1"/>
    <row r="9297" ht="15" customHeight="1"/>
    <row r="9298" ht="15" customHeight="1"/>
    <row r="9299" ht="15" customHeight="1"/>
    <row r="9300" ht="15" customHeight="1"/>
    <row r="9301" ht="15" customHeight="1"/>
    <row r="9302" ht="15" customHeight="1"/>
    <row r="9303" ht="15" customHeight="1"/>
    <row r="9304" ht="15" customHeight="1"/>
    <row r="9305" ht="15" customHeight="1"/>
    <row r="9306" ht="15" customHeight="1"/>
    <row r="9307" ht="15" customHeight="1"/>
    <row r="9308" ht="15" customHeight="1"/>
    <row r="9309" ht="15" customHeight="1"/>
    <row r="9310" ht="15" customHeight="1"/>
    <row r="9311" ht="15" customHeight="1"/>
    <row r="9312" ht="15" customHeight="1"/>
    <row r="9313" ht="15" customHeight="1"/>
    <row r="9314" ht="15" customHeight="1"/>
    <row r="9315" ht="15" customHeight="1"/>
    <row r="9316" ht="15" customHeight="1"/>
    <row r="9317" ht="15" customHeight="1"/>
    <row r="9318" ht="15" customHeight="1"/>
    <row r="9319" ht="15" customHeight="1"/>
    <row r="9320" ht="15" customHeight="1"/>
    <row r="9321" ht="15" customHeight="1"/>
    <row r="9322" ht="15" customHeight="1"/>
    <row r="9323" ht="15" customHeight="1"/>
    <row r="9324" ht="15" customHeight="1"/>
    <row r="9325" ht="15" customHeight="1"/>
    <row r="9326" ht="15" customHeight="1"/>
    <row r="9327" ht="15" customHeight="1"/>
    <row r="9328" ht="15" customHeight="1"/>
    <row r="9329" ht="15" customHeight="1"/>
    <row r="9330" ht="15" customHeight="1"/>
    <row r="9331" ht="15" customHeight="1"/>
    <row r="9332" ht="15" customHeight="1"/>
    <row r="9333" ht="15" customHeight="1"/>
    <row r="9334" ht="15" customHeight="1"/>
    <row r="9335" ht="15" customHeight="1"/>
    <row r="9336" ht="15" customHeight="1"/>
    <row r="9337" ht="15" customHeight="1"/>
    <row r="9338" ht="15" customHeight="1"/>
    <row r="9339" ht="15" customHeight="1"/>
    <row r="9340" ht="15" customHeight="1"/>
    <row r="9341" ht="15" customHeight="1"/>
    <row r="9342" ht="15" customHeight="1"/>
    <row r="9343" ht="15" customHeight="1"/>
    <row r="9344" ht="15" customHeight="1"/>
    <row r="9345" ht="15" customHeight="1"/>
    <row r="9346" ht="15" customHeight="1"/>
    <row r="9347" ht="15" customHeight="1"/>
    <row r="9348" ht="15" customHeight="1"/>
    <row r="9349" ht="15" customHeight="1"/>
    <row r="9350" ht="15" customHeight="1"/>
    <row r="9351" ht="15" customHeight="1"/>
    <row r="9352" ht="15" customHeight="1"/>
    <row r="9353" ht="15" customHeight="1"/>
    <row r="9354" ht="15" customHeight="1"/>
    <row r="9355" ht="15" customHeight="1"/>
    <row r="9356" ht="15" customHeight="1"/>
    <row r="9357" ht="15" customHeight="1"/>
    <row r="9358" ht="15" customHeight="1"/>
    <row r="9359" ht="15" customHeight="1"/>
    <row r="9360" ht="15" customHeight="1"/>
    <row r="9361" ht="15" customHeight="1"/>
    <row r="9362" ht="15" customHeight="1"/>
    <row r="9363" ht="15" customHeight="1"/>
    <row r="9364" ht="15" customHeight="1"/>
    <row r="9365" ht="15" customHeight="1"/>
    <row r="9366" ht="15" customHeight="1"/>
    <row r="9367" ht="15" customHeight="1"/>
    <row r="9368" ht="15" customHeight="1"/>
    <row r="9369" ht="15" customHeight="1"/>
    <row r="9370" ht="15" customHeight="1"/>
    <row r="9371" ht="15" customHeight="1"/>
    <row r="9372" ht="15" customHeight="1"/>
    <row r="9373" ht="15" customHeight="1"/>
    <row r="9374" ht="15" customHeight="1"/>
    <row r="9375" ht="15" customHeight="1"/>
    <row r="9376" ht="15" customHeight="1"/>
    <row r="9377" ht="15" customHeight="1"/>
    <row r="9378" ht="15" customHeight="1"/>
    <row r="9379" ht="15" customHeight="1"/>
    <row r="9380" ht="15" customHeight="1"/>
    <row r="9381" ht="15" customHeight="1"/>
    <row r="9382" ht="15" customHeight="1"/>
    <row r="9383" ht="15" customHeight="1"/>
    <row r="9384" ht="15" customHeight="1"/>
    <row r="9385" ht="15" customHeight="1"/>
    <row r="9386" ht="15" customHeight="1"/>
    <row r="9387" ht="15" customHeight="1"/>
    <row r="9388" ht="15" customHeight="1"/>
    <row r="9389" ht="15" customHeight="1"/>
    <row r="9390" ht="15" customHeight="1"/>
    <row r="9391" ht="15" customHeight="1"/>
    <row r="9392" ht="15" customHeight="1"/>
    <row r="9393" ht="15" customHeight="1"/>
    <row r="9394" ht="15" customHeight="1"/>
    <row r="9395" ht="15" customHeight="1"/>
    <row r="9396" ht="15" customHeight="1"/>
    <row r="9397" ht="15" customHeight="1"/>
    <row r="9398" ht="15" customHeight="1"/>
    <row r="9399" ht="15" customHeight="1"/>
    <row r="9400" ht="15" customHeight="1"/>
    <row r="9401" ht="15" customHeight="1"/>
    <row r="9402" ht="15" customHeight="1"/>
    <row r="9403" ht="15" customHeight="1"/>
    <row r="9404" ht="15" customHeight="1"/>
    <row r="9405" ht="15" customHeight="1"/>
    <row r="9406" ht="15" customHeight="1"/>
    <row r="9407" ht="15" customHeight="1"/>
    <row r="9408" ht="15" customHeight="1"/>
    <row r="9409" ht="15" customHeight="1"/>
    <row r="9410" ht="15" customHeight="1"/>
    <row r="9411" ht="15" customHeight="1"/>
    <row r="9412" ht="15" customHeight="1"/>
    <row r="9413" ht="15" customHeight="1"/>
    <row r="9414" ht="15" customHeight="1"/>
    <row r="9415" ht="15" customHeight="1"/>
    <row r="9416" ht="15" customHeight="1"/>
    <row r="9417" ht="15" customHeight="1"/>
    <row r="9418" ht="15" customHeight="1"/>
    <row r="9419" ht="15" customHeight="1"/>
    <row r="9420" ht="15" customHeight="1"/>
    <row r="9421" ht="15" customHeight="1"/>
    <row r="9422" ht="15" customHeight="1"/>
    <row r="9423" ht="15" customHeight="1"/>
    <row r="9424" ht="15" customHeight="1"/>
    <row r="9425" ht="15" customHeight="1"/>
    <row r="9426" ht="15" customHeight="1"/>
    <row r="9427" ht="15" customHeight="1"/>
    <row r="9428" ht="15" customHeight="1"/>
    <row r="9429" ht="15" customHeight="1"/>
    <row r="9430" ht="15" customHeight="1"/>
    <row r="9431" ht="15" customHeight="1"/>
    <row r="9432" ht="15" customHeight="1"/>
    <row r="9433" ht="15" customHeight="1"/>
    <row r="9434" ht="15" customHeight="1"/>
    <row r="9435" ht="15" customHeight="1"/>
    <row r="9436" ht="15" customHeight="1"/>
    <row r="9437" ht="15" customHeight="1"/>
    <row r="9438" ht="15" customHeight="1"/>
    <row r="9439" ht="15" customHeight="1"/>
    <row r="9440" ht="15" customHeight="1"/>
    <row r="9441" ht="15" customHeight="1"/>
    <row r="9442" ht="15" customHeight="1"/>
    <row r="9443" ht="15" customHeight="1"/>
    <row r="9444" ht="15" customHeight="1"/>
    <row r="9445" ht="15" customHeight="1"/>
    <row r="9446" ht="15" customHeight="1"/>
    <row r="9447" ht="15" customHeight="1"/>
    <row r="9448" ht="15" customHeight="1"/>
    <row r="9449" ht="15" customHeight="1"/>
    <row r="9450" ht="15" customHeight="1"/>
    <row r="9451" ht="15" customHeight="1"/>
    <row r="9452" ht="15" customHeight="1"/>
    <row r="9453" ht="15" customHeight="1"/>
    <row r="9454" ht="15" customHeight="1"/>
    <row r="9455" ht="15" customHeight="1"/>
    <row r="9456" ht="15" customHeight="1"/>
    <row r="9457" ht="15" customHeight="1"/>
    <row r="9458" ht="15" customHeight="1"/>
    <row r="9459" ht="15" customHeight="1"/>
    <row r="9460" ht="15" customHeight="1"/>
    <row r="9461" ht="15" customHeight="1"/>
    <row r="9462" ht="15" customHeight="1"/>
    <row r="9463" ht="15" customHeight="1"/>
    <row r="9464" ht="15" customHeight="1"/>
    <row r="9465" ht="15" customHeight="1"/>
    <row r="9466" ht="15" customHeight="1"/>
    <row r="9467" ht="15" customHeight="1"/>
    <row r="9468" ht="15" customHeight="1"/>
    <row r="9469" ht="15" customHeight="1"/>
    <row r="9470" ht="15" customHeight="1"/>
    <row r="9471" ht="15" customHeight="1"/>
    <row r="9472" ht="15" customHeight="1"/>
    <row r="9473" ht="15" customHeight="1"/>
    <row r="9474" ht="15" customHeight="1"/>
    <row r="9475" ht="15" customHeight="1"/>
    <row r="9476" ht="15" customHeight="1"/>
    <row r="9477" ht="15" customHeight="1"/>
    <row r="9478" ht="15" customHeight="1"/>
    <row r="9479" ht="15" customHeight="1"/>
    <row r="9480" ht="15" customHeight="1"/>
    <row r="9481" ht="15" customHeight="1"/>
    <row r="9482" ht="15" customHeight="1"/>
    <row r="9483" ht="15" customHeight="1"/>
    <row r="9484" ht="15" customHeight="1"/>
    <row r="9485" ht="15" customHeight="1"/>
    <row r="9486" ht="15" customHeight="1"/>
    <row r="9487" ht="15" customHeight="1"/>
    <row r="9488" ht="15" customHeight="1"/>
    <row r="9489" ht="15" customHeight="1"/>
    <row r="9490" ht="15" customHeight="1"/>
    <row r="9491" ht="15" customHeight="1"/>
    <row r="9492" ht="15" customHeight="1"/>
    <row r="9493" ht="15" customHeight="1"/>
    <row r="9494" ht="15" customHeight="1"/>
    <row r="9495" ht="15" customHeight="1"/>
    <row r="9496" ht="15" customHeight="1"/>
    <row r="9497" ht="15" customHeight="1"/>
    <row r="9498" ht="15" customHeight="1"/>
    <row r="9499" ht="15" customHeight="1"/>
    <row r="9500" ht="15" customHeight="1"/>
    <row r="9501" ht="15" customHeight="1"/>
    <row r="9502" ht="15" customHeight="1"/>
    <row r="9503" ht="15" customHeight="1"/>
    <row r="9504" ht="15" customHeight="1"/>
    <row r="9505" ht="15" customHeight="1"/>
    <row r="9506" ht="15" customHeight="1"/>
    <row r="9507" ht="15" customHeight="1"/>
    <row r="9508" ht="15" customHeight="1"/>
    <row r="9509" ht="15" customHeight="1"/>
    <row r="9510" ht="15" customHeight="1"/>
    <row r="9511" ht="15" customHeight="1"/>
    <row r="9512" ht="15" customHeight="1"/>
    <row r="9513" ht="15" customHeight="1"/>
    <row r="9514" ht="15" customHeight="1"/>
    <row r="9515" ht="15" customHeight="1"/>
    <row r="9516" ht="15" customHeight="1"/>
    <row r="9517" ht="15" customHeight="1"/>
    <row r="9518" ht="15" customHeight="1"/>
    <row r="9519" ht="15" customHeight="1"/>
    <row r="9520" ht="15" customHeight="1"/>
    <row r="9521" ht="15" customHeight="1"/>
    <row r="9522" ht="15" customHeight="1"/>
    <row r="9523" ht="15" customHeight="1"/>
    <row r="9524" ht="15" customHeight="1"/>
    <row r="9525" ht="15" customHeight="1"/>
    <row r="9526" ht="15" customHeight="1"/>
    <row r="9527" ht="15" customHeight="1"/>
    <row r="9528" ht="15" customHeight="1"/>
    <row r="9529" ht="15" customHeight="1"/>
    <row r="9530" ht="15" customHeight="1"/>
    <row r="9531" ht="15" customHeight="1"/>
    <row r="9532" ht="15" customHeight="1"/>
    <row r="9533" ht="15" customHeight="1"/>
    <row r="9534" ht="15" customHeight="1"/>
    <row r="9535" ht="15" customHeight="1"/>
    <row r="9536" ht="15" customHeight="1"/>
    <row r="9537" ht="15" customHeight="1"/>
    <row r="9538" ht="15" customHeight="1"/>
    <row r="9539" ht="15" customHeight="1"/>
    <row r="9540" ht="15" customHeight="1"/>
    <row r="9541" ht="15" customHeight="1"/>
    <row r="9542" ht="15" customHeight="1"/>
    <row r="9543" ht="15" customHeight="1"/>
    <row r="9544" ht="15" customHeight="1"/>
    <row r="9545" ht="15" customHeight="1"/>
    <row r="9546" ht="15" customHeight="1"/>
    <row r="9547" ht="15" customHeight="1"/>
    <row r="9548" ht="15" customHeight="1"/>
    <row r="9549" ht="15" customHeight="1"/>
    <row r="9550" ht="15" customHeight="1"/>
    <row r="9551" ht="15" customHeight="1"/>
    <row r="9552" ht="15" customHeight="1"/>
    <row r="9553" ht="15" customHeight="1"/>
    <row r="9554" ht="15" customHeight="1"/>
    <row r="9555" ht="15" customHeight="1"/>
    <row r="9556" ht="15" customHeight="1"/>
    <row r="9557" ht="15" customHeight="1"/>
    <row r="9558" ht="15" customHeight="1"/>
    <row r="9559" ht="15" customHeight="1"/>
    <row r="9560" ht="15" customHeight="1"/>
    <row r="9561" ht="15" customHeight="1"/>
    <row r="9562" ht="15" customHeight="1"/>
    <row r="9563" ht="15" customHeight="1"/>
    <row r="9564" ht="15" customHeight="1"/>
    <row r="9565" ht="15" customHeight="1"/>
    <row r="9566" ht="15" customHeight="1"/>
    <row r="9567" ht="15" customHeight="1"/>
    <row r="9568" ht="15" customHeight="1"/>
    <row r="9569" ht="15" customHeight="1"/>
    <row r="9570" ht="15" customHeight="1"/>
    <row r="9571" ht="15" customHeight="1"/>
    <row r="9572" ht="15" customHeight="1"/>
    <row r="9573" ht="15" customHeight="1"/>
    <row r="9574" ht="15" customHeight="1"/>
    <row r="9575" ht="15" customHeight="1"/>
    <row r="9576" ht="15" customHeight="1"/>
    <row r="9577" ht="15" customHeight="1"/>
    <row r="9578" ht="15" customHeight="1"/>
    <row r="9579" ht="15" customHeight="1"/>
    <row r="9580" ht="15" customHeight="1"/>
    <row r="9581" ht="15" customHeight="1"/>
    <row r="9582" ht="15" customHeight="1"/>
    <row r="9583" ht="15" customHeight="1"/>
    <row r="9584" ht="15" customHeight="1"/>
    <row r="9585" ht="15" customHeight="1"/>
    <row r="9586" ht="15" customHeight="1"/>
    <row r="9587" ht="15" customHeight="1"/>
    <row r="9588" ht="15" customHeight="1"/>
    <row r="9589" ht="15" customHeight="1"/>
    <row r="9590" ht="15" customHeight="1"/>
    <row r="9591" ht="15" customHeight="1"/>
    <row r="9592" ht="15" customHeight="1"/>
    <row r="9593" ht="15" customHeight="1"/>
    <row r="9594" ht="15" customHeight="1"/>
    <row r="9595" ht="15" customHeight="1"/>
    <row r="9596" ht="15" customHeight="1"/>
    <row r="9597" ht="15" customHeight="1"/>
    <row r="9598" ht="15" customHeight="1"/>
    <row r="9599" ht="15" customHeight="1"/>
    <row r="9600" ht="15" customHeight="1"/>
    <row r="9601" ht="15" customHeight="1"/>
    <row r="9602" ht="15" customHeight="1"/>
    <row r="9603" ht="15" customHeight="1"/>
    <row r="9604" ht="15" customHeight="1"/>
    <row r="9605" ht="15" customHeight="1"/>
    <row r="9606" ht="15" customHeight="1"/>
    <row r="9607" ht="15" customHeight="1"/>
    <row r="9608" ht="15" customHeight="1"/>
    <row r="9609" ht="15" customHeight="1"/>
    <row r="9610" ht="15" customHeight="1"/>
    <row r="9611" ht="15" customHeight="1"/>
    <row r="9612" ht="15" customHeight="1"/>
    <row r="9613" ht="15" customHeight="1"/>
    <row r="9614" ht="15" customHeight="1"/>
    <row r="9615" ht="15" customHeight="1"/>
    <row r="9616" ht="15" customHeight="1"/>
    <row r="9617" ht="15" customHeight="1"/>
    <row r="9618" ht="15" customHeight="1"/>
    <row r="9619" ht="15" customHeight="1"/>
    <row r="9620" ht="15" customHeight="1"/>
    <row r="9621" ht="15" customHeight="1"/>
    <row r="9622" ht="15" customHeight="1"/>
    <row r="9623" ht="15" customHeight="1"/>
    <row r="9624" ht="15" customHeight="1"/>
    <row r="9625" ht="15" customHeight="1"/>
    <row r="9626" ht="15" customHeight="1"/>
    <row r="9627" ht="15" customHeight="1"/>
    <row r="9628" ht="15" customHeight="1"/>
    <row r="9629" ht="15" customHeight="1"/>
    <row r="9630" ht="15" customHeight="1"/>
    <row r="9631" ht="15" customHeight="1"/>
    <row r="9632" ht="15" customHeight="1"/>
    <row r="9633" ht="15" customHeight="1"/>
    <row r="9634" ht="15" customHeight="1"/>
    <row r="9635" ht="15" customHeight="1"/>
    <row r="9636" ht="15" customHeight="1"/>
    <row r="9637" ht="15" customHeight="1"/>
    <row r="9638" ht="15" customHeight="1"/>
    <row r="9639" ht="15" customHeight="1"/>
    <row r="9640" ht="15" customHeight="1"/>
    <row r="9641" ht="15" customHeight="1"/>
    <row r="9642" ht="15" customHeight="1"/>
    <row r="9643" ht="15" customHeight="1"/>
    <row r="9644" ht="15" customHeight="1"/>
    <row r="9645" ht="15" customHeight="1"/>
    <row r="9646" ht="15" customHeight="1"/>
    <row r="9647" ht="15" customHeight="1"/>
    <row r="9648" ht="15" customHeight="1"/>
    <row r="9649" ht="15" customHeight="1"/>
    <row r="9650" ht="15" customHeight="1"/>
    <row r="9651" ht="15" customHeight="1"/>
    <row r="9652" ht="15" customHeight="1"/>
    <row r="9653" ht="15" customHeight="1"/>
    <row r="9654" ht="15" customHeight="1"/>
    <row r="9655" ht="15" customHeight="1"/>
    <row r="9656" ht="15" customHeight="1"/>
    <row r="9657" ht="15" customHeight="1"/>
    <row r="9658" ht="15" customHeight="1"/>
    <row r="9659" ht="15" customHeight="1"/>
    <row r="9660" ht="15" customHeight="1"/>
    <row r="9661" ht="15" customHeight="1"/>
    <row r="9662" ht="15" customHeight="1"/>
    <row r="9663" ht="15" customHeight="1"/>
    <row r="9664" ht="15" customHeight="1"/>
    <row r="9665" ht="15" customHeight="1"/>
    <row r="9666" ht="15" customHeight="1"/>
    <row r="9667" ht="15" customHeight="1"/>
    <row r="9668" ht="15" customHeight="1"/>
    <row r="9669" ht="15" customHeight="1"/>
    <row r="9670" ht="15" customHeight="1"/>
    <row r="9671" ht="15" customHeight="1"/>
    <row r="9672" ht="15" customHeight="1"/>
    <row r="9673" ht="15" customHeight="1"/>
    <row r="9674" ht="15" customHeight="1"/>
    <row r="9675" ht="15" customHeight="1"/>
    <row r="9676" ht="15" customHeight="1"/>
    <row r="9677" ht="15" customHeight="1"/>
    <row r="9678" ht="15" customHeight="1"/>
    <row r="9679" ht="15" customHeight="1"/>
    <row r="9680" ht="15" customHeight="1"/>
    <row r="9681" ht="15" customHeight="1"/>
    <row r="9682" ht="15" customHeight="1"/>
    <row r="9683" ht="15" customHeight="1"/>
    <row r="9684" ht="15" customHeight="1"/>
    <row r="9685" ht="15" customHeight="1"/>
    <row r="9686" ht="15" customHeight="1"/>
    <row r="9687" ht="15" customHeight="1"/>
    <row r="9688" ht="15" customHeight="1"/>
    <row r="9689" ht="15" customHeight="1"/>
    <row r="9690" ht="15" customHeight="1"/>
    <row r="9691" ht="15" customHeight="1"/>
    <row r="9692" ht="15" customHeight="1"/>
    <row r="9693" ht="15" customHeight="1"/>
    <row r="9694" ht="15" customHeight="1"/>
    <row r="9695" ht="15" customHeight="1"/>
    <row r="9696" ht="15" customHeight="1"/>
    <row r="9697" ht="15" customHeight="1"/>
    <row r="9698" ht="15" customHeight="1"/>
    <row r="9699" ht="15" customHeight="1"/>
    <row r="9700" ht="15" customHeight="1"/>
    <row r="9701" ht="15" customHeight="1"/>
    <row r="9702" ht="15" customHeight="1"/>
    <row r="9703" ht="15" customHeight="1"/>
    <row r="9704" ht="15" customHeight="1"/>
    <row r="9705" ht="15" customHeight="1"/>
    <row r="9706" ht="15" customHeight="1"/>
    <row r="9707" ht="15" customHeight="1"/>
    <row r="9708" ht="15" customHeight="1"/>
    <row r="9709" ht="15" customHeight="1"/>
    <row r="9710" ht="15" customHeight="1"/>
    <row r="9711" ht="15" customHeight="1"/>
    <row r="9712" ht="15" customHeight="1"/>
    <row r="9713" ht="15" customHeight="1"/>
    <row r="9714" ht="15" customHeight="1"/>
    <row r="9715" ht="15" customHeight="1"/>
    <row r="9716" ht="15" customHeight="1"/>
    <row r="9717" ht="15" customHeight="1"/>
    <row r="9718" ht="15" customHeight="1"/>
    <row r="9719" ht="15" customHeight="1"/>
    <row r="9720" ht="15" customHeight="1"/>
    <row r="9721" ht="15" customHeight="1"/>
    <row r="9722" ht="15" customHeight="1"/>
    <row r="9723" ht="15" customHeight="1"/>
    <row r="9724" ht="15" customHeight="1"/>
    <row r="9725" ht="15" customHeight="1"/>
    <row r="9726" ht="15" customHeight="1"/>
    <row r="9727" ht="15" customHeight="1"/>
    <row r="9728" ht="15" customHeight="1"/>
    <row r="9729" ht="15" customHeight="1"/>
    <row r="9730" ht="15" customHeight="1"/>
    <row r="9731" ht="15" customHeight="1"/>
    <row r="9732" ht="15" customHeight="1"/>
    <row r="9733" ht="15" customHeight="1"/>
    <row r="9734" ht="15" customHeight="1"/>
    <row r="9735" ht="15" customHeight="1"/>
    <row r="9736" ht="15" customHeight="1"/>
    <row r="9737" ht="15" customHeight="1"/>
    <row r="9738" ht="15" customHeight="1"/>
    <row r="9739" ht="15" customHeight="1"/>
    <row r="9740" ht="15" customHeight="1"/>
    <row r="9741" ht="15" customHeight="1"/>
    <row r="9742" ht="15" customHeight="1"/>
    <row r="9743" ht="15" customHeight="1"/>
    <row r="9744" ht="15" customHeight="1"/>
    <row r="9745" ht="15" customHeight="1"/>
    <row r="9746" ht="15" customHeight="1"/>
    <row r="9747" ht="15" customHeight="1"/>
    <row r="9748" ht="15" customHeight="1"/>
    <row r="9749" ht="15" customHeight="1"/>
    <row r="9750" ht="15" customHeight="1"/>
    <row r="9751" ht="15" customHeight="1"/>
    <row r="9752" ht="15" customHeight="1"/>
    <row r="9753" ht="15" customHeight="1"/>
    <row r="9754" ht="15" customHeight="1"/>
    <row r="9755" ht="15" customHeight="1"/>
    <row r="9756" ht="15" customHeight="1"/>
    <row r="9757" ht="15" customHeight="1"/>
    <row r="9758" ht="15" customHeight="1"/>
    <row r="9759" ht="15" customHeight="1"/>
    <row r="9760" ht="15" customHeight="1"/>
    <row r="9761" ht="15" customHeight="1"/>
    <row r="9762" ht="15" customHeight="1"/>
    <row r="9763" ht="15" customHeight="1"/>
    <row r="9764" ht="15" customHeight="1"/>
    <row r="9765" ht="15" customHeight="1"/>
    <row r="9766" ht="15" customHeight="1"/>
    <row r="9767" ht="15" customHeight="1"/>
    <row r="9768" ht="15" customHeight="1"/>
    <row r="9769" ht="15" customHeight="1"/>
    <row r="9770" ht="15" customHeight="1"/>
    <row r="9771" ht="15" customHeight="1"/>
    <row r="9772" ht="15" customHeight="1"/>
    <row r="9773" ht="15" customHeight="1"/>
    <row r="9774" ht="15" customHeight="1"/>
    <row r="9775" ht="15" customHeight="1"/>
    <row r="9776" ht="15" customHeight="1"/>
    <row r="9777" ht="15" customHeight="1"/>
    <row r="9778" ht="15" customHeight="1"/>
    <row r="9779" ht="15" customHeight="1"/>
    <row r="9780" ht="15" customHeight="1"/>
    <row r="9781" ht="15" customHeight="1"/>
    <row r="9782" ht="15" customHeight="1"/>
    <row r="9783" ht="15" customHeight="1"/>
    <row r="9784" ht="15" customHeight="1"/>
    <row r="9785" ht="15" customHeight="1"/>
    <row r="9786" ht="15" customHeight="1"/>
    <row r="9787" ht="15" customHeight="1"/>
    <row r="9788" ht="15" customHeight="1"/>
    <row r="9789" ht="15" customHeight="1"/>
    <row r="9790" ht="15" customHeight="1"/>
    <row r="9791" ht="15" customHeight="1"/>
    <row r="9792" ht="15" customHeight="1"/>
    <row r="9793" ht="15" customHeight="1"/>
    <row r="9794" ht="15" customHeight="1"/>
    <row r="9795" ht="15" customHeight="1"/>
    <row r="9796" ht="15" customHeight="1"/>
    <row r="9797" ht="15" customHeight="1"/>
    <row r="9798" ht="15" customHeight="1"/>
    <row r="9799" ht="15" customHeight="1"/>
    <row r="9800" ht="15" customHeight="1"/>
    <row r="9801" ht="15" customHeight="1"/>
    <row r="9802" ht="15" customHeight="1"/>
    <row r="9803" ht="15" customHeight="1"/>
    <row r="9804" ht="15" customHeight="1"/>
    <row r="9805" ht="15" customHeight="1"/>
    <row r="9806" ht="15" customHeight="1"/>
    <row r="9807" ht="15" customHeight="1"/>
    <row r="9808" ht="15" customHeight="1"/>
    <row r="9809" ht="15" customHeight="1"/>
    <row r="9810" ht="15" customHeight="1"/>
    <row r="9811" ht="15" customHeight="1"/>
    <row r="9812" ht="15" customHeight="1"/>
    <row r="9813" ht="15" customHeight="1"/>
    <row r="9814" ht="15" customHeight="1"/>
    <row r="9815" ht="15" customHeight="1"/>
    <row r="9816" ht="15" customHeight="1"/>
    <row r="9817" ht="15" customHeight="1"/>
    <row r="9818" ht="15" customHeight="1"/>
    <row r="9819" ht="15" customHeight="1"/>
    <row r="9820" ht="15" customHeight="1"/>
    <row r="9821" ht="15" customHeight="1"/>
    <row r="9822" ht="15" customHeight="1"/>
    <row r="9823" ht="15" customHeight="1"/>
    <row r="9824" ht="15" customHeight="1"/>
    <row r="9825" ht="15" customHeight="1"/>
    <row r="9826" ht="15" customHeight="1"/>
    <row r="9827" ht="15" customHeight="1"/>
    <row r="9828" ht="15" customHeight="1"/>
    <row r="9829" ht="15" customHeight="1"/>
    <row r="9830" ht="15" customHeight="1"/>
    <row r="9831" ht="15" customHeight="1"/>
    <row r="9832" ht="15" customHeight="1"/>
    <row r="9833" ht="15" customHeight="1"/>
    <row r="9834" ht="15" customHeight="1"/>
    <row r="9835" ht="15" customHeight="1"/>
    <row r="9836" ht="15" customHeight="1"/>
    <row r="9837" ht="15" customHeight="1"/>
    <row r="9838" ht="15" customHeight="1"/>
    <row r="9839" ht="15" customHeight="1"/>
    <row r="9840" ht="15" customHeight="1"/>
    <row r="9841" ht="15" customHeight="1"/>
    <row r="9842" ht="15" customHeight="1"/>
    <row r="9843" ht="15" customHeight="1"/>
    <row r="9844" ht="15" customHeight="1"/>
    <row r="9845" ht="15" customHeight="1"/>
    <row r="9846" ht="15" customHeight="1"/>
    <row r="9847" ht="15" customHeight="1"/>
    <row r="9848" ht="15" customHeight="1"/>
    <row r="9849" ht="15" customHeight="1"/>
    <row r="9850" ht="15" customHeight="1"/>
    <row r="9851" ht="15" customHeight="1"/>
    <row r="9852" ht="15" customHeight="1"/>
    <row r="9853" ht="15" customHeight="1"/>
    <row r="9854" ht="15" customHeight="1"/>
    <row r="9855" ht="15" customHeight="1"/>
    <row r="9856" ht="15" customHeight="1"/>
    <row r="9857" ht="15" customHeight="1"/>
    <row r="9858" ht="15" customHeight="1"/>
    <row r="9859" ht="15" customHeight="1"/>
    <row r="9860" ht="15" customHeight="1"/>
    <row r="9861" ht="15" customHeight="1"/>
    <row r="9862" ht="15" customHeight="1"/>
    <row r="9863" ht="15" customHeight="1"/>
    <row r="9864" ht="15" customHeight="1"/>
    <row r="9865" ht="15" customHeight="1"/>
    <row r="9866" ht="15" customHeight="1"/>
    <row r="9867" ht="15" customHeight="1"/>
    <row r="9868" ht="15" customHeight="1"/>
    <row r="9869" ht="15" customHeight="1"/>
    <row r="9870" ht="15" customHeight="1"/>
    <row r="9871" ht="15" customHeight="1"/>
    <row r="9872" ht="15" customHeight="1"/>
    <row r="9873" ht="15" customHeight="1"/>
    <row r="9874" ht="15" customHeight="1"/>
    <row r="9875" ht="15" customHeight="1"/>
    <row r="9876" ht="15" customHeight="1"/>
    <row r="9877" ht="15" customHeight="1"/>
    <row r="9878" ht="15" customHeight="1"/>
    <row r="9879" ht="15" customHeight="1"/>
    <row r="9880" ht="15" customHeight="1"/>
    <row r="9881" ht="15" customHeight="1"/>
    <row r="9882" ht="15" customHeight="1"/>
    <row r="9883" ht="15" customHeight="1"/>
    <row r="9884" ht="15" customHeight="1"/>
    <row r="9885" ht="15" customHeight="1"/>
    <row r="9886" ht="15" customHeight="1"/>
    <row r="9887" ht="15" customHeight="1"/>
    <row r="9888" ht="15" customHeight="1"/>
    <row r="9889" ht="15" customHeight="1"/>
    <row r="9890" ht="15" customHeight="1"/>
    <row r="9891" ht="15" customHeight="1"/>
    <row r="9892" ht="15" customHeight="1"/>
    <row r="9893" ht="15" customHeight="1"/>
    <row r="9894" ht="15" customHeight="1"/>
    <row r="9895" ht="15" customHeight="1"/>
    <row r="9896" ht="15" customHeight="1"/>
    <row r="9897" ht="15" customHeight="1"/>
    <row r="9898" ht="15" customHeight="1"/>
    <row r="9899" ht="15" customHeight="1"/>
    <row r="9900" ht="15" customHeight="1"/>
    <row r="9901" ht="15" customHeight="1"/>
    <row r="9902" ht="15" customHeight="1"/>
    <row r="9903" ht="15" customHeight="1"/>
    <row r="9904" ht="15" customHeight="1"/>
    <row r="9905" ht="15" customHeight="1"/>
    <row r="9906" ht="15" customHeight="1"/>
    <row r="9907" ht="15" customHeight="1"/>
    <row r="9908" ht="15" customHeight="1"/>
    <row r="9909" ht="15" customHeight="1"/>
    <row r="9910" ht="15" customHeight="1"/>
    <row r="9911" ht="15" customHeight="1"/>
    <row r="9912" ht="15" customHeight="1"/>
    <row r="9913" ht="15" customHeight="1"/>
    <row r="9914" ht="15" customHeight="1"/>
    <row r="9915" ht="15" customHeight="1"/>
    <row r="9916" ht="15" customHeight="1"/>
    <row r="9917" ht="15" customHeight="1"/>
    <row r="9918" ht="15" customHeight="1"/>
    <row r="9919" ht="15" customHeight="1"/>
    <row r="9920" ht="15" customHeight="1"/>
    <row r="9921" ht="15" customHeight="1"/>
    <row r="9922" ht="15" customHeight="1"/>
    <row r="9923" ht="15" customHeight="1"/>
    <row r="9924" ht="15" customHeight="1"/>
    <row r="9925" ht="15" customHeight="1"/>
    <row r="9926" ht="15" customHeight="1"/>
    <row r="9927" ht="15" customHeight="1"/>
    <row r="9928" ht="15" customHeight="1"/>
    <row r="9929" ht="15" customHeight="1"/>
    <row r="9930" ht="15" customHeight="1"/>
    <row r="9931" ht="15" customHeight="1"/>
    <row r="9932" ht="15" customHeight="1"/>
    <row r="9933" ht="15" customHeight="1"/>
    <row r="9934" ht="15" customHeight="1"/>
    <row r="9935" ht="15" customHeight="1"/>
    <row r="9936" ht="15" customHeight="1"/>
    <row r="9937" ht="15" customHeight="1"/>
    <row r="9938" ht="15" customHeight="1"/>
    <row r="9939" ht="15" customHeight="1"/>
    <row r="9940" ht="15" customHeight="1"/>
    <row r="9941" ht="15" customHeight="1"/>
    <row r="9942" ht="15" customHeight="1"/>
    <row r="9943" ht="15" customHeight="1"/>
    <row r="9944" ht="15" customHeight="1"/>
    <row r="9945" ht="15" customHeight="1"/>
    <row r="9946" ht="15" customHeight="1"/>
    <row r="9947" ht="15" customHeight="1"/>
    <row r="9948" ht="15" customHeight="1"/>
    <row r="9949" ht="15" customHeight="1"/>
    <row r="9950" ht="15" customHeight="1"/>
    <row r="9951" ht="15" customHeight="1"/>
    <row r="9952" ht="15" customHeight="1"/>
    <row r="9953" ht="15" customHeight="1"/>
    <row r="9954" ht="15" customHeight="1"/>
    <row r="9955" ht="15" customHeight="1"/>
    <row r="9956" ht="15" customHeight="1"/>
    <row r="9957" ht="15" customHeight="1"/>
    <row r="9958" ht="15" customHeight="1"/>
    <row r="9959" ht="15" customHeight="1"/>
    <row r="9960" ht="15" customHeight="1"/>
    <row r="9961" ht="15" customHeight="1"/>
    <row r="9962" ht="15" customHeight="1"/>
    <row r="9963" ht="15" customHeight="1"/>
    <row r="9964" ht="15" customHeight="1"/>
    <row r="9965" ht="15" customHeight="1"/>
    <row r="9966" ht="15" customHeight="1"/>
    <row r="9967" ht="15" customHeight="1"/>
    <row r="9968" ht="15" customHeight="1"/>
    <row r="9969" ht="15" customHeight="1"/>
    <row r="9970" ht="15" customHeight="1"/>
    <row r="9971" ht="15" customHeight="1"/>
    <row r="9972" ht="15" customHeight="1"/>
    <row r="9973" ht="15" customHeight="1"/>
    <row r="9974" ht="15" customHeight="1"/>
    <row r="9975" ht="15" customHeight="1"/>
    <row r="9976" ht="15" customHeight="1"/>
    <row r="9977" ht="15" customHeight="1"/>
    <row r="9978" ht="15" customHeight="1"/>
    <row r="9979" ht="15" customHeight="1"/>
    <row r="9980" ht="15" customHeight="1"/>
    <row r="9981" ht="15" customHeight="1"/>
    <row r="9982" ht="15" customHeight="1"/>
    <row r="9983" ht="15" customHeight="1"/>
    <row r="9984" ht="15" customHeight="1"/>
    <row r="9985" ht="15" customHeight="1"/>
    <row r="9986" ht="15" customHeight="1"/>
    <row r="9987" ht="15" customHeight="1"/>
    <row r="9988" ht="15" customHeight="1"/>
    <row r="9989" ht="15" customHeight="1"/>
    <row r="9990" ht="15" customHeight="1"/>
    <row r="9991" ht="15" customHeight="1"/>
    <row r="9992" ht="15" customHeight="1"/>
    <row r="9993" ht="15" customHeight="1"/>
    <row r="9994" ht="15" customHeight="1"/>
    <row r="9995" ht="15" customHeight="1"/>
    <row r="9996" ht="15" customHeight="1"/>
    <row r="9997" ht="15" customHeight="1"/>
    <row r="9998" ht="15" customHeight="1"/>
    <row r="9999" ht="15" customHeight="1"/>
    <row r="10000" ht="15" customHeight="1"/>
    <row r="10001" ht="15" customHeight="1"/>
    <row r="10002" ht="15" customHeight="1"/>
    <row r="10003" ht="15" customHeight="1"/>
    <row r="10004" ht="15" customHeight="1"/>
    <row r="10005" ht="15" customHeight="1"/>
    <row r="10006" ht="15" customHeight="1"/>
    <row r="10007" ht="15" customHeight="1"/>
    <row r="10008" ht="15" customHeight="1"/>
    <row r="10009" ht="15" customHeight="1"/>
    <row r="10010" ht="15" customHeight="1"/>
    <row r="10011" ht="15" customHeight="1"/>
    <row r="10012" ht="15" customHeight="1"/>
    <row r="10013" ht="15" customHeight="1"/>
    <row r="10014" ht="15" customHeight="1"/>
    <row r="10015" ht="15" customHeight="1"/>
    <row r="10016" ht="15" customHeight="1"/>
    <row r="10017" ht="15" customHeight="1"/>
    <row r="10018" ht="15" customHeight="1"/>
    <row r="10019" ht="15" customHeight="1"/>
    <row r="10020" ht="15" customHeight="1"/>
    <row r="10021" ht="15" customHeight="1"/>
    <row r="10022" ht="15" customHeight="1"/>
    <row r="10023" ht="15" customHeight="1"/>
    <row r="10024" ht="15" customHeight="1"/>
    <row r="10025" ht="15" customHeight="1"/>
    <row r="10026" ht="15" customHeight="1"/>
    <row r="10027" ht="15" customHeight="1"/>
    <row r="10028" ht="15" customHeight="1"/>
    <row r="10029" ht="15" customHeight="1"/>
    <row r="10030" ht="15" customHeight="1"/>
    <row r="10031" ht="15" customHeight="1"/>
    <row r="10032" ht="15" customHeight="1"/>
    <row r="10033" ht="15" customHeight="1"/>
    <row r="10034" ht="15" customHeight="1"/>
    <row r="10035" ht="15" customHeight="1"/>
    <row r="10036" ht="15" customHeight="1"/>
    <row r="10037" ht="15" customHeight="1"/>
    <row r="10038" ht="15" customHeight="1"/>
    <row r="10039" ht="15" customHeight="1"/>
    <row r="10040" ht="15" customHeight="1"/>
    <row r="10041" ht="15" customHeight="1"/>
    <row r="10042" ht="15" customHeight="1"/>
    <row r="10043" ht="15" customHeight="1"/>
    <row r="10044" ht="15" customHeight="1"/>
    <row r="10045" ht="15" customHeight="1"/>
    <row r="10046" ht="15" customHeight="1"/>
    <row r="10047" ht="15" customHeight="1"/>
    <row r="10048" ht="15" customHeight="1"/>
    <row r="10049" ht="15" customHeight="1"/>
    <row r="10050" ht="15" customHeight="1"/>
    <row r="10051" ht="15" customHeight="1"/>
    <row r="10052" ht="15" customHeight="1"/>
    <row r="10053" ht="15" customHeight="1"/>
    <row r="10054" ht="15" customHeight="1"/>
    <row r="10055" ht="15" customHeight="1"/>
    <row r="10056" ht="15" customHeight="1"/>
    <row r="10057" ht="15" customHeight="1"/>
    <row r="10058" ht="15" customHeight="1"/>
    <row r="10059" ht="15" customHeight="1"/>
    <row r="10060" ht="15" customHeight="1"/>
    <row r="10061" ht="15" customHeight="1"/>
    <row r="10062" ht="15" customHeight="1"/>
    <row r="10063" ht="15" customHeight="1"/>
    <row r="10064" ht="15" customHeight="1"/>
    <row r="10065" ht="15" customHeight="1"/>
    <row r="10066" ht="15" customHeight="1"/>
    <row r="10067" ht="15" customHeight="1"/>
    <row r="10068" ht="15" customHeight="1"/>
    <row r="10069" ht="15" customHeight="1"/>
    <row r="10070" ht="15" customHeight="1"/>
    <row r="10071" ht="15" customHeight="1"/>
    <row r="10072" ht="15" customHeight="1"/>
    <row r="10073" ht="15" customHeight="1"/>
    <row r="10074" ht="15" customHeight="1"/>
    <row r="10075" ht="15" customHeight="1"/>
    <row r="10076" ht="15" customHeight="1"/>
    <row r="10077" ht="15" customHeight="1"/>
    <row r="10078" ht="15" customHeight="1"/>
    <row r="10079" ht="15" customHeight="1"/>
    <row r="10080" ht="15" customHeight="1"/>
    <row r="10081" ht="15" customHeight="1"/>
    <row r="10082" ht="15" customHeight="1"/>
    <row r="10083" ht="15" customHeight="1"/>
    <row r="10084" ht="15" customHeight="1"/>
    <row r="10085" ht="15" customHeight="1"/>
    <row r="10086" ht="15" customHeight="1"/>
    <row r="10087" ht="15" customHeight="1"/>
    <row r="10088" ht="15" customHeight="1"/>
    <row r="10089" ht="15" customHeight="1"/>
    <row r="10090" ht="15" customHeight="1"/>
    <row r="10091" ht="15" customHeight="1"/>
    <row r="10092" ht="15" customHeight="1"/>
    <row r="10093" ht="15" customHeight="1"/>
    <row r="10094" ht="15" customHeight="1"/>
    <row r="10095" ht="15" customHeight="1"/>
    <row r="10096" ht="15" customHeight="1"/>
    <row r="10097" ht="15" customHeight="1"/>
    <row r="10098" ht="15" customHeight="1"/>
    <row r="10099" ht="15" customHeight="1"/>
    <row r="10100" ht="15" customHeight="1"/>
    <row r="10101" ht="15" customHeight="1"/>
    <row r="10102" ht="15" customHeight="1"/>
    <row r="10103" ht="15" customHeight="1"/>
    <row r="10104" ht="15" customHeight="1"/>
    <row r="10105" ht="15" customHeight="1"/>
    <row r="10106" ht="15" customHeight="1"/>
    <row r="10107" ht="15" customHeight="1"/>
    <row r="10108" ht="15" customHeight="1"/>
    <row r="10109" ht="15" customHeight="1"/>
    <row r="10110" ht="15" customHeight="1"/>
    <row r="10111" ht="15" customHeight="1"/>
    <row r="10112" ht="15" customHeight="1"/>
    <row r="10113" ht="15" customHeight="1"/>
    <row r="10114" ht="15" customHeight="1"/>
    <row r="10115" ht="15" customHeight="1"/>
    <row r="10116" ht="15" customHeight="1"/>
    <row r="10117" ht="15" customHeight="1"/>
    <row r="10118" ht="15" customHeight="1"/>
    <row r="10119" ht="15" customHeight="1"/>
    <row r="10120" ht="15" customHeight="1"/>
    <row r="10121" ht="15" customHeight="1"/>
    <row r="10122" ht="15" customHeight="1"/>
    <row r="10123" ht="15" customHeight="1"/>
    <row r="10124" ht="15" customHeight="1"/>
    <row r="10125" ht="15" customHeight="1"/>
    <row r="10126" ht="15" customHeight="1"/>
    <row r="10127" ht="15" customHeight="1"/>
    <row r="10128" ht="15" customHeight="1"/>
    <row r="10129" ht="15" customHeight="1"/>
    <row r="10130" ht="15" customHeight="1"/>
    <row r="10131" ht="15" customHeight="1"/>
    <row r="10132" ht="15" customHeight="1"/>
    <row r="10133" ht="15" customHeight="1"/>
    <row r="10134" ht="15" customHeight="1"/>
    <row r="10135" ht="15" customHeight="1"/>
    <row r="10136" ht="15" customHeight="1"/>
    <row r="10137" ht="15" customHeight="1"/>
    <row r="10138" ht="15" customHeight="1"/>
    <row r="10139" ht="15" customHeight="1"/>
    <row r="10140" ht="15" customHeight="1"/>
    <row r="10141" ht="15" customHeight="1"/>
    <row r="10142" ht="15" customHeight="1"/>
    <row r="10143" ht="15" customHeight="1"/>
    <row r="10144" ht="15" customHeight="1"/>
    <row r="10145" ht="15" customHeight="1"/>
    <row r="10146" ht="15" customHeight="1"/>
    <row r="10147" ht="15" customHeight="1"/>
    <row r="10148" ht="15" customHeight="1"/>
    <row r="10149" ht="15" customHeight="1"/>
    <row r="10150" ht="15" customHeight="1"/>
    <row r="10151" ht="15" customHeight="1"/>
    <row r="10152" ht="15" customHeight="1"/>
    <row r="10153" ht="15" customHeight="1"/>
    <row r="10154" ht="15" customHeight="1"/>
    <row r="10155" ht="15" customHeight="1"/>
    <row r="10156" ht="15" customHeight="1"/>
    <row r="10157" ht="15" customHeight="1"/>
    <row r="10158" ht="15" customHeight="1"/>
    <row r="10159" ht="15" customHeight="1"/>
    <row r="10160" ht="15" customHeight="1"/>
    <row r="10161" ht="15" customHeight="1"/>
    <row r="10162" ht="15" customHeight="1"/>
    <row r="10163" ht="15" customHeight="1"/>
    <row r="10164" ht="15" customHeight="1"/>
    <row r="10165" ht="15" customHeight="1"/>
    <row r="10166" ht="15" customHeight="1"/>
    <row r="10167" ht="15" customHeight="1"/>
    <row r="10168" ht="15" customHeight="1"/>
    <row r="10169" ht="15" customHeight="1"/>
    <row r="10170" ht="15" customHeight="1"/>
    <row r="10171" ht="15" customHeight="1"/>
    <row r="10172" ht="15" customHeight="1"/>
    <row r="10173" ht="15" customHeight="1"/>
    <row r="10174" ht="15" customHeight="1"/>
    <row r="10175" ht="15" customHeight="1"/>
    <row r="10176" ht="15" customHeight="1"/>
    <row r="10177" ht="15" customHeight="1"/>
    <row r="10178" ht="15" customHeight="1"/>
    <row r="10179" ht="15" customHeight="1"/>
    <row r="10180" ht="15" customHeight="1"/>
    <row r="10181" ht="15" customHeight="1"/>
    <row r="10182" ht="15" customHeight="1"/>
    <row r="10183" ht="15" customHeight="1"/>
    <row r="10184" ht="15" customHeight="1"/>
    <row r="10185" ht="15" customHeight="1"/>
    <row r="10186" ht="15" customHeight="1"/>
    <row r="10187" ht="15" customHeight="1"/>
    <row r="10188" ht="15" customHeight="1"/>
    <row r="10189" ht="15" customHeight="1"/>
    <row r="10190" ht="15" customHeight="1"/>
    <row r="10191" ht="15" customHeight="1"/>
    <row r="10192" ht="15" customHeight="1"/>
    <row r="10193" ht="15" customHeight="1"/>
    <row r="10194" ht="15" customHeight="1"/>
    <row r="10195" ht="15" customHeight="1"/>
    <row r="10196" ht="15" customHeight="1"/>
    <row r="10197" ht="15" customHeight="1"/>
    <row r="10198" ht="15" customHeight="1"/>
    <row r="10199" ht="15" customHeight="1"/>
    <row r="10200" ht="15" customHeight="1"/>
    <row r="10201" ht="15" customHeight="1"/>
    <row r="10202" ht="15" customHeight="1"/>
    <row r="10203" ht="15" customHeight="1"/>
    <row r="10204" ht="15" customHeight="1"/>
    <row r="10205" ht="15" customHeight="1"/>
    <row r="10206" ht="15" customHeight="1"/>
    <row r="10207" ht="15" customHeight="1"/>
    <row r="10208" ht="15" customHeight="1"/>
    <row r="10209" ht="15" customHeight="1"/>
    <row r="10210" ht="15" customHeight="1"/>
    <row r="10211" ht="15" customHeight="1"/>
    <row r="10212" ht="15" customHeight="1"/>
    <row r="10213" ht="15" customHeight="1"/>
    <row r="10214" ht="15" customHeight="1"/>
    <row r="10215" ht="15" customHeight="1"/>
    <row r="10216" ht="15" customHeight="1"/>
    <row r="10217" ht="15" customHeight="1"/>
    <row r="10218" ht="15" customHeight="1"/>
    <row r="10219" ht="15" customHeight="1"/>
    <row r="10220" ht="15" customHeight="1"/>
    <row r="10221" ht="15" customHeight="1"/>
    <row r="10222" ht="15" customHeight="1"/>
    <row r="10223" ht="15" customHeight="1"/>
    <row r="10224" ht="15" customHeight="1"/>
    <row r="10225" ht="15" customHeight="1"/>
    <row r="10226" ht="15" customHeight="1"/>
    <row r="10227" ht="15" customHeight="1"/>
    <row r="10228" ht="15" customHeight="1"/>
    <row r="10229" ht="15" customHeight="1"/>
    <row r="10230" ht="15" customHeight="1"/>
    <row r="10231" ht="15" customHeight="1"/>
    <row r="10232" ht="15" customHeight="1"/>
    <row r="10233" ht="15" customHeight="1"/>
    <row r="10234" ht="15" customHeight="1"/>
    <row r="10235" ht="15" customHeight="1"/>
    <row r="10236" ht="15" customHeight="1"/>
    <row r="10237" ht="15" customHeight="1"/>
    <row r="10238" ht="15" customHeight="1"/>
    <row r="10239" ht="15" customHeight="1"/>
    <row r="10240" ht="15" customHeight="1"/>
    <row r="10241" ht="15" customHeight="1"/>
    <row r="10242" ht="15" customHeight="1"/>
    <row r="10243" ht="15" customHeight="1"/>
    <row r="10244" ht="15" customHeight="1"/>
    <row r="10245" ht="15" customHeight="1"/>
    <row r="10246" ht="15" customHeight="1"/>
    <row r="10247" ht="15" customHeight="1"/>
    <row r="10248" ht="15" customHeight="1"/>
    <row r="10249" ht="15" customHeight="1"/>
    <row r="10250" ht="15" customHeight="1"/>
    <row r="10251" ht="15" customHeight="1"/>
    <row r="10252" ht="15" customHeight="1"/>
    <row r="10253" ht="15" customHeight="1"/>
    <row r="10254" ht="15" customHeight="1"/>
    <row r="10255" ht="15" customHeight="1"/>
    <row r="10256" ht="15" customHeight="1"/>
    <row r="10257" ht="15" customHeight="1"/>
    <row r="10258" ht="15" customHeight="1"/>
    <row r="10259" ht="15" customHeight="1"/>
    <row r="10260" ht="15" customHeight="1"/>
    <row r="10261" ht="15" customHeight="1"/>
    <row r="10262" ht="15" customHeight="1"/>
    <row r="10263" ht="15" customHeight="1"/>
    <row r="10264" ht="15" customHeight="1"/>
    <row r="10265" ht="15" customHeight="1"/>
    <row r="10266" ht="15" customHeight="1"/>
    <row r="10267" ht="15" customHeight="1"/>
    <row r="10268" ht="15" customHeight="1"/>
    <row r="10269" ht="15" customHeight="1"/>
    <row r="10270" ht="15" customHeight="1"/>
    <row r="10271" ht="15" customHeight="1"/>
    <row r="10272" ht="15" customHeight="1"/>
    <row r="10273" ht="15" customHeight="1"/>
    <row r="10274" ht="15" customHeight="1"/>
    <row r="10275" ht="15" customHeight="1"/>
    <row r="10276" ht="15" customHeight="1"/>
    <row r="10277" ht="15" customHeight="1"/>
    <row r="10278" ht="15" customHeight="1"/>
    <row r="10279" ht="15" customHeight="1"/>
    <row r="10280" ht="15" customHeight="1"/>
    <row r="10281" ht="15" customHeight="1"/>
    <row r="10282" ht="15" customHeight="1"/>
    <row r="10283" ht="15" customHeight="1"/>
    <row r="10284" ht="15" customHeight="1"/>
    <row r="10285" ht="15" customHeight="1"/>
    <row r="10286" ht="15" customHeight="1"/>
    <row r="10287" ht="15" customHeight="1"/>
    <row r="10288" ht="15" customHeight="1"/>
    <row r="10289" ht="15" customHeight="1"/>
    <row r="10290" ht="15" customHeight="1"/>
    <row r="10291" ht="15" customHeight="1"/>
    <row r="10292" ht="15" customHeight="1"/>
    <row r="10293" ht="15" customHeight="1"/>
    <row r="10294" ht="15" customHeight="1"/>
    <row r="10295" ht="15" customHeight="1"/>
    <row r="10296" ht="15" customHeight="1"/>
    <row r="10297" ht="15" customHeight="1"/>
    <row r="10298" ht="15" customHeight="1"/>
    <row r="10299" ht="15" customHeight="1"/>
    <row r="10300" ht="15" customHeight="1"/>
    <row r="10301" ht="15" customHeight="1"/>
    <row r="10302" ht="15" customHeight="1"/>
    <row r="10303" ht="15" customHeight="1"/>
    <row r="10304" ht="15" customHeight="1"/>
    <row r="10305" ht="15" customHeight="1"/>
    <row r="10306" ht="15" customHeight="1"/>
    <row r="10307" ht="15" customHeight="1"/>
    <row r="10308" ht="15" customHeight="1"/>
    <row r="10309" ht="15" customHeight="1"/>
    <row r="10310" ht="15" customHeight="1"/>
    <row r="10311" ht="15" customHeight="1"/>
    <row r="10312" ht="15" customHeight="1"/>
    <row r="10313" ht="15" customHeight="1"/>
    <row r="10314" ht="15" customHeight="1"/>
    <row r="10315" ht="15" customHeight="1"/>
    <row r="10316" ht="15" customHeight="1"/>
    <row r="10317" ht="15" customHeight="1"/>
    <row r="10318" ht="15" customHeight="1"/>
    <row r="10319" ht="15" customHeight="1"/>
    <row r="10320" ht="15" customHeight="1"/>
    <row r="10321" ht="15" customHeight="1"/>
    <row r="10322" ht="15" customHeight="1"/>
    <row r="10323" ht="15" customHeight="1"/>
    <row r="10324" ht="15" customHeight="1"/>
    <row r="10325" ht="15" customHeight="1"/>
    <row r="10326" ht="15" customHeight="1"/>
    <row r="10327" ht="15" customHeight="1"/>
    <row r="10328" ht="15" customHeight="1"/>
    <row r="10329" ht="15" customHeight="1"/>
    <row r="10330" ht="15" customHeight="1"/>
    <row r="10331" ht="15" customHeight="1"/>
    <row r="10332" ht="15" customHeight="1"/>
    <row r="10333" ht="15" customHeight="1"/>
    <row r="10334" ht="15" customHeight="1"/>
    <row r="10335" ht="15" customHeight="1"/>
    <row r="10336" ht="15" customHeight="1"/>
    <row r="10337" ht="15" customHeight="1"/>
    <row r="10338" ht="15" customHeight="1"/>
    <row r="10339" ht="15" customHeight="1"/>
    <row r="10340" ht="15" customHeight="1"/>
    <row r="10341" ht="15" customHeight="1"/>
    <row r="10342" ht="15" customHeight="1"/>
    <row r="10343" ht="15" customHeight="1"/>
    <row r="10344" ht="15" customHeight="1"/>
    <row r="10345" ht="15" customHeight="1"/>
    <row r="10346" ht="15" customHeight="1"/>
    <row r="10347" ht="15" customHeight="1"/>
    <row r="10348" ht="15" customHeight="1"/>
    <row r="10349" ht="15" customHeight="1"/>
    <row r="10350" ht="15" customHeight="1"/>
    <row r="10351" ht="15" customHeight="1"/>
    <row r="10352" ht="15" customHeight="1"/>
    <row r="10353" ht="15" customHeight="1"/>
    <row r="10354" ht="15" customHeight="1"/>
    <row r="10355" ht="15" customHeight="1"/>
    <row r="10356" ht="15" customHeight="1"/>
    <row r="10357" ht="15" customHeight="1"/>
    <row r="10358" ht="15" customHeight="1"/>
    <row r="10359" ht="15" customHeight="1"/>
    <row r="10360" ht="15" customHeight="1"/>
    <row r="10361" ht="15" customHeight="1"/>
    <row r="10362" ht="15" customHeight="1"/>
    <row r="10363" ht="15" customHeight="1"/>
    <row r="10364" ht="15" customHeight="1"/>
    <row r="10365" ht="15" customHeight="1"/>
    <row r="10366" ht="15" customHeight="1"/>
    <row r="10367" ht="15" customHeight="1"/>
    <row r="10368" ht="15" customHeight="1"/>
    <row r="10369" ht="15" customHeight="1"/>
    <row r="10370" ht="15" customHeight="1"/>
    <row r="10371" ht="15" customHeight="1"/>
    <row r="10372" ht="15" customHeight="1"/>
    <row r="10373" ht="15" customHeight="1"/>
    <row r="10374" ht="15" customHeight="1"/>
    <row r="10375" ht="15" customHeight="1"/>
    <row r="10376" ht="15" customHeight="1"/>
    <row r="10377" ht="15" customHeight="1"/>
    <row r="10378" ht="15" customHeight="1"/>
    <row r="10379" ht="15" customHeight="1"/>
    <row r="10380" ht="15" customHeight="1"/>
    <row r="10381" ht="15" customHeight="1"/>
    <row r="10382" ht="15" customHeight="1"/>
    <row r="10383" ht="15" customHeight="1"/>
    <row r="10384" ht="15" customHeight="1"/>
    <row r="10385" ht="15" customHeight="1"/>
    <row r="10386" ht="15" customHeight="1"/>
    <row r="10387" ht="15" customHeight="1"/>
    <row r="10388" ht="15" customHeight="1"/>
    <row r="10389" ht="15" customHeight="1"/>
    <row r="10390" ht="15" customHeight="1"/>
    <row r="10391" ht="15" customHeight="1"/>
    <row r="10392" ht="15" customHeight="1"/>
    <row r="10393" ht="15" customHeight="1"/>
    <row r="10394" ht="15" customHeight="1"/>
    <row r="10395" ht="15" customHeight="1"/>
    <row r="10396" ht="15" customHeight="1"/>
    <row r="10397" ht="15" customHeight="1"/>
    <row r="10398" ht="15" customHeight="1"/>
    <row r="10399" ht="15" customHeight="1"/>
    <row r="10400" ht="15" customHeight="1"/>
    <row r="10401" ht="15" customHeight="1"/>
    <row r="10402" ht="15" customHeight="1"/>
    <row r="10403" ht="15" customHeight="1"/>
    <row r="10404" ht="15" customHeight="1"/>
    <row r="10405" ht="15" customHeight="1"/>
    <row r="10406" ht="15" customHeight="1"/>
    <row r="10407" ht="15" customHeight="1"/>
    <row r="10408" ht="15" customHeight="1"/>
    <row r="10409" ht="15" customHeight="1"/>
    <row r="10410" ht="15" customHeight="1"/>
    <row r="10411" ht="15" customHeight="1"/>
    <row r="10412" ht="15" customHeight="1"/>
    <row r="10413" ht="15" customHeight="1"/>
    <row r="10414" ht="15" customHeight="1"/>
    <row r="10415" ht="15" customHeight="1"/>
    <row r="10416" ht="15" customHeight="1"/>
    <row r="10417" ht="15" customHeight="1"/>
    <row r="10418" ht="15" customHeight="1"/>
    <row r="10419" ht="15" customHeight="1"/>
    <row r="10420" ht="15" customHeight="1"/>
    <row r="10421" ht="15" customHeight="1"/>
    <row r="10422" ht="15" customHeight="1"/>
    <row r="10423" ht="15" customHeight="1"/>
    <row r="10424" ht="15" customHeight="1"/>
    <row r="10425" ht="15" customHeight="1"/>
    <row r="10426" ht="15" customHeight="1"/>
    <row r="10427" ht="15" customHeight="1"/>
    <row r="10428" ht="15" customHeight="1"/>
    <row r="10429" ht="15" customHeight="1"/>
    <row r="10430" ht="15" customHeight="1"/>
    <row r="10431" ht="15" customHeight="1"/>
    <row r="10432" ht="15" customHeight="1"/>
    <row r="10433" ht="15" customHeight="1"/>
    <row r="10434" ht="15" customHeight="1"/>
    <row r="10435" ht="15" customHeight="1"/>
    <row r="10436" ht="15" customHeight="1"/>
    <row r="10437" ht="15" customHeight="1"/>
    <row r="10438" ht="15" customHeight="1"/>
    <row r="10439" ht="15" customHeight="1"/>
    <row r="10440" ht="15" customHeight="1"/>
    <row r="10441" ht="15" customHeight="1"/>
    <row r="10442" ht="15" customHeight="1"/>
    <row r="10443" ht="15" customHeight="1"/>
    <row r="10444" ht="15" customHeight="1"/>
    <row r="10445" ht="15" customHeight="1"/>
    <row r="10446" ht="15" customHeight="1"/>
    <row r="10447" ht="15" customHeight="1"/>
    <row r="10448" ht="15" customHeight="1"/>
    <row r="10449" ht="15" customHeight="1"/>
    <row r="10450" ht="15" customHeight="1"/>
    <row r="10451" ht="15" customHeight="1"/>
    <row r="10452" ht="15" customHeight="1"/>
    <row r="10453" ht="15" customHeight="1"/>
    <row r="10454" ht="15" customHeight="1"/>
    <row r="10455" ht="15" customHeight="1"/>
    <row r="10456" ht="15" customHeight="1"/>
    <row r="10457" ht="15" customHeight="1"/>
    <row r="10458" ht="15" customHeight="1"/>
    <row r="10459" ht="15" customHeight="1"/>
    <row r="10460" ht="15" customHeight="1"/>
    <row r="10461" ht="15" customHeight="1"/>
    <row r="10462" ht="15" customHeight="1"/>
    <row r="10463" ht="15" customHeight="1"/>
    <row r="10464" ht="15" customHeight="1"/>
    <row r="10465" ht="15" customHeight="1"/>
    <row r="10466" ht="15" customHeight="1"/>
    <row r="10467" ht="15" customHeight="1"/>
    <row r="10468" ht="15" customHeight="1"/>
    <row r="10469" ht="15" customHeight="1"/>
    <row r="10470" ht="15" customHeight="1"/>
    <row r="10471" ht="15" customHeight="1"/>
    <row r="10472" ht="15" customHeight="1"/>
    <row r="10473" ht="15" customHeight="1"/>
    <row r="10474" ht="15" customHeight="1"/>
    <row r="10475" ht="15" customHeight="1"/>
    <row r="10476" ht="15" customHeight="1"/>
    <row r="10477" ht="15" customHeight="1"/>
    <row r="10478" ht="15" customHeight="1"/>
    <row r="10479" ht="15" customHeight="1"/>
    <row r="10480" ht="15" customHeight="1"/>
    <row r="10481" ht="15" customHeight="1"/>
    <row r="10482" ht="15" customHeight="1"/>
    <row r="10483" ht="15" customHeight="1"/>
    <row r="10484" ht="15" customHeight="1"/>
    <row r="10485" ht="15" customHeight="1"/>
    <row r="10486" ht="15" customHeight="1"/>
    <row r="10487" ht="15" customHeight="1"/>
    <row r="10488" ht="15" customHeight="1"/>
    <row r="10489" ht="15" customHeight="1"/>
    <row r="10490" ht="15" customHeight="1"/>
    <row r="10491" ht="15" customHeight="1"/>
    <row r="10492" ht="15" customHeight="1"/>
    <row r="10493" ht="15" customHeight="1"/>
    <row r="10494" ht="15" customHeight="1"/>
    <row r="10495" ht="15" customHeight="1"/>
    <row r="10496" ht="15" customHeight="1"/>
    <row r="10497" ht="15" customHeight="1"/>
    <row r="10498" ht="15" customHeight="1"/>
    <row r="10499" ht="15" customHeight="1"/>
    <row r="10500" ht="15" customHeight="1"/>
    <row r="10501" ht="15" customHeight="1"/>
    <row r="10502" ht="15" customHeight="1"/>
    <row r="10503" ht="15" customHeight="1"/>
    <row r="10504" ht="15" customHeight="1"/>
    <row r="10505" ht="15" customHeight="1"/>
    <row r="10506" ht="15" customHeight="1"/>
    <row r="10507" ht="15" customHeight="1"/>
    <row r="10508" ht="15" customHeight="1"/>
    <row r="10509" ht="15" customHeight="1"/>
    <row r="10510" ht="15" customHeight="1"/>
    <row r="10511" ht="15" customHeight="1"/>
    <row r="10512" ht="15" customHeight="1"/>
    <row r="10513" ht="15" customHeight="1"/>
    <row r="10514" ht="15" customHeight="1"/>
    <row r="10515" ht="15" customHeight="1"/>
    <row r="10516" ht="15" customHeight="1"/>
    <row r="10517" ht="15" customHeight="1"/>
    <row r="10518" ht="15" customHeight="1"/>
    <row r="10519" ht="15" customHeight="1"/>
    <row r="10520" ht="15" customHeight="1"/>
    <row r="10521" ht="15" customHeight="1"/>
    <row r="10522" ht="15" customHeight="1"/>
    <row r="10523" ht="15" customHeight="1"/>
    <row r="10524" ht="15" customHeight="1"/>
    <row r="10525" ht="15" customHeight="1"/>
    <row r="10526" ht="15" customHeight="1"/>
    <row r="10527" ht="15" customHeight="1"/>
    <row r="10528" ht="15" customHeight="1"/>
    <row r="10529" ht="15" customHeight="1"/>
    <row r="10530" ht="15" customHeight="1"/>
    <row r="10531" ht="15" customHeight="1"/>
    <row r="10532" ht="15" customHeight="1"/>
    <row r="10533" ht="15" customHeight="1"/>
    <row r="10534" ht="15" customHeight="1"/>
    <row r="10535" ht="15" customHeight="1"/>
    <row r="10536" ht="15" customHeight="1"/>
    <row r="10537" ht="15" customHeight="1"/>
    <row r="10538" ht="15" customHeight="1"/>
    <row r="10539" ht="15" customHeight="1"/>
    <row r="10540" ht="15" customHeight="1"/>
    <row r="10541" ht="15" customHeight="1"/>
    <row r="10542" ht="15" customHeight="1"/>
    <row r="10543" ht="15" customHeight="1"/>
    <row r="10544" ht="15" customHeight="1"/>
    <row r="10545" ht="15" customHeight="1"/>
    <row r="10546" ht="15" customHeight="1"/>
    <row r="10547" ht="15" customHeight="1"/>
    <row r="10548" ht="15" customHeight="1"/>
    <row r="10549" ht="15" customHeight="1"/>
    <row r="10550" ht="15" customHeight="1"/>
    <row r="10551" ht="15" customHeight="1"/>
    <row r="10552" ht="15" customHeight="1"/>
    <row r="10553" ht="15" customHeight="1"/>
    <row r="10554" ht="15" customHeight="1"/>
    <row r="10555" ht="15" customHeight="1"/>
    <row r="10556" ht="15" customHeight="1"/>
    <row r="10557" ht="15" customHeight="1"/>
    <row r="10558" ht="15" customHeight="1"/>
    <row r="10559" ht="15" customHeight="1"/>
    <row r="10560" ht="15" customHeight="1"/>
    <row r="10561" ht="15" customHeight="1"/>
    <row r="10562" ht="15" customHeight="1"/>
    <row r="10563" ht="15" customHeight="1"/>
    <row r="10564" ht="15" customHeight="1"/>
    <row r="10565" ht="15" customHeight="1"/>
    <row r="10566" ht="15" customHeight="1"/>
    <row r="10567" ht="15" customHeight="1"/>
    <row r="10568" ht="15" customHeight="1"/>
    <row r="10569" ht="15" customHeight="1"/>
    <row r="10570" ht="15" customHeight="1"/>
    <row r="10571" ht="15" customHeight="1"/>
    <row r="10572" ht="15" customHeight="1"/>
    <row r="10573" ht="15" customHeight="1"/>
    <row r="10574" ht="15" customHeight="1"/>
    <row r="10575" ht="15" customHeight="1"/>
    <row r="10576" ht="15" customHeight="1"/>
    <row r="10577" ht="15" customHeight="1"/>
    <row r="10578" ht="15" customHeight="1"/>
    <row r="10579" ht="15" customHeight="1"/>
    <row r="10580" ht="15" customHeight="1"/>
    <row r="10581" ht="15" customHeight="1"/>
    <row r="10582" ht="15" customHeight="1"/>
    <row r="10583" ht="15" customHeight="1"/>
    <row r="10584" ht="15" customHeight="1"/>
    <row r="10585" ht="15" customHeight="1"/>
    <row r="10586" ht="15" customHeight="1"/>
    <row r="10587" ht="15" customHeight="1"/>
    <row r="10588" ht="15" customHeight="1"/>
    <row r="10589" ht="15" customHeight="1"/>
    <row r="10590" ht="15" customHeight="1"/>
    <row r="10591" ht="15" customHeight="1"/>
    <row r="10592" ht="15" customHeight="1"/>
    <row r="10593" ht="15" customHeight="1"/>
    <row r="10594" ht="15" customHeight="1"/>
    <row r="10595" ht="15" customHeight="1"/>
    <row r="10596" ht="15" customHeight="1"/>
    <row r="10597" ht="15" customHeight="1"/>
    <row r="10598" ht="15" customHeight="1"/>
    <row r="10599" ht="15" customHeight="1"/>
    <row r="10600" ht="15" customHeight="1"/>
    <row r="10601" ht="15" customHeight="1"/>
    <row r="10602" ht="15" customHeight="1"/>
    <row r="10603" ht="15" customHeight="1"/>
    <row r="10604" ht="15" customHeight="1"/>
    <row r="10605" ht="15" customHeight="1"/>
    <row r="10606" ht="15" customHeight="1"/>
    <row r="10607" ht="15" customHeight="1"/>
    <row r="10608" ht="15" customHeight="1"/>
    <row r="10609" ht="15" customHeight="1"/>
    <row r="10610" ht="15" customHeight="1"/>
    <row r="10611" ht="15" customHeight="1"/>
    <row r="10612" ht="15" customHeight="1"/>
    <row r="10613" ht="15" customHeight="1"/>
    <row r="10614" ht="15" customHeight="1"/>
    <row r="10615" ht="15" customHeight="1"/>
    <row r="10616" ht="15" customHeight="1"/>
    <row r="10617" ht="15" customHeight="1"/>
    <row r="10618" ht="15" customHeight="1"/>
    <row r="10619" ht="15" customHeight="1"/>
    <row r="10620" ht="15" customHeight="1"/>
    <row r="10621" ht="15" customHeight="1"/>
    <row r="10622" ht="15" customHeight="1"/>
    <row r="10623" ht="15" customHeight="1"/>
    <row r="10624" ht="15" customHeight="1"/>
    <row r="10625" ht="15" customHeight="1"/>
    <row r="10626" ht="15" customHeight="1"/>
    <row r="10627" ht="15" customHeight="1"/>
    <row r="10628" ht="15" customHeight="1"/>
    <row r="10629" ht="15" customHeight="1"/>
    <row r="10630" ht="15" customHeight="1"/>
    <row r="10631" ht="15" customHeight="1"/>
    <row r="10632" ht="15" customHeight="1"/>
    <row r="10633" ht="15" customHeight="1"/>
    <row r="10634" ht="15" customHeight="1"/>
    <row r="10635" ht="15" customHeight="1"/>
    <row r="10636" ht="15" customHeight="1"/>
    <row r="10637" ht="15" customHeight="1"/>
    <row r="10638" ht="15" customHeight="1"/>
    <row r="10639" ht="15" customHeight="1"/>
    <row r="10640" ht="15" customHeight="1"/>
    <row r="10641" ht="15" customHeight="1"/>
    <row r="10642" ht="15" customHeight="1"/>
    <row r="10643" ht="15" customHeight="1"/>
    <row r="10644" ht="15" customHeight="1"/>
    <row r="10645" ht="15" customHeight="1"/>
    <row r="10646" ht="15" customHeight="1"/>
    <row r="10647" ht="15" customHeight="1"/>
    <row r="10648" ht="15" customHeight="1"/>
    <row r="10649" ht="15" customHeight="1"/>
    <row r="10650" ht="15" customHeight="1"/>
    <row r="10651" ht="15" customHeight="1"/>
    <row r="10652" ht="15" customHeight="1"/>
    <row r="10653" ht="15" customHeight="1"/>
    <row r="10654" ht="15" customHeight="1"/>
    <row r="10655" ht="15" customHeight="1"/>
    <row r="10656" ht="15" customHeight="1"/>
    <row r="10657" ht="15" customHeight="1"/>
    <row r="10658" ht="15" customHeight="1"/>
    <row r="10659" ht="15" customHeight="1"/>
    <row r="10660" ht="15" customHeight="1"/>
    <row r="10661" ht="15" customHeight="1"/>
    <row r="10662" ht="15" customHeight="1"/>
    <row r="10663" ht="15" customHeight="1"/>
    <row r="10664" ht="15" customHeight="1"/>
    <row r="10665" ht="15" customHeight="1"/>
    <row r="10666" ht="15" customHeight="1"/>
    <row r="10667" ht="15" customHeight="1"/>
    <row r="10668" ht="15" customHeight="1"/>
    <row r="10669" ht="15" customHeight="1"/>
    <row r="10670" ht="15" customHeight="1"/>
    <row r="10671" ht="15" customHeight="1"/>
    <row r="10672" ht="15" customHeight="1"/>
    <row r="10673" ht="15" customHeight="1"/>
    <row r="10674" ht="15" customHeight="1"/>
    <row r="10675" ht="15" customHeight="1"/>
    <row r="10676" ht="15" customHeight="1"/>
    <row r="10677" ht="15" customHeight="1"/>
    <row r="10678" ht="15" customHeight="1"/>
    <row r="10679" ht="15" customHeight="1"/>
    <row r="10680" ht="15" customHeight="1"/>
    <row r="10681" ht="15" customHeight="1"/>
    <row r="10682" ht="15" customHeight="1"/>
    <row r="10683" ht="15" customHeight="1"/>
    <row r="10684" ht="15" customHeight="1"/>
    <row r="10685" ht="15" customHeight="1"/>
    <row r="10686" ht="15" customHeight="1"/>
    <row r="10687" ht="15" customHeight="1"/>
    <row r="10688" ht="15" customHeight="1"/>
    <row r="10689" ht="15" customHeight="1"/>
    <row r="10690" ht="15" customHeight="1"/>
    <row r="10691" ht="15" customHeight="1"/>
    <row r="10692" ht="15" customHeight="1"/>
    <row r="10693" ht="15" customHeight="1"/>
    <row r="10694" ht="15" customHeight="1"/>
    <row r="10695" ht="15" customHeight="1"/>
    <row r="10696" ht="15" customHeight="1"/>
    <row r="10697" ht="15" customHeight="1"/>
    <row r="10698" ht="15" customHeight="1"/>
    <row r="10699" ht="15" customHeight="1"/>
    <row r="10700" ht="15" customHeight="1"/>
    <row r="10701" ht="15" customHeight="1"/>
    <row r="10702" ht="15" customHeight="1"/>
    <row r="10703" ht="15" customHeight="1"/>
    <row r="10704" ht="15" customHeight="1"/>
    <row r="10705" ht="15" customHeight="1"/>
    <row r="10706" ht="15" customHeight="1"/>
    <row r="10707" ht="15" customHeight="1"/>
    <row r="10708" ht="15" customHeight="1"/>
    <row r="10709" ht="15" customHeight="1"/>
    <row r="10710" ht="15" customHeight="1"/>
    <row r="10711" ht="15" customHeight="1"/>
    <row r="10712" ht="15" customHeight="1"/>
    <row r="10713" ht="15" customHeight="1"/>
    <row r="10714" ht="15" customHeight="1"/>
    <row r="10715" ht="15" customHeight="1"/>
    <row r="10716" ht="15" customHeight="1"/>
    <row r="10717" ht="15" customHeight="1"/>
    <row r="10718" ht="15" customHeight="1"/>
    <row r="10719" ht="15" customHeight="1"/>
    <row r="10720" ht="15" customHeight="1"/>
    <row r="10721" ht="15" customHeight="1"/>
    <row r="10722" ht="15" customHeight="1"/>
    <row r="10723" ht="15" customHeight="1"/>
    <row r="10724" ht="15" customHeight="1"/>
    <row r="10725" ht="15" customHeight="1"/>
    <row r="10726" ht="15" customHeight="1"/>
    <row r="10727" ht="15" customHeight="1"/>
    <row r="10728" ht="15" customHeight="1"/>
    <row r="10729" ht="15" customHeight="1"/>
    <row r="10730" ht="15" customHeight="1"/>
    <row r="10731" ht="15" customHeight="1"/>
    <row r="10732" ht="15" customHeight="1"/>
    <row r="10733" ht="15" customHeight="1"/>
    <row r="10734" ht="15" customHeight="1"/>
    <row r="10735" ht="15" customHeight="1"/>
    <row r="10736" ht="15" customHeight="1"/>
    <row r="10737" ht="15" customHeight="1"/>
    <row r="10738" ht="15" customHeight="1"/>
    <row r="10739" ht="15" customHeight="1"/>
    <row r="10740" ht="15" customHeight="1"/>
    <row r="10741" ht="15" customHeight="1"/>
    <row r="10742" ht="15" customHeight="1"/>
    <row r="10743" ht="15" customHeight="1"/>
    <row r="10744" ht="15" customHeight="1"/>
    <row r="10745" ht="15" customHeight="1"/>
    <row r="10746" ht="15" customHeight="1"/>
    <row r="10747" ht="15" customHeight="1"/>
    <row r="10748" ht="15" customHeight="1"/>
    <row r="10749" ht="15" customHeight="1"/>
    <row r="10750" ht="15" customHeight="1"/>
    <row r="10751" ht="15" customHeight="1"/>
    <row r="10752" ht="15" customHeight="1"/>
    <row r="10753" ht="15" customHeight="1"/>
    <row r="10754" ht="15" customHeight="1"/>
    <row r="10755" ht="15" customHeight="1"/>
    <row r="10756" ht="15" customHeight="1"/>
    <row r="10757" ht="15" customHeight="1"/>
    <row r="10758" ht="15" customHeight="1"/>
    <row r="10759" ht="15" customHeight="1"/>
    <row r="10760" ht="15" customHeight="1"/>
    <row r="10761" ht="15" customHeight="1"/>
    <row r="10762" ht="15" customHeight="1"/>
    <row r="10763" ht="15" customHeight="1"/>
    <row r="10764" ht="15" customHeight="1"/>
    <row r="10765" ht="15" customHeight="1"/>
    <row r="10766" ht="15" customHeight="1"/>
    <row r="10767" ht="15" customHeight="1"/>
    <row r="10768" ht="15" customHeight="1"/>
    <row r="10769" ht="15" customHeight="1"/>
    <row r="10770" ht="15" customHeight="1"/>
    <row r="10771" ht="15" customHeight="1"/>
    <row r="10772" ht="15" customHeight="1"/>
    <row r="10773" ht="15" customHeight="1"/>
    <row r="10774" ht="15" customHeight="1"/>
    <row r="10775" ht="15" customHeight="1"/>
    <row r="10776" ht="15" customHeight="1"/>
    <row r="10777" ht="15" customHeight="1"/>
    <row r="10778" ht="15" customHeight="1"/>
    <row r="10779" ht="15" customHeight="1"/>
    <row r="10780" ht="15" customHeight="1"/>
    <row r="10781" ht="15" customHeight="1"/>
    <row r="10782" ht="15" customHeight="1"/>
    <row r="10783" ht="15" customHeight="1"/>
    <row r="10784" ht="15" customHeight="1"/>
    <row r="10785" ht="15" customHeight="1"/>
    <row r="10786" ht="15" customHeight="1"/>
    <row r="10787" ht="15" customHeight="1"/>
    <row r="10788" ht="15" customHeight="1"/>
    <row r="10789" ht="15" customHeight="1"/>
    <row r="10790" ht="15" customHeight="1"/>
    <row r="10791" ht="15" customHeight="1"/>
    <row r="10792" ht="15" customHeight="1"/>
    <row r="10793" ht="15" customHeight="1"/>
    <row r="10794" ht="15" customHeight="1"/>
    <row r="10795" ht="15" customHeight="1"/>
    <row r="10796" ht="15" customHeight="1"/>
    <row r="10797" ht="15" customHeight="1"/>
    <row r="10798" ht="15" customHeight="1"/>
    <row r="10799" ht="15" customHeight="1"/>
    <row r="10800" ht="15" customHeight="1"/>
    <row r="10801" ht="15" customHeight="1"/>
    <row r="10802" ht="15" customHeight="1"/>
    <row r="10803" ht="15" customHeight="1"/>
    <row r="10804" ht="15" customHeight="1"/>
    <row r="10805" ht="15" customHeight="1"/>
    <row r="10806" ht="15" customHeight="1"/>
    <row r="10807" ht="15" customHeight="1"/>
    <row r="10808" ht="15" customHeight="1"/>
    <row r="10809" ht="15" customHeight="1"/>
    <row r="10810" ht="15" customHeight="1"/>
    <row r="10811" ht="15" customHeight="1"/>
    <row r="10812" ht="15" customHeight="1"/>
    <row r="10813" ht="15" customHeight="1"/>
    <row r="10814" ht="15" customHeight="1"/>
    <row r="10815" ht="15" customHeight="1"/>
    <row r="10816" ht="15" customHeight="1"/>
    <row r="10817" ht="15" customHeight="1"/>
    <row r="10818" ht="15" customHeight="1"/>
    <row r="10819" ht="15" customHeight="1"/>
    <row r="10820" ht="15" customHeight="1"/>
    <row r="10821" ht="15" customHeight="1"/>
    <row r="10822" ht="15" customHeight="1"/>
    <row r="10823" ht="15" customHeight="1"/>
    <row r="10824" ht="15" customHeight="1"/>
    <row r="10825" ht="15" customHeight="1"/>
    <row r="10826" ht="15" customHeight="1"/>
    <row r="10827" ht="15" customHeight="1"/>
    <row r="10828" ht="15" customHeight="1"/>
    <row r="10829" ht="15" customHeight="1"/>
    <row r="10830" ht="15" customHeight="1"/>
    <row r="10831" ht="15" customHeight="1"/>
    <row r="10832" ht="15" customHeight="1"/>
    <row r="10833" ht="15" customHeight="1"/>
    <row r="10834" ht="15" customHeight="1"/>
    <row r="10835" ht="15" customHeight="1"/>
    <row r="10836" ht="15" customHeight="1"/>
    <row r="10837" ht="15" customHeight="1"/>
    <row r="10838" ht="15" customHeight="1"/>
    <row r="10839" ht="15" customHeight="1"/>
    <row r="10840" ht="15" customHeight="1"/>
    <row r="10841" ht="15" customHeight="1"/>
    <row r="10842" ht="15" customHeight="1"/>
    <row r="10843" ht="15" customHeight="1"/>
    <row r="10844" ht="15" customHeight="1"/>
    <row r="10845" ht="15" customHeight="1"/>
    <row r="10846" ht="15" customHeight="1"/>
    <row r="10847" ht="15" customHeight="1"/>
    <row r="10848" ht="15" customHeight="1"/>
    <row r="10849" ht="15" customHeight="1"/>
    <row r="10850" ht="15" customHeight="1"/>
    <row r="10851" ht="15" customHeight="1"/>
    <row r="10852" ht="15" customHeight="1"/>
    <row r="10853" ht="15" customHeight="1"/>
    <row r="10854" ht="15" customHeight="1"/>
    <row r="10855" ht="15" customHeight="1"/>
    <row r="10856" ht="15" customHeight="1"/>
    <row r="10857" ht="15" customHeight="1"/>
    <row r="10858" ht="15" customHeight="1"/>
    <row r="10859" ht="15" customHeight="1"/>
    <row r="10860" ht="15" customHeight="1"/>
    <row r="10861" ht="15" customHeight="1"/>
    <row r="10862" ht="15" customHeight="1"/>
    <row r="10863" ht="15" customHeight="1"/>
    <row r="10864" ht="15" customHeight="1"/>
    <row r="10865" ht="15" customHeight="1"/>
    <row r="10866" ht="15" customHeight="1"/>
    <row r="10867" ht="15" customHeight="1"/>
    <row r="10868" ht="15" customHeight="1"/>
    <row r="10869" ht="15" customHeight="1"/>
    <row r="10870" ht="15" customHeight="1"/>
    <row r="10871" ht="15" customHeight="1"/>
    <row r="10872" ht="15" customHeight="1"/>
    <row r="10873" ht="15" customHeight="1"/>
    <row r="10874" ht="15" customHeight="1"/>
    <row r="10875" ht="15" customHeight="1"/>
    <row r="10876" ht="15" customHeight="1"/>
    <row r="10877" ht="15" customHeight="1"/>
    <row r="10878" ht="15" customHeight="1"/>
    <row r="10879" ht="15" customHeight="1"/>
    <row r="10880" ht="15" customHeight="1"/>
    <row r="10881" ht="15" customHeight="1"/>
    <row r="10882" ht="15" customHeight="1"/>
    <row r="10883" ht="15" customHeight="1"/>
    <row r="10884" ht="15" customHeight="1"/>
    <row r="10885" ht="15" customHeight="1"/>
    <row r="10886" ht="15" customHeight="1"/>
    <row r="10887" ht="15" customHeight="1"/>
    <row r="10888" ht="15" customHeight="1"/>
    <row r="10889" ht="15" customHeight="1"/>
    <row r="10890" ht="15" customHeight="1"/>
    <row r="10891" ht="15" customHeight="1"/>
    <row r="10892" ht="15" customHeight="1"/>
    <row r="10893" ht="15" customHeight="1"/>
    <row r="10894" ht="15" customHeight="1"/>
    <row r="10895" ht="15" customHeight="1"/>
    <row r="10896" ht="15" customHeight="1"/>
    <row r="10897" ht="15" customHeight="1"/>
    <row r="10898" ht="15" customHeight="1"/>
    <row r="10899" ht="15" customHeight="1"/>
    <row r="10900" ht="15" customHeight="1"/>
    <row r="10901" ht="15" customHeight="1"/>
    <row r="10902" ht="15" customHeight="1"/>
    <row r="10903" ht="15" customHeight="1"/>
    <row r="10904" ht="15" customHeight="1"/>
    <row r="10905" ht="15" customHeight="1"/>
    <row r="10906" ht="15" customHeight="1"/>
    <row r="10907" ht="15" customHeight="1"/>
    <row r="10908" ht="15" customHeight="1"/>
    <row r="10909" ht="15" customHeight="1"/>
    <row r="10910" ht="15" customHeight="1"/>
    <row r="10911" ht="15" customHeight="1"/>
    <row r="10912" ht="15" customHeight="1"/>
    <row r="10913" ht="15" customHeight="1"/>
    <row r="10914" ht="15" customHeight="1"/>
    <row r="10915" ht="15" customHeight="1"/>
    <row r="10916" ht="15" customHeight="1"/>
    <row r="10917" ht="15" customHeight="1"/>
    <row r="10918" ht="15" customHeight="1"/>
    <row r="10919" ht="15" customHeight="1"/>
    <row r="10920" ht="15" customHeight="1"/>
    <row r="10921" ht="15" customHeight="1"/>
    <row r="10922" ht="15" customHeight="1"/>
    <row r="10923" ht="15" customHeight="1"/>
    <row r="10924" ht="15" customHeight="1"/>
    <row r="10925" ht="15" customHeight="1"/>
    <row r="10926" ht="15" customHeight="1"/>
    <row r="10927" ht="15" customHeight="1"/>
    <row r="10928" ht="15" customHeight="1"/>
    <row r="10929" ht="15" customHeight="1"/>
    <row r="10930" ht="15" customHeight="1"/>
    <row r="10931" ht="15" customHeight="1"/>
    <row r="10932" ht="15" customHeight="1"/>
    <row r="10933" ht="15" customHeight="1"/>
    <row r="10934" ht="15" customHeight="1"/>
    <row r="10935" ht="15" customHeight="1"/>
    <row r="10936" ht="15" customHeight="1"/>
    <row r="10937" ht="15" customHeight="1"/>
    <row r="10938" ht="15" customHeight="1"/>
    <row r="10939" ht="15" customHeight="1"/>
    <row r="10940" ht="15" customHeight="1"/>
    <row r="10941" ht="15" customHeight="1"/>
    <row r="10942" ht="15" customHeight="1"/>
    <row r="10943" ht="15" customHeight="1"/>
    <row r="10944" ht="15" customHeight="1"/>
    <row r="10945" ht="15" customHeight="1"/>
    <row r="10946" ht="15" customHeight="1"/>
    <row r="10947" ht="15" customHeight="1"/>
    <row r="10948" ht="15" customHeight="1"/>
    <row r="10949" ht="15" customHeight="1"/>
    <row r="10950" ht="15" customHeight="1"/>
    <row r="10951" ht="15" customHeight="1"/>
    <row r="10952" ht="15" customHeight="1"/>
    <row r="10953" ht="15" customHeight="1"/>
    <row r="10954" ht="15" customHeight="1"/>
    <row r="10955" ht="15" customHeight="1"/>
    <row r="10956" ht="15" customHeight="1"/>
    <row r="10957" ht="15" customHeight="1"/>
    <row r="10958" ht="15" customHeight="1"/>
    <row r="10959" ht="15" customHeight="1"/>
    <row r="10960" ht="15" customHeight="1"/>
    <row r="10961" ht="15" customHeight="1"/>
    <row r="10962" ht="15" customHeight="1"/>
    <row r="10963" ht="15" customHeight="1"/>
    <row r="10964" ht="15" customHeight="1"/>
    <row r="10965" ht="15" customHeight="1"/>
    <row r="10966" ht="15" customHeight="1"/>
    <row r="10967" ht="15" customHeight="1"/>
    <row r="10968" ht="15" customHeight="1"/>
    <row r="10969" ht="15" customHeight="1"/>
    <row r="10970" ht="15" customHeight="1"/>
    <row r="10971" ht="15" customHeight="1"/>
    <row r="10972" ht="15" customHeight="1"/>
    <row r="10973" ht="15" customHeight="1"/>
    <row r="10974" ht="15" customHeight="1"/>
    <row r="10975" ht="15" customHeight="1"/>
    <row r="10976" ht="15" customHeight="1"/>
    <row r="10977" ht="15" customHeight="1"/>
    <row r="10978" ht="15" customHeight="1"/>
    <row r="10979" ht="15" customHeight="1"/>
    <row r="10980" ht="15" customHeight="1"/>
    <row r="10981" ht="15" customHeight="1"/>
    <row r="10982" ht="15" customHeight="1"/>
    <row r="10983" ht="15" customHeight="1"/>
    <row r="10984" ht="15" customHeight="1"/>
    <row r="10985" ht="15" customHeight="1"/>
    <row r="10986" ht="15" customHeight="1"/>
    <row r="10987" ht="15" customHeight="1"/>
    <row r="10988" ht="15" customHeight="1"/>
    <row r="10989" ht="15" customHeight="1"/>
    <row r="10990" ht="15" customHeight="1"/>
    <row r="10991" ht="15" customHeight="1"/>
    <row r="10992" ht="15" customHeight="1"/>
    <row r="10993" ht="15" customHeight="1"/>
    <row r="10994" ht="15" customHeight="1"/>
    <row r="10995" ht="15" customHeight="1"/>
    <row r="10996" ht="15" customHeight="1"/>
    <row r="10997" ht="15" customHeight="1"/>
    <row r="10998" ht="15" customHeight="1"/>
    <row r="10999" ht="15" customHeight="1"/>
    <row r="11000" ht="15" customHeight="1"/>
    <row r="11001" ht="15" customHeight="1"/>
    <row r="11002" ht="15" customHeight="1"/>
    <row r="11003" ht="15" customHeight="1"/>
    <row r="11004" ht="15" customHeight="1"/>
    <row r="11005" ht="15" customHeight="1"/>
    <row r="11006" ht="15" customHeight="1"/>
    <row r="11007" ht="15" customHeight="1"/>
    <row r="11008" ht="15" customHeight="1"/>
    <row r="11009" ht="15" customHeight="1"/>
    <row r="11010" ht="15" customHeight="1"/>
    <row r="11011" ht="15" customHeight="1"/>
    <row r="11012" ht="15" customHeight="1"/>
    <row r="11013" ht="15" customHeight="1"/>
    <row r="11014" ht="15" customHeight="1"/>
    <row r="11015" ht="15" customHeight="1"/>
    <row r="11016" ht="15" customHeight="1"/>
    <row r="11017" ht="15" customHeight="1"/>
    <row r="11018" ht="15" customHeight="1"/>
    <row r="11019" ht="15" customHeight="1"/>
    <row r="11020" ht="15" customHeight="1"/>
    <row r="11021" ht="15" customHeight="1"/>
    <row r="11022" ht="15" customHeight="1"/>
    <row r="11023" ht="15" customHeight="1"/>
    <row r="11024" ht="15" customHeight="1"/>
    <row r="11025" ht="15" customHeight="1"/>
    <row r="11026" ht="15" customHeight="1"/>
    <row r="11027" ht="15" customHeight="1"/>
    <row r="11028" ht="15" customHeight="1"/>
    <row r="11029" ht="15" customHeight="1"/>
    <row r="11030" ht="15" customHeight="1"/>
    <row r="11031" ht="15" customHeight="1"/>
    <row r="11032" ht="15" customHeight="1"/>
    <row r="11033" ht="15" customHeight="1"/>
    <row r="11034" ht="15" customHeight="1"/>
    <row r="11035" ht="15" customHeight="1"/>
    <row r="11036" ht="15" customHeight="1"/>
    <row r="11037" ht="15" customHeight="1"/>
    <row r="11038" ht="15" customHeight="1"/>
    <row r="11039" ht="15" customHeight="1"/>
    <row r="11040" ht="15" customHeight="1"/>
    <row r="11041" ht="15" customHeight="1"/>
    <row r="11042" ht="15" customHeight="1"/>
    <row r="11043" ht="15" customHeight="1"/>
    <row r="11044" ht="15" customHeight="1"/>
    <row r="11045" ht="15" customHeight="1"/>
    <row r="11046" ht="15" customHeight="1"/>
    <row r="11047" ht="15" customHeight="1"/>
    <row r="11048" ht="15" customHeight="1"/>
    <row r="11049" ht="15" customHeight="1"/>
    <row r="11050" ht="15" customHeight="1"/>
    <row r="11051" ht="15" customHeight="1"/>
    <row r="11052" ht="15" customHeight="1"/>
    <row r="11053" ht="15" customHeight="1"/>
    <row r="11054" ht="15" customHeight="1"/>
    <row r="11055" ht="15" customHeight="1"/>
    <row r="11056" ht="15" customHeight="1"/>
    <row r="11057" ht="15" customHeight="1"/>
    <row r="11058" ht="15" customHeight="1"/>
    <row r="11059" ht="15" customHeight="1"/>
    <row r="11060" ht="15" customHeight="1"/>
    <row r="11061" ht="15" customHeight="1"/>
    <row r="11062" ht="15" customHeight="1"/>
    <row r="11063" ht="15" customHeight="1"/>
    <row r="11064" ht="15" customHeight="1"/>
    <row r="11065" ht="15" customHeight="1"/>
    <row r="11066" ht="15" customHeight="1"/>
    <row r="11067" ht="15" customHeight="1"/>
    <row r="11068" ht="15" customHeight="1"/>
    <row r="11069" ht="15" customHeight="1"/>
    <row r="11070" ht="15" customHeight="1"/>
    <row r="11071" ht="15" customHeight="1"/>
    <row r="11072" ht="15" customHeight="1"/>
    <row r="11073" ht="15" customHeight="1"/>
    <row r="11074" ht="15" customHeight="1"/>
    <row r="11075" ht="15" customHeight="1"/>
    <row r="11076" ht="15" customHeight="1"/>
    <row r="11077" ht="15" customHeight="1"/>
    <row r="11078" ht="15" customHeight="1"/>
    <row r="11079" ht="15" customHeight="1"/>
    <row r="11080" ht="15" customHeight="1"/>
    <row r="11081" ht="15" customHeight="1"/>
    <row r="11082" ht="15" customHeight="1"/>
    <row r="11083" ht="15" customHeight="1"/>
    <row r="11084" ht="15" customHeight="1"/>
    <row r="11085" ht="15" customHeight="1"/>
    <row r="11086" ht="15" customHeight="1"/>
    <row r="11087" ht="15" customHeight="1"/>
    <row r="11088" ht="15" customHeight="1"/>
    <row r="11089" ht="15" customHeight="1"/>
    <row r="11090" ht="15" customHeight="1"/>
    <row r="11091" ht="15" customHeight="1"/>
    <row r="11092" ht="15" customHeight="1"/>
    <row r="11093" ht="15" customHeight="1"/>
    <row r="11094" ht="15" customHeight="1"/>
    <row r="11095" ht="15" customHeight="1"/>
    <row r="11096" ht="15" customHeight="1"/>
    <row r="11097" ht="15" customHeight="1"/>
    <row r="11098" ht="15" customHeight="1"/>
    <row r="11099" ht="15" customHeight="1"/>
    <row r="11100" ht="15" customHeight="1"/>
    <row r="11101" ht="15" customHeight="1"/>
    <row r="11102" ht="15" customHeight="1"/>
    <row r="11103" ht="15" customHeight="1"/>
    <row r="11104" ht="15" customHeight="1"/>
    <row r="11105" ht="15" customHeight="1"/>
    <row r="11106" ht="15" customHeight="1"/>
    <row r="11107" ht="15" customHeight="1"/>
    <row r="11108" ht="15" customHeight="1"/>
    <row r="11109" ht="15" customHeight="1"/>
    <row r="11110" ht="15" customHeight="1"/>
    <row r="11111" ht="15" customHeight="1"/>
    <row r="11112" ht="15" customHeight="1"/>
    <row r="11113" ht="15" customHeight="1"/>
    <row r="11114" ht="15" customHeight="1"/>
    <row r="11115" ht="15" customHeight="1"/>
    <row r="11116" ht="15" customHeight="1"/>
    <row r="11117" ht="15" customHeight="1"/>
    <row r="11118" ht="15" customHeight="1"/>
    <row r="11119" ht="15" customHeight="1"/>
    <row r="11120" ht="15" customHeight="1"/>
    <row r="11121" ht="15" customHeight="1"/>
    <row r="11122" ht="15" customHeight="1"/>
    <row r="11123" ht="15" customHeight="1"/>
    <row r="11124" ht="15" customHeight="1"/>
    <row r="11125" ht="15" customHeight="1"/>
    <row r="11126" ht="15" customHeight="1"/>
    <row r="11127" ht="15" customHeight="1"/>
    <row r="11128" ht="15" customHeight="1"/>
    <row r="11129" ht="15" customHeight="1"/>
    <row r="11130" ht="15" customHeight="1"/>
    <row r="11131" ht="15" customHeight="1"/>
    <row r="11132" ht="15" customHeight="1"/>
    <row r="11133" ht="15" customHeight="1"/>
    <row r="11134" ht="15" customHeight="1"/>
    <row r="11135" ht="15" customHeight="1"/>
    <row r="11136" ht="15" customHeight="1"/>
    <row r="11137" ht="15" customHeight="1"/>
    <row r="11138" ht="15" customHeight="1"/>
    <row r="11139" ht="15" customHeight="1"/>
    <row r="11140" ht="15" customHeight="1"/>
    <row r="11141" ht="15" customHeight="1"/>
    <row r="11142" ht="15" customHeight="1"/>
    <row r="11143" ht="15" customHeight="1"/>
    <row r="11144" ht="15" customHeight="1"/>
    <row r="11145" ht="15" customHeight="1"/>
    <row r="11146" ht="15" customHeight="1"/>
    <row r="11147" ht="15" customHeight="1"/>
    <row r="11148" ht="15" customHeight="1"/>
    <row r="11149" ht="15" customHeight="1"/>
    <row r="11150" ht="15" customHeight="1"/>
    <row r="11151" ht="15" customHeight="1"/>
    <row r="11152" ht="15" customHeight="1"/>
    <row r="11153" ht="15" customHeight="1"/>
    <row r="11154" ht="15" customHeight="1"/>
    <row r="11155" ht="15" customHeight="1"/>
    <row r="11156" ht="15" customHeight="1"/>
    <row r="11157" ht="15" customHeight="1"/>
    <row r="11158" ht="15" customHeight="1"/>
    <row r="11159" ht="15" customHeight="1"/>
    <row r="11160" ht="15" customHeight="1"/>
    <row r="11161" ht="15" customHeight="1"/>
    <row r="11162" ht="15" customHeight="1"/>
    <row r="11163" ht="15" customHeight="1"/>
    <row r="11164" ht="15" customHeight="1"/>
    <row r="11165" ht="15" customHeight="1"/>
    <row r="11166" ht="15" customHeight="1"/>
    <row r="11167" ht="15" customHeight="1"/>
    <row r="11168" ht="15" customHeight="1"/>
    <row r="11169" ht="15" customHeight="1"/>
    <row r="11170" ht="15" customHeight="1"/>
    <row r="11171" ht="15" customHeight="1"/>
    <row r="11172" ht="15" customHeight="1"/>
    <row r="11173" ht="15" customHeight="1"/>
    <row r="11174" ht="15" customHeight="1"/>
    <row r="11175" ht="15" customHeight="1"/>
    <row r="11176" ht="15" customHeight="1"/>
    <row r="11177" ht="15" customHeight="1"/>
    <row r="11178" ht="15" customHeight="1"/>
    <row r="11179" ht="15" customHeight="1"/>
    <row r="11180" ht="15" customHeight="1"/>
    <row r="11181" ht="15" customHeight="1"/>
    <row r="11182" ht="15" customHeight="1"/>
    <row r="11183" ht="15" customHeight="1"/>
    <row r="11184" ht="15" customHeight="1"/>
    <row r="11185" ht="15" customHeight="1"/>
    <row r="11186" ht="15" customHeight="1"/>
    <row r="11187" ht="15" customHeight="1"/>
    <row r="11188" ht="15" customHeight="1"/>
    <row r="11189" ht="15" customHeight="1"/>
    <row r="11190" ht="15" customHeight="1"/>
    <row r="11191" ht="15" customHeight="1"/>
    <row r="11192" ht="15" customHeight="1"/>
    <row r="11193" ht="15" customHeight="1"/>
    <row r="11194" ht="15" customHeight="1"/>
    <row r="11195" ht="15" customHeight="1"/>
    <row r="11196" ht="15" customHeight="1"/>
    <row r="11197" ht="15" customHeight="1"/>
    <row r="11198" ht="15" customHeight="1"/>
    <row r="11199" ht="15" customHeight="1"/>
    <row r="11200" ht="15" customHeight="1"/>
    <row r="11201" ht="15" customHeight="1"/>
    <row r="11202" ht="15" customHeight="1"/>
    <row r="11203" ht="15" customHeight="1"/>
    <row r="11204" ht="15" customHeight="1"/>
    <row r="11205" ht="15" customHeight="1"/>
    <row r="11206" ht="15" customHeight="1"/>
    <row r="11207" ht="15" customHeight="1"/>
    <row r="11208" ht="15" customHeight="1"/>
    <row r="11209" ht="15" customHeight="1"/>
    <row r="11210" ht="15" customHeight="1"/>
    <row r="11211" ht="15" customHeight="1"/>
    <row r="11212" ht="15" customHeight="1"/>
    <row r="11213" ht="15" customHeight="1"/>
    <row r="11214" ht="15" customHeight="1"/>
    <row r="11215" ht="15" customHeight="1"/>
    <row r="11216" ht="15" customHeight="1"/>
    <row r="11217" ht="15" customHeight="1"/>
    <row r="11218" ht="15" customHeight="1"/>
    <row r="11219" ht="15" customHeight="1"/>
    <row r="11220" ht="15" customHeight="1"/>
    <row r="11221" ht="15" customHeight="1"/>
    <row r="11222" ht="15" customHeight="1"/>
    <row r="11223" ht="15" customHeight="1"/>
    <row r="11224" ht="15" customHeight="1"/>
    <row r="11225" ht="15" customHeight="1"/>
    <row r="11226" ht="15" customHeight="1"/>
    <row r="11227" ht="15" customHeight="1"/>
    <row r="11228" ht="15" customHeight="1"/>
    <row r="11229" ht="15" customHeight="1"/>
    <row r="11230" ht="15" customHeight="1"/>
    <row r="11231" ht="15" customHeight="1"/>
    <row r="11232" ht="15" customHeight="1"/>
    <row r="11233" ht="15" customHeight="1"/>
    <row r="11234" ht="15" customHeight="1"/>
    <row r="11235" ht="15" customHeight="1"/>
    <row r="11236" ht="15" customHeight="1"/>
    <row r="11237" ht="15" customHeight="1"/>
    <row r="11238" ht="15" customHeight="1"/>
    <row r="11239" ht="15" customHeight="1"/>
    <row r="11240" ht="15" customHeight="1"/>
    <row r="11241" ht="15" customHeight="1"/>
    <row r="11242" ht="15" customHeight="1"/>
    <row r="11243" ht="15" customHeight="1"/>
    <row r="11244" ht="15" customHeight="1"/>
    <row r="11245" ht="15" customHeight="1"/>
    <row r="11246" ht="15" customHeight="1"/>
    <row r="11247" ht="15" customHeight="1"/>
    <row r="11248" ht="15" customHeight="1"/>
    <row r="11249" ht="15" customHeight="1"/>
    <row r="11250" ht="15" customHeight="1"/>
    <row r="11251" ht="15" customHeight="1"/>
    <row r="11252" ht="15" customHeight="1"/>
    <row r="11253" ht="15" customHeight="1"/>
    <row r="11254" ht="15" customHeight="1"/>
    <row r="11255" ht="15" customHeight="1"/>
    <row r="11256" ht="15" customHeight="1"/>
    <row r="11257" ht="15" customHeight="1"/>
    <row r="11258" ht="15" customHeight="1"/>
    <row r="11259" ht="15" customHeight="1"/>
    <row r="11260" ht="15" customHeight="1"/>
    <row r="11261" ht="15" customHeight="1"/>
    <row r="11262" ht="15" customHeight="1"/>
    <row r="11263" ht="15" customHeight="1"/>
    <row r="11264" ht="15" customHeight="1"/>
    <row r="11265" ht="15" customHeight="1"/>
    <row r="11266" ht="15" customHeight="1"/>
    <row r="11267" ht="15" customHeight="1"/>
    <row r="11268" ht="15" customHeight="1"/>
    <row r="11269" ht="15" customHeight="1"/>
    <row r="11270" ht="15" customHeight="1"/>
    <row r="11271" ht="15" customHeight="1"/>
    <row r="11272" ht="15" customHeight="1"/>
    <row r="11273" ht="15" customHeight="1"/>
    <row r="11274" ht="15" customHeight="1"/>
    <row r="11275" ht="15" customHeight="1"/>
    <row r="11276" ht="15" customHeight="1"/>
    <row r="11277" ht="15" customHeight="1"/>
    <row r="11278" ht="15" customHeight="1"/>
    <row r="11279" ht="15" customHeight="1"/>
    <row r="11280" ht="15" customHeight="1"/>
    <row r="11281" ht="15" customHeight="1"/>
    <row r="11282" ht="15" customHeight="1"/>
    <row r="11283" ht="15" customHeight="1"/>
    <row r="11284" ht="15" customHeight="1"/>
    <row r="11285" ht="15" customHeight="1"/>
    <row r="11286" ht="15" customHeight="1"/>
    <row r="11287" ht="15" customHeight="1"/>
    <row r="11288" ht="15" customHeight="1"/>
    <row r="11289" ht="15" customHeight="1"/>
    <row r="11290" ht="15" customHeight="1"/>
    <row r="11291" ht="15" customHeight="1"/>
    <row r="11292" ht="15" customHeight="1"/>
    <row r="11293" ht="15" customHeight="1"/>
    <row r="11294" ht="15" customHeight="1"/>
    <row r="11295" ht="15" customHeight="1"/>
    <row r="11296" ht="15" customHeight="1"/>
    <row r="11297" ht="15" customHeight="1"/>
    <row r="11298" ht="15" customHeight="1"/>
    <row r="11299" ht="15" customHeight="1"/>
    <row r="11300" ht="15" customHeight="1"/>
    <row r="11301" ht="15" customHeight="1"/>
    <row r="11302" ht="15" customHeight="1"/>
    <row r="11303" ht="15" customHeight="1"/>
    <row r="11304" ht="15" customHeight="1"/>
    <row r="11305" ht="15" customHeight="1"/>
    <row r="11306" ht="15" customHeight="1"/>
    <row r="11307" ht="15" customHeight="1"/>
    <row r="11308" ht="15" customHeight="1"/>
    <row r="11309" ht="15" customHeight="1"/>
    <row r="11310" ht="15" customHeight="1"/>
    <row r="11311" ht="15" customHeight="1"/>
    <row r="11312" ht="15" customHeight="1"/>
    <row r="11313" ht="15" customHeight="1"/>
    <row r="11314" ht="15" customHeight="1"/>
    <row r="11315" ht="15" customHeight="1"/>
    <row r="11316" ht="15" customHeight="1"/>
    <row r="11317" ht="15" customHeight="1"/>
    <row r="11318" ht="15" customHeight="1"/>
    <row r="11319" ht="15" customHeight="1"/>
    <row r="11320" ht="15" customHeight="1"/>
    <row r="11321" ht="15" customHeight="1"/>
    <row r="11322" ht="15" customHeight="1"/>
    <row r="11323" ht="15" customHeight="1"/>
    <row r="11324" ht="15" customHeight="1"/>
    <row r="11325" ht="15" customHeight="1"/>
    <row r="11326" ht="15" customHeight="1"/>
    <row r="11327" ht="15" customHeight="1"/>
    <row r="11328" ht="15" customHeight="1"/>
    <row r="11329" ht="15" customHeight="1"/>
    <row r="11330" ht="15" customHeight="1"/>
    <row r="11331" ht="15" customHeight="1"/>
    <row r="11332" ht="15" customHeight="1"/>
    <row r="11333" ht="15" customHeight="1"/>
    <row r="11334" ht="15" customHeight="1"/>
    <row r="11335" ht="15" customHeight="1"/>
    <row r="11336" ht="15" customHeight="1"/>
    <row r="11337" ht="15" customHeight="1"/>
    <row r="11338" ht="15" customHeight="1"/>
    <row r="11339" ht="15" customHeight="1"/>
    <row r="11340" ht="15" customHeight="1"/>
    <row r="11341" ht="15" customHeight="1"/>
    <row r="11342" ht="15" customHeight="1"/>
    <row r="11343" ht="15" customHeight="1"/>
    <row r="11344" ht="15" customHeight="1"/>
    <row r="11345" ht="15" customHeight="1"/>
    <row r="11346" ht="15" customHeight="1"/>
    <row r="11347" ht="15" customHeight="1"/>
    <row r="11348" ht="15" customHeight="1"/>
    <row r="11349" ht="15" customHeight="1"/>
    <row r="11350" ht="15" customHeight="1"/>
    <row r="11351" ht="15" customHeight="1"/>
    <row r="11352" ht="15" customHeight="1"/>
    <row r="11353" ht="15" customHeight="1"/>
    <row r="11354" ht="15" customHeight="1"/>
    <row r="11355" ht="15" customHeight="1"/>
    <row r="11356" ht="15" customHeight="1"/>
    <row r="11357" ht="15" customHeight="1"/>
    <row r="11358" ht="15" customHeight="1"/>
    <row r="11359" ht="15" customHeight="1"/>
    <row r="11360" ht="15" customHeight="1"/>
    <row r="11361" ht="15" customHeight="1"/>
    <row r="11362" ht="15" customHeight="1"/>
    <row r="11363" ht="15" customHeight="1"/>
    <row r="11364" ht="15" customHeight="1"/>
    <row r="11365" ht="15" customHeight="1"/>
    <row r="11366" ht="15" customHeight="1"/>
    <row r="11367" ht="15" customHeight="1"/>
    <row r="11368" ht="15" customHeight="1"/>
    <row r="11369" ht="15" customHeight="1"/>
    <row r="11370" ht="15" customHeight="1"/>
    <row r="11371" ht="15" customHeight="1"/>
    <row r="11372" ht="15" customHeight="1"/>
    <row r="11373" ht="15" customHeight="1"/>
    <row r="11374" ht="15" customHeight="1"/>
    <row r="11375" ht="15" customHeight="1"/>
    <row r="11376" ht="15" customHeight="1"/>
    <row r="11377" ht="15" customHeight="1"/>
    <row r="11378" ht="15" customHeight="1"/>
    <row r="11379" ht="15" customHeight="1"/>
    <row r="11380" ht="15" customHeight="1"/>
    <row r="11381" ht="15" customHeight="1"/>
    <row r="11382" ht="15" customHeight="1"/>
    <row r="11383" ht="15" customHeight="1"/>
    <row r="11384" ht="15" customHeight="1"/>
    <row r="11385" ht="15" customHeight="1"/>
    <row r="11386" ht="15" customHeight="1"/>
    <row r="11387" ht="15" customHeight="1"/>
    <row r="11388" ht="15" customHeight="1"/>
    <row r="11389" ht="15" customHeight="1"/>
    <row r="11390" ht="15" customHeight="1"/>
    <row r="11391" ht="15" customHeight="1"/>
    <row r="11392" ht="15" customHeight="1"/>
    <row r="11393" ht="15" customHeight="1"/>
    <row r="11394" ht="15" customHeight="1"/>
    <row r="11395" ht="15" customHeight="1"/>
    <row r="11396" ht="15" customHeight="1"/>
    <row r="11397" ht="15" customHeight="1"/>
    <row r="11398" ht="15" customHeight="1"/>
    <row r="11399" ht="15" customHeight="1"/>
    <row r="11400" ht="15" customHeight="1"/>
    <row r="11401" ht="15" customHeight="1"/>
    <row r="11402" ht="15" customHeight="1"/>
    <row r="11403" ht="15" customHeight="1"/>
    <row r="11404" ht="15" customHeight="1"/>
    <row r="11405" ht="15" customHeight="1"/>
    <row r="11406" ht="15" customHeight="1"/>
    <row r="11407" ht="15" customHeight="1"/>
    <row r="11408" ht="15" customHeight="1"/>
    <row r="11409" ht="15" customHeight="1"/>
    <row r="11410" ht="15" customHeight="1"/>
    <row r="11411" ht="15" customHeight="1"/>
    <row r="11412" ht="15" customHeight="1"/>
    <row r="11413" ht="15" customHeight="1"/>
    <row r="11414" ht="15" customHeight="1"/>
    <row r="11415" ht="15" customHeight="1"/>
    <row r="11416" ht="15" customHeight="1"/>
    <row r="11417" ht="15" customHeight="1"/>
    <row r="11418" ht="15" customHeight="1"/>
    <row r="11419" ht="15" customHeight="1"/>
    <row r="11420" ht="15" customHeight="1"/>
    <row r="11421" ht="15" customHeight="1"/>
    <row r="11422" ht="15" customHeight="1"/>
    <row r="11423" ht="15" customHeight="1"/>
    <row r="11424" ht="15" customHeight="1"/>
    <row r="11425" ht="15" customHeight="1"/>
    <row r="11426" ht="15" customHeight="1"/>
    <row r="11427" ht="15" customHeight="1"/>
    <row r="11428" ht="15" customHeight="1"/>
    <row r="11429" ht="15" customHeight="1"/>
    <row r="11430" ht="15" customHeight="1"/>
    <row r="11431" ht="15" customHeight="1"/>
    <row r="11432" ht="15" customHeight="1"/>
    <row r="11433" ht="15" customHeight="1"/>
    <row r="11434" ht="15" customHeight="1"/>
    <row r="11435" ht="15" customHeight="1"/>
    <row r="11436" ht="15" customHeight="1"/>
    <row r="11437" ht="15" customHeight="1"/>
    <row r="11438" ht="15" customHeight="1"/>
    <row r="11439" ht="15" customHeight="1"/>
    <row r="11440" ht="15" customHeight="1"/>
    <row r="11441" ht="15" customHeight="1"/>
    <row r="11442" ht="15" customHeight="1"/>
    <row r="11443" ht="15" customHeight="1"/>
    <row r="11444" ht="15" customHeight="1"/>
    <row r="11445" ht="15" customHeight="1"/>
    <row r="11446" ht="15" customHeight="1"/>
    <row r="11447" ht="15" customHeight="1"/>
    <row r="11448" ht="15" customHeight="1"/>
    <row r="11449" ht="15" customHeight="1"/>
    <row r="11450" ht="15" customHeight="1"/>
    <row r="11451" ht="15" customHeight="1"/>
    <row r="11452" ht="15" customHeight="1"/>
    <row r="11453" ht="15" customHeight="1"/>
    <row r="11454" ht="15" customHeight="1"/>
    <row r="11455" ht="15" customHeight="1"/>
    <row r="11456" ht="15" customHeight="1"/>
    <row r="11457" ht="15" customHeight="1"/>
    <row r="11458" ht="15" customHeight="1"/>
    <row r="11459" ht="15" customHeight="1"/>
    <row r="11460" ht="15" customHeight="1"/>
    <row r="11461" ht="15" customHeight="1"/>
    <row r="11462" ht="15" customHeight="1"/>
    <row r="11463" ht="15" customHeight="1"/>
    <row r="11464" ht="15" customHeight="1"/>
    <row r="11465" ht="15" customHeight="1"/>
    <row r="11466" ht="15" customHeight="1"/>
    <row r="11467" ht="15" customHeight="1"/>
    <row r="11468" ht="15" customHeight="1"/>
    <row r="11469" ht="15" customHeight="1"/>
    <row r="11470" ht="15" customHeight="1"/>
    <row r="11471" ht="15" customHeight="1"/>
    <row r="11472" ht="15" customHeight="1"/>
    <row r="11473" ht="15" customHeight="1"/>
    <row r="11474" ht="15" customHeight="1"/>
    <row r="11475" ht="15" customHeight="1"/>
    <row r="11476" ht="15" customHeight="1"/>
    <row r="11477" ht="15" customHeight="1"/>
    <row r="11478" ht="15" customHeight="1"/>
    <row r="11479" ht="15" customHeight="1"/>
    <row r="11480" ht="15" customHeight="1"/>
    <row r="11481" ht="15" customHeight="1"/>
    <row r="11482" ht="15" customHeight="1"/>
    <row r="11483" ht="15" customHeight="1"/>
    <row r="11484" ht="15" customHeight="1"/>
    <row r="11485" ht="15" customHeight="1"/>
    <row r="11486" ht="15" customHeight="1"/>
    <row r="11487" ht="15" customHeight="1"/>
    <row r="11488" ht="15" customHeight="1"/>
    <row r="11489" ht="15" customHeight="1"/>
    <row r="11490" ht="15" customHeight="1"/>
    <row r="11491" ht="15" customHeight="1"/>
    <row r="11492" ht="15" customHeight="1"/>
    <row r="11493" ht="15" customHeight="1"/>
    <row r="11494" ht="15" customHeight="1"/>
    <row r="11495" ht="15" customHeight="1"/>
    <row r="11496" ht="15" customHeight="1"/>
    <row r="11497" ht="15" customHeight="1"/>
    <row r="11498" ht="15" customHeight="1"/>
    <row r="11499" ht="15" customHeight="1"/>
    <row r="11500" ht="15" customHeight="1"/>
    <row r="11501" ht="15" customHeight="1"/>
    <row r="11502" ht="15" customHeight="1"/>
    <row r="11503" ht="15" customHeight="1"/>
    <row r="11504" ht="15" customHeight="1"/>
    <row r="11505" ht="15" customHeight="1"/>
    <row r="11506" ht="15" customHeight="1"/>
    <row r="11507" ht="15" customHeight="1"/>
    <row r="11508" ht="15" customHeight="1"/>
    <row r="11509" ht="15" customHeight="1"/>
    <row r="11510" ht="15" customHeight="1"/>
    <row r="11511" ht="15" customHeight="1"/>
    <row r="11512" ht="15" customHeight="1"/>
    <row r="11513" ht="15" customHeight="1"/>
    <row r="11514" ht="15" customHeight="1"/>
    <row r="11515" ht="15" customHeight="1"/>
    <row r="11516" ht="15" customHeight="1"/>
    <row r="11517" ht="15" customHeight="1"/>
    <row r="11518" ht="15" customHeight="1"/>
    <row r="11519" ht="15" customHeight="1"/>
    <row r="11520" ht="15" customHeight="1"/>
    <row r="11521" ht="15" customHeight="1"/>
    <row r="11522" ht="15" customHeight="1"/>
    <row r="11523" ht="15" customHeight="1"/>
    <row r="11524" ht="15" customHeight="1"/>
    <row r="11525" ht="15" customHeight="1"/>
    <row r="11526" ht="15" customHeight="1"/>
    <row r="11527" ht="15" customHeight="1"/>
    <row r="11528" ht="15" customHeight="1"/>
    <row r="11529" ht="15" customHeight="1"/>
    <row r="11530" ht="15" customHeight="1"/>
    <row r="11531" ht="15" customHeight="1"/>
    <row r="11532" ht="15" customHeight="1"/>
    <row r="11533" ht="15" customHeight="1"/>
    <row r="11534" ht="15" customHeight="1"/>
    <row r="11535" ht="15" customHeight="1"/>
    <row r="11536" ht="15" customHeight="1"/>
    <row r="11537" ht="15" customHeight="1"/>
    <row r="11538" ht="15" customHeight="1"/>
    <row r="11539" ht="15" customHeight="1"/>
    <row r="11540" ht="15" customHeight="1"/>
    <row r="11541" ht="15" customHeight="1"/>
    <row r="11542" ht="15" customHeight="1"/>
    <row r="11543" ht="15" customHeight="1"/>
    <row r="11544" ht="15" customHeight="1"/>
    <row r="11545" ht="15" customHeight="1"/>
    <row r="11546" ht="15" customHeight="1"/>
    <row r="11547" ht="15" customHeight="1"/>
    <row r="11548" ht="15" customHeight="1"/>
    <row r="11549" ht="15" customHeight="1"/>
    <row r="11550" ht="15" customHeight="1"/>
    <row r="11551" ht="15" customHeight="1"/>
    <row r="11552" ht="15" customHeight="1"/>
    <row r="11553" ht="15" customHeight="1"/>
    <row r="11554" ht="15" customHeight="1"/>
    <row r="11555" ht="15" customHeight="1"/>
    <row r="11556" ht="15" customHeight="1"/>
    <row r="11557" ht="15" customHeight="1"/>
    <row r="11558" ht="15" customHeight="1"/>
    <row r="11559" ht="15" customHeight="1"/>
    <row r="11560" ht="15" customHeight="1"/>
    <row r="11561" ht="15" customHeight="1"/>
    <row r="11562" ht="15" customHeight="1"/>
    <row r="11563" ht="15" customHeight="1"/>
    <row r="11564" ht="15" customHeight="1"/>
    <row r="11565" ht="15" customHeight="1"/>
    <row r="11566" ht="15" customHeight="1"/>
    <row r="11567" ht="15" customHeight="1"/>
    <row r="11568" ht="15" customHeight="1"/>
    <row r="11569" ht="15" customHeight="1"/>
    <row r="11570" ht="15" customHeight="1"/>
    <row r="11571" ht="15" customHeight="1"/>
    <row r="11572" ht="15" customHeight="1"/>
    <row r="11573" ht="15" customHeight="1"/>
    <row r="11574" ht="15" customHeight="1"/>
    <row r="11575" ht="15" customHeight="1"/>
    <row r="11576" ht="15" customHeight="1"/>
    <row r="11577" ht="15" customHeight="1"/>
    <row r="11578" ht="15" customHeight="1"/>
    <row r="11579" ht="15" customHeight="1"/>
    <row r="11580" ht="15" customHeight="1"/>
    <row r="11581" ht="15" customHeight="1"/>
    <row r="11582" ht="15" customHeight="1"/>
    <row r="11583" ht="15" customHeight="1"/>
    <row r="11584" ht="15" customHeight="1"/>
    <row r="11585" ht="15" customHeight="1"/>
    <row r="11586" ht="15" customHeight="1"/>
    <row r="11587" ht="15" customHeight="1"/>
    <row r="11588" ht="15" customHeight="1"/>
    <row r="11589" ht="15" customHeight="1"/>
    <row r="11590" ht="15" customHeight="1"/>
    <row r="11591" ht="15" customHeight="1"/>
    <row r="11592" ht="15" customHeight="1"/>
    <row r="11593" ht="15" customHeight="1"/>
    <row r="11594" ht="15" customHeight="1"/>
    <row r="11595" ht="15" customHeight="1"/>
    <row r="11596" ht="15" customHeight="1"/>
    <row r="11597" ht="15" customHeight="1"/>
    <row r="11598" ht="15" customHeight="1"/>
    <row r="11599" ht="15" customHeight="1"/>
    <row r="11600" ht="15" customHeight="1"/>
    <row r="11601" ht="15" customHeight="1"/>
    <row r="11602" ht="15" customHeight="1"/>
    <row r="11603" ht="15" customHeight="1"/>
    <row r="11604" ht="15" customHeight="1"/>
    <row r="11605" ht="15" customHeight="1"/>
    <row r="11606" ht="15" customHeight="1"/>
    <row r="11607" ht="15" customHeight="1"/>
    <row r="11608" ht="15" customHeight="1"/>
    <row r="11609" ht="15" customHeight="1"/>
    <row r="11610" ht="15" customHeight="1"/>
    <row r="11611" ht="15" customHeight="1"/>
    <row r="11612" ht="15" customHeight="1"/>
    <row r="11613" ht="15" customHeight="1"/>
    <row r="11614" ht="15" customHeight="1"/>
    <row r="11615" ht="15" customHeight="1"/>
    <row r="11616" ht="15" customHeight="1"/>
    <row r="11617" ht="15" customHeight="1"/>
    <row r="11618" ht="15" customHeight="1"/>
    <row r="11619" ht="15" customHeight="1"/>
    <row r="11620" ht="15" customHeight="1"/>
    <row r="11621" ht="15" customHeight="1"/>
    <row r="11622" ht="15" customHeight="1"/>
    <row r="11623" ht="15" customHeight="1"/>
    <row r="11624" ht="15" customHeight="1"/>
    <row r="11625" ht="15" customHeight="1"/>
    <row r="11626" ht="15" customHeight="1"/>
    <row r="11627" ht="15" customHeight="1"/>
    <row r="11628" ht="15" customHeight="1"/>
    <row r="11629" ht="15" customHeight="1"/>
    <row r="11630" ht="15" customHeight="1"/>
    <row r="11631" ht="15" customHeight="1"/>
    <row r="11632" ht="15" customHeight="1"/>
    <row r="11633" ht="15" customHeight="1"/>
    <row r="11634" ht="15" customHeight="1"/>
    <row r="11635" ht="15" customHeight="1"/>
    <row r="11636" ht="15" customHeight="1"/>
    <row r="11637" ht="15" customHeight="1"/>
    <row r="11638" ht="15" customHeight="1"/>
    <row r="11639" ht="15" customHeight="1"/>
    <row r="11640" ht="15" customHeight="1"/>
    <row r="11641" ht="15" customHeight="1"/>
    <row r="11642" ht="15" customHeight="1"/>
    <row r="11643" ht="15" customHeight="1"/>
    <row r="11644" ht="15" customHeight="1"/>
    <row r="11645" ht="15" customHeight="1"/>
    <row r="11646" ht="15" customHeight="1"/>
    <row r="11647" ht="15" customHeight="1"/>
    <row r="11648" ht="15" customHeight="1"/>
    <row r="11649" ht="15" customHeight="1"/>
    <row r="11650" ht="15" customHeight="1"/>
    <row r="11651" ht="15" customHeight="1"/>
    <row r="11652" ht="15" customHeight="1"/>
    <row r="11653" ht="15" customHeight="1"/>
    <row r="11654" ht="15" customHeight="1"/>
    <row r="11655" ht="15" customHeight="1"/>
    <row r="11656" ht="15" customHeight="1"/>
    <row r="11657" ht="15" customHeight="1"/>
    <row r="11658" ht="15" customHeight="1"/>
    <row r="11659" ht="15" customHeight="1"/>
    <row r="11660" ht="15" customHeight="1"/>
    <row r="11661" ht="15" customHeight="1"/>
    <row r="11662" ht="15" customHeight="1"/>
    <row r="11663" ht="15" customHeight="1"/>
    <row r="11664" ht="15" customHeight="1"/>
    <row r="11665" ht="15" customHeight="1"/>
    <row r="11666" ht="15" customHeight="1"/>
    <row r="11667" ht="15" customHeight="1"/>
    <row r="11668" ht="15" customHeight="1"/>
    <row r="11669" ht="15" customHeight="1"/>
    <row r="11670" ht="15" customHeight="1"/>
    <row r="11671" ht="15" customHeight="1"/>
    <row r="11672" ht="15" customHeight="1"/>
    <row r="11673" ht="15" customHeight="1"/>
    <row r="11674" ht="15" customHeight="1"/>
    <row r="11675" ht="15" customHeight="1"/>
    <row r="11676" ht="15" customHeight="1"/>
    <row r="11677" ht="15" customHeight="1"/>
    <row r="11678" ht="15" customHeight="1"/>
    <row r="11679" ht="15" customHeight="1"/>
    <row r="11680" ht="15" customHeight="1"/>
    <row r="11681" ht="15" customHeight="1"/>
    <row r="11682" ht="15" customHeight="1"/>
    <row r="11683" ht="15" customHeight="1"/>
    <row r="11684" ht="15" customHeight="1"/>
    <row r="11685" ht="15" customHeight="1"/>
    <row r="11686" ht="15" customHeight="1"/>
    <row r="11687" ht="15" customHeight="1"/>
    <row r="11688" ht="15" customHeight="1"/>
    <row r="11689" ht="15" customHeight="1"/>
    <row r="11690" ht="15" customHeight="1"/>
    <row r="11691" ht="15" customHeight="1"/>
    <row r="11692" ht="15" customHeight="1"/>
    <row r="11693" ht="15" customHeight="1"/>
    <row r="11694" ht="15" customHeight="1"/>
    <row r="11695" ht="15" customHeight="1"/>
    <row r="11696" ht="15" customHeight="1"/>
    <row r="11697" ht="15" customHeight="1"/>
    <row r="11698" ht="15" customHeight="1"/>
    <row r="11699" ht="15" customHeight="1"/>
    <row r="11700" ht="15" customHeight="1"/>
    <row r="11701" ht="15" customHeight="1"/>
    <row r="11702" ht="15" customHeight="1"/>
    <row r="11703" ht="15" customHeight="1"/>
    <row r="11704" ht="15" customHeight="1"/>
    <row r="11705" ht="15" customHeight="1"/>
    <row r="11706" ht="15" customHeight="1"/>
    <row r="11707" ht="15" customHeight="1"/>
    <row r="11708" ht="15" customHeight="1"/>
    <row r="11709" ht="15" customHeight="1"/>
    <row r="11710" ht="15" customHeight="1"/>
    <row r="11711" ht="15" customHeight="1"/>
    <row r="11712" ht="15" customHeight="1"/>
    <row r="11713" ht="15" customHeight="1"/>
    <row r="11714" ht="15" customHeight="1"/>
    <row r="11715" ht="15" customHeight="1"/>
    <row r="11716" ht="15" customHeight="1"/>
    <row r="11717" ht="15" customHeight="1"/>
    <row r="11718" ht="15" customHeight="1"/>
    <row r="11719" ht="15" customHeight="1"/>
    <row r="11720" ht="15" customHeight="1"/>
    <row r="11721" ht="15" customHeight="1"/>
    <row r="11722" ht="15" customHeight="1"/>
    <row r="11723" ht="15" customHeight="1"/>
    <row r="11724" ht="15" customHeight="1"/>
    <row r="11725" ht="15" customHeight="1"/>
    <row r="11726" ht="15" customHeight="1"/>
    <row r="11727" ht="15" customHeight="1"/>
    <row r="11728" ht="15" customHeight="1"/>
    <row r="11729" ht="15" customHeight="1"/>
    <row r="11730" ht="15" customHeight="1"/>
    <row r="11731" ht="15" customHeight="1"/>
    <row r="11732" ht="15" customHeight="1"/>
    <row r="11733" ht="15" customHeight="1"/>
    <row r="11734" ht="15" customHeight="1"/>
    <row r="11735" ht="15" customHeight="1"/>
    <row r="11736" ht="15" customHeight="1"/>
    <row r="11737" ht="15" customHeight="1"/>
    <row r="11738" ht="15" customHeight="1"/>
    <row r="11739" ht="15" customHeight="1"/>
    <row r="11740" ht="15" customHeight="1"/>
    <row r="11741" ht="15" customHeight="1"/>
    <row r="11742" ht="15" customHeight="1"/>
    <row r="11743" ht="15" customHeight="1"/>
    <row r="11744" ht="15" customHeight="1"/>
    <row r="11745" ht="15" customHeight="1"/>
    <row r="11746" ht="15" customHeight="1"/>
    <row r="11747" ht="15" customHeight="1"/>
    <row r="11748" ht="15" customHeight="1"/>
    <row r="11749" ht="15" customHeight="1"/>
    <row r="11750" ht="15" customHeight="1"/>
    <row r="11751" ht="15" customHeight="1"/>
    <row r="11752" ht="15" customHeight="1"/>
    <row r="11753" ht="15" customHeight="1"/>
    <row r="11754" ht="15" customHeight="1"/>
    <row r="11755" ht="15" customHeight="1"/>
    <row r="11756" ht="15" customHeight="1"/>
    <row r="11757" ht="15" customHeight="1"/>
    <row r="11758" ht="15" customHeight="1"/>
    <row r="11759" ht="15" customHeight="1"/>
    <row r="11760" ht="15" customHeight="1"/>
    <row r="11761" ht="15" customHeight="1"/>
    <row r="11762" ht="15" customHeight="1"/>
    <row r="11763" ht="15" customHeight="1"/>
    <row r="11764" ht="15" customHeight="1"/>
    <row r="11765" ht="15" customHeight="1"/>
    <row r="11766" ht="15" customHeight="1"/>
    <row r="11767" ht="15" customHeight="1"/>
    <row r="11768" ht="15" customHeight="1"/>
    <row r="11769" ht="15" customHeight="1"/>
    <row r="11770" ht="15" customHeight="1"/>
    <row r="11771" ht="15" customHeight="1"/>
    <row r="11772" ht="15" customHeight="1"/>
    <row r="11773" ht="15" customHeight="1"/>
    <row r="11774" ht="15" customHeight="1"/>
    <row r="11775" ht="15" customHeight="1"/>
    <row r="11776" ht="15" customHeight="1"/>
    <row r="11777" ht="15" customHeight="1"/>
    <row r="11778" ht="15" customHeight="1"/>
    <row r="11779" ht="15" customHeight="1"/>
    <row r="11780" ht="15" customHeight="1"/>
    <row r="11781" ht="15" customHeight="1"/>
    <row r="11782" ht="15" customHeight="1"/>
    <row r="11783" ht="15" customHeight="1"/>
    <row r="11784" ht="15" customHeight="1"/>
    <row r="11785" ht="15" customHeight="1"/>
    <row r="11786" ht="15" customHeight="1"/>
    <row r="11787" ht="15" customHeight="1"/>
    <row r="11788" ht="15" customHeight="1"/>
    <row r="11789" ht="15" customHeight="1"/>
    <row r="11790" ht="15" customHeight="1"/>
    <row r="11791" ht="15" customHeight="1"/>
    <row r="11792" ht="15" customHeight="1"/>
    <row r="11793" ht="15" customHeight="1"/>
    <row r="11794" ht="15" customHeight="1"/>
    <row r="11795" ht="15" customHeight="1"/>
    <row r="11796" ht="15" customHeight="1"/>
    <row r="11797" ht="15" customHeight="1"/>
    <row r="11798" ht="15" customHeight="1"/>
    <row r="11799" ht="15" customHeight="1"/>
    <row r="11800" ht="15" customHeight="1"/>
    <row r="11801" ht="15" customHeight="1"/>
    <row r="11802" ht="15" customHeight="1"/>
    <row r="11803" ht="15" customHeight="1"/>
    <row r="11804" ht="15" customHeight="1"/>
    <row r="11805" ht="15" customHeight="1"/>
    <row r="11806" ht="15" customHeight="1"/>
    <row r="11807" ht="15" customHeight="1"/>
    <row r="11808" ht="15" customHeight="1"/>
    <row r="11809" ht="15" customHeight="1"/>
    <row r="11810" ht="15" customHeight="1"/>
    <row r="11811" ht="15" customHeight="1"/>
    <row r="11812" ht="15" customHeight="1"/>
    <row r="11813" ht="15" customHeight="1"/>
    <row r="11814" ht="15" customHeight="1"/>
    <row r="11815" ht="15" customHeight="1"/>
    <row r="11816" ht="15" customHeight="1"/>
    <row r="11817" ht="15" customHeight="1"/>
    <row r="11818" ht="15" customHeight="1"/>
    <row r="11819" ht="15" customHeight="1"/>
    <row r="11820" ht="15" customHeight="1"/>
    <row r="11821" ht="15" customHeight="1"/>
    <row r="11822" ht="15" customHeight="1"/>
    <row r="11823" ht="15" customHeight="1"/>
    <row r="11824" ht="15" customHeight="1"/>
    <row r="11825" ht="15" customHeight="1"/>
    <row r="11826" ht="15" customHeight="1"/>
    <row r="11827" ht="15" customHeight="1"/>
    <row r="11828" ht="15" customHeight="1"/>
    <row r="11829" ht="15" customHeight="1"/>
    <row r="11830" ht="15" customHeight="1"/>
    <row r="11831" ht="15" customHeight="1"/>
    <row r="11832" ht="15" customHeight="1"/>
    <row r="11833" ht="15" customHeight="1"/>
    <row r="11834" ht="15" customHeight="1"/>
    <row r="11835" ht="15" customHeight="1"/>
    <row r="11836" ht="15" customHeight="1"/>
    <row r="11837" ht="15" customHeight="1"/>
    <row r="11838" ht="15" customHeight="1"/>
    <row r="11839" ht="15" customHeight="1"/>
    <row r="11840" ht="15" customHeight="1"/>
    <row r="11841" ht="15" customHeight="1"/>
    <row r="11842" ht="15" customHeight="1"/>
    <row r="11843" ht="15" customHeight="1"/>
    <row r="11844" ht="15" customHeight="1"/>
    <row r="11845" ht="15" customHeight="1"/>
    <row r="11846" ht="15" customHeight="1"/>
    <row r="11847" ht="15" customHeight="1"/>
    <row r="11848" ht="15" customHeight="1"/>
    <row r="11849" ht="15" customHeight="1"/>
    <row r="11850" ht="15" customHeight="1"/>
    <row r="11851" ht="15" customHeight="1"/>
    <row r="11852" ht="15" customHeight="1"/>
    <row r="11853" ht="15" customHeight="1"/>
    <row r="11854" ht="15" customHeight="1"/>
    <row r="11855" ht="15" customHeight="1"/>
    <row r="11856" ht="15" customHeight="1"/>
    <row r="11857" ht="15" customHeight="1"/>
    <row r="11858" ht="15" customHeight="1"/>
    <row r="11859" ht="15" customHeight="1"/>
    <row r="11860" ht="15" customHeight="1"/>
    <row r="11861" ht="15" customHeight="1"/>
    <row r="11862" ht="15" customHeight="1"/>
    <row r="11863" ht="15" customHeight="1"/>
    <row r="11864" ht="15" customHeight="1"/>
    <row r="11865" ht="15" customHeight="1"/>
    <row r="11866" ht="15" customHeight="1"/>
    <row r="11867" ht="15" customHeight="1"/>
    <row r="11868" ht="15" customHeight="1"/>
    <row r="11869" ht="15" customHeight="1"/>
    <row r="11870" ht="15" customHeight="1"/>
    <row r="11871" ht="15" customHeight="1"/>
    <row r="11872" ht="15" customHeight="1"/>
    <row r="11873" ht="15" customHeight="1"/>
    <row r="11874" ht="15" customHeight="1"/>
    <row r="11875" ht="15" customHeight="1"/>
    <row r="11876" ht="15" customHeight="1"/>
    <row r="11877" ht="15" customHeight="1"/>
    <row r="11878" ht="15" customHeight="1"/>
    <row r="11879" ht="15" customHeight="1"/>
    <row r="11880" ht="15" customHeight="1"/>
    <row r="11881" ht="15" customHeight="1"/>
    <row r="11882" ht="15" customHeight="1"/>
    <row r="11883" ht="15" customHeight="1"/>
    <row r="11884" ht="15" customHeight="1"/>
    <row r="11885" ht="15" customHeight="1"/>
    <row r="11886" ht="15" customHeight="1"/>
    <row r="11887" ht="15" customHeight="1"/>
    <row r="11888" ht="15" customHeight="1"/>
    <row r="11889" ht="15" customHeight="1"/>
    <row r="11890" ht="15" customHeight="1"/>
    <row r="11891" ht="15" customHeight="1"/>
    <row r="11892" ht="15" customHeight="1"/>
    <row r="11893" ht="15" customHeight="1"/>
    <row r="11894" ht="15" customHeight="1"/>
    <row r="11895" ht="15" customHeight="1"/>
    <row r="11896" ht="15" customHeight="1"/>
    <row r="11897" ht="15" customHeight="1"/>
    <row r="11898" ht="15" customHeight="1"/>
    <row r="11899" ht="15" customHeight="1"/>
    <row r="11900" ht="15" customHeight="1"/>
    <row r="11901" ht="15" customHeight="1"/>
    <row r="11902" ht="15" customHeight="1"/>
    <row r="11903" ht="15" customHeight="1"/>
    <row r="11904" ht="15" customHeight="1"/>
    <row r="11905" ht="15" customHeight="1"/>
    <row r="11906" ht="15" customHeight="1"/>
    <row r="11907" ht="15" customHeight="1"/>
    <row r="11908" ht="15" customHeight="1"/>
    <row r="11909" ht="15" customHeight="1"/>
    <row r="11910" ht="15" customHeight="1"/>
    <row r="11911" ht="15" customHeight="1"/>
    <row r="11912" ht="15" customHeight="1"/>
    <row r="11913" ht="15" customHeight="1"/>
    <row r="11914" ht="15" customHeight="1"/>
    <row r="11915" ht="15" customHeight="1"/>
    <row r="11916" ht="15" customHeight="1"/>
    <row r="11917" ht="15" customHeight="1"/>
    <row r="11918" ht="15" customHeight="1"/>
    <row r="11919" ht="15" customHeight="1"/>
    <row r="11920" ht="15" customHeight="1"/>
    <row r="11921" ht="15" customHeight="1"/>
    <row r="11922" ht="15" customHeight="1"/>
    <row r="11923" ht="15" customHeight="1"/>
    <row r="11924" ht="15" customHeight="1"/>
    <row r="11925" ht="15" customHeight="1"/>
    <row r="11926" ht="15" customHeight="1"/>
    <row r="11927" ht="15" customHeight="1"/>
    <row r="11928" ht="15" customHeight="1"/>
    <row r="11929" ht="15" customHeight="1"/>
    <row r="11930" ht="15" customHeight="1"/>
    <row r="11931" ht="15" customHeight="1"/>
    <row r="11932" ht="15" customHeight="1"/>
    <row r="11933" ht="15" customHeight="1"/>
    <row r="11934" ht="15" customHeight="1"/>
    <row r="11935" ht="15" customHeight="1"/>
    <row r="11936" ht="15" customHeight="1"/>
    <row r="11937" ht="15" customHeight="1"/>
    <row r="11938" ht="15" customHeight="1"/>
    <row r="11939" ht="15" customHeight="1"/>
    <row r="11940" ht="15" customHeight="1"/>
    <row r="11941" ht="15" customHeight="1"/>
    <row r="11942" ht="15" customHeight="1"/>
    <row r="11943" ht="15" customHeight="1"/>
    <row r="11944" ht="15" customHeight="1"/>
    <row r="11945" ht="15" customHeight="1"/>
    <row r="11946" ht="15" customHeight="1"/>
    <row r="11947" ht="15" customHeight="1"/>
    <row r="11948" ht="15" customHeight="1"/>
    <row r="11949" ht="15" customHeight="1"/>
    <row r="11950" ht="15" customHeight="1"/>
    <row r="11951" ht="15" customHeight="1"/>
    <row r="11952" ht="15" customHeight="1"/>
    <row r="11953" ht="15" customHeight="1"/>
    <row r="11954" ht="15" customHeight="1"/>
    <row r="11955" ht="15" customHeight="1"/>
    <row r="11956" ht="15" customHeight="1"/>
    <row r="11957" ht="15" customHeight="1"/>
    <row r="11958" ht="15" customHeight="1"/>
    <row r="11959" ht="15" customHeight="1"/>
    <row r="11960" ht="15" customHeight="1"/>
    <row r="11961" ht="15" customHeight="1"/>
    <row r="11962" ht="15" customHeight="1"/>
    <row r="11963" ht="15" customHeight="1"/>
    <row r="11964" ht="15" customHeight="1"/>
    <row r="11965" ht="15" customHeight="1"/>
    <row r="11966" ht="15" customHeight="1"/>
    <row r="11967" ht="15" customHeight="1"/>
    <row r="11968" ht="15" customHeight="1"/>
    <row r="11969" ht="15" customHeight="1"/>
    <row r="11970" ht="15" customHeight="1"/>
    <row r="11971" ht="15" customHeight="1"/>
    <row r="11972" ht="15" customHeight="1"/>
    <row r="11973" ht="15" customHeight="1"/>
    <row r="11974" ht="15" customHeight="1"/>
    <row r="11975" ht="15" customHeight="1"/>
    <row r="11976" ht="15" customHeight="1"/>
    <row r="11977" ht="15" customHeight="1"/>
    <row r="11978" ht="15" customHeight="1"/>
    <row r="11979" ht="15" customHeight="1"/>
    <row r="11980" ht="15" customHeight="1"/>
    <row r="11981" ht="15" customHeight="1"/>
    <row r="11982" ht="15" customHeight="1"/>
    <row r="11983" ht="15" customHeight="1"/>
    <row r="11984" ht="15" customHeight="1"/>
    <row r="11985" ht="15" customHeight="1"/>
    <row r="11986" ht="15" customHeight="1"/>
    <row r="11987" ht="15" customHeight="1"/>
    <row r="11988" ht="15" customHeight="1"/>
    <row r="11989" ht="15" customHeight="1"/>
    <row r="11990" ht="15" customHeight="1"/>
    <row r="11991" ht="15" customHeight="1"/>
    <row r="11992" ht="15" customHeight="1"/>
    <row r="11993" ht="15" customHeight="1"/>
    <row r="11994" ht="15" customHeight="1"/>
    <row r="11995" ht="15" customHeight="1"/>
    <row r="11996" ht="15" customHeight="1"/>
    <row r="11997" ht="15" customHeight="1"/>
    <row r="11998" ht="15" customHeight="1"/>
    <row r="11999" ht="15" customHeight="1"/>
    <row r="12000" ht="15" customHeight="1"/>
    <row r="12001" ht="15" customHeight="1"/>
    <row r="12002" ht="15" customHeight="1"/>
    <row r="12003" ht="15" customHeight="1"/>
    <row r="12004" ht="15" customHeight="1"/>
    <row r="12005" ht="15" customHeight="1"/>
    <row r="12006" ht="15" customHeight="1"/>
    <row r="12007" ht="15" customHeight="1"/>
    <row r="12008" ht="15" customHeight="1"/>
    <row r="12009" ht="15" customHeight="1"/>
    <row r="12010" ht="15" customHeight="1"/>
    <row r="12011" ht="15" customHeight="1"/>
    <row r="12012" ht="15" customHeight="1"/>
    <row r="12013" ht="15" customHeight="1"/>
    <row r="12014" ht="15" customHeight="1"/>
    <row r="12015" ht="15" customHeight="1"/>
    <row r="12016" ht="15" customHeight="1"/>
    <row r="12017" ht="15" customHeight="1"/>
    <row r="12018" ht="15" customHeight="1"/>
    <row r="12019" ht="15" customHeight="1"/>
    <row r="12020" ht="15" customHeight="1"/>
    <row r="12021" ht="15" customHeight="1"/>
    <row r="12022" ht="15" customHeight="1"/>
    <row r="12023" ht="15" customHeight="1"/>
    <row r="12024" ht="15" customHeight="1"/>
    <row r="12025" ht="15" customHeight="1"/>
    <row r="12026" ht="15" customHeight="1"/>
    <row r="12027" ht="15" customHeight="1"/>
    <row r="12028" ht="15" customHeight="1"/>
    <row r="12029" ht="15" customHeight="1"/>
    <row r="12030" ht="15" customHeight="1"/>
    <row r="12031" ht="15" customHeight="1"/>
    <row r="12032" ht="15" customHeight="1"/>
    <row r="12033" ht="15" customHeight="1"/>
    <row r="12034" ht="15" customHeight="1"/>
    <row r="12035" ht="15" customHeight="1"/>
    <row r="12036" ht="15" customHeight="1"/>
    <row r="12037" ht="15" customHeight="1"/>
    <row r="12038" ht="15" customHeight="1"/>
    <row r="12039" ht="15" customHeight="1"/>
    <row r="12040" ht="15" customHeight="1"/>
    <row r="12041" ht="15" customHeight="1"/>
    <row r="12042" ht="15" customHeight="1"/>
    <row r="12043" ht="15" customHeight="1"/>
    <row r="12044" ht="15" customHeight="1"/>
    <row r="12045" ht="15" customHeight="1"/>
    <row r="12046" ht="15" customHeight="1"/>
    <row r="12047" ht="15" customHeight="1"/>
    <row r="12048" ht="15" customHeight="1"/>
    <row r="12049" ht="15" customHeight="1"/>
    <row r="12050" ht="15" customHeight="1"/>
    <row r="12051" ht="15" customHeight="1"/>
    <row r="12052" ht="15" customHeight="1"/>
    <row r="12053" ht="15" customHeight="1"/>
    <row r="12054" ht="15" customHeight="1"/>
    <row r="12055" ht="15" customHeight="1"/>
    <row r="12056" ht="15" customHeight="1"/>
    <row r="12057" ht="15" customHeight="1"/>
    <row r="12058" ht="15" customHeight="1"/>
    <row r="12059" ht="15" customHeight="1"/>
    <row r="12060" ht="15" customHeight="1"/>
    <row r="12061" ht="15" customHeight="1"/>
    <row r="12062" ht="15" customHeight="1"/>
    <row r="12063" ht="15" customHeight="1"/>
    <row r="12064" ht="15" customHeight="1"/>
    <row r="12065" ht="15" customHeight="1"/>
    <row r="12066" ht="15" customHeight="1"/>
    <row r="12067" ht="15" customHeight="1"/>
    <row r="12068" ht="15" customHeight="1"/>
    <row r="12069" ht="15" customHeight="1"/>
    <row r="12070" ht="15" customHeight="1"/>
    <row r="12071" ht="15" customHeight="1"/>
    <row r="12072" ht="15" customHeight="1"/>
    <row r="12073" ht="15" customHeight="1"/>
    <row r="12074" ht="15" customHeight="1"/>
    <row r="12075" ht="15" customHeight="1"/>
    <row r="12076" ht="15" customHeight="1"/>
    <row r="12077" ht="15" customHeight="1"/>
    <row r="12078" ht="15" customHeight="1"/>
    <row r="12079" ht="15" customHeight="1"/>
    <row r="12080" ht="15" customHeight="1"/>
    <row r="12081" ht="15" customHeight="1"/>
    <row r="12082" ht="15" customHeight="1"/>
    <row r="12083" ht="15" customHeight="1"/>
    <row r="12084" ht="15" customHeight="1"/>
    <row r="12085" ht="15" customHeight="1"/>
    <row r="12086" ht="15" customHeight="1"/>
    <row r="12087" ht="15" customHeight="1"/>
    <row r="12088" ht="15" customHeight="1"/>
    <row r="12089" ht="15" customHeight="1"/>
    <row r="12090" ht="15" customHeight="1"/>
    <row r="12091" ht="15" customHeight="1"/>
    <row r="12092" ht="15" customHeight="1"/>
    <row r="12093" ht="15" customHeight="1"/>
    <row r="12094" ht="15" customHeight="1"/>
    <row r="12095" ht="15" customHeight="1"/>
    <row r="12096" ht="15" customHeight="1"/>
    <row r="12097" ht="15" customHeight="1"/>
    <row r="12098" ht="15" customHeight="1"/>
    <row r="12099" ht="15" customHeight="1"/>
    <row r="12100" ht="15" customHeight="1"/>
    <row r="12101" ht="15" customHeight="1"/>
    <row r="12102" ht="15" customHeight="1"/>
    <row r="12103" ht="15" customHeight="1"/>
    <row r="12104" ht="15" customHeight="1"/>
    <row r="12105" ht="15" customHeight="1"/>
    <row r="12106" ht="15" customHeight="1"/>
    <row r="12107" ht="15" customHeight="1"/>
    <row r="12108" ht="15" customHeight="1"/>
    <row r="12109" ht="15" customHeight="1"/>
    <row r="12110" ht="15" customHeight="1"/>
    <row r="12111" ht="15" customHeight="1"/>
    <row r="12112" ht="15" customHeight="1"/>
    <row r="12113" ht="15" customHeight="1"/>
    <row r="12114" ht="15" customHeight="1"/>
    <row r="12115" ht="15" customHeight="1"/>
    <row r="12116" ht="15" customHeight="1"/>
    <row r="12117" ht="15" customHeight="1"/>
    <row r="12118" ht="15" customHeight="1"/>
    <row r="12119" ht="15" customHeight="1"/>
    <row r="12120" ht="15" customHeight="1"/>
    <row r="12121" ht="15" customHeight="1"/>
    <row r="12122" ht="15" customHeight="1"/>
    <row r="12123" ht="15" customHeight="1"/>
    <row r="12124" ht="15" customHeight="1"/>
    <row r="12125" ht="15" customHeight="1"/>
    <row r="12126" ht="15" customHeight="1"/>
    <row r="12127" ht="15" customHeight="1"/>
    <row r="12128" ht="15" customHeight="1"/>
    <row r="12129" ht="15" customHeight="1"/>
    <row r="12130" ht="15" customHeight="1"/>
    <row r="12131" ht="15" customHeight="1"/>
    <row r="12132" ht="15" customHeight="1"/>
    <row r="12133" ht="15" customHeight="1"/>
    <row r="12134" ht="15" customHeight="1"/>
    <row r="12135" ht="15" customHeight="1"/>
    <row r="12136" ht="15" customHeight="1"/>
    <row r="12137" ht="15" customHeight="1"/>
    <row r="12138" ht="15" customHeight="1"/>
    <row r="12139" ht="15" customHeight="1"/>
    <row r="12140" ht="15" customHeight="1"/>
    <row r="12141" ht="15" customHeight="1"/>
    <row r="12142" ht="15" customHeight="1"/>
    <row r="12143" ht="15" customHeight="1"/>
    <row r="12144" ht="15" customHeight="1"/>
    <row r="12145" ht="15" customHeight="1"/>
    <row r="12146" ht="15" customHeight="1"/>
    <row r="12147" ht="15" customHeight="1"/>
    <row r="12148" ht="15" customHeight="1"/>
    <row r="12149" ht="15" customHeight="1"/>
    <row r="12150" ht="15" customHeight="1"/>
    <row r="12151" ht="15" customHeight="1"/>
    <row r="12152" ht="15" customHeight="1"/>
    <row r="12153" ht="15" customHeight="1"/>
    <row r="12154" ht="15" customHeight="1"/>
    <row r="12155" ht="15" customHeight="1"/>
    <row r="12156" ht="15" customHeight="1"/>
    <row r="12157" ht="15" customHeight="1"/>
    <row r="12158" ht="15" customHeight="1"/>
    <row r="12159" ht="15" customHeight="1"/>
    <row r="12160" ht="15" customHeight="1"/>
    <row r="12161" ht="15" customHeight="1"/>
    <row r="12162" ht="15" customHeight="1"/>
    <row r="12163" ht="15" customHeight="1"/>
    <row r="12164" ht="15" customHeight="1"/>
    <row r="12165" ht="15" customHeight="1"/>
    <row r="12166" ht="15" customHeight="1"/>
    <row r="12167" ht="15" customHeight="1"/>
    <row r="12168" ht="15" customHeight="1"/>
    <row r="12169" ht="15" customHeight="1"/>
    <row r="12170" ht="15" customHeight="1"/>
    <row r="12171" ht="15" customHeight="1"/>
    <row r="12172" ht="15" customHeight="1"/>
    <row r="12173" ht="15" customHeight="1"/>
    <row r="12174" ht="15" customHeight="1"/>
    <row r="12175" ht="15" customHeight="1"/>
    <row r="12176" ht="15" customHeight="1"/>
    <row r="12177" ht="15" customHeight="1"/>
    <row r="12178" ht="15" customHeight="1"/>
    <row r="12179" ht="15" customHeight="1"/>
    <row r="12180" ht="15" customHeight="1"/>
    <row r="12181" ht="15" customHeight="1"/>
    <row r="12182" ht="15" customHeight="1"/>
    <row r="12183" ht="15" customHeight="1"/>
    <row r="12184" ht="15" customHeight="1"/>
    <row r="12185" ht="15" customHeight="1"/>
    <row r="12186" ht="15" customHeight="1"/>
    <row r="12187" ht="15" customHeight="1"/>
    <row r="12188" ht="15" customHeight="1"/>
    <row r="12189" ht="15" customHeight="1"/>
    <row r="12190" ht="15" customHeight="1"/>
    <row r="12191" ht="15" customHeight="1"/>
    <row r="12192" ht="15" customHeight="1"/>
    <row r="12193" ht="15" customHeight="1"/>
    <row r="12194" ht="15" customHeight="1"/>
    <row r="12195" ht="15" customHeight="1"/>
    <row r="12196" ht="15" customHeight="1"/>
    <row r="12197" ht="15" customHeight="1"/>
    <row r="12198" ht="15" customHeight="1"/>
    <row r="12199" ht="15" customHeight="1"/>
    <row r="12200" ht="15" customHeight="1"/>
    <row r="12201" ht="15" customHeight="1"/>
    <row r="12202" ht="15" customHeight="1"/>
    <row r="12203" ht="15" customHeight="1"/>
    <row r="12204" ht="15" customHeight="1"/>
    <row r="12205" ht="15" customHeight="1"/>
    <row r="12206" ht="15" customHeight="1"/>
    <row r="12207" ht="15" customHeight="1"/>
    <row r="12208" ht="15" customHeight="1"/>
    <row r="12209" ht="15" customHeight="1"/>
    <row r="12210" ht="15" customHeight="1"/>
    <row r="12211" ht="15" customHeight="1"/>
    <row r="12212" ht="15" customHeight="1"/>
    <row r="12213" ht="15" customHeight="1"/>
    <row r="12214" ht="15" customHeight="1"/>
    <row r="12215" ht="15" customHeight="1"/>
    <row r="12216" ht="15" customHeight="1"/>
    <row r="12217" ht="15" customHeight="1"/>
    <row r="12218" ht="15" customHeight="1"/>
    <row r="12219" ht="15" customHeight="1"/>
    <row r="12220" ht="15" customHeight="1"/>
    <row r="12221" ht="15" customHeight="1"/>
    <row r="12222" ht="15" customHeight="1"/>
    <row r="12223" ht="15" customHeight="1"/>
    <row r="12224" ht="15" customHeight="1"/>
    <row r="12225" ht="15" customHeight="1"/>
    <row r="12226" ht="15" customHeight="1"/>
    <row r="12227" ht="15" customHeight="1"/>
    <row r="12228" ht="15" customHeight="1"/>
    <row r="12229" ht="15" customHeight="1"/>
    <row r="12230" ht="15" customHeight="1"/>
    <row r="12231" ht="15" customHeight="1"/>
    <row r="12232" ht="15" customHeight="1"/>
    <row r="12233" ht="15" customHeight="1"/>
    <row r="12234" ht="15" customHeight="1"/>
    <row r="12235" ht="15" customHeight="1"/>
    <row r="12236" ht="15" customHeight="1"/>
    <row r="12237" ht="15" customHeight="1"/>
    <row r="12238" ht="15" customHeight="1"/>
    <row r="12239" ht="15" customHeight="1"/>
    <row r="12240" ht="15" customHeight="1"/>
    <row r="12241" ht="15" customHeight="1"/>
    <row r="12242" ht="15" customHeight="1"/>
    <row r="12243" ht="15" customHeight="1"/>
    <row r="12244" ht="15" customHeight="1"/>
    <row r="12245" ht="15" customHeight="1"/>
    <row r="12246" ht="15" customHeight="1"/>
    <row r="12247" ht="15" customHeight="1"/>
    <row r="12248" ht="15" customHeight="1"/>
    <row r="12249" ht="15" customHeight="1"/>
    <row r="12250" ht="15" customHeight="1"/>
    <row r="12251" ht="15" customHeight="1"/>
    <row r="12252" ht="15" customHeight="1"/>
    <row r="12253" ht="15" customHeight="1"/>
    <row r="12254" ht="15" customHeight="1"/>
    <row r="12255" ht="15" customHeight="1"/>
    <row r="12256" ht="15" customHeight="1"/>
    <row r="12257" ht="15" customHeight="1"/>
    <row r="12258" ht="15" customHeight="1"/>
    <row r="12259" ht="15" customHeight="1"/>
    <row r="12260" ht="15" customHeight="1"/>
    <row r="12261" ht="15" customHeight="1"/>
    <row r="12262" ht="15" customHeight="1"/>
    <row r="12263" ht="15" customHeight="1"/>
    <row r="12264" ht="15" customHeight="1"/>
    <row r="12265" ht="15" customHeight="1"/>
    <row r="12266" ht="15" customHeight="1"/>
    <row r="12267" ht="15" customHeight="1"/>
    <row r="12268" ht="15" customHeight="1"/>
    <row r="12269" ht="15" customHeight="1"/>
    <row r="12270" ht="15" customHeight="1"/>
    <row r="12271" ht="15" customHeight="1"/>
    <row r="12272" ht="15" customHeight="1"/>
    <row r="12273" ht="15" customHeight="1"/>
    <row r="12274" ht="15" customHeight="1"/>
    <row r="12275" ht="15" customHeight="1"/>
    <row r="12276" ht="15" customHeight="1"/>
    <row r="12277" ht="15" customHeight="1"/>
    <row r="12278" ht="15" customHeight="1"/>
    <row r="12279" ht="15" customHeight="1"/>
    <row r="12280" ht="15" customHeight="1"/>
    <row r="12281" ht="15" customHeight="1"/>
    <row r="12282" ht="15" customHeight="1"/>
    <row r="12283" ht="15" customHeight="1"/>
    <row r="12284" ht="15" customHeight="1"/>
    <row r="12285" ht="15" customHeight="1"/>
    <row r="12286" ht="15" customHeight="1"/>
    <row r="12287" ht="15" customHeight="1"/>
    <row r="12288" ht="15" customHeight="1"/>
    <row r="12289" ht="15" customHeight="1"/>
    <row r="12290" ht="15" customHeight="1"/>
    <row r="12291" ht="15" customHeight="1"/>
    <row r="12292" ht="15" customHeight="1"/>
    <row r="12293" ht="15" customHeight="1"/>
    <row r="12294" ht="15" customHeight="1"/>
    <row r="12295" ht="15" customHeight="1"/>
    <row r="12296" ht="15" customHeight="1"/>
    <row r="12297" ht="15" customHeight="1"/>
    <row r="12298" ht="15" customHeight="1"/>
    <row r="12299" ht="15" customHeight="1"/>
    <row r="12300" ht="15" customHeight="1"/>
    <row r="12301" ht="15" customHeight="1"/>
    <row r="12302" ht="15" customHeight="1"/>
    <row r="12303" ht="15" customHeight="1"/>
    <row r="12304" ht="15" customHeight="1"/>
    <row r="12305" ht="15" customHeight="1"/>
    <row r="12306" ht="15" customHeight="1"/>
    <row r="12307" ht="15" customHeight="1"/>
    <row r="12308" ht="15" customHeight="1"/>
    <row r="12309" ht="15" customHeight="1"/>
    <row r="12310" ht="15" customHeight="1"/>
    <row r="12311" ht="15" customHeight="1"/>
    <row r="12312" ht="15" customHeight="1"/>
    <row r="12313" ht="15" customHeight="1"/>
    <row r="12314" ht="15" customHeight="1"/>
    <row r="12315" ht="15" customHeight="1"/>
    <row r="12316" ht="15" customHeight="1"/>
    <row r="12317" ht="15" customHeight="1"/>
    <row r="12318" ht="15" customHeight="1"/>
    <row r="12319" ht="15" customHeight="1"/>
    <row r="12320" ht="15" customHeight="1"/>
    <row r="12321" ht="15" customHeight="1"/>
    <row r="12322" ht="15" customHeight="1"/>
    <row r="12323" ht="15" customHeight="1"/>
    <row r="12324" ht="15" customHeight="1"/>
    <row r="12325" ht="15" customHeight="1"/>
    <row r="12326" ht="15" customHeight="1"/>
    <row r="12327" ht="15" customHeight="1"/>
    <row r="12328" ht="15" customHeight="1"/>
    <row r="12329" ht="15" customHeight="1"/>
    <row r="12330" ht="15" customHeight="1"/>
    <row r="12331" ht="15" customHeight="1"/>
    <row r="12332" ht="15" customHeight="1"/>
    <row r="12333" ht="15" customHeight="1"/>
    <row r="12334" ht="15" customHeight="1"/>
    <row r="12335" ht="15" customHeight="1"/>
    <row r="12336" ht="15" customHeight="1"/>
    <row r="12337" ht="15" customHeight="1"/>
    <row r="12338" ht="15" customHeight="1"/>
    <row r="12339" ht="15" customHeight="1"/>
    <row r="12340" ht="15" customHeight="1"/>
    <row r="12341" ht="15" customHeight="1"/>
    <row r="12342" ht="15" customHeight="1"/>
    <row r="12343" ht="15" customHeight="1"/>
    <row r="12344" ht="15" customHeight="1"/>
    <row r="12345" ht="15" customHeight="1"/>
    <row r="12346" ht="15" customHeight="1"/>
    <row r="12347" ht="15" customHeight="1"/>
    <row r="12348" ht="15" customHeight="1"/>
    <row r="12349" ht="15" customHeight="1"/>
    <row r="12350" ht="15" customHeight="1"/>
    <row r="12351" ht="15" customHeight="1"/>
    <row r="12352" ht="15" customHeight="1"/>
    <row r="12353" ht="15" customHeight="1"/>
    <row r="12354" ht="15" customHeight="1"/>
    <row r="12355" ht="15" customHeight="1"/>
    <row r="12356" ht="15" customHeight="1"/>
    <row r="12357" ht="15" customHeight="1"/>
    <row r="12358" ht="15" customHeight="1"/>
    <row r="12359" ht="15" customHeight="1"/>
    <row r="12360" ht="15" customHeight="1"/>
    <row r="12361" ht="15" customHeight="1"/>
    <row r="12362" ht="15" customHeight="1"/>
    <row r="12363" ht="15" customHeight="1"/>
    <row r="12364" ht="15" customHeight="1"/>
    <row r="12365" ht="15" customHeight="1"/>
    <row r="12366" ht="15" customHeight="1"/>
    <row r="12367" ht="15" customHeight="1"/>
    <row r="12368" ht="15" customHeight="1"/>
    <row r="12369" ht="15" customHeight="1"/>
    <row r="12370" ht="15" customHeight="1"/>
    <row r="12371" ht="15" customHeight="1"/>
    <row r="12372" ht="15" customHeight="1"/>
    <row r="12373" ht="15" customHeight="1"/>
    <row r="12374" ht="15" customHeight="1"/>
    <row r="12375" ht="15" customHeight="1"/>
    <row r="12376" ht="15" customHeight="1"/>
    <row r="12377" ht="15" customHeight="1"/>
    <row r="12378" ht="15" customHeight="1"/>
    <row r="12379" ht="15" customHeight="1"/>
    <row r="12380" ht="15" customHeight="1"/>
    <row r="12381" ht="15" customHeight="1"/>
    <row r="12382" ht="15" customHeight="1"/>
    <row r="12383" ht="15" customHeight="1"/>
    <row r="12384" ht="15" customHeight="1"/>
    <row r="12385" ht="15" customHeight="1"/>
    <row r="12386" ht="15" customHeight="1"/>
    <row r="12387" ht="15" customHeight="1"/>
    <row r="12388" ht="15" customHeight="1"/>
    <row r="12389" ht="15" customHeight="1"/>
    <row r="12390" ht="15" customHeight="1"/>
    <row r="12391" ht="15" customHeight="1"/>
    <row r="12392" ht="15" customHeight="1"/>
    <row r="12393" ht="15" customHeight="1"/>
    <row r="12394" ht="15" customHeight="1"/>
    <row r="12395" ht="15" customHeight="1"/>
    <row r="12396" ht="15" customHeight="1"/>
    <row r="12397" ht="15" customHeight="1"/>
    <row r="12398" ht="15" customHeight="1"/>
    <row r="12399" ht="15" customHeight="1"/>
    <row r="12400" ht="15" customHeight="1"/>
    <row r="12401" ht="15" customHeight="1"/>
    <row r="12402" ht="15" customHeight="1"/>
    <row r="12403" ht="15" customHeight="1"/>
    <row r="12404" ht="15" customHeight="1"/>
    <row r="12405" ht="15" customHeight="1"/>
    <row r="12406" ht="15" customHeight="1"/>
    <row r="12407" ht="15" customHeight="1"/>
    <row r="12408" ht="15" customHeight="1"/>
    <row r="12409" ht="15" customHeight="1"/>
    <row r="12410" ht="15" customHeight="1"/>
    <row r="12411" ht="15" customHeight="1"/>
    <row r="12412" ht="15" customHeight="1"/>
    <row r="12413" ht="15" customHeight="1"/>
    <row r="12414" ht="15" customHeight="1"/>
    <row r="12415" ht="15" customHeight="1"/>
    <row r="12416" ht="15" customHeight="1"/>
    <row r="12417" ht="15" customHeight="1"/>
    <row r="12418" ht="15" customHeight="1"/>
    <row r="12419" ht="15" customHeight="1"/>
    <row r="12420" ht="15" customHeight="1"/>
    <row r="12421" ht="15" customHeight="1"/>
    <row r="12422" ht="15" customHeight="1"/>
    <row r="12423" ht="15" customHeight="1"/>
    <row r="12424" ht="15" customHeight="1"/>
    <row r="12425" ht="15" customHeight="1"/>
    <row r="12426" ht="15" customHeight="1"/>
    <row r="12427" ht="15" customHeight="1"/>
    <row r="12428" ht="15" customHeight="1"/>
    <row r="12429" ht="15" customHeight="1"/>
    <row r="12430" ht="15" customHeight="1"/>
    <row r="12431" ht="15" customHeight="1"/>
    <row r="12432" ht="15" customHeight="1"/>
    <row r="12433" ht="15" customHeight="1"/>
    <row r="12434" ht="15" customHeight="1"/>
    <row r="12435" ht="15" customHeight="1"/>
    <row r="12436" ht="15" customHeight="1"/>
    <row r="12437" ht="15" customHeight="1"/>
    <row r="12438" ht="15" customHeight="1"/>
    <row r="12439" ht="15" customHeight="1"/>
    <row r="12440" ht="15" customHeight="1"/>
    <row r="12441" ht="15" customHeight="1"/>
    <row r="12442" ht="15" customHeight="1"/>
    <row r="12443" ht="15" customHeight="1"/>
    <row r="12444" ht="15" customHeight="1"/>
    <row r="12445" ht="15" customHeight="1"/>
    <row r="12446" ht="15" customHeight="1"/>
    <row r="12447" ht="15" customHeight="1"/>
    <row r="12448" ht="15" customHeight="1"/>
    <row r="12449" ht="15" customHeight="1"/>
    <row r="12450" ht="15" customHeight="1"/>
    <row r="12451" ht="15" customHeight="1"/>
    <row r="12452" ht="15" customHeight="1"/>
    <row r="12453" ht="15" customHeight="1"/>
    <row r="12454" ht="15" customHeight="1"/>
    <row r="12455" ht="15" customHeight="1"/>
    <row r="12456" ht="15" customHeight="1"/>
    <row r="12457" ht="15" customHeight="1"/>
    <row r="12458" ht="15" customHeight="1"/>
    <row r="12459" ht="15" customHeight="1"/>
    <row r="12460" ht="15" customHeight="1"/>
    <row r="12461" ht="15" customHeight="1"/>
    <row r="12462" ht="15" customHeight="1"/>
    <row r="12463" ht="15" customHeight="1"/>
    <row r="12464" ht="15" customHeight="1"/>
    <row r="12465" ht="15" customHeight="1"/>
    <row r="12466" ht="15" customHeight="1"/>
    <row r="12467" ht="15" customHeight="1"/>
    <row r="12468" ht="15" customHeight="1"/>
    <row r="12469" ht="15" customHeight="1"/>
    <row r="12470" ht="15" customHeight="1"/>
    <row r="12471" ht="15" customHeight="1"/>
    <row r="12472" ht="15" customHeight="1"/>
    <row r="12473" ht="15" customHeight="1"/>
    <row r="12474" ht="15" customHeight="1"/>
    <row r="12475" ht="15" customHeight="1"/>
    <row r="12476" ht="15" customHeight="1"/>
    <row r="12477" ht="15" customHeight="1"/>
    <row r="12478" ht="15" customHeight="1"/>
    <row r="12479" ht="15" customHeight="1"/>
    <row r="12480" ht="15" customHeight="1"/>
    <row r="12481" ht="15" customHeight="1"/>
    <row r="12482" ht="15" customHeight="1"/>
    <row r="12483" ht="15" customHeight="1"/>
    <row r="12484" ht="15" customHeight="1"/>
    <row r="12485" ht="15" customHeight="1"/>
    <row r="12486" ht="15" customHeight="1"/>
    <row r="12487" ht="15" customHeight="1"/>
    <row r="12488" ht="15" customHeight="1"/>
    <row r="12489" ht="15" customHeight="1"/>
    <row r="12490" ht="15" customHeight="1"/>
    <row r="12491" ht="15" customHeight="1"/>
    <row r="12492" ht="15" customHeight="1"/>
    <row r="12493" ht="15" customHeight="1"/>
    <row r="12494" ht="15" customHeight="1"/>
    <row r="12495" ht="15" customHeight="1"/>
    <row r="12496" ht="15" customHeight="1"/>
    <row r="12497" ht="15" customHeight="1"/>
    <row r="12498" ht="15" customHeight="1"/>
    <row r="12499" ht="15" customHeight="1"/>
    <row r="12500" ht="15" customHeight="1"/>
    <row r="12501" ht="15" customHeight="1"/>
    <row r="12502" ht="15" customHeight="1"/>
    <row r="12503" ht="15" customHeight="1"/>
    <row r="12504" ht="15" customHeight="1"/>
    <row r="12505" ht="15" customHeight="1"/>
    <row r="12506" ht="15" customHeight="1"/>
    <row r="12507" ht="15" customHeight="1"/>
    <row r="12508" ht="15" customHeight="1"/>
    <row r="12509" ht="15" customHeight="1"/>
    <row r="12510" ht="15" customHeight="1"/>
    <row r="12511" ht="15" customHeight="1"/>
    <row r="12512" ht="15" customHeight="1"/>
    <row r="12513" ht="15" customHeight="1"/>
    <row r="12514" ht="15" customHeight="1"/>
    <row r="12515" ht="15" customHeight="1"/>
    <row r="12516" ht="15" customHeight="1"/>
    <row r="12517" ht="15" customHeight="1"/>
    <row r="12518" ht="15" customHeight="1"/>
    <row r="12519" ht="15" customHeight="1"/>
    <row r="12520" ht="15" customHeight="1"/>
    <row r="12521" ht="15" customHeight="1"/>
    <row r="12522" ht="15" customHeight="1"/>
    <row r="12523" ht="15" customHeight="1"/>
    <row r="12524" ht="15" customHeight="1"/>
    <row r="12525" ht="15" customHeight="1"/>
    <row r="12526" ht="15" customHeight="1"/>
    <row r="12527" ht="15" customHeight="1"/>
    <row r="12528" ht="15" customHeight="1"/>
    <row r="12529" ht="15" customHeight="1"/>
    <row r="12530" ht="15" customHeight="1"/>
    <row r="12531" ht="15" customHeight="1"/>
    <row r="12532" ht="15" customHeight="1"/>
    <row r="12533" ht="15" customHeight="1"/>
    <row r="12534" ht="15" customHeight="1"/>
    <row r="12535" ht="15" customHeight="1"/>
    <row r="12536" ht="15" customHeight="1"/>
    <row r="12537" ht="15" customHeight="1"/>
    <row r="12538" ht="15" customHeight="1"/>
    <row r="12539" ht="15" customHeight="1"/>
    <row r="12540" ht="15" customHeight="1"/>
    <row r="12541" ht="15" customHeight="1"/>
    <row r="12542" ht="15" customHeight="1"/>
    <row r="12543" ht="15" customHeight="1"/>
    <row r="12544" ht="15" customHeight="1"/>
    <row r="12545" ht="15" customHeight="1"/>
    <row r="12546" ht="15" customHeight="1"/>
    <row r="12547" ht="15" customHeight="1"/>
    <row r="12548" ht="15" customHeight="1"/>
    <row r="12549" ht="15" customHeight="1"/>
    <row r="12550" ht="15" customHeight="1"/>
    <row r="12551" ht="15" customHeight="1"/>
    <row r="12552" ht="15" customHeight="1"/>
    <row r="12553" ht="15" customHeight="1"/>
    <row r="12554" ht="15" customHeight="1"/>
    <row r="12555" ht="15" customHeight="1"/>
    <row r="12556" ht="15" customHeight="1"/>
    <row r="12557" ht="15" customHeight="1"/>
    <row r="12558" ht="15" customHeight="1"/>
    <row r="12559" ht="15" customHeight="1"/>
    <row r="12560" ht="15" customHeight="1"/>
    <row r="12561" ht="15" customHeight="1"/>
    <row r="12562" ht="15" customHeight="1"/>
    <row r="12563" ht="15" customHeight="1"/>
    <row r="12564" ht="15" customHeight="1"/>
    <row r="12565" ht="15" customHeight="1"/>
    <row r="12566" ht="15" customHeight="1"/>
    <row r="12567" ht="15" customHeight="1"/>
    <row r="12568" ht="15" customHeight="1"/>
    <row r="12569" ht="15" customHeight="1"/>
    <row r="12570" ht="15" customHeight="1"/>
    <row r="12571" ht="15" customHeight="1"/>
    <row r="12572" ht="15" customHeight="1"/>
    <row r="12573" ht="15" customHeight="1"/>
    <row r="12574" ht="15" customHeight="1"/>
    <row r="12575" ht="15" customHeight="1"/>
    <row r="12576" ht="15" customHeight="1"/>
    <row r="12577" ht="15" customHeight="1"/>
    <row r="12578" ht="15" customHeight="1"/>
    <row r="12579" ht="15" customHeight="1"/>
    <row r="12580" ht="15" customHeight="1"/>
    <row r="12581" ht="15" customHeight="1"/>
    <row r="12582" ht="15" customHeight="1"/>
    <row r="12583" ht="15" customHeight="1"/>
    <row r="12584" ht="15" customHeight="1"/>
    <row r="12585" ht="15" customHeight="1"/>
    <row r="12586" ht="15" customHeight="1"/>
    <row r="12587" ht="15" customHeight="1"/>
    <row r="12588" ht="15" customHeight="1"/>
    <row r="12589" ht="15" customHeight="1"/>
    <row r="12590" ht="15" customHeight="1"/>
    <row r="12591" ht="15" customHeight="1"/>
    <row r="12592" ht="15" customHeight="1"/>
    <row r="12593" ht="15" customHeight="1"/>
    <row r="12594" ht="15" customHeight="1"/>
    <row r="12595" ht="15" customHeight="1"/>
    <row r="12596" ht="15" customHeight="1"/>
    <row r="12597" ht="15" customHeight="1"/>
    <row r="12598" ht="15" customHeight="1"/>
    <row r="12599" ht="15" customHeight="1"/>
    <row r="12600" ht="15" customHeight="1"/>
    <row r="12601" ht="15" customHeight="1"/>
    <row r="12602" ht="15" customHeight="1"/>
    <row r="12603" ht="15" customHeight="1"/>
    <row r="12604" ht="15" customHeight="1"/>
    <row r="12605" ht="15" customHeight="1"/>
    <row r="12606" ht="15" customHeight="1"/>
    <row r="12607" ht="15" customHeight="1"/>
    <row r="12608" ht="15" customHeight="1"/>
    <row r="12609" ht="15" customHeight="1"/>
    <row r="12610" ht="15" customHeight="1"/>
    <row r="12611" ht="15" customHeight="1"/>
    <row r="12612" ht="15" customHeight="1"/>
    <row r="12613" ht="15" customHeight="1"/>
    <row r="12614" ht="15" customHeight="1"/>
    <row r="12615" ht="15" customHeight="1"/>
    <row r="12616" ht="15" customHeight="1"/>
    <row r="12617" ht="15" customHeight="1"/>
    <row r="12618" ht="15" customHeight="1"/>
    <row r="12619" ht="15" customHeight="1"/>
    <row r="12620" ht="15" customHeight="1"/>
    <row r="12621" ht="15" customHeight="1"/>
    <row r="12622" ht="15" customHeight="1"/>
    <row r="12623" ht="15" customHeight="1"/>
    <row r="12624" ht="15" customHeight="1"/>
    <row r="12625" ht="15" customHeight="1"/>
    <row r="12626" ht="15" customHeight="1"/>
    <row r="12627" ht="15" customHeight="1"/>
    <row r="12628" ht="15" customHeight="1"/>
    <row r="12629" ht="15" customHeight="1"/>
    <row r="12630" ht="15" customHeight="1"/>
    <row r="12631" ht="15" customHeight="1"/>
    <row r="12632" ht="15" customHeight="1"/>
    <row r="12633" ht="15" customHeight="1"/>
    <row r="12634" ht="15" customHeight="1"/>
    <row r="12635" ht="15" customHeight="1"/>
    <row r="12636" ht="15" customHeight="1"/>
    <row r="12637" ht="15" customHeight="1"/>
    <row r="12638" ht="15" customHeight="1"/>
    <row r="12639" ht="15" customHeight="1"/>
    <row r="12640" ht="15" customHeight="1"/>
    <row r="12641" ht="15" customHeight="1"/>
    <row r="12642" ht="15" customHeight="1"/>
    <row r="12643" ht="15" customHeight="1"/>
    <row r="12644" ht="15" customHeight="1"/>
    <row r="12645" ht="15" customHeight="1"/>
    <row r="12646" ht="15" customHeight="1"/>
    <row r="12647" ht="15" customHeight="1"/>
    <row r="12648" ht="15" customHeight="1"/>
    <row r="12649" ht="15" customHeight="1"/>
    <row r="12650" ht="15" customHeight="1"/>
    <row r="12651" ht="15" customHeight="1"/>
    <row r="12652" ht="15" customHeight="1"/>
    <row r="12653" ht="15" customHeight="1"/>
    <row r="12654" ht="15" customHeight="1"/>
    <row r="12655" ht="15" customHeight="1"/>
    <row r="12656" ht="15" customHeight="1"/>
    <row r="12657" ht="15" customHeight="1"/>
    <row r="12658" ht="15" customHeight="1"/>
    <row r="12659" ht="15" customHeight="1"/>
    <row r="12660" ht="15" customHeight="1"/>
    <row r="12661" ht="15" customHeight="1"/>
    <row r="12662" ht="15" customHeight="1"/>
    <row r="12663" ht="15" customHeight="1"/>
    <row r="12664" ht="15" customHeight="1"/>
    <row r="12665" ht="15" customHeight="1"/>
    <row r="12666" ht="15" customHeight="1"/>
    <row r="12667" ht="15" customHeight="1"/>
    <row r="12668" ht="15" customHeight="1"/>
    <row r="12669" ht="15" customHeight="1"/>
    <row r="12670" ht="15" customHeight="1"/>
    <row r="12671" ht="15" customHeight="1"/>
    <row r="12672" ht="15" customHeight="1"/>
    <row r="12673" ht="15" customHeight="1"/>
    <row r="12674" ht="15" customHeight="1"/>
    <row r="12675" ht="15" customHeight="1"/>
    <row r="12676" ht="15" customHeight="1"/>
    <row r="12677" ht="15" customHeight="1"/>
    <row r="12678" ht="15" customHeight="1"/>
    <row r="12679" ht="15" customHeight="1"/>
    <row r="12680" ht="15" customHeight="1"/>
    <row r="12681" ht="15" customHeight="1"/>
    <row r="12682" ht="15" customHeight="1"/>
    <row r="12683" ht="15" customHeight="1"/>
    <row r="12684" ht="15" customHeight="1"/>
    <row r="12685" ht="15" customHeight="1"/>
    <row r="12686" ht="15" customHeight="1"/>
    <row r="12687" ht="15" customHeight="1"/>
    <row r="12688" ht="15" customHeight="1"/>
    <row r="12689" ht="15" customHeight="1"/>
    <row r="12690" ht="15" customHeight="1"/>
    <row r="12691" ht="15" customHeight="1"/>
    <row r="12692" ht="15" customHeight="1"/>
    <row r="12693" ht="15" customHeight="1"/>
    <row r="12694" ht="15" customHeight="1"/>
    <row r="12695" ht="15" customHeight="1"/>
    <row r="12696" ht="15" customHeight="1"/>
    <row r="12697" ht="15" customHeight="1"/>
    <row r="12698" ht="15" customHeight="1"/>
    <row r="12699" ht="15" customHeight="1"/>
    <row r="12700" ht="15" customHeight="1"/>
    <row r="12701" ht="15" customHeight="1"/>
    <row r="12702" ht="15" customHeight="1"/>
    <row r="12703" ht="15" customHeight="1"/>
    <row r="12704" ht="15" customHeight="1"/>
    <row r="12705" ht="15" customHeight="1"/>
    <row r="12706" ht="15" customHeight="1"/>
    <row r="12707" ht="15" customHeight="1"/>
    <row r="12708" ht="15" customHeight="1"/>
    <row r="12709" ht="15" customHeight="1"/>
    <row r="12710" ht="15" customHeight="1"/>
    <row r="12711" ht="15" customHeight="1"/>
    <row r="12712" ht="15" customHeight="1"/>
    <row r="12713" ht="15" customHeight="1"/>
    <row r="12714" ht="15" customHeight="1"/>
    <row r="12715" ht="15" customHeight="1"/>
    <row r="12716" ht="15" customHeight="1"/>
    <row r="12717" ht="15" customHeight="1"/>
    <row r="12718" ht="15" customHeight="1"/>
    <row r="12719" ht="15" customHeight="1"/>
    <row r="12720" ht="15" customHeight="1"/>
    <row r="12721" ht="15" customHeight="1"/>
    <row r="12722" ht="15" customHeight="1"/>
    <row r="12723" ht="15" customHeight="1"/>
    <row r="12724" ht="15" customHeight="1"/>
    <row r="12725" ht="15" customHeight="1"/>
    <row r="12726" ht="15" customHeight="1"/>
    <row r="12727" ht="15" customHeight="1"/>
    <row r="12728" ht="15" customHeight="1"/>
    <row r="12729" ht="15" customHeight="1"/>
    <row r="12730" ht="15" customHeight="1"/>
    <row r="12731" ht="15" customHeight="1"/>
    <row r="12732" ht="15" customHeight="1"/>
    <row r="12733" ht="15" customHeight="1"/>
    <row r="12734" ht="15" customHeight="1"/>
    <row r="12735" ht="15" customHeight="1"/>
    <row r="12736" ht="15" customHeight="1"/>
    <row r="12737" ht="15" customHeight="1"/>
    <row r="12738" ht="15" customHeight="1"/>
    <row r="12739" ht="15" customHeight="1"/>
    <row r="12740" ht="15" customHeight="1"/>
    <row r="12741" ht="15" customHeight="1"/>
    <row r="12742" ht="15" customHeight="1"/>
    <row r="12743" ht="15" customHeight="1"/>
    <row r="12744" ht="15" customHeight="1"/>
    <row r="12745" ht="15" customHeight="1"/>
    <row r="12746" ht="15" customHeight="1"/>
    <row r="12747" ht="15" customHeight="1"/>
    <row r="12748" ht="15" customHeight="1"/>
    <row r="12749" ht="15" customHeight="1"/>
    <row r="12750" ht="15" customHeight="1"/>
    <row r="12751" ht="15" customHeight="1"/>
    <row r="12752" ht="15" customHeight="1"/>
    <row r="12753" ht="15" customHeight="1"/>
    <row r="12754" ht="15" customHeight="1"/>
    <row r="12755" ht="15" customHeight="1"/>
    <row r="12756" ht="15" customHeight="1"/>
    <row r="12757" ht="15" customHeight="1"/>
    <row r="12758" ht="15" customHeight="1"/>
    <row r="12759" ht="15" customHeight="1"/>
    <row r="12760" ht="15" customHeight="1"/>
    <row r="12761" ht="15" customHeight="1"/>
    <row r="12762" ht="15" customHeight="1"/>
    <row r="12763" ht="15" customHeight="1"/>
    <row r="12764" ht="15" customHeight="1"/>
    <row r="12765" ht="15" customHeight="1"/>
    <row r="12766" ht="15" customHeight="1"/>
    <row r="12767" ht="15" customHeight="1"/>
    <row r="12768" ht="15" customHeight="1"/>
    <row r="12769" ht="15" customHeight="1"/>
    <row r="12770" ht="15" customHeight="1"/>
    <row r="12771" ht="15" customHeight="1"/>
    <row r="12772" ht="15" customHeight="1"/>
    <row r="12773" ht="15" customHeight="1"/>
    <row r="12774" ht="15" customHeight="1"/>
    <row r="12775" ht="15" customHeight="1"/>
    <row r="12776" ht="15" customHeight="1"/>
    <row r="12777" ht="15" customHeight="1"/>
    <row r="12778" ht="15" customHeight="1"/>
    <row r="12779" ht="15" customHeight="1"/>
    <row r="12780" ht="15" customHeight="1"/>
    <row r="12781" ht="15" customHeight="1"/>
    <row r="12782" ht="15" customHeight="1"/>
    <row r="12783" ht="15" customHeight="1"/>
    <row r="12784" ht="15" customHeight="1"/>
    <row r="12785" ht="15" customHeight="1"/>
    <row r="12786" ht="15" customHeight="1"/>
    <row r="12787" ht="15" customHeight="1"/>
    <row r="12788" ht="15" customHeight="1"/>
    <row r="12789" ht="15" customHeight="1"/>
    <row r="12790" ht="15" customHeight="1"/>
    <row r="12791" ht="15" customHeight="1"/>
    <row r="12792" ht="15" customHeight="1"/>
    <row r="12793" ht="15" customHeight="1"/>
    <row r="12794" ht="15" customHeight="1"/>
    <row r="12795" ht="15" customHeight="1"/>
    <row r="12796" ht="15" customHeight="1"/>
    <row r="12797" ht="15" customHeight="1"/>
    <row r="12798" ht="15" customHeight="1"/>
    <row r="12799" ht="15" customHeight="1"/>
    <row r="12800" ht="15" customHeight="1"/>
    <row r="12801" ht="15" customHeight="1"/>
    <row r="12802" ht="15" customHeight="1"/>
    <row r="12803" ht="15" customHeight="1"/>
    <row r="12804" ht="15" customHeight="1"/>
    <row r="12805" ht="15" customHeight="1"/>
    <row r="12806" ht="15" customHeight="1"/>
    <row r="12807" ht="15" customHeight="1"/>
    <row r="12808" ht="15" customHeight="1"/>
    <row r="12809" ht="15" customHeight="1"/>
    <row r="12810" ht="15" customHeight="1"/>
    <row r="12811" ht="15" customHeight="1"/>
    <row r="12812" ht="15" customHeight="1"/>
    <row r="12813" ht="15" customHeight="1"/>
    <row r="12814" ht="15" customHeight="1"/>
    <row r="12815" ht="15" customHeight="1"/>
    <row r="12816" ht="15" customHeight="1"/>
    <row r="12817" ht="15" customHeight="1"/>
    <row r="12818" ht="15" customHeight="1"/>
    <row r="12819" ht="15" customHeight="1"/>
    <row r="12820" ht="15" customHeight="1"/>
    <row r="12821" ht="15" customHeight="1"/>
    <row r="12822" ht="15" customHeight="1"/>
    <row r="12823" ht="15" customHeight="1"/>
    <row r="12824" ht="15" customHeight="1"/>
    <row r="12825" ht="15" customHeight="1"/>
    <row r="12826" ht="15" customHeight="1"/>
    <row r="12827" ht="15" customHeight="1"/>
    <row r="12828" ht="15" customHeight="1"/>
    <row r="12829" ht="15" customHeight="1"/>
    <row r="12830" ht="15" customHeight="1"/>
    <row r="12831" ht="15" customHeight="1"/>
    <row r="12832" ht="15" customHeight="1"/>
    <row r="12833" ht="15" customHeight="1"/>
    <row r="12834" ht="15" customHeight="1"/>
    <row r="12835" ht="15" customHeight="1"/>
    <row r="12836" ht="15" customHeight="1"/>
    <row r="12837" ht="15" customHeight="1"/>
    <row r="12838" ht="15" customHeight="1"/>
    <row r="12839" ht="15" customHeight="1"/>
    <row r="12840" ht="15" customHeight="1"/>
    <row r="12841" ht="15" customHeight="1"/>
    <row r="12842" ht="15" customHeight="1"/>
    <row r="12843" ht="15" customHeight="1"/>
    <row r="12844" ht="15" customHeight="1"/>
    <row r="12845" ht="15" customHeight="1"/>
    <row r="12846" ht="15" customHeight="1"/>
    <row r="12847" ht="15" customHeight="1"/>
    <row r="12848" ht="15" customHeight="1"/>
    <row r="12849" ht="15" customHeight="1"/>
    <row r="12850" ht="15" customHeight="1"/>
    <row r="12851" ht="15" customHeight="1"/>
    <row r="12852" ht="15" customHeight="1"/>
    <row r="12853" ht="15" customHeight="1"/>
    <row r="12854" ht="15" customHeight="1"/>
    <row r="12855" ht="15" customHeight="1"/>
    <row r="12856" ht="15" customHeight="1"/>
    <row r="12857" ht="15" customHeight="1"/>
    <row r="12858" ht="15" customHeight="1"/>
    <row r="12859" ht="15" customHeight="1"/>
    <row r="12860" ht="15" customHeight="1"/>
    <row r="12861" ht="15" customHeight="1"/>
    <row r="12862" ht="15" customHeight="1"/>
    <row r="12863" ht="15" customHeight="1"/>
    <row r="12864" ht="15" customHeight="1"/>
    <row r="12865" ht="15" customHeight="1"/>
    <row r="12866" ht="15" customHeight="1"/>
    <row r="12867" ht="15" customHeight="1"/>
    <row r="12868" ht="15" customHeight="1"/>
    <row r="12869" ht="15" customHeight="1"/>
    <row r="12870" ht="15" customHeight="1"/>
    <row r="12871" ht="15" customHeight="1"/>
    <row r="12872" ht="15" customHeight="1"/>
    <row r="12873" ht="15" customHeight="1"/>
    <row r="12874" ht="15" customHeight="1"/>
    <row r="12875" ht="15" customHeight="1"/>
    <row r="12876" ht="15" customHeight="1"/>
    <row r="12877" ht="15" customHeight="1"/>
    <row r="12878" ht="15" customHeight="1"/>
    <row r="12879" ht="15" customHeight="1"/>
    <row r="12880" ht="15" customHeight="1"/>
    <row r="12881" ht="15" customHeight="1"/>
    <row r="12882" ht="15" customHeight="1"/>
    <row r="12883" ht="15" customHeight="1"/>
    <row r="12884" ht="15" customHeight="1"/>
    <row r="12885" ht="15" customHeight="1"/>
    <row r="12886" ht="15" customHeight="1"/>
    <row r="12887" ht="15" customHeight="1"/>
    <row r="12888" ht="15" customHeight="1"/>
    <row r="12889" ht="15" customHeight="1"/>
    <row r="12890" ht="15" customHeight="1"/>
    <row r="12891" ht="15" customHeight="1"/>
    <row r="12892" ht="15" customHeight="1"/>
    <row r="12893" ht="15" customHeight="1"/>
    <row r="12894" ht="15" customHeight="1"/>
    <row r="12895" ht="15" customHeight="1"/>
    <row r="12896" ht="15" customHeight="1"/>
    <row r="12897" ht="15" customHeight="1"/>
    <row r="12898" ht="15" customHeight="1"/>
    <row r="12899" ht="15" customHeight="1"/>
    <row r="12900" ht="15" customHeight="1"/>
    <row r="12901" ht="15" customHeight="1"/>
    <row r="12902" ht="15" customHeight="1"/>
    <row r="12903" ht="15" customHeight="1"/>
    <row r="12904" ht="15" customHeight="1"/>
    <row r="12905" ht="15" customHeight="1"/>
    <row r="12906" ht="15" customHeight="1"/>
    <row r="12907" ht="15" customHeight="1"/>
    <row r="12908" ht="15" customHeight="1"/>
    <row r="12909" ht="15" customHeight="1"/>
    <row r="12910" ht="15" customHeight="1"/>
    <row r="12911" ht="15" customHeight="1"/>
    <row r="12912" ht="15" customHeight="1"/>
    <row r="12913" ht="15" customHeight="1"/>
    <row r="12914" ht="15" customHeight="1"/>
    <row r="12915" ht="15" customHeight="1"/>
    <row r="12916" ht="15" customHeight="1"/>
    <row r="12917" ht="15" customHeight="1"/>
    <row r="12918" ht="15" customHeight="1"/>
    <row r="12919" ht="15" customHeight="1"/>
    <row r="12920" ht="15" customHeight="1"/>
    <row r="12921" ht="15" customHeight="1"/>
    <row r="12922" ht="15" customHeight="1"/>
    <row r="12923" ht="15" customHeight="1"/>
    <row r="12924" ht="15" customHeight="1"/>
    <row r="12925" ht="15" customHeight="1"/>
    <row r="12926" ht="15" customHeight="1"/>
    <row r="12927" ht="15" customHeight="1"/>
    <row r="12928" ht="15" customHeight="1"/>
    <row r="12929" ht="15" customHeight="1"/>
    <row r="12930" ht="15" customHeight="1"/>
    <row r="12931" ht="15" customHeight="1"/>
    <row r="12932" ht="15" customHeight="1"/>
    <row r="12933" ht="15" customHeight="1"/>
    <row r="12934" ht="15" customHeight="1"/>
    <row r="12935" ht="15" customHeight="1"/>
    <row r="12936" ht="15" customHeight="1"/>
    <row r="12937" ht="15" customHeight="1"/>
    <row r="12938" ht="15" customHeight="1"/>
    <row r="12939" ht="15" customHeight="1"/>
    <row r="12940" ht="15" customHeight="1"/>
    <row r="12941" ht="15" customHeight="1"/>
    <row r="12942" ht="15" customHeight="1"/>
    <row r="12943" ht="15" customHeight="1"/>
    <row r="12944" ht="15" customHeight="1"/>
    <row r="12945" ht="15" customHeight="1"/>
    <row r="12946" ht="15" customHeight="1"/>
    <row r="12947" ht="15" customHeight="1"/>
    <row r="12948" ht="15" customHeight="1"/>
    <row r="12949" ht="15" customHeight="1"/>
    <row r="12950" ht="15" customHeight="1"/>
    <row r="12951" ht="15" customHeight="1"/>
    <row r="12952" ht="15" customHeight="1"/>
    <row r="12953" ht="15" customHeight="1"/>
    <row r="12954" ht="15" customHeight="1"/>
    <row r="12955" ht="15" customHeight="1"/>
    <row r="12956" ht="15" customHeight="1"/>
    <row r="12957" ht="15" customHeight="1"/>
    <row r="12958" ht="15" customHeight="1"/>
    <row r="12959" ht="15" customHeight="1"/>
    <row r="12960" ht="15" customHeight="1"/>
    <row r="12961" ht="15" customHeight="1"/>
    <row r="12962" ht="15" customHeight="1"/>
    <row r="12963" ht="15" customHeight="1"/>
    <row r="12964" ht="15" customHeight="1"/>
    <row r="12965" ht="15" customHeight="1"/>
    <row r="12966" ht="15" customHeight="1"/>
    <row r="12967" ht="15" customHeight="1"/>
    <row r="12968" ht="15" customHeight="1"/>
    <row r="12969" ht="15" customHeight="1"/>
    <row r="12970" ht="15" customHeight="1"/>
    <row r="12971" ht="15" customHeight="1"/>
    <row r="12972" ht="15" customHeight="1"/>
    <row r="12973" ht="15" customHeight="1"/>
    <row r="12974" ht="15" customHeight="1"/>
    <row r="12975" ht="15" customHeight="1"/>
    <row r="12976" ht="15" customHeight="1"/>
    <row r="12977" ht="15" customHeight="1"/>
    <row r="12978" ht="15" customHeight="1"/>
    <row r="12979" ht="15" customHeight="1"/>
    <row r="12980" ht="15" customHeight="1"/>
    <row r="12981" ht="15" customHeight="1"/>
    <row r="12982" ht="15" customHeight="1"/>
    <row r="12983" ht="15" customHeight="1"/>
    <row r="12984" ht="15" customHeight="1"/>
    <row r="12985" ht="15" customHeight="1"/>
    <row r="12986" ht="15" customHeight="1"/>
    <row r="12987" ht="15" customHeight="1"/>
    <row r="12988" ht="15" customHeight="1"/>
    <row r="12989" ht="15" customHeight="1"/>
    <row r="12990" ht="15" customHeight="1"/>
    <row r="12991" ht="15" customHeight="1"/>
    <row r="12992" ht="15" customHeight="1"/>
    <row r="12993" ht="15" customHeight="1"/>
    <row r="12994" ht="15" customHeight="1"/>
    <row r="12995" ht="15" customHeight="1"/>
    <row r="12996" ht="15" customHeight="1"/>
    <row r="12997" ht="15" customHeight="1"/>
    <row r="12998" ht="15" customHeight="1"/>
    <row r="12999" ht="15" customHeight="1"/>
    <row r="13000" ht="15" customHeight="1"/>
    <row r="13001" ht="15" customHeight="1"/>
    <row r="13002" ht="15" customHeight="1"/>
    <row r="13003" ht="15" customHeight="1"/>
    <row r="13004" ht="15" customHeight="1"/>
    <row r="13005" ht="15" customHeight="1"/>
    <row r="13006" ht="15" customHeight="1"/>
    <row r="13007" ht="15" customHeight="1"/>
    <row r="13008" ht="15" customHeight="1"/>
    <row r="13009" ht="15" customHeight="1"/>
    <row r="13010" ht="15" customHeight="1"/>
    <row r="13011" ht="15" customHeight="1"/>
    <row r="13012" ht="15" customHeight="1"/>
    <row r="13013" ht="15" customHeight="1"/>
    <row r="13014" ht="15" customHeight="1"/>
    <row r="13015" ht="15" customHeight="1"/>
    <row r="13016" ht="15" customHeight="1"/>
    <row r="13017" ht="15" customHeight="1"/>
    <row r="13018" ht="15" customHeight="1"/>
    <row r="13019" ht="15" customHeight="1"/>
    <row r="13020" ht="15" customHeight="1"/>
    <row r="13021" ht="15" customHeight="1"/>
    <row r="13022" ht="15" customHeight="1"/>
    <row r="13023" ht="15" customHeight="1"/>
    <row r="13024" ht="15" customHeight="1"/>
    <row r="13025" ht="15" customHeight="1"/>
    <row r="13026" ht="15" customHeight="1"/>
    <row r="13027" ht="15" customHeight="1"/>
    <row r="13028" ht="15" customHeight="1"/>
    <row r="13029" ht="15" customHeight="1"/>
    <row r="13030" ht="15" customHeight="1"/>
    <row r="13031" ht="15" customHeight="1"/>
    <row r="13032" ht="15" customHeight="1"/>
    <row r="13033" ht="15" customHeight="1"/>
    <row r="13034" ht="15" customHeight="1"/>
    <row r="13035" ht="15" customHeight="1"/>
    <row r="13036" ht="15" customHeight="1"/>
    <row r="13037" ht="15" customHeight="1"/>
    <row r="13038" ht="15" customHeight="1"/>
    <row r="13039" ht="15" customHeight="1"/>
    <row r="13040" ht="15" customHeight="1"/>
    <row r="13041" ht="15" customHeight="1"/>
    <row r="13042" ht="15" customHeight="1"/>
    <row r="13043" ht="15" customHeight="1"/>
    <row r="13044" ht="15" customHeight="1"/>
    <row r="13045" ht="15" customHeight="1"/>
    <row r="13046" ht="15" customHeight="1"/>
    <row r="13047" ht="15" customHeight="1"/>
    <row r="13048" ht="15" customHeight="1"/>
    <row r="13049" ht="15" customHeight="1"/>
    <row r="13050" ht="15" customHeight="1"/>
    <row r="13051" ht="15" customHeight="1"/>
    <row r="13052" ht="15" customHeight="1"/>
    <row r="13053" ht="15" customHeight="1"/>
    <row r="13054" ht="15" customHeight="1"/>
    <row r="13055" ht="15" customHeight="1"/>
    <row r="13056" ht="15" customHeight="1"/>
    <row r="13057" ht="15" customHeight="1"/>
    <row r="13058" ht="15" customHeight="1"/>
    <row r="13059" ht="15" customHeight="1"/>
    <row r="13060" ht="15" customHeight="1"/>
    <row r="13061" ht="15" customHeight="1"/>
    <row r="13062" ht="15" customHeight="1"/>
    <row r="13063" ht="15" customHeight="1"/>
    <row r="13064" ht="15" customHeight="1"/>
    <row r="13065" ht="15" customHeight="1"/>
    <row r="13066" ht="15" customHeight="1"/>
    <row r="13067" ht="15" customHeight="1"/>
    <row r="13068" ht="15" customHeight="1"/>
    <row r="13069" ht="15" customHeight="1"/>
    <row r="13070" ht="15" customHeight="1"/>
    <row r="13071" ht="15" customHeight="1"/>
    <row r="13072" ht="15" customHeight="1"/>
    <row r="13073" ht="15" customHeight="1"/>
    <row r="13074" ht="15" customHeight="1"/>
    <row r="13075" ht="15" customHeight="1"/>
    <row r="13076" ht="15" customHeight="1"/>
    <row r="13077" ht="15" customHeight="1"/>
    <row r="13078" ht="15" customHeight="1"/>
    <row r="13079" ht="15" customHeight="1"/>
    <row r="13080" ht="15" customHeight="1"/>
    <row r="13081" ht="15" customHeight="1"/>
    <row r="13082" ht="15" customHeight="1"/>
    <row r="13083" ht="15" customHeight="1"/>
    <row r="13084" ht="15" customHeight="1"/>
    <row r="13085" ht="15" customHeight="1"/>
    <row r="13086" ht="15" customHeight="1"/>
    <row r="13087" ht="15" customHeight="1"/>
    <row r="13088" ht="15" customHeight="1"/>
    <row r="13089" ht="15" customHeight="1"/>
    <row r="13090" ht="15" customHeight="1"/>
    <row r="13091" ht="15" customHeight="1"/>
    <row r="13092" ht="15" customHeight="1"/>
    <row r="13093" ht="15" customHeight="1"/>
    <row r="13094" ht="15" customHeight="1"/>
    <row r="13095" ht="15" customHeight="1"/>
    <row r="13096" ht="15" customHeight="1"/>
    <row r="13097" ht="15" customHeight="1"/>
    <row r="13098" ht="15" customHeight="1"/>
    <row r="13099" ht="15" customHeight="1"/>
    <row r="13100" ht="15" customHeight="1"/>
    <row r="13101" ht="15" customHeight="1"/>
    <row r="13102" ht="15" customHeight="1"/>
    <row r="13103" ht="15" customHeight="1"/>
    <row r="13104" ht="15" customHeight="1"/>
    <row r="13105" ht="15" customHeight="1"/>
    <row r="13106" ht="15" customHeight="1"/>
    <row r="13107" ht="15" customHeight="1"/>
    <row r="13108" ht="15" customHeight="1"/>
    <row r="13109" ht="15" customHeight="1"/>
    <row r="13110" ht="15" customHeight="1"/>
    <row r="13111" ht="15" customHeight="1"/>
    <row r="13112" ht="15" customHeight="1"/>
    <row r="13113" ht="15" customHeight="1"/>
    <row r="13114" ht="15" customHeight="1"/>
    <row r="13115" ht="15" customHeight="1"/>
    <row r="13116" ht="15" customHeight="1"/>
    <row r="13117" ht="15" customHeight="1"/>
    <row r="13118" ht="15" customHeight="1"/>
    <row r="13119" ht="15" customHeight="1"/>
    <row r="13120" ht="15" customHeight="1"/>
    <row r="13121" ht="15" customHeight="1"/>
    <row r="13122" ht="15" customHeight="1"/>
    <row r="13123" ht="15" customHeight="1"/>
    <row r="13124" ht="15" customHeight="1"/>
    <row r="13125" ht="15" customHeight="1"/>
    <row r="13126" ht="15" customHeight="1"/>
    <row r="13127" ht="15" customHeight="1"/>
    <row r="13128" ht="15" customHeight="1"/>
    <row r="13129" ht="15" customHeight="1"/>
    <row r="13130" ht="15" customHeight="1"/>
    <row r="13131" ht="15" customHeight="1"/>
    <row r="13132" ht="15" customHeight="1"/>
    <row r="13133" ht="15" customHeight="1"/>
    <row r="13134" ht="15" customHeight="1"/>
    <row r="13135" ht="15" customHeight="1"/>
    <row r="13136" ht="15" customHeight="1"/>
    <row r="13137" ht="15" customHeight="1"/>
    <row r="13138" ht="15" customHeight="1"/>
    <row r="13139" ht="15" customHeight="1"/>
    <row r="13140" ht="15" customHeight="1"/>
    <row r="13141" ht="15" customHeight="1"/>
    <row r="13142" ht="15" customHeight="1"/>
    <row r="13143" ht="15" customHeight="1"/>
    <row r="13144" ht="15" customHeight="1"/>
    <row r="13145" ht="15" customHeight="1"/>
    <row r="13146" ht="15" customHeight="1"/>
    <row r="13147" ht="15" customHeight="1"/>
    <row r="13148" ht="15" customHeight="1"/>
    <row r="13149" ht="15" customHeight="1"/>
    <row r="13150" ht="15" customHeight="1"/>
    <row r="13151" ht="15" customHeight="1"/>
    <row r="13152" ht="15" customHeight="1"/>
    <row r="13153" ht="15" customHeight="1"/>
    <row r="13154" ht="15" customHeight="1"/>
    <row r="13155" ht="15" customHeight="1"/>
    <row r="13156" ht="15" customHeight="1"/>
    <row r="13157" ht="15" customHeight="1"/>
    <row r="13158" ht="15" customHeight="1"/>
    <row r="13159" ht="15" customHeight="1"/>
    <row r="13160" ht="15" customHeight="1"/>
    <row r="13161" ht="15" customHeight="1"/>
    <row r="13162" ht="15" customHeight="1"/>
    <row r="13163" ht="15" customHeight="1"/>
    <row r="13164" ht="15" customHeight="1"/>
    <row r="13165" ht="15" customHeight="1"/>
    <row r="13166" ht="15" customHeight="1"/>
    <row r="13167" ht="15" customHeight="1"/>
    <row r="13168" ht="15" customHeight="1"/>
    <row r="13169" ht="15" customHeight="1"/>
    <row r="13170" ht="15" customHeight="1"/>
    <row r="13171" ht="15" customHeight="1"/>
    <row r="13172" ht="15" customHeight="1"/>
    <row r="13173" ht="15" customHeight="1"/>
    <row r="13174" ht="15" customHeight="1"/>
    <row r="13175" ht="15" customHeight="1"/>
    <row r="13176" ht="15" customHeight="1"/>
    <row r="13177" ht="15" customHeight="1"/>
    <row r="13178" ht="15" customHeight="1"/>
    <row r="13179" ht="15" customHeight="1"/>
    <row r="13180" ht="15" customHeight="1"/>
    <row r="13181" ht="15" customHeight="1"/>
    <row r="13182" ht="15" customHeight="1"/>
    <row r="13183" ht="15" customHeight="1"/>
    <row r="13184" ht="15" customHeight="1"/>
    <row r="13185" ht="15" customHeight="1"/>
    <row r="13186" ht="15" customHeight="1"/>
    <row r="13187" ht="15" customHeight="1"/>
    <row r="13188" ht="15" customHeight="1"/>
    <row r="13189" ht="15" customHeight="1"/>
    <row r="13190" ht="15" customHeight="1"/>
    <row r="13191" ht="15" customHeight="1"/>
    <row r="13192" ht="15" customHeight="1"/>
    <row r="13193" ht="15" customHeight="1"/>
    <row r="13194" ht="15" customHeight="1"/>
    <row r="13195" ht="15" customHeight="1"/>
    <row r="13196" ht="15" customHeight="1"/>
    <row r="13197" ht="15" customHeight="1"/>
    <row r="13198" ht="15" customHeight="1"/>
    <row r="13199" ht="15" customHeight="1"/>
    <row r="13200" ht="15" customHeight="1"/>
    <row r="13201" ht="15" customHeight="1"/>
    <row r="13202" ht="15" customHeight="1"/>
    <row r="13203" ht="15" customHeight="1"/>
    <row r="13204" ht="15" customHeight="1"/>
    <row r="13205" ht="15" customHeight="1"/>
    <row r="13206" ht="15" customHeight="1"/>
    <row r="13207" ht="15" customHeight="1"/>
    <row r="13208" ht="15" customHeight="1"/>
    <row r="13209" ht="15" customHeight="1"/>
    <row r="13210" ht="15" customHeight="1"/>
    <row r="13211" ht="15" customHeight="1"/>
    <row r="13212" ht="15" customHeight="1"/>
    <row r="13213" ht="15" customHeight="1"/>
    <row r="13214" ht="15" customHeight="1"/>
    <row r="13215" ht="15" customHeight="1"/>
    <row r="13216" ht="15" customHeight="1"/>
    <row r="13217" ht="15" customHeight="1"/>
    <row r="13218" ht="15" customHeight="1"/>
    <row r="13219" ht="15" customHeight="1"/>
    <row r="13220" ht="15" customHeight="1"/>
    <row r="13221" ht="15" customHeight="1"/>
    <row r="13222" ht="15" customHeight="1"/>
    <row r="13223" ht="15" customHeight="1"/>
    <row r="13224" ht="15" customHeight="1"/>
    <row r="13225" ht="15" customHeight="1"/>
    <row r="13226" ht="15" customHeight="1"/>
    <row r="13227" ht="15" customHeight="1"/>
    <row r="13228" ht="15" customHeight="1"/>
    <row r="13229" ht="15" customHeight="1"/>
    <row r="13230" ht="15" customHeight="1"/>
    <row r="13231" ht="15" customHeight="1"/>
    <row r="13232" ht="15" customHeight="1"/>
    <row r="13233" ht="15" customHeight="1"/>
    <row r="13234" ht="15" customHeight="1"/>
    <row r="13235" ht="15" customHeight="1"/>
    <row r="13236" ht="15" customHeight="1"/>
    <row r="13237" ht="15" customHeight="1"/>
    <row r="13238" ht="15" customHeight="1"/>
    <row r="13239" ht="15" customHeight="1"/>
    <row r="13240" ht="15" customHeight="1"/>
    <row r="13241" ht="15" customHeight="1"/>
    <row r="13242" ht="15" customHeight="1"/>
    <row r="13243" ht="15" customHeight="1"/>
    <row r="13244" ht="15" customHeight="1"/>
    <row r="13245" ht="15" customHeight="1"/>
    <row r="13246" ht="15" customHeight="1"/>
    <row r="13247" ht="15" customHeight="1"/>
    <row r="13248" ht="15" customHeight="1"/>
    <row r="13249" ht="15" customHeight="1"/>
    <row r="13250" ht="15" customHeight="1"/>
    <row r="13251" ht="15" customHeight="1"/>
    <row r="13252" ht="15" customHeight="1"/>
    <row r="13253" ht="15" customHeight="1"/>
    <row r="13254" ht="15" customHeight="1"/>
    <row r="13255" ht="15" customHeight="1"/>
    <row r="13256" ht="15" customHeight="1"/>
    <row r="13257" ht="15" customHeight="1"/>
    <row r="13258" ht="15" customHeight="1"/>
    <row r="13259" ht="15" customHeight="1"/>
    <row r="13260" ht="15" customHeight="1"/>
    <row r="13261" ht="15" customHeight="1"/>
    <row r="13262" ht="15" customHeight="1"/>
    <row r="13263" ht="15" customHeight="1"/>
    <row r="13264" ht="15" customHeight="1"/>
    <row r="13265" ht="15" customHeight="1"/>
    <row r="13266" ht="15" customHeight="1"/>
    <row r="13267" ht="15" customHeight="1"/>
    <row r="13268" ht="15" customHeight="1"/>
    <row r="13269" ht="15" customHeight="1"/>
    <row r="13270" ht="15" customHeight="1"/>
    <row r="13271" ht="15" customHeight="1"/>
    <row r="13272" ht="15" customHeight="1"/>
    <row r="13273" ht="15" customHeight="1"/>
    <row r="13274" ht="15" customHeight="1"/>
    <row r="13275" ht="15" customHeight="1"/>
    <row r="13276" ht="15" customHeight="1"/>
    <row r="13277" ht="15" customHeight="1"/>
    <row r="13278" ht="15" customHeight="1"/>
    <row r="13279" ht="15" customHeight="1"/>
    <row r="13280" ht="15" customHeight="1"/>
    <row r="13281" ht="15" customHeight="1"/>
    <row r="13282" ht="15" customHeight="1"/>
    <row r="13283" ht="15" customHeight="1"/>
    <row r="13284" ht="15" customHeight="1"/>
    <row r="13285" ht="15" customHeight="1"/>
    <row r="13286" ht="15" customHeight="1"/>
    <row r="13287" ht="15" customHeight="1"/>
    <row r="13288" ht="15" customHeight="1"/>
    <row r="13289" ht="15" customHeight="1"/>
    <row r="13290" ht="15" customHeight="1"/>
    <row r="13291" ht="15" customHeight="1"/>
    <row r="13292" ht="15" customHeight="1"/>
    <row r="13293" ht="15" customHeight="1"/>
    <row r="13294" ht="15" customHeight="1"/>
    <row r="13295" ht="15" customHeight="1"/>
    <row r="13296" ht="15" customHeight="1"/>
    <row r="13297" ht="15" customHeight="1"/>
    <row r="13298" ht="15" customHeight="1"/>
    <row r="13299" ht="15" customHeight="1"/>
    <row r="13300" ht="15" customHeight="1"/>
    <row r="13301" ht="15" customHeight="1"/>
    <row r="13302" ht="15" customHeight="1"/>
    <row r="13303" ht="15" customHeight="1"/>
    <row r="13304" ht="15" customHeight="1"/>
    <row r="13305" ht="15" customHeight="1"/>
    <row r="13306" ht="15" customHeight="1"/>
    <row r="13307" ht="15" customHeight="1"/>
    <row r="13308" ht="15" customHeight="1"/>
    <row r="13309" ht="15" customHeight="1"/>
    <row r="13310" ht="15" customHeight="1"/>
    <row r="13311" ht="15" customHeight="1"/>
    <row r="13312" ht="15" customHeight="1"/>
    <row r="13313" ht="15" customHeight="1"/>
    <row r="13314" ht="15" customHeight="1"/>
    <row r="13315" ht="15" customHeight="1"/>
    <row r="13316" ht="15" customHeight="1"/>
    <row r="13317" ht="15" customHeight="1"/>
    <row r="13318" ht="15" customHeight="1"/>
    <row r="13319" ht="15" customHeight="1"/>
    <row r="13320" ht="15" customHeight="1"/>
    <row r="13321" ht="15" customHeight="1"/>
    <row r="13322" ht="15" customHeight="1"/>
    <row r="13323" ht="15" customHeight="1"/>
    <row r="13324" ht="15" customHeight="1"/>
    <row r="13325" ht="15" customHeight="1"/>
    <row r="13326" ht="15" customHeight="1"/>
    <row r="13327" ht="15" customHeight="1"/>
    <row r="13328" ht="15" customHeight="1"/>
    <row r="13329" ht="15" customHeight="1"/>
    <row r="13330" ht="15" customHeight="1"/>
    <row r="13331" ht="15" customHeight="1"/>
    <row r="13332" ht="15" customHeight="1"/>
    <row r="13333" ht="15" customHeight="1"/>
    <row r="13334" ht="15" customHeight="1"/>
    <row r="13335" ht="15" customHeight="1"/>
    <row r="13336" ht="15" customHeight="1"/>
    <row r="13337" ht="15" customHeight="1"/>
    <row r="13338" ht="15" customHeight="1"/>
    <row r="13339" ht="15" customHeight="1"/>
    <row r="13340" ht="15" customHeight="1"/>
    <row r="13341" ht="15" customHeight="1"/>
    <row r="13342" ht="15" customHeight="1"/>
    <row r="13343" ht="15" customHeight="1"/>
    <row r="13344" ht="15" customHeight="1"/>
    <row r="13345" ht="15" customHeight="1"/>
    <row r="13346" ht="15" customHeight="1"/>
    <row r="13347" ht="15" customHeight="1"/>
    <row r="13348" ht="15" customHeight="1"/>
    <row r="13349" ht="15" customHeight="1"/>
    <row r="13350" ht="15" customHeight="1"/>
    <row r="13351" ht="15" customHeight="1"/>
    <row r="13352" ht="15" customHeight="1"/>
    <row r="13353" ht="15" customHeight="1"/>
    <row r="13354" ht="15" customHeight="1"/>
    <row r="13355" ht="15" customHeight="1"/>
    <row r="13356" ht="15" customHeight="1"/>
    <row r="13357" ht="15" customHeight="1"/>
    <row r="13358" ht="15" customHeight="1"/>
    <row r="13359" ht="15" customHeight="1"/>
    <row r="13360" ht="15" customHeight="1"/>
    <row r="13361" ht="15" customHeight="1"/>
    <row r="13362" ht="15" customHeight="1"/>
    <row r="13363" ht="15" customHeight="1"/>
    <row r="13364" ht="15" customHeight="1"/>
    <row r="13365" ht="15" customHeight="1"/>
    <row r="13366" ht="15" customHeight="1"/>
    <row r="13367" ht="15" customHeight="1"/>
    <row r="13368" ht="15" customHeight="1"/>
    <row r="13369" ht="15" customHeight="1"/>
    <row r="13370" ht="15" customHeight="1"/>
    <row r="13371" ht="15" customHeight="1"/>
    <row r="13372" ht="15" customHeight="1"/>
    <row r="13373" ht="15" customHeight="1"/>
    <row r="13374" ht="15" customHeight="1"/>
    <row r="13375" ht="15" customHeight="1"/>
    <row r="13376" ht="15" customHeight="1"/>
    <row r="13377" ht="15" customHeight="1"/>
    <row r="13378" ht="15" customHeight="1"/>
    <row r="13379" ht="15" customHeight="1"/>
    <row r="13380" ht="15" customHeight="1"/>
    <row r="13381" ht="15" customHeight="1"/>
    <row r="13382" ht="15" customHeight="1"/>
    <row r="13383" ht="15" customHeight="1"/>
    <row r="13384" ht="15" customHeight="1"/>
    <row r="13385" ht="15" customHeight="1"/>
    <row r="13386" ht="15" customHeight="1"/>
    <row r="13387" ht="15" customHeight="1"/>
    <row r="13388" ht="15" customHeight="1"/>
    <row r="13389" ht="15" customHeight="1"/>
    <row r="13390" ht="15" customHeight="1"/>
    <row r="13391" ht="15" customHeight="1"/>
    <row r="13392" ht="15" customHeight="1"/>
    <row r="13393" ht="15" customHeight="1"/>
    <row r="13394" ht="15" customHeight="1"/>
    <row r="13395" ht="15" customHeight="1"/>
    <row r="13396" ht="15" customHeight="1"/>
    <row r="13397" ht="15" customHeight="1"/>
    <row r="13398" ht="15" customHeight="1"/>
    <row r="13399" ht="15" customHeight="1"/>
    <row r="13400" ht="15" customHeight="1"/>
    <row r="13401" ht="15" customHeight="1"/>
    <row r="13402" ht="15" customHeight="1"/>
    <row r="13403" ht="15" customHeight="1"/>
    <row r="13404" ht="15" customHeight="1"/>
    <row r="13405" ht="15" customHeight="1"/>
    <row r="13406" ht="15" customHeight="1"/>
    <row r="13407" ht="15" customHeight="1"/>
    <row r="13408" ht="15" customHeight="1"/>
    <row r="13409" ht="15" customHeight="1"/>
    <row r="13410" ht="15" customHeight="1"/>
    <row r="13411" ht="15" customHeight="1"/>
    <row r="13412" ht="15" customHeight="1"/>
    <row r="13413" ht="15" customHeight="1"/>
    <row r="13414" ht="15" customHeight="1"/>
    <row r="13415" ht="15" customHeight="1"/>
    <row r="13416" ht="15" customHeight="1"/>
    <row r="13417" ht="15" customHeight="1"/>
    <row r="13418" ht="15" customHeight="1"/>
    <row r="13419" ht="15" customHeight="1"/>
    <row r="13420" ht="15" customHeight="1"/>
    <row r="13421" ht="15" customHeight="1"/>
    <row r="13422" ht="15" customHeight="1"/>
    <row r="13423" ht="15" customHeight="1"/>
    <row r="13424" ht="15" customHeight="1"/>
    <row r="13425" ht="15" customHeight="1"/>
    <row r="13426" ht="15" customHeight="1"/>
    <row r="13427" ht="15" customHeight="1"/>
    <row r="13428" ht="15" customHeight="1"/>
    <row r="13429" ht="15" customHeight="1"/>
    <row r="13430" ht="15" customHeight="1"/>
    <row r="13431" ht="15" customHeight="1"/>
    <row r="13432" ht="15" customHeight="1"/>
    <row r="13433" ht="15" customHeight="1"/>
    <row r="13434" ht="15" customHeight="1"/>
    <row r="13435" ht="15" customHeight="1"/>
    <row r="13436" ht="15" customHeight="1"/>
    <row r="13437" ht="15" customHeight="1"/>
    <row r="13438" ht="15" customHeight="1"/>
    <row r="13439" ht="15" customHeight="1"/>
    <row r="13440" ht="15" customHeight="1"/>
    <row r="13441" ht="15" customHeight="1"/>
    <row r="13442" ht="15" customHeight="1"/>
    <row r="13443" ht="15" customHeight="1"/>
    <row r="13444" ht="15" customHeight="1"/>
    <row r="13445" ht="15" customHeight="1"/>
    <row r="13446" ht="15" customHeight="1"/>
    <row r="13447" ht="15" customHeight="1"/>
    <row r="13448" ht="15" customHeight="1"/>
    <row r="13449" ht="15" customHeight="1"/>
    <row r="13450" ht="15" customHeight="1"/>
    <row r="13451" ht="15" customHeight="1"/>
    <row r="13452" ht="15" customHeight="1"/>
    <row r="13453" ht="15" customHeight="1"/>
    <row r="13454" ht="15" customHeight="1"/>
    <row r="13455" ht="15" customHeight="1"/>
    <row r="13456" ht="15" customHeight="1"/>
    <row r="13457" ht="15" customHeight="1"/>
    <row r="13458" ht="15" customHeight="1"/>
    <row r="13459" ht="15" customHeight="1"/>
    <row r="13460" ht="15" customHeight="1"/>
    <row r="13461" ht="15" customHeight="1"/>
    <row r="13462" ht="15" customHeight="1"/>
    <row r="13463" ht="15" customHeight="1"/>
    <row r="13464" ht="15" customHeight="1"/>
    <row r="13465" ht="15" customHeight="1"/>
    <row r="13466" ht="15" customHeight="1"/>
    <row r="13467" ht="15" customHeight="1"/>
    <row r="13468" ht="15" customHeight="1"/>
    <row r="13469" ht="15" customHeight="1"/>
    <row r="13470" ht="15" customHeight="1"/>
    <row r="13471" ht="15" customHeight="1"/>
    <row r="13472" ht="15" customHeight="1"/>
    <row r="13473" ht="15" customHeight="1"/>
    <row r="13474" ht="15" customHeight="1"/>
    <row r="13475" ht="15" customHeight="1"/>
    <row r="13476" ht="15" customHeight="1"/>
    <row r="13477" ht="15" customHeight="1"/>
    <row r="13478" ht="15" customHeight="1"/>
    <row r="13479" ht="15" customHeight="1"/>
    <row r="13480" ht="15" customHeight="1"/>
    <row r="13481" ht="15" customHeight="1"/>
    <row r="13482" ht="15" customHeight="1"/>
    <row r="13483" ht="15" customHeight="1"/>
    <row r="13484" ht="15" customHeight="1"/>
    <row r="13485" ht="15" customHeight="1"/>
    <row r="13486" ht="15" customHeight="1"/>
    <row r="13487" ht="15" customHeight="1"/>
    <row r="13488" ht="15" customHeight="1"/>
    <row r="13489" ht="15" customHeight="1"/>
    <row r="13490" ht="15" customHeight="1"/>
    <row r="13491" ht="15" customHeight="1"/>
    <row r="13492" ht="15" customHeight="1"/>
    <row r="13493" ht="15" customHeight="1"/>
    <row r="13494" ht="15" customHeight="1"/>
    <row r="13495" ht="15" customHeight="1"/>
    <row r="13496" ht="15" customHeight="1"/>
    <row r="13497" ht="15" customHeight="1"/>
    <row r="13498" ht="15" customHeight="1"/>
    <row r="13499" ht="15" customHeight="1"/>
    <row r="13500" ht="15" customHeight="1"/>
    <row r="13501" ht="15" customHeight="1"/>
    <row r="13502" ht="15" customHeight="1"/>
    <row r="13503" ht="15" customHeight="1"/>
    <row r="13504" ht="15" customHeight="1"/>
    <row r="13505" ht="15" customHeight="1"/>
    <row r="13506" ht="15" customHeight="1"/>
    <row r="13507" ht="15" customHeight="1"/>
    <row r="13508" ht="15" customHeight="1"/>
    <row r="13509" ht="15" customHeight="1"/>
    <row r="13510" ht="15" customHeight="1"/>
    <row r="13511" ht="15" customHeight="1"/>
    <row r="13512" ht="15" customHeight="1"/>
    <row r="13513" ht="15" customHeight="1"/>
    <row r="13514" ht="15" customHeight="1"/>
    <row r="13515" ht="15" customHeight="1"/>
    <row r="13516" ht="15" customHeight="1"/>
    <row r="13517" ht="15" customHeight="1"/>
    <row r="13518" ht="15" customHeight="1"/>
    <row r="13519" ht="15" customHeight="1"/>
    <row r="13520" ht="15" customHeight="1"/>
    <row r="13521" ht="15" customHeight="1"/>
    <row r="13522" ht="15" customHeight="1"/>
    <row r="13523" ht="15" customHeight="1"/>
    <row r="13524" ht="15" customHeight="1"/>
    <row r="13525" ht="15" customHeight="1"/>
    <row r="13526" ht="15" customHeight="1"/>
    <row r="13527" ht="15" customHeight="1"/>
    <row r="13528" ht="15" customHeight="1"/>
    <row r="13529" ht="15" customHeight="1"/>
    <row r="13530" ht="15" customHeight="1"/>
    <row r="13531" ht="15" customHeight="1"/>
    <row r="13532" ht="15" customHeight="1"/>
    <row r="13533" ht="15" customHeight="1"/>
    <row r="13534" ht="15" customHeight="1"/>
    <row r="13535" ht="15" customHeight="1"/>
    <row r="13536" ht="15" customHeight="1"/>
    <row r="13537" ht="15" customHeight="1"/>
    <row r="13538" ht="15" customHeight="1"/>
    <row r="13539" ht="15" customHeight="1"/>
    <row r="13540" ht="15" customHeight="1"/>
    <row r="13541" ht="15" customHeight="1"/>
    <row r="13542" ht="15" customHeight="1"/>
    <row r="13543" ht="15" customHeight="1"/>
    <row r="13544" ht="15" customHeight="1"/>
    <row r="13545" ht="15" customHeight="1"/>
    <row r="13546" ht="15" customHeight="1"/>
    <row r="13547" ht="15" customHeight="1"/>
    <row r="13548" ht="15" customHeight="1"/>
    <row r="13549" ht="15" customHeight="1"/>
    <row r="13550" ht="15" customHeight="1"/>
    <row r="13551" ht="15" customHeight="1"/>
    <row r="13552" ht="15" customHeight="1"/>
    <row r="13553" ht="15" customHeight="1"/>
    <row r="13554" ht="15" customHeight="1"/>
    <row r="13555" ht="15" customHeight="1"/>
    <row r="13556" ht="15" customHeight="1"/>
    <row r="13557" ht="15" customHeight="1"/>
    <row r="13558" ht="15" customHeight="1"/>
    <row r="13559" ht="15" customHeight="1"/>
    <row r="13560" ht="15" customHeight="1"/>
    <row r="13561" ht="15" customHeight="1"/>
    <row r="13562" ht="15" customHeight="1"/>
    <row r="13563" ht="15" customHeight="1"/>
    <row r="13564" ht="15" customHeight="1"/>
    <row r="13565" ht="15" customHeight="1"/>
    <row r="13566" ht="15" customHeight="1"/>
    <row r="13567" ht="15" customHeight="1"/>
    <row r="13568" ht="15" customHeight="1"/>
    <row r="13569" ht="15" customHeight="1"/>
    <row r="13570" ht="15" customHeight="1"/>
    <row r="13571" ht="15" customHeight="1"/>
    <row r="13572" ht="15" customHeight="1"/>
    <row r="13573" ht="15" customHeight="1"/>
    <row r="13574" ht="15" customHeight="1"/>
    <row r="13575" ht="15" customHeight="1"/>
    <row r="13576" ht="15" customHeight="1"/>
    <row r="13577" ht="15" customHeight="1"/>
    <row r="13578" ht="15" customHeight="1"/>
    <row r="13579" ht="15" customHeight="1"/>
    <row r="13580" ht="15" customHeight="1"/>
    <row r="13581" ht="15" customHeight="1"/>
    <row r="13582" ht="15" customHeight="1"/>
    <row r="13583" ht="15" customHeight="1"/>
    <row r="13584" ht="15" customHeight="1"/>
    <row r="13585" ht="15" customHeight="1"/>
    <row r="13586" ht="15" customHeight="1"/>
    <row r="13587" ht="15" customHeight="1"/>
    <row r="13588" ht="15" customHeight="1"/>
    <row r="13589" ht="15" customHeight="1"/>
    <row r="13590" ht="15" customHeight="1"/>
    <row r="13591" ht="15" customHeight="1"/>
    <row r="13592" ht="15" customHeight="1"/>
    <row r="13593" ht="15" customHeight="1"/>
    <row r="13594" ht="15" customHeight="1"/>
    <row r="13595" ht="15" customHeight="1"/>
    <row r="13596" ht="15" customHeight="1"/>
    <row r="13597" ht="15" customHeight="1"/>
    <row r="13598" ht="15" customHeight="1"/>
    <row r="13599" ht="15" customHeight="1"/>
    <row r="13600" ht="15" customHeight="1"/>
    <row r="13601" ht="15" customHeight="1"/>
    <row r="13602" ht="15" customHeight="1"/>
    <row r="13603" ht="15" customHeight="1"/>
    <row r="13604" ht="15" customHeight="1"/>
    <row r="13605" ht="15" customHeight="1"/>
    <row r="13606" ht="15" customHeight="1"/>
    <row r="13607" ht="15" customHeight="1"/>
    <row r="13608" ht="15" customHeight="1"/>
    <row r="13609" ht="15" customHeight="1"/>
    <row r="13610" ht="15" customHeight="1"/>
    <row r="13611" ht="15" customHeight="1"/>
    <row r="13612" ht="15" customHeight="1"/>
    <row r="13613" ht="15" customHeight="1"/>
    <row r="13614" ht="15" customHeight="1"/>
    <row r="13615" ht="15" customHeight="1"/>
    <row r="13616" ht="15" customHeight="1"/>
    <row r="13617" ht="15" customHeight="1"/>
    <row r="13618" ht="15" customHeight="1"/>
    <row r="13619" ht="15" customHeight="1"/>
    <row r="13620" ht="15" customHeight="1"/>
    <row r="13621" ht="15" customHeight="1"/>
    <row r="13622" ht="15" customHeight="1"/>
    <row r="13623" ht="15" customHeight="1"/>
    <row r="13624" ht="15" customHeight="1"/>
    <row r="13625" ht="15" customHeight="1"/>
    <row r="13626" ht="15" customHeight="1"/>
    <row r="13627" ht="15" customHeight="1"/>
    <row r="13628" ht="15" customHeight="1"/>
    <row r="13629" ht="15" customHeight="1"/>
    <row r="13630" ht="15" customHeight="1"/>
    <row r="13631" ht="15" customHeight="1"/>
    <row r="13632" ht="15" customHeight="1"/>
    <row r="13633" ht="15" customHeight="1"/>
    <row r="13634" ht="15" customHeight="1"/>
    <row r="13635" ht="15" customHeight="1"/>
    <row r="13636" ht="15" customHeight="1"/>
    <row r="13637" ht="15" customHeight="1"/>
    <row r="13638" ht="15" customHeight="1"/>
    <row r="13639" ht="15" customHeight="1"/>
    <row r="13640" ht="15" customHeight="1"/>
    <row r="13641" ht="15" customHeight="1"/>
    <row r="13642" ht="15" customHeight="1"/>
    <row r="13643" ht="15" customHeight="1"/>
    <row r="13644" ht="15" customHeight="1"/>
    <row r="13645" ht="15" customHeight="1"/>
    <row r="13646" ht="15" customHeight="1"/>
    <row r="13647" ht="15" customHeight="1"/>
    <row r="13648" ht="15" customHeight="1"/>
    <row r="13649" ht="15" customHeight="1"/>
    <row r="13650" ht="15" customHeight="1"/>
    <row r="13651" ht="15" customHeight="1"/>
    <row r="13652" ht="15" customHeight="1"/>
    <row r="13653" ht="15" customHeight="1"/>
    <row r="13654" ht="15" customHeight="1"/>
    <row r="13655" ht="15" customHeight="1"/>
    <row r="13656" ht="15" customHeight="1"/>
    <row r="13657" ht="15" customHeight="1"/>
    <row r="13658" ht="15" customHeight="1"/>
    <row r="13659" ht="15" customHeight="1"/>
    <row r="13660" ht="15" customHeight="1"/>
    <row r="13661" ht="15" customHeight="1"/>
    <row r="13662" ht="15" customHeight="1"/>
    <row r="13663" ht="15" customHeight="1"/>
    <row r="13664" ht="15" customHeight="1"/>
    <row r="13665" ht="15" customHeight="1"/>
    <row r="13666" ht="15" customHeight="1"/>
    <row r="13667" ht="15" customHeight="1"/>
    <row r="13668" ht="15" customHeight="1"/>
    <row r="13669" ht="15" customHeight="1"/>
    <row r="13670" ht="15" customHeight="1"/>
    <row r="13671" ht="15" customHeight="1"/>
    <row r="13672" ht="15" customHeight="1"/>
    <row r="13673" ht="15" customHeight="1"/>
    <row r="13674" ht="15" customHeight="1"/>
    <row r="13675" ht="15" customHeight="1"/>
    <row r="13676" ht="15" customHeight="1"/>
    <row r="13677" ht="15" customHeight="1"/>
    <row r="13678" ht="15" customHeight="1"/>
    <row r="13679" ht="15" customHeight="1"/>
    <row r="13680" ht="15" customHeight="1"/>
    <row r="13681" ht="15" customHeight="1"/>
    <row r="13682" ht="15" customHeight="1"/>
    <row r="13683" ht="15" customHeight="1"/>
    <row r="13684" ht="15" customHeight="1"/>
    <row r="13685" ht="15" customHeight="1"/>
    <row r="13686" ht="15" customHeight="1"/>
    <row r="13687" ht="15" customHeight="1"/>
    <row r="13688" ht="15" customHeight="1"/>
    <row r="13689" ht="15" customHeight="1"/>
    <row r="13690" ht="15" customHeight="1"/>
    <row r="13691" ht="15" customHeight="1"/>
    <row r="13692" ht="15" customHeight="1"/>
    <row r="13693" ht="15" customHeight="1"/>
    <row r="13694" ht="15" customHeight="1"/>
    <row r="13695" ht="15" customHeight="1"/>
    <row r="13696" ht="15" customHeight="1"/>
    <row r="13697" ht="15" customHeight="1"/>
    <row r="13698" ht="15" customHeight="1"/>
    <row r="13699" ht="15" customHeight="1"/>
    <row r="13700" ht="15" customHeight="1"/>
    <row r="13701" ht="15" customHeight="1"/>
    <row r="13702" ht="15" customHeight="1"/>
    <row r="13703" ht="15" customHeight="1"/>
    <row r="13704" ht="15" customHeight="1"/>
    <row r="13705" ht="15" customHeight="1"/>
    <row r="13706" ht="15" customHeight="1"/>
    <row r="13707" ht="15" customHeight="1"/>
    <row r="13708" ht="15" customHeight="1"/>
    <row r="13709" ht="15" customHeight="1"/>
    <row r="13710" ht="15" customHeight="1"/>
    <row r="13711" ht="15" customHeight="1"/>
    <row r="13712" ht="15" customHeight="1"/>
    <row r="13713" ht="15" customHeight="1"/>
    <row r="13714" ht="15" customHeight="1"/>
    <row r="13715" ht="15" customHeight="1"/>
    <row r="13716" ht="15" customHeight="1"/>
    <row r="13717" ht="15" customHeight="1"/>
    <row r="13718" ht="15" customHeight="1"/>
    <row r="13719" ht="15" customHeight="1"/>
    <row r="13720" ht="15" customHeight="1"/>
    <row r="13721" ht="15" customHeight="1"/>
    <row r="13722" ht="15" customHeight="1"/>
    <row r="13723" ht="15" customHeight="1"/>
    <row r="13724" ht="15" customHeight="1"/>
    <row r="13725" ht="15" customHeight="1"/>
    <row r="13726" ht="15" customHeight="1"/>
    <row r="13727" ht="15" customHeight="1"/>
    <row r="13728" ht="15" customHeight="1"/>
    <row r="13729" ht="15" customHeight="1"/>
    <row r="13730" ht="15" customHeight="1"/>
    <row r="13731" ht="15" customHeight="1"/>
    <row r="13732" ht="15" customHeight="1"/>
    <row r="13733" ht="15" customHeight="1"/>
    <row r="13734" ht="15" customHeight="1"/>
    <row r="13735" ht="15" customHeight="1"/>
    <row r="13736" ht="15" customHeight="1"/>
    <row r="13737" ht="15" customHeight="1"/>
    <row r="13738" ht="15" customHeight="1"/>
    <row r="13739" ht="15" customHeight="1"/>
    <row r="13740" ht="15" customHeight="1"/>
    <row r="13741" ht="15" customHeight="1"/>
    <row r="13742" ht="15" customHeight="1"/>
    <row r="13743" ht="15" customHeight="1"/>
    <row r="13744" ht="15" customHeight="1"/>
    <row r="13745" ht="15" customHeight="1"/>
    <row r="13746" ht="15" customHeight="1"/>
    <row r="13747" ht="15" customHeight="1"/>
    <row r="13748" ht="15" customHeight="1"/>
    <row r="13749" ht="15" customHeight="1"/>
    <row r="13750" ht="15" customHeight="1"/>
    <row r="13751" ht="15" customHeight="1"/>
    <row r="13752" ht="15" customHeight="1"/>
    <row r="13753" ht="15" customHeight="1"/>
    <row r="13754" ht="15" customHeight="1"/>
    <row r="13755" ht="15" customHeight="1"/>
    <row r="13756" ht="15" customHeight="1"/>
    <row r="13757" ht="15" customHeight="1"/>
    <row r="13758" ht="15" customHeight="1"/>
    <row r="13759" ht="15" customHeight="1"/>
    <row r="13760" ht="15" customHeight="1"/>
    <row r="13761" ht="15" customHeight="1"/>
    <row r="13762" ht="15" customHeight="1"/>
    <row r="13763" ht="15" customHeight="1"/>
    <row r="13764" ht="15" customHeight="1"/>
    <row r="13765" ht="15" customHeight="1"/>
    <row r="13766" ht="15" customHeight="1"/>
    <row r="13767" ht="15" customHeight="1"/>
    <row r="13768" ht="15" customHeight="1"/>
    <row r="13769" ht="15" customHeight="1"/>
    <row r="13770" ht="15" customHeight="1"/>
    <row r="13771" ht="15" customHeight="1"/>
    <row r="13772" ht="15" customHeight="1"/>
    <row r="13773" ht="15" customHeight="1"/>
    <row r="13774" ht="15" customHeight="1"/>
    <row r="13775" ht="15" customHeight="1"/>
    <row r="13776" ht="15" customHeight="1"/>
    <row r="13777" ht="15" customHeight="1"/>
    <row r="13778" ht="15" customHeight="1"/>
    <row r="13779" ht="15" customHeight="1"/>
    <row r="13780" ht="15" customHeight="1"/>
    <row r="13781" ht="15" customHeight="1"/>
    <row r="13782" ht="15" customHeight="1"/>
    <row r="13783" ht="15" customHeight="1"/>
    <row r="13784" ht="15" customHeight="1"/>
    <row r="13785" ht="15" customHeight="1"/>
    <row r="13786" ht="15" customHeight="1"/>
    <row r="13787" ht="15" customHeight="1"/>
    <row r="13788" ht="15" customHeight="1"/>
    <row r="13789" ht="15" customHeight="1"/>
    <row r="13790" ht="15" customHeight="1"/>
    <row r="13791" ht="15" customHeight="1"/>
    <row r="13792" ht="15" customHeight="1"/>
    <row r="13793" ht="15" customHeight="1"/>
    <row r="13794" ht="15" customHeight="1"/>
    <row r="13795" ht="15" customHeight="1"/>
    <row r="13796" ht="15" customHeight="1"/>
    <row r="13797" ht="15" customHeight="1"/>
    <row r="13798" ht="15" customHeight="1"/>
    <row r="13799" ht="15" customHeight="1"/>
    <row r="13800" ht="15" customHeight="1"/>
    <row r="13801" ht="15" customHeight="1"/>
    <row r="13802" ht="15" customHeight="1"/>
    <row r="13803" ht="15" customHeight="1"/>
    <row r="13804" ht="15" customHeight="1"/>
    <row r="13805" ht="15" customHeight="1"/>
    <row r="13806" ht="15" customHeight="1"/>
    <row r="13807" ht="15" customHeight="1"/>
    <row r="13808" ht="15" customHeight="1"/>
    <row r="13809" ht="15" customHeight="1"/>
    <row r="13810" ht="15" customHeight="1"/>
    <row r="13811" ht="15" customHeight="1"/>
    <row r="13812" ht="15" customHeight="1"/>
    <row r="13813" ht="15" customHeight="1"/>
    <row r="13814" ht="15" customHeight="1"/>
    <row r="13815" ht="15" customHeight="1"/>
    <row r="13816" ht="15" customHeight="1"/>
    <row r="13817" ht="15" customHeight="1"/>
    <row r="13818" ht="15" customHeight="1"/>
    <row r="13819" ht="15" customHeight="1"/>
    <row r="13820" ht="15" customHeight="1"/>
    <row r="13821" ht="15" customHeight="1"/>
    <row r="13822" ht="15" customHeight="1"/>
    <row r="13823" ht="15" customHeight="1"/>
    <row r="13824" ht="15" customHeight="1"/>
    <row r="13825" ht="15" customHeight="1"/>
    <row r="13826" ht="15" customHeight="1"/>
    <row r="13827" ht="15" customHeight="1"/>
    <row r="13828" ht="15" customHeight="1"/>
    <row r="13829" ht="15" customHeight="1"/>
    <row r="13830" ht="15" customHeight="1"/>
    <row r="13831" ht="15" customHeight="1"/>
    <row r="13832" ht="15" customHeight="1"/>
    <row r="13833" ht="15" customHeight="1"/>
    <row r="13834" ht="15" customHeight="1"/>
    <row r="13835" ht="15" customHeight="1"/>
    <row r="13836" ht="15" customHeight="1"/>
    <row r="13837" ht="15" customHeight="1"/>
    <row r="13838" ht="15" customHeight="1"/>
    <row r="13839" ht="15" customHeight="1"/>
    <row r="13840" ht="15" customHeight="1"/>
    <row r="13841" ht="15" customHeight="1"/>
    <row r="13842" ht="15" customHeight="1"/>
    <row r="13843" ht="15" customHeight="1"/>
    <row r="13844" ht="15" customHeight="1"/>
    <row r="13845" ht="15" customHeight="1"/>
    <row r="13846" ht="15" customHeight="1"/>
    <row r="13847" ht="15" customHeight="1"/>
    <row r="13848" ht="15" customHeight="1"/>
    <row r="13849" ht="15" customHeight="1"/>
    <row r="13850" ht="15" customHeight="1"/>
    <row r="13851" ht="15" customHeight="1"/>
    <row r="13852" ht="15" customHeight="1"/>
    <row r="13853" ht="15" customHeight="1"/>
    <row r="13854" ht="15" customHeight="1"/>
    <row r="13855" ht="15" customHeight="1"/>
    <row r="13856" ht="15" customHeight="1"/>
    <row r="13857" ht="15" customHeight="1"/>
    <row r="13858" ht="15" customHeight="1"/>
    <row r="13859" ht="15" customHeight="1"/>
    <row r="13860" ht="15" customHeight="1"/>
    <row r="13861" ht="15" customHeight="1"/>
    <row r="13862" ht="15" customHeight="1"/>
    <row r="13863" ht="15" customHeight="1"/>
    <row r="13864" ht="15" customHeight="1"/>
    <row r="13865" ht="15" customHeight="1"/>
    <row r="13866" ht="15" customHeight="1"/>
    <row r="13867" ht="15" customHeight="1"/>
    <row r="13868" ht="15" customHeight="1"/>
    <row r="13869" ht="15" customHeight="1"/>
    <row r="13870" ht="15" customHeight="1"/>
    <row r="13871" ht="15" customHeight="1"/>
    <row r="13872" ht="15" customHeight="1"/>
    <row r="13873" ht="15" customHeight="1"/>
    <row r="13874" ht="15" customHeight="1"/>
    <row r="13875" ht="15" customHeight="1"/>
    <row r="13876" ht="15" customHeight="1"/>
    <row r="13877" ht="15" customHeight="1"/>
    <row r="13878" ht="15" customHeight="1"/>
    <row r="13879" ht="15" customHeight="1"/>
    <row r="13880" ht="15" customHeight="1"/>
    <row r="13881" ht="15" customHeight="1"/>
    <row r="13882" ht="15" customHeight="1"/>
    <row r="13883" ht="15" customHeight="1"/>
    <row r="13884" ht="15" customHeight="1"/>
    <row r="13885" ht="15" customHeight="1"/>
    <row r="13886" ht="15" customHeight="1"/>
    <row r="13887" ht="15" customHeight="1"/>
    <row r="13888" ht="15" customHeight="1"/>
    <row r="13889" ht="15" customHeight="1"/>
    <row r="13890" ht="15" customHeight="1"/>
    <row r="13891" ht="15" customHeight="1"/>
    <row r="13892" ht="15" customHeight="1"/>
    <row r="13893" ht="15" customHeight="1"/>
    <row r="13894" ht="15" customHeight="1"/>
    <row r="13895" ht="15" customHeight="1"/>
    <row r="13896" ht="15" customHeight="1"/>
    <row r="13897" ht="15" customHeight="1"/>
    <row r="13898" ht="15" customHeight="1"/>
    <row r="13899" ht="15" customHeight="1"/>
    <row r="13900" ht="15" customHeight="1"/>
    <row r="13901" ht="15" customHeight="1"/>
    <row r="13902" ht="15" customHeight="1"/>
    <row r="13903" ht="15" customHeight="1"/>
    <row r="13904" ht="15" customHeight="1"/>
    <row r="13905" ht="15" customHeight="1"/>
    <row r="13906" ht="15" customHeight="1"/>
    <row r="13907" ht="15" customHeight="1"/>
    <row r="13908" ht="15" customHeight="1"/>
    <row r="13909" ht="15" customHeight="1"/>
    <row r="13910" ht="15" customHeight="1"/>
    <row r="13911" ht="15" customHeight="1"/>
    <row r="13912" ht="15" customHeight="1"/>
    <row r="13913" ht="15" customHeight="1"/>
    <row r="13914" ht="15" customHeight="1"/>
    <row r="13915" ht="15" customHeight="1"/>
    <row r="13916" ht="15" customHeight="1"/>
    <row r="13917" ht="15" customHeight="1"/>
    <row r="13918" ht="15" customHeight="1"/>
    <row r="13919" ht="15" customHeight="1"/>
    <row r="13920" ht="15" customHeight="1"/>
    <row r="13921" ht="15" customHeight="1"/>
    <row r="13922" ht="15" customHeight="1"/>
    <row r="13923" ht="15" customHeight="1"/>
    <row r="13924" ht="15" customHeight="1"/>
    <row r="13925" ht="15" customHeight="1"/>
    <row r="13926" ht="15" customHeight="1"/>
    <row r="13927" ht="15" customHeight="1"/>
    <row r="13928" ht="15" customHeight="1"/>
    <row r="13929" ht="15" customHeight="1"/>
    <row r="13930" ht="15" customHeight="1"/>
    <row r="13931" ht="15" customHeight="1"/>
    <row r="13932" ht="15" customHeight="1"/>
    <row r="13933" ht="15" customHeight="1"/>
    <row r="13934" ht="15" customHeight="1"/>
    <row r="13935" ht="15" customHeight="1"/>
    <row r="13936" ht="15" customHeight="1"/>
    <row r="13937" ht="15" customHeight="1"/>
    <row r="13938" ht="15" customHeight="1"/>
    <row r="13939" ht="15" customHeight="1"/>
    <row r="13940" ht="15" customHeight="1"/>
    <row r="13941" ht="15" customHeight="1"/>
    <row r="13942" ht="15" customHeight="1"/>
    <row r="13943" ht="15" customHeight="1"/>
    <row r="13944" ht="15" customHeight="1"/>
    <row r="13945" ht="15" customHeight="1"/>
    <row r="13946" ht="15" customHeight="1"/>
    <row r="13947" ht="15" customHeight="1"/>
    <row r="13948" ht="15" customHeight="1"/>
    <row r="13949" ht="15" customHeight="1"/>
    <row r="13950" ht="15" customHeight="1"/>
    <row r="13951" ht="15" customHeight="1"/>
    <row r="13952" ht="15" customHeight="1"/>
    <row r="13953" ht="15" customHeight="1"/>
    <row r="13954" ht="15" customHeight="1"/>
    <row r="13955" ht="15" customHeight="1"/>
    <row r="13956" ht="15" customHeight="1"/>
    <row r="13957" ht="15" customHeight="1"/>
    <row r="13958" ht="15" customHeight="1"/>
    <row r="13959" ht="15" customHeight="1"/>
    <row r="13960" ht="15" customHeight="1"/>
    <row r="13961" ht="15" customHeight="1"/>
    <row r="13962" ht="15" customHeight="1"/>
    <row r="13963" ht="15" customHeight="1"/>
    <row r="13964" ht="15" customHeight="1"/>
    <row r="13965" ht="15" customHeight="1"/>
    <row r="13966" ht="15" customHeight="1"/>
    <row r="13967" ht="15" customHeight="1"/>
    <row r="13968" ht="15" customHeight="1"/>
    <row r="13969" ht="15" customHeight="1"/>
    <row r="13970" ht="15" customHeight="1"/>
    <row r="13971" ht="15" customHeight="1"/>
    <row r="13972" ht="15" customHeight="1"/>
    <row r="13973" ht="15" customHeight="1"/>
    <row r="13974" ht="15" customHeight="1"/>
    <row r="13975" ht="15" customHeight="1"/>
    <row r="13976" ht="15" customHeight="1"/>
    <row r="13977" ht="15" customHeight="1"/>
    <row r="13978" ht="15" customHeight="1"/>
    <row r="13979" ht="15" customHeight="1"/>
    <row r="13980" ht="15" customHeight="1"/>
    <row r="13981" ht="15" customHeight="1"/>
    <row r="13982" ht="15" customHeight="1"/>
    <row r="13983" ht="15" customHeight="1"/>
    <row r="13984" ht="15" customHeight="1"/>
    <row r="13985" ht="15" customHeight="1"/>
    <row r="13986" ht="15" customHeight="1"/>
    <row r="13987" ht="15" customHeight="1"/>
    <row r="13988" ht="15" customHeight="1"/>
    <row r="13989" ht="15" customHeight="1"/>
    <row r="13990" ht="15" customHeight="1"/>
    <row r="13991" ht="15" customHeight="1"/>
    <row r="13992" ht="15" customHeight="1"/>
    <row r="13993" ht="15" customHeight="1"/>
    <row r="13994" ht="15" customHeight="1"/>
    <row r="13995" ht="15" customHeight="1"/>
    <row r="13996" ht="15" customHeight="1"/>
    <row r="13997" ht="15" customHeight="1"/>
    <row r="13998" ht="15" customHeight="1"/>
    <row r="13999" ht="15" customHeight="1"/>
    <row r="14000" ht="15" customHeight="1"/>
    <row r="14001" ht="15" customHeight="1"/>
    <row r="14002" ht="15" customHeight="1"/>
    <row r="14003" ht="15" customHeight="1"/>
    <row r="14004" ht="15" customHeight="1"/>
    <row r="14005" ht="15" customHeight="1"/>
    <row r="14006" ht="15" customHeight="1"/>
    <row r="14007" ht="15" customHeight="1"/>
    <row r="14008" ht="15" customHeight="1"/>
    <row r="14009" ht="15" customHeight="1"/>
    <row r="14010" ht="15" customHeight="1"/>
    <row r="14011" ht="15" customHeight="1"/>
    <row r="14012" ht="15" customHeight="1"/>
    <row r="14013" ht="15" customHeight="1"/>
    <row r="14014" ht="15" customHeight="1"/>
    <row r="14015" ht="15" customHeight="1"/>
    <row r="14016" ht="15" customHeight="1"/>
    <row r="14017" ht="15" customHeight="1"/>
    <row r="14018" ht="15" customHeight="1"/>
    <row r="14019" ht="15" customHeight="1"/>
    <row r="14020" ht="15" customHeight="1"/>
    <row r="14021" ht="15" customHeight="1"/>
    <row r="14022" ht="15" customHeight="1"/>
    <row r="14023" ht="15" customHeight="1"/>
    <row r="14024" ht="15" customHeight="1"/>
    <row r="14025" ht="15" customHeight="1"/>
    <row r="14026" ht="15" customHeight="1"/>
    <row r="14027" ht="15" customHeight="1"/>
    <row r="14028" ht="15" customHeight="1"/>
    <row r="14029" ht="15" customHeight="1"/>
    <row r="14030" ht="15" customHeight="1"/>
    <row r="14031" ht="15" customHeight="1"/>
    <row r="14032" ht="15" customHeight="1"/>
    <row r="14033" ht="15" customHeight="1"/>
    <row r="14034" ht="15" customHeight="1"/>
    <row r="14035" ht="15" customHeight="1"/>
    <row r="14036" ht="15" customHeight="1"/>
    <row r="14037" ht="15" customHeight="1"/>
    <row r="14038" ht="15" customHeight="1"/>
    <row r="14039" ht="15" customHeight="1"/>
    <row r="14040" ht="15" customHeight="1"/>
    <row r="14041" ht="15" customHeight="1"/>
    <row r="14042" ht="15" customHeight="1"/>
    <row r="14043" ht="15" customHeight="1"/>
    <row r="14044" ht="15" customHeight="1"/>
    <row r="14045" ht="15" customHeight="1"/>
    <row r="14046" ht="15" customHeight="1"/>
    <row r="14047" ht="15" customHeight="1"/>
    <row r="14048" ht="15" customHeight="1"/>
    <row r="14049" ht="15" customHeight="1"/>
    <row r="14050" ht="15" customHeight="1"/>
    <row r="14051" ht="15" customHeight="1"/>
    <row r="14052" ht="15" customHeight="1"/>
    <row r="14053" ht="15" customHeight="1"/>
    <row r="14054" ht="15" customHeight="1"/>
    <row r="14055" ht="15" customHeight="1"/>
    <row r="14056" ht="15" customHeight="1"/>
    <row r="14057" ht="15" customHeight="1"/>
    <row r="14058" ht="15" customHeight="1"/>
    <row r="14059" ht="15" customHeight="1"/>
    <row r="14060" ht="15" customHeight="1"/>
    <row r="14061" ht="15" customHeight="1"/>
    <row r="14062" ht="15" customHeight="1"/>
    <row r="14063" ht="15" customHeight="1"/>
    <row r="14064" ht="15" customHeight="1"/>
    <row r="14065" ht="15" customHeight="1"/>
    <row r="14066" ht="15" customHeight="1"/>
    <row r="14067" ht="15" customHeight="1"/>
    <row r="14068" ht="15" customHeight="1"/>
    <row r="14069" ht="15" customHeight="1"/>
    <row r="14070" ht="15" customHeight="1"/>
    <row r="14071" ht="15" customHeight="1"/>
    <row r="14072" ht="15" customHeight="1"/>
    <row r="14073" ht="15" customHeight="1"/>
    <row r="14074" ht="15" customHeight="1"/>
    <row r="14075" ht="15" customHeight="1"/>
    <row r="14076" ht="15" customHeight="1"/>
    <row r="14077" ht="15" customHeight="1"/>
    <row r="14078" ht="15" customHeight="1"/>
    <row r="14079" ht="15" customHeight="1"/>
    <row r="14080" ht="15" customHeight="1"/>
    <row r="14081" ht="15" customHeight="1"/>
    <row r="14082" ht="15" customHeight="1"/>
    <row r="14083" ht="15" customHeight="1"/>
    <row r="14084" ht="15" customHeight="1"/>
    <row r="14085" ht="15" customHeight="1"/>
    <row r="14086" ht="15" customHeight="1"/>
    <row r="14087" ht="15" customHeight="1"/>
    <row r="14088" ht="15" customHeight="1"/>
    <row r="14089" ht="15" customHeight="1"/>
    <row r="14090" ht="15" customHeight="1"/>
    <row r="14091" ht="15" customHeight="1"/>
    <row r="14092" ht="15" customHeight="1"/>
    <row r="14093" ht="15" customHeight="1"/>
    <row r="14094" ht="15" customHeight="1"/>
    <row r="14095" ht="15" customHeight="1"/>
    <row r="14096" ht="15" customHeight="1"/>
    <row r="14097" ht="15" customHeight="1"/>
    <row r="14098" ht="15" customHeight="1"/>
    <row r="14099" ht="15" customHeight="1"/>
    <row r="14100" ht="15" customHeight="1"/>
    <row r="14101" ht="15" customHeight="1"/>
    <row r="14102" ht="15" customHeight="1"/>
    <row r="14103" ht="15" customHeight="1"/>
    <row r="14104" ht="15" customHeight="1"/>
    <row r="14105" ht="15" customHeight="1"/>
    <row r="14106" ht="15" customHeight="1"/>
    <row r="14107" ht="15" customHeight="1"/>
    <row r="14108" ht="15" customHeight="1"/>
    <row r="14109" ht="15" customHeight="1"/>
    <row r="14110" ht="15" customHeight="1"/>
    <row r="14111" ht="15" customHeight="1"/>
    <row r="14112" ht="15" customHeight="1"/>
    <row r="14113" ht="15" customHeight="1"/>
    <row r="14114" ht="15" customHeight="1"/>
    <row r="14115" ht="15" customHeight="1"/>
    <row r="14116" ht="15" customHeight="1"/>
    <row r="14117" ht="15" customHeight="1"/>
    <row r="14118" ht="15" customHeight="1"/>
    <row r="14119" ht="15" customHeight="1"/>
    <row r="14120" ht="15" customHeight="1"/>
    <row r="14121" ht="15" customHeight="1"/>
    <row r="14122" ht="15" customHeight="1"/>
    <row r="14123" ht="15" customHeight="1"/>
    <row r="14124" ht="15" customHeight="1"/>
    <row r="14125" ht="15" customHeight="1"/>
    <row r="14126" ht="15" customHeight="1"/>
    <row r="14127" ht="15" customHeight="1"/>
    <row r="14128" ht="15" customHeight="1"/>
    <row r="14129" ht="15" customHeight="1"/>
    <row r="14130" ht="15" customHeight="1"/>
    <row r="14131" ht="15" customHeight="1"/>
    <row r="14132" ht="15" customHeight="1"/>
    <row r="14133" ht="15" customHeight="1"/>
    <row r="14134" ht="15" customHeight="1"/>
    <row r="14135" ht="15" customHeight="1"/>
    <row r="14136" ht="15" customHeight="1"/>
    <row r="14137" ht="15" customHeight="1"/>
    <row r="14138" ht="15" customHeight="1"/>
    <row r="14139" ht="15" customHeight="1"/>
    <row r="14140" ht="15" customHeight="1"/>
    <row r="14141" ht="15" customHeight="1"/>
    <row r="14142" ht="15" customHeight="1"/>
    <row r="14143" ht="15" customHeight="1"/>
    <row r="14144" ht="15" customHeight="1"/>
    <row r="14145" ht="15" customHeight="1"/>
    <row r="14146" ht="15" customHeight="1"/>
    <row r="14147" ht="15" customHeight="1"/>
    <row r="14148" ht="15" customHeight="1"/>
    <row r="14149" ht="15" customHeight="1"/>
    <row r="14150" ht="15" customHeight="1"/>
    <row r="14151" ht="15" customHeight="1"/>
    <row r="14152" ht="15" customHeight="1"/>
    <row r="14153" ht="15" customHeight="1"/>
    <row r="14154" ht="15" customHeight="1"/>
    <row r="14155" ht="15" customHeight="1"/>
    <row r="14156" ht="15" customHeight="1"/>
    <row r="14157" ht="15" customHeight="1"/>
    <row r="14158" ht="15" customHeight="1"/>
    <row r="14159" ht="15" customHeight="1"/>
    <row r="14160" ht="15" customHeight="1"/>
    <row r="14161" ht="15" customHeight="1"/>
    <row r="14162" ht="15" customHeight="1"/>
    <row r="14163" ht="15" customHeight="1"/>
    <row r="14164" ht="15" customHeight="1"/>
    <row r="14165" ht="15" customHeight="1"/>
    <row r="14166" ht="15" customHeight="1"/>
    <row r="14167" ht="15" customHeight="1"/>
    <row r="14168" ht="15" customHeight="1"/>
    <row r="14169" ht="15" customHeight="1"/>
    <row r="14170" ht="15" customHeight="1"/>
    <row r="14171" ht="15" customHeight="1"/>
    <row r="14172" ht="15" customHeight="1"/>
    <row r="14173" ht="15" customHeight="1"/>
    <row r="14174" ht="15" customHeight="1"/>
    <row r="14175" ht="15" customHeight="1"/>
    <row r="14176" ht="15" customHeight="1"/>
    <row r="14177" ht="15" customHeight="1"/>
    <row r="14178" ht="15" customHeight="1"/>
    <row r="14179" ht="15" customHeight="1"/>
    <row r="14180" ht="15" customHeight="1"/>
    <row r="14181" ht="15" customHeight="1"/>
    <row r="14182" ht="15" customHeight="1"/>
    <row r="14183" ht="15" customHeight="1"/>
    <row r="14184" ht="15" customHeight="1"/>
    <row r="14185" ht="15" customHeight="1"/>
    <row r="14186" ht="15" customHeight="1"/>
    <row r="14187" ht="15" customHeight="1"/>
    <row r="14188" ht="15" customHeight="1"/>
    <row r="14189" ht="15" customHeight="1"/>
    <row r="14190" ht="15" customHeight="1"/>
    <row r="14191" ht="15" customHeight="1"/>
    <row r="14192" ht="15" customHeight="1"/>
    <row r="14193" ht="15" customHeight="1"/>
    <row r="14194" ht="15" customHeight="1"/>
    <row r="14195" ht="15" customHeight="1"/>
    <row r="14196" ht="15" customHeight="1"/>
    <row r="14197" ht="15" customHeight="1"/>
    <row r="14198" ht="15" customHeight="1"/>
    <row r="14199" ht="15" customHeight="1"/>
    <row r="14200" ht="15" customHeight="1"/>
    <row r="14201" ht="15" customHeight="1"/>
    <row r="14202" ht="15" customHeight="1"/>
    <row r="14203" ht="15" customHeight="1"/>
    <row r="14204" ht="15" customHeight="1"/>
    <row r="14205" ht="15" customHeight="1"/>
    <row r="14206" ht="15" customHeight="1"/>
    <row r="14207" ht="15" customHeight="1"/>
    <row r="14208" ht="15" customHeight="1"/>
    <row r="14209" ht="15" customHeight="1"/>
    <row r="14210" ht="15" customHeight="1"/>
    <row r="14211" ht="15" customHeight="1"/>
    <row r="14212" ht="15" customHeight="1"/>
    <row r="14213" ht="15" customHeight="1"/>
    <row r="14214" ht="15" customHeight="1"/>
    <row r="14215" ht="15" customHeight="1"/>
    <row r="14216" ht="15" customHeight="1"/>
    <row r="14217" ht="15" customHeight="1"/>
    <row r="14218" ht="15" customHeight="1"/>
    <row r="14219" ht="15" customHeight="1"/>
    <row r="14220" ht="15" customHeight="1"/>
    <row r="14221" ht="15" customHeight="1"/>
    <row r="14222" ht="15" customHeight="1"/>
    <row r="14223" ht="15" customHeight="1"/>
    <row r="14224" ht="15" customHeight="1"/>
    <row r="14225" ht="15" customHeight="1"/>
    <row r="14226" ht="15" customHeight="1"/>
    <row r="14227" ht="15" customHeight="1"/>
    <row r="14228" ht="15" customHeight="1"/>
    <row r="14229" ht="15" customHeight="1"/>
    <row r="14230" ht="15" customHeight="1"/>
    <row r="14231" ht="15" customHeight="1"/>
    <row r="14232" ht="15" customHeight="1"/>
    <row r="14233" ht="15" customHeight="1"/>
    <row r="14234" ht="15" customHeight="1"/>
    <row r="14235" ht="15" customHeight="1"/>
    <row r="14236" ht="15" customHeight="1"/>
    <row r="14237" ht="15" customHeight="1"/>
    <row r="14238" ht="15" customHeight="1"/>
    <row r="14239" ht="15" customHeight="1"/>
    <row r="14240" ht="15" customHeight="1"/>
    <row r="14241" ht="15" customHeight="1"/>
    <row r="14242" ht="15" customHeight="1"/>
    <row r="14243" ht="15" customHeight="1"/>
    <row r="14244" ht="15" customHeight="1"/>
    <row r="14245" ht="15" customHeight="1"/>
    <row r="14246" ht="15" customHeight="1"/>
    <row r="14247" ht="15" customHeight="1"/>
    <row r="14248" ht="15" customHeight="1"/>
    <row r="14249" ht="15" customHeight="1"/>
    <row r="14250" ht="15" customHeight="1"/>
    <row r="14251" ht="15" customHeight="1"/>
    <row r="14252" ht="15" customHeight="1"/>
    <row r="14253" ht="15" customHeight="1"/>
    <row r="14254" ht="15" customHeight="1"/>
    <row r="14255" ht="15" customHeight="1"/>
    <row r="14256" ht="15" customHeight="1"/>
    <row r="14257" ht="15" customHeight="1"/>
    <row r="14258" ht="15" customHeight="1"/>
    <row r="14259" ht="15" customHeight="1"/>
    <row r="14260" ht="15" customHeight="1"/>
    <row r="14261" ht="15" customHeight="1"/>
    <row r="14262" ht="15" customHeight="1"/>
    <row r="14263" ht="15" customHeight="1"/>
    <row r="14264" ht="15" customHeight="1"/>
    <row r="14265" ht="15" customHeight="1"/>
    <row r="14266" ht="15" customHeight="1"/>
    <row r="14267" ht="15" customHeight="1"/>
    <row r="14268" ht="15" customHeight="1"/>
    <row r="14269" ht="15" customHeight="1"/>
    <row r="14270" ht="15" customHeight="1"/>
    <row r="14271" ht="15" customHeight="1"/>
    <row r="14272" ht="15" customHeight="1"/>
    <row r="14273" ht="15" customHeight="1"/>
    <row r="14274" ht="15" customHeight="1"/>
    <row r="14275" ht="15" customHeight="1"/>
    <row r="14276" ht="15" customHeight="1"/>
    <row r="14277" ht="15" customHeight="1"/>
    <row r="14278" ht="15" customHeight="1"/>
    <row r="14279" ht="15" customHeight="1"/>
    <row r="14280" ht="15" customHeight="1"/>
    <row r="14281" ht="15" customHeight="1"/>
    <row r="14282" ht="15" customHeight="1"/>
    <row r="14283" ht="15" customHeight="1"/>
    <row r="14284" ht="15" customHeight="1"/>
    <row r="14285" ht="15" customHeight="1"/>
    <row r="14286" ht="15" customHeight="1"/>
    <row r="14287" ht="15" customHeight="1"/>
    <row r="14288" ht="15" customHeight="1"/>
    <row r="14289" ht="15" customHeight="1"/>
    <row r="14290" ht="15" customHeight="1"/>
    <row r="14291" ht="15" customHeight="1"/>
    <row r="14292" ht="15" customHeight="1"/>
    <row r="14293" ht="15" customHeight="1"/>
    <row r="14294" ht="15" customHeight="1"/>
    <row r="14295" ht="15" customHeight="1"/>
    <row r="14296" ht="15" customHeight="1"/>
    <row r="14297" ht="15" customHeight="1"/>
    <row r="14298" ht="15" customHeight="1"/>
    <row r="14299" ht="15" customHeight="1"/>
    <row r="14300" ht="15" customHeight="1"/>
    <row r="14301" ht="15" customHeight="1"/>
    <row r="14302" ht="15" customHeight="1"/>
    <row r="14303" ht="15" customHeight="1"/>
    <row r="14304" ht="15" customHeight="1"/>
    <row r="14305" ht="15" customHeight="1"/>
    <row r="14306" ht="15" customHeight="1"/>
    <row r="14307" ht="15" customHeight="1"/>
    <row r="14308" ht="15" customHeight="1"/>
    <row r="14309" ht="15" customHeight="1"/>
    <row r="14310" ht="15" customHeight="1"/>
    <row r="14311" ht="15" customHeight="1"/>
    <row r="14312" ht="15" customHeight="1"/>
    <row r="14313" ht="15" customHeight="1"/>
    <row r="14314" ht="15" customHeight="1"/>
    <row r="14315" ht="15" customHeight="1"/>
    <row r="14316" ht="15" customHeight="1"/>
    <row r="14317" ht="15" customHeight="1"/>
    <row r="14318" ht="15" customHeight="1"/>
    <row r="14319" ht="15" customHeight="1"/>
    <row r="14320" ht="15" customHeight="1"/>
    <row r="14321" ht="15" customHeight="1"/>
    <row r="14322" ht="15" customHeight="1"/>
    <row r="14323" ht="15" customHeight="1"/>
    <row r="14324" ht="15" customHeight="1"/>
    <row r="14325" ht="15" customHeight="1"/>
    <row r="14326" ht="15" customHeight="1"/>
    <row r="14327" ht="15" customHeight="1"/>
    <row r="14328" ht="15" customHeight="1"/>
    <row r="14329" ht="15" customHeight="1"/>
    <row r="14330" ht="15" customHeight="1"/>
    <row r="14331" ht="15" customHeight="1"/>
    <row r="14332" ht="15" customHeight="1"/>
    <row r="14333" ht="15" customHeight="1"/>
    <row r="14334" ht="15" customHeight="1"/>
    <row r="14335" ht="15" customHeight="1"/>
    <row r="14336" ht="15" customHeight="1"/>
    <row r="14337" ht="15" customHeight="1"/>
    <row r="14338" ht="15" customHeight="1"/>
    <row r="14339" ht="15" customHeight="1"/>
    <row r="14340" ht="15" customHeight="1"/>
    <row r="14341" ht="15" customHeight="1"/>
    <row r="14342" ht="15" customHeight="1"/>
    <row r="14343" ht="15" customHeight="1"/>
    <row r="14344" ht="15" customHeight="1"/>
    <row r="14345" ht="15" customHeight="1"/>
    <row r="14346" ht="15" customHeight="1"/>
    <row r="14347" ht="15" customHeight="1"/>
    <row r="14348" ht="15" customHeight="1"/>
    <row r="14349" ht="15" customHeight="1"/>
    <row r="14350" ht="15" customHeight="1"/>
    <row r="14351" ht="15" customHeight="1"/>
    <row r="14352" ht="15" customHeight="1"/>
    <row r="14353" ht="15" customHeight="1"/>
    <row r="14354" ht="15" customHeight="1"/>
    <row r="14355" ht="15" customHeight="1"/>
    <row r="14356" ht="15" customHeight="1"/>
    <row r="14357" ht="15" customHeight="1"/>
    <row r="14358" ht="15" customHeight="1"/>
    <row r="14359" ht="15" customHeight="1"/>
    <row r="14360" ht="15" customHeight="1"/>
    <row r="14361" ht="15" customHeight="1"/>
    <row r="14362" ht="15" customHeight="1"/>
    <row r="14363" ht="15" customHeight="1"/>
    <row r="14364" ht="15" customHeight="1"/>
    <row r="14365" ht="15" customHeight="1"/>
    <row r="14366" ht="15" customHeight="1"/>
    <row r="14367" ht="15" customHeight="1"/>
    <row r="14368" ht="15" customHeight="1"/>
    <row r="14369" ht="15" customHeight="1"/>
    <row r="14370" ht="15" customHeight="1"/>
    <row r="14371" ht="15" customHeight="1"/>
    <row r="14372" ht="15" customHeight="1"/>
    <row r="14373" ht="15" customHeight="1"/>
    <row r="14374" ht="15" customHeight="1"/>
    <row r="14375" ht="15" customHeight="1"/>
    <row r="14376" ht="15" customHeight="1"/>
    <row r="14377" ht="15" customHeight="1"/>
    <row r="14378" ht="15" customHeight="1"/>
    <row r="14379" ht="15" customHeight="1"/>
    <row r="14380" ht="15" customHeight="1"/>
    <row r="14381" ht="15" customHeight="1"/>
    <row r="14382" ht="15" customHeight="1"/>
    <row r="14383" ht="15" customHeight="1"/>
    <row r="14384" ht="15" customHeight="1"/>
    <row r="14385" ht="15" customHeight="1"/>
    <row r="14386" ht="15" customHeight="1"/>
    <row r="14387" ht="15" customHeight="1"/>
    <row r="14388" ht="15" customHeight="1"/>
    <row r="14389" ht="15" customHeight="1"/>
    <row r="14390" ht="15" customHeight="1"/>
    <row r="14391" ht="15" customHeight="1"/>
    <row r="14392" ht="15" customHeight="1"/>
    <row r="14393" ht="15" customHeight="1"/>
    <row r="14394" ht="15" customHeight="1"/>
    <row r="14395" ht="15" customHeight="1"/>
    <row r="14396" ht="15" customHeight="1"/>
    <row r="14397" ht="15" customHeight="1"/>
    <row r="14398" ht="15" customHeight="1"/>
    <row r="14399" ht="15" customHeight="1"/>
    <row r="14400" ht="15" customHeight="1"/>
    <row r="14401" ht="15" customHeight="1"/>
    <row r="14402" ht="15" customHeight="1"/>
    <row r="14403" ht="15" customHeight="1"/>
    <row r="14404" ht="15" customHeight="1"/>
    <row r="14405" ht="15" customHeight="1"/>
    <row r="14406" ht="15" customHeight="1"/>
    <row r="14407" ht="15" customHeight="1"/>
    <row r="14408" ht="15" customHeight="1"/>
    <row r="14409" ht="15" customHeight="1"/>
    <row r="14410" ht="15" customHeight="1"/>
    <row r="14411" ht="15" customHeight="1"/>
    <row r="14412" ht="15" customHeight="1"/>
    <row r="14413" ht="15" customHeight="1"/>
    <row r="14414" ht="15" customHeight="1"/>
    <row r="14415" ht="15" customHeight="1"/>
    <row r="14416" ht="15" customHeight="1"/>
    <row r="14417" ht="15" customHeight="1"/>
    <row r="14418" ht="15" customHeight="1"/>
    <row r="14419" ht="15" customHeight="1"/>
    <row r="14420" ht="15" customHeight="1"/>
    <row r="14421" ht="15" customHeight="1"/>
    <row r="14422" ht="15" customHeight="1"/>
    <row r="14423" ht="15" customHeight="1"/>
    <row r="14424" ht="15" customHeight="1"/>
    <row r="14425" ht="15" customHeight="1"/>
    <row r="14426" ht="15" customHeight="1"/>
    <row r="14427" ht="15" customHeight="1"/>
    <row r="14428" ht="15" customHeight="1"/>
    <row r="14429" ht="15" customHeight="1"/>
    <row r="14430" ht="15" customHeight="1"/>
    <row r="14431" ht="15" customHeight="1"/>
    <row r="14432" ht="15" customHeight="1"/>
    <row r="14433" ht="15" customHeight="1"/>
    <row r="14434" ht="15" customHeight="1"/>
    <row r="14435" ht="15" customHeight="1"/>
    <row r="14436" ht="15" customHeight="1"/>
    <row r="14437" ht="15" customHeight="1"/>
    <row r="14438" ht="15" customHeight="1"/>
    <row r="14439" ht="15" customHeight="1"/>
    <row r="14440" ht="15" customHeight="1"/>
    <row r="14441" ht="15" customHeight="1"/>
    <row r="14442" ht="15" customHeight="1"/>
    <row r="14443" ht="15" customHeight="1"/>
    <row r="14444" ht="15" customHeight="1"/>
    <row r="14445" ht="15" customHeight="1"/>
    <row r="14446" ht="15" customHeight="1"/>
    <row r="14447" ht="15" customHeight="1"/>
    <row r="14448" ht="15" customHeight="1"/>
    <row r="14449" ht="15" customHeight="1"/>
    <row r="14450" ht="15" customHeight="1"/>
    <row r="14451" ht="15" customHeight="1"/>
    <row r="14452" ht="15" customHeight="1"/>
    <row r="14453" ht="15" customHeight="1"/>
    <row r="14454" ht="15" customHeight="1"/>
    <row r="14455" ht="15" customHeight="1"/>
    <row r="14456" ht="15" customHeight="1"/>
    <row r="14457" ht="15" customHeight="1"/>
    <row r="14458" ht="15" customHeight="1"/>
    <row r="14459" ht="15" customHeight="1"/>
    <row r="14460" ht="15" customHeight="1"/>
    <row r="14461" ht="15" customHeight="1"/>
    <row r="14462" ht="15" customHeight="1"/>
    <row r="14463" ht="15" customHeight="1"/>
    <row r="14464" ht="15" customHeight="1"/>
    <row r="14465" ht="15" customHeight="1"/>
    <row r="14466" ht="15" customHeight="1"/>
    <row r="14467" ht="15" customHeight="1"/>
    <row r="14468" ht="15" customHeight="1"/>
    <row r="14469" ht="15" customHeight="1"/>
    <row r="14470" ht="15" customHeight="1"/>
    <row r="14471" ht="15" customHeight="1"/>
    <row r="14472" ht="15" customHeight="1"/>
    <row r="14473" ht="15" customHeight="1"/>
    <row r="14474" ht="15" customHeight="1"/>
    <row r="14475" ht="15" customHeight="1"/>
    <row r="14476" ht="15" customHeight="1"/>
    <row r="14477" ht="15" customHeight="1"/>
    <row r="14478" ht="15" customHeight="1"/>
    <row r="14479" ht="15" customHeight="1"/>
    <row r="14480" ht="15" customHeight="1"/>
    <row r="14481" ht="15" customHeight="1"/>
    <row r="14482" ht="15" customHeight="1"/>
    <row r="14483" ht="15" customHeight="1"/>
    <row r="14484" ht="15" customHeight="1"/>
    <row r="14485" ht="15" customHeight="1"/>
    <row r="14486" ht="15" customHeight="1"/>
    <row r="14487" ht="15" customHeight="1"/>
    <row r="14488" ht="15" customHeight="1"/>
    <row r="14489" ht="15" customHeight="1"/>
    <row r="14490" ht="15" customHeight="1"/>
    <row r="14491" ht="15" customHeight="1"/>
    <row r="14492" ht="15" customHeight="1"/>
    <row r="14493" ht="15" customHeight="1"/>
    <row r="14494" ht="15" customHeight="1"/>
    <row r="14495" ht="15" customHeight="1"/>
    <row r="14496" ht="15" customHeight="1"/>
    <row r="14497" ht="15" customHeight="1"/>
    <row r="14498" ht="15" customHeight="1"/>
    <row r="14499" ht="15" customHeight="1"/>
    <row r="14500" ht="15" customHeight="1"/>
    <row r="14501" ht="15" customHeight="1"/>
    <row r="14502" ht="15" customHeight="1"/>
    <row r="14503" ht="15" customHeight="1"/>
    <row r="14504" ht="15" customHeight="1"/>
    <row r="14505" ht="15" customHeight="1"/>
    <row r="14506" ht="15" customHeight="1"/>
    <row r="14507" ht="15" customHeight="1"/>
    <row r="14508" ht="15" customHeight="1"/>
    <row r="14509" ht="15" customHeight="1"/>
    <row r="14510" ht="15" customHeight="1"/>
    <row r="14511" ht="15" customHeight="1"/>
    <row r="14512" ht="15" customHeight="1"/>
    <row r="14513" ht="15" customHeight="1"/>
    <row r="14514" ht="15" customHeight="1"/>
    <row r="14515" ht="15" customHeight="1"/>
    <row r="14516" ht="15" customHeight="1"/>
    <row r="14517" ht="15" customHeight="1"/>
    <row r="14518" ht="15" customHeight="1"/>
    <row r="14519" ht="15" customHeight="1"/>
    <row r="14520" ht="15" customHeight="1"/>
    <row r="14521" ht="15" customHeight="1"/>
    <row r="14522" ht="15" customHeight="1"/>
    <row r="14523" ht="15" customHeight="1"/>
    <row r="14524" ht="15" customHeight="1"/>
    <row r="14525" ht="15" customHeight="1"/>
    <row r="14526" ht="15" customHeight="1"/>
    <row r="14527" ht="15" customHeight="1"/>
    <row r="14528" ht="15" customHeight="1"/>
    <row r="14529" ht="15" customHeight="1"/>
    <row r="14530" ht="15" customHeight="1"/>
    <row r="14531" ht="15" customHeight="1"/>
    <row r="14532" ht="15" customHeight="1"/>
    <row r="14533" ht="15" customHeight="1"/>
    <row r="14534" ht="15" customHeight="1"/>
    <row r="14535" ht="15" customHeight="1"/>
    <row r="14536" ht="15" customHeight="1"/>
    <row r="14537" ht="15" customHeight="1"/>
    <row r="14538" ht="15" customHeight="1"/>
    <row r="14539" ht="15" customHeight="1"/>
    <row r="14540" ht="15" customHeight="1"/>
    <row r="14541" ht="15" customHeight="1"/>
    <row r="14542" ht="15" customHeight="1"/>
    <row r="14543" ht="15" customHeight="1"/>
    <row r="14544" ht="15" customHeight="1"/>
    <row r="14545" ht="15" customHeight="1"/>
    <row r="14546" ht="15" customHeight="1"/>
    <row r="14547" ht="15" customHeight="1"/>
    <row r="14548" ht="15" customHeight="1"/>
    <row r="14549" ht="15" customHeight="1"/>
    <row r="14550" ht="15" customHeight="1"/>
    <row r="14551" ht="15" customHeight="1"/>
    <row r="14552" ht="15" customHeight="1"/>
    <row r="14553" ht="15" customHeight="1"/>
    <row r="14554" ht="15" customHeight="1"/>
    <row r="14555" ht="15" customHeight="1"/>
    <row r="14556" ht="15" customHeight="1"/>
    <row r="14557" ht="15" customHeight="1"/>
    <row r="14558" ht="15" customHeight="1"/>
    <row r="14559" ht="15" customHeight="1"/>
    <row r="14560" ht="15" customHeight="1"/>
    <row r="14561" ht="15" customHeight="1"/>
    <row r="14562" ht="15" customHeight="1"/>
    <row r="14563" ht="15" customHeight="1"/>
    <row r="14564" ht="15" customHeight="1"/>
    <row r="14565" ht="15" customHeight="1"/>
    <row r="14566" ht="15" customHeight="1"/>
    <row r="14567" ht="15" customHeight="1"/>
    <row r="14568" ht="15" customHeight="1"/>
    <row r="14569" ht="15" customHeight="1"/>
    <row r="14570" ht="15" customHeight="1"/>
    <row r="14571" ht="15" customHeight="1"/>
    <row r="14572" ht="15" customHeight="1"/>
    <row r="14573" ht="15" customHeight="1"/>
    <row r="14574" ht="15" customHeight="1"/>
    <row r="14575" ht="15" customHeight="1"/>
    <row r="14576" ht="15" customHeight="1"/>
    <row r="14577" ht="15" customHeight="1"/>
    <row r="14578" ht="15" customHeight="1"/>
    <row r="14579" ht="15" customHeight="1"/>
    <row r="14580" ht="15" customHeight="1"/>
    <row r="14581" ht="15" customHeight="1"/>
    <row r="14582" ht="15" customHeight="1"/>
    <row r="14583" ht="15" customHeight="1"/>
    <row r="14584" ht="15" customHeight="1"/>
    <row r="14585" ht="15" customHeight="1"/>
    <row r="14586" ht="15" customHeight="1"/>
    <row r="14587" ht="15" customHeight="1"/>
    <row r="14588" ht="15" customHeight="1"/>
    <row r="14589" ht="15" customHeight="1"/>
    <row r="14590" ht="15" customHeight="1"/>
    <row r="14591" ht="15" customHeight="1"/>
    <row r="14592" ht="15" customHeight="1"/>
    <row r="14593" ht="15" customHeight="1"/>
    <row r="14594" ht="15" customHeight="1"/>
    <row r="14595" ht="15" customHeight="1"/>
    <row r="14596" ht="15" customHeight="1"/>
    <row r="14597" ht="15" customHeight="1"/>
    <row r="14598" ht="15" customHeight="1"/>
    <row r="14599" ht="15" customHeight="1"/>
    <row r="14600" ht="15" customHeight="1"/>
    <row r="14601" ht="15" customHeight="1"/>
    <row r="14602" ht="15" customHeight="1"/>
    <row r="14603" ht="15" customHeight="1"/>
    <row r="14604" ht="15" customHeight="1"/>
    <row r="14605" ht="15" customHeight="1"/>
    <row r="14606" ht="15" customHeight="1"/>
    <row r="14607" ht="15" customHeight="1"/>
    <row r="14608" ht="15" customHeight="1"/>
    <row r="14609" ht="15" customHeight="1"/>
    <row r="14610" ht="15" customHeight="1"/>
    <row r="14611" ht="15" customHeight="1"/>
    <row r="14612" ht="15" customHeight="1"/>
    <row r="14613" ht="15" customHeight="1"/>
    <row r="14614" ht="9.75" customHeight="1"/>
    <row r="14615" ht="15" customHeight="1"/>
    <row r="14616" ht="15" customHeight="1"/>
    <row r="14617" ht="15" customHeight="1"/>
    <row r="14618" ht="15" customHeight="1"/>
    <row r="14619" ht="15" customHeight="1"/>
    <row r="14620" ht="15" customHeight="1"/>
    <row r="14621" ht="15" customHeight="1"/>
    <row r="14622" ht="15" customHeight="1"/>
    <row r="14623" ht="15" customHeight="1"/>
    <row r="14624" ht="15" customHeight="1"/>
    <row r="14625" ht="15" customHeight="1"/>
    <row r="14626" ht="15" customHeight="1"/>
    <row r="14627" ht="15" customHeight="1"/>
    <row r="14628" ht="15" customHeight="1"/>
    <row r="14629" ht="15" customHeight="1"/>
    <row r="14630" ht="15" customHeight="1"/>
    <row r="14631" ht="15" customHeight="1"/>
    <row r="14632" ht="15" customHeight="1"/>
    <row r="14633" ht="15" customHeight="1"/>
    <row r="14634" ht="15" customHeight="1"/>
    <row r="14635" ht="15" customHeight="1"/>
    <row r="14636" ht="15" customHeight="1"/>
    <row r="14637" ht="15" customHeight="1"/>
    <row r="14638" ht="15" customHeight="1"/>
    <row r="14639" ht="15" customHeight="1"/>
    <row r="14640" ht="15" customHeight="1"/>
    <row r="14641" ht="15" customHeight="1"/>
    <row r="14642" ht="15" customHeight="1"/>
    <row r="14643" ht="15" customHeight="1"/>
    <row r="14644" ht="15" customHeight="1"/>
    <row r="14645" ht="15" customHeight="1"/>
    <row r="14646" ht="15" customHeight="1"/>
    <row r="14647" ht="15" customHeight="1"/>
    <row r="14648" ht="15" customHeight="1"/>
    <row r="14649" ht="15" customHeight="1"/>
    <row r="14650" ht="15" customHeight="1"/>
    <row r="14651" ht="15" customHeight="1"/>
    <row r="14652" ht="15" customHeight="1"/>
    <row r="14653" ht="15" customHeight="1"/>
    <row r="14654" ht="15" customHeight="1"/>
    <row r="14655" ht="15" customHeight="1"/>
    <row r="14656" ht="15" customHeight="1"/>
    <row r="14657" ht="15" customHeight="1"/>
    <row r="14658" ht="15" customHeight="1"/>
    <row r="14659" ht="15" customHeight="1"/>
    <row r="14660" ht="15" customHeight="1"/>
    <row r="14661" ht="15" customHeight="1"/>
    <row r="14662" ht="15" customHeight="1"/>
    <row r="14663" ht="15" customHeight="1"/>
    <row r="14664" ht="15" customHeight="1"/>
    <row r="14665" ht="15" customHeight="1"/>
    <row r="14666" ht="15" customHeight="1"/>
    <row r="14667" ht="15" customHeight="1"/>
    <row r="14668" ht="15" customHeight="1"/>
    <row r="14669" ht="15" customHeight="1"/>
    <row r="14670" ht="15" customHeight="1"/>
    <row r="14671" ht="15" customHeight="1"/>
    <row r="14672" ht="15" customHeight="1"/>
    <row r="14673" ht="15" customHeight="1"/>
    <row r="14674" ht="15" customHeight="1"/>
    <row r="14675" ht="15" customHeight="1"/>
    <row r="14676" ht="15" customHeight="1"/>
    <row r="14677" ht="15" customHeight="1"/>
    <row r="14678" ht="15" customHeight="1"/>
    <row r="14679" ht="15" customHeight="1"/>
    <row r="14680" ht="15" customHeight="1"/>
    <row r="14681" ht="15" customHeight="1"/>
    <row r="14682" ht="15" customHeight="1"/>
    <row r="14683" ht="15" customHeight="1"/>
    <row r="14684" ht="15" customHeight="1"/>
    <row r="14685" ht="15" customHeight="1"/>
    <row r="14686" ht="15" customHeight="1"/>
    <row r="14687" ht="15" customHeight="1"/>
    <row r="14688" ht="15" customHeight="1"/>
    <row r="14689" ht="15" customHeight="1"/>
    <row r="14690" ht="15" customHeight="1"/>
    <row r="14691" ht="15" customHeight="1"/>
    <row r="14692" ht="15" customHeight="1"/>
    <row r="14693" ht="15" customHeight="1"/>
    <row r="14694" ht="15" customHeight="1"/>
    <row r="14695" ht="15" customHeight="1"/>
    <row r="14696" ht="15" customHeight="1"/>
    <row r="14697" ht="15" customHeight="1"/>
    <row r="14698" ht="15" customHeight="1"/>
    <row r="14699" ht="15" customHeight="1"/>
    <row r="14700" ht="15" customHeight="1"/>
    <row r="14701" ht="15" customHeight="1"/>
    <row r="14702" ht="15" customHeight="1"/>
    <row r="14703" ht="15" customHeight="1"/>
    <row r="14704" ht="15" customHeight="1"/>
    <row r="14705" ht="15" customHeight="1"/>
    <row r="14706" ht="15" customHeight="1"/>
    <row r="14707" ht="15" customHeight="1"/>
    <row r="14708" ht="15" customHeight="1"/>
    <row r="14709" ht="15" customHeight="1"/>
    <row r="14710" ht="15" customHeight="1"/>
    <row r="14711" ht="15" customHeight="1"/>
    <row r="14712" ht="15" customHeight="1"/>
    <row r="14713" ht="15" customHeight="1"/>
    <row r="14714" ht="15" customHeight="1"/>
    <row r="14715" ht="15" customHeight="1"/>
    <row r="14716" ht="15" customHeight="1"/>
    <row r="14717" ht="15" customHeight="1"/>
    <row r="14718" ht="15" customHeight="1"/>
    <row r="14719" ht="15" customHeight="1"/>
    <row r="14720" ht="15" customHeight="1"/>
    <row r="14721" ht="15" customHeight="1"/>
    <row r="14722" ht="15" customHeight="1"/>
    <row r="14723" ht="15" customHeight="1"/>
    <row r="14724" ht="15" customHeight="1"/>
    <row r="14725" ht="15" customHeight="1"/>
    <row r="14726" ht="15" customHeight="1"/>
    <row r="14727" ht="15" customHeight="1"/>
    <row r="14728" ht="15" customHeight="1"/>
    <row r="14729" ht="15" customHeight="1"/>
    <row r="14730" ht="15" customHeight="1"/>
    <row r="14731" ht="15" customHeight="1"/>
    <row r="14732" ht="15" customHeight="1"/>
    <row r="14733" ht="15" customHeight="1"/>
    <row r="14734" ht="15" customHeight="1"/>
    <row r="14735" ht="15" customHeight="1"/>
    <row r="14736" ht="15" customHeight="1"/>
    <row r="14737" ht="15" customHeight="1"/>
    <row r="14738" ht="15" customHeight="1"/>
    <row r="14739" ht="15" customHeight="1"/>
    <row r="14740" ht="15" customHeight="1"/>
    <row r="14741" ht="15" customHeight="1"/>
    <row r="14742" ht="15" customHeight="1"/>
    <row r="14743" ht="15" customHeight="1"/>
    <row r="14744" ht="15" customHeight="1"/>
    <row r="14745" ht="15" customHeight="1"/>
    <row r="14746" ht="15" customHeight="1"/>
    <row r="14747" ht="15" customHeight="1"/>
    <row r="14748" ht="15" customHeight="1"/>
    <row r="14749" ht="15" customHeight="1"/>
    <row r="14750" ht="15" customHeight="1"/>
    <row r="14751" ht="15" customHeight="1"/>
    <row r="14752" ht="15" customHeight="1"/>
    <row r="14753" ht="15" customHeight="1"/>
    <row r="14754" ht="15" customHeight="1"/>
    <row r="14755" ht="15" customHeight="1"/>
    <row r="14756" ht="15" customHeight="1"/>
    <row r="14757" ht="15" customHeight="1"/>
    <row r="14758" ht="15" customHeight="1"/>
    <row r="14759" ht="15" customHeight="1"/>
    <row r="14760" ht="15" customHeight="1"/>
    <row r="14761" ht="15" customHeight="1"/>
    <row r="14762" ht="15" customHeight="1"/>
    <row r="14763" ht="15" customHeight="1"/>
    <row r="14764" ht="15" customHeight="1"/>
    <row r="14765" ht="15" customHeight="1"/>
    <row r="14766" ht="15" customHeight="1"/>
    <row r="14767" ht="15" customHeight="1"/>
    <row r="14768" ht="15" customHeight="1"/>
    <row r="14769" ht="15" customHeight="1"/>
    <row r="14770" ht="15" customHeight="1"/>
    <row r="14771" ht="15" customHeight="1"/>
    <row r="14772" ht="15" customHeight="1"/>
    <row r="14773" ht="15" customHeight="1"/>
    <row r="14774" ht="15" customHeight="1"/>
    <row r="14775" ht="15" customHeight="1"/>
    <row r="14776" ht="15" customHeight="1"/>
    <row r="14777" ht="15" customHeight="1"/>
    <row r="14778" ht="15" customHeight="1"/>
    <row r="14779" ht="15" customHeight="1"/>
    <row r="14780" ht="15" customHeight="1"/>
    <row r="14781" ht="15" customHeight="1"/>
    <row r="14782" ht="15" customHeight="1"/>
    <row r="14783" ht="15" customHeight="1"/>
    <row r="14784" ht="15" customHeight="1"/>
    <row r="14785" ht="15" customHeight="1"/>
    <row r="14786" ht="15" customHeight="1"/>
    <row r="14787" ht="15" customHeight="1"/>
    <row r="14788" ht="15" customHeight="1"/>
    <row r="14789" ht="15" customHeight="1"/>
    <row r="14790" ht="15" customHeight="1"/>
    <row r="14791" ht="15" customHeight="1"/>
    <row r="14792" ht="15" customHeight="1"/>
    <row r="14793" ht="15" customHeight="1"/>
    <row r="14794" ht="15" customHeight="1"/>
    <row r="14795" ht="15" customHeight="1"/>
    <row r="14796" ht="15" customHeight="1"/>
    <row r="14797" ht="15" customHeight="1"/>
    <row r="14798" ht="15" customHeight="1"/>
    <row r="14799" ht="15" customHeight="1"/>
    <row r="14800" ht="15" customHeight="1"/>
    <row r="14801" ht="15" customHeight="1"/>
    <row r="14802" ht="15" customHeight="1"/>
    <row r="14803" ht="15" customHeight="1"/>
    <row r="14804" ht="15" customHeight="1"/>
    <row r="14805" ht="15" customHeight="1"/>
    <row r="14806" ht="15" customHeight="1"/>
    <row r="14807" ht="15" customHeight="1"/>
    <row r="14808" ht="15" customHeight="1"/>
    <row r="14809" ht="15" customHeight="1"/>
    <row r="14810" ht="15" customHeight="1"/>
    <row r="14811" ht="15" customHeight="1"/>
    <row r="14812" ht="15" customHeight="1"/>
    <row r="14813" ht="15" customHeight="1"/>
    <row r="14814" ht="15" customHeight="1"/>
    <row r="14815" ht="15" customHeight="1"/>
    <row r="14816" ht="15" customHeight="1"/>
    <row r="14817" ht="15" customHeight="1"/>
    <row r="14818" ht="15" customHeight="1"/>
    <row r="14819" ht="15" customHeight="1"/>
    <row r="14820" ht="15" customHeight="1"/>
    <row r="14821" ht="15" customHeight="1"/>
    <row r="14822" ht="15" customHeight="1"/>
    <row r="14823" ht="15" customHeight="1"/>
    <row r="14824" ht="15" customHeight="1"/>
    <row r="14825" ht="15" customHeight="1"/>
    <row r="14826" ht="15" customHeight="1"/>
    <row r="14827" ht="15" customHeight="1"/>
    <row r="14828" ht="15" customHeight="1"/>
    <row r="14829" ht="15" customHeight="1"/>
    <row r="14830" ht="15" customHeight="1"/>
    <row r="14831" ht="15" customHeight="1"/>
    <row r="14832" ht="15" customHeight="1"/>
    <row r="14833" ht="15" customHeight="1"/>
    <row r="14834" ht="15" customHeight="1"/>
    <row r="14835" ht="15" customHeight="1"/>
    <row r="14836" ht="15" customHeight="1"/>
    <row r="14837" ht="15" customHeight="1"/>
    <row r="14838" ht="15" customHeight="1"/>
    <row r="14839" ht="15" customHeight="1"/>
    <row r="14840" ht="15" customHeight="1"/>
    <row r="14841" ht="15" customHeight="1"/>
    <row r="14842" ht="15" customHeight="1"/>
    <row r="14843" ht="15" customHeight="1"/>
    <row r="14844" ht="15" customHeight="1"/>
    <row r="14845" ht="15" customHeight="1"/>
    <row r="14846" ht="15" customHeight="1"/>
    <row r="14847" ht="15" customHeight="1"/>
    <row r="14848" ht="15" customHeight="1"/>
    <row r="14849" ht="15" customHeight="1"/>
    <row r="14850" ht="15" customHeight="1"/>
    <row r="14851" ht="15" customHeight="1"/>
    <row r="14852" ht="15" customHeight="1"/>
    <row r="14853" ht="15" customHeight="1"/>
    <row r="14854" ht="15" customHeight="1"/>
    <row r="14855" ht="15" customHeight="1"/>
    <row r="14856" ht="15" customHeight="1"/>
    <row r="14857" ht="15" customHeight="1"/>
    <row r="14858" ht="15" customHeight="1"/>
    <row r="14859" ht="15" customHeight="1"/>
    <row r="14860" ht="15" customHeight="1"/>
    <row r="14861" ht="15" customHeight="1"/>
    <row r="14862" ht="15" customHeight="1"/>
    <row r="14863" ht="15" customHeight="1"/>
    <row r="14864" ht="15" customHeight="1"/>
    <row r="14865" ht="15" customHeight="1"/>
    <row r="14866" ht="15" customHeight="1"/>
    <row r="14867" ht="15" customHeight="1"/>
    <row r="14868" ht="15" customHeight="1"/>
    <row r="14869" ht="15" customHeight="1"/>
    <row r="14870" ht="15" customHeight="1"/>
    <row r="14871" ht="15" customHeight="1"/>
    <row r="14872" ht="15" customHeight="1"/>
    <row r="14873" ht="15" customHeight="1"/>
    <row r="14874" ht="15" customHeight="1"/>
    <row r="14875" ht="15" customHeight="1"/>
    <row r="14876" ht="15" customHeight="1"/>
    <row r="14877" ht="15" customHeight="1"/>
    <row r="14878" ht="15" customHeight="1"/>
    <row r="14879" ht="15" customHeight="1"/>
    <row r="14880" ht="15" customHeight="1"/>
    <row r="14881" ht="15" customHeight="1"/>
    <row r="14882" ht="15" customHeight="1"/>
    <row r="14883" ht="15" customHeight="1"/>
    <row r="14884" ht="15" customHeight="1"/>
    <row r="14885" ht="15" customHeight="1"/>
    <row r="14886" ht="15" customHeight="1"/>
    <row r="14887" ht="15" customHeight="1"/>
    <row r="14888" ht="15" customHeight="1"/>
    <row r="14889" ht="15" customHeight="1"/>
    <row r="14890" ht="15" customHeight="1"/>
    <row r="14891" ht="15" customHeight="1"/>
    <row r="14892" ht="15" customHeight="1"/>
    <row r="14893" ht="15" customHeight="1"/>
    <row r="14894" ht="15" customHeight="1"/>
    <row r="14895" ht="15" customHeight="1"/>
    <row r="14896" ht="15" customHeight="1"/>
    <row r="14897" ht="15" customHeight="1"/>
    <row r="14898" ht="15" customHeight="1"/>
    <row r="14899" ht="15" customHeight="1"/>
    <row r="14900" ht="15" customHeight="1"/>
    <row r="14901" ht="15" customHeight="1"/>
    <row r="14902" ht="15" customHeight="1"/>
    <row r="14903" ht="15" customHeight="1"/>
    <row r="14904" ht="15" customHeight="1"/>
    <row r="14905" ht="15" customHeight="1"/>
    <row r="14906" ht="15" customHeight="1"/>
    <row r="14907" ht="15" customHeight="1"/>
    <row r="14908" ht="15" customHeight="1"/>
    <row r="14909" ht="15" customHeight="1"/>
    <row r="14910" ht="15" customHeight="1"/>
    <row r="14911" ht="15" customHeight="1"/>
    <row r="14912" ht="15" customHeight="1"/>
    <row r="14913" ht="15" customHeight="1"/>
    <row r="14914" ht="15" customHeight="1"/>
    <row r="14915" ht="15" customHeight="1"/>
    <row r="14916" ht="15" customHeight="1"/>
    <row r="14917" ht="15" customHeight="1"/>
    <row r="14918" ht="15" customHeight="1"/>
    <row r="14919" ht="15" customHeight="1"/>
    <row r="14920" ht="15" customHeight="1"/>
    <row r="14921" ht="15" customHeight="1"/>
    <row r="14922" ht="15" customHeight="1"/>
    <row r="14923" ht="15" customHeight="1"/>
    <row r="14924" ht="15" customHeight="1"/>
    <row r="14925" ht="15" customHeight="1"/>
    <row r="14926" ht="15" customHeight="1"/>
    <row r="14927" ht="15" customHeight="1"/>
    <row r="14928" ht="15" customHeight="1"/>
    <row r="14929" ht="15" customHeight="1"/>
    <row r="14930" ht="15" customHeight="1"/>
    <row r="14931" ht="15" customHeight="1"/>
    <row r="14932" ht="15" customHeight="1"/>
    <row r="14933" ht="15" customHeight="1"/>
    <row r="14934" ht="15" customHeight="1"/>
    <row r="14935" ht="15" customHeight="1"/>
    <row r="14936" ht="15" customHeight="1"/>
    <row r="14937" ht="15" customHeight="1"/>
    <row r="14938" ht="15" customHeight="1"/>
    <row r="14939" ht="15" customHeight="1"/>
    <row r="14940" ht="15" customHeight="1"/>
    <row r="14941" ht="15" customHeight="1"/>
    <row r="14942" ht="15" customHeight="1"/>
    <row r="14943" ht="15" customHeight="1"/>
    <row r="14944" ht="15" customHeight="1"/>
    <row r="14945" ht="15" customHeight="1"/>
    <row r="14946" ht="15" customHeight="1"/>
    <row r="14947" ht="15" customHeight="1"/>
    <row r="14948" ht="15" customHeight="1"/>
    <row r="14949" ht="15" customHeight="1"/>
    <row r="14950" ht="15" customHeight="1"/>
    <row r="14951" ht="15" customHeight="1"/>
    <row r="14952" ht="15" customHeight="1"/>
    <row r="14953" ht="15" customHeight="1"/>
    <row r="14954" ht="15" customHeight="1"/>
    <row r="14955" ht="15" customHeight="1"/>
    <row r="14956" ht="15" customHeight="1"/>
    <row r="14957" ht="15" customHeight="1"/>
    <row r="14958" ht="15" customHeight="1"/>
    <row r="14959" ht="15" customHeight="1"/>
    <row r="14960" ht="15" customHeight="1"/>
    <row r="14961" ht="15" customHeight="1"/>
    <row r="14962" ht="15" customHeight="1"/>
    <row r="14963" ht="15" customHeight="1"/>
    <row r="14964" ht="15" customHeight="1"/>
    <row r="14965" ht="15" customHeight="1"/>
    <row r="14966" ht="15" customHeight="1"/>
    <row r="14967" ht="15" customHeight="1"/>
    <row r="14968" ht="15" customHeight="1"/>
    <row r="14969" ht="15" customHeight="1"/>
    <row r="14970" ht="15" customHeight="1"/>
    <row r="14971" ht="15" customHeight="1"/>
    <row r="14972" ht="15" customHeight="1"/>
    <row r="14973" ht="15" customHeight="1"/>
    <row r="14974" ht="15" customHeight="1"/>
    <row r="14975" ht="15" customHeight="1"/>
    <row r="14976" ht="15" customHeight="1"/>
    <row r="14977" ht="15" customHeight="1"/>
    <row r="14978" ht="15" customHeight="1"/>
    <row r="14979" ht="15" customHeight="1"/>
    <row r="14980" ht="15" customHeight="1"/>
    <row r="14981" ht="15" customHeight="1"/>
    <row r="14982" ht="15" customHeight="1"/>
    <row r="14983" ht="15" customHeight="1"/>
    <row r="14984" ht="15" customHeight="1"/>
    <row r="14985" ht="15" customHeight="1"/>
    <row r="14986" ht="15" customHeight="1"/>
    <row r="14987" ht="15" customHeight="1"/>
    <row r="14988" ht="15" customHeight="1"/>
    <row r="14989" ht="15" customHeight="1"/>
    <row r="14990" ht="15" customHeight="1"/>
    <row r="14991" ht="15" customHeight="1"/>
    <row r="14992" ht="15" customHeight="1"/>
    <row r="14993" ht="15" customHeight="1"/>
    <row r="14994" ht="15" customHeight="1"/>
    <row r="14995" ht="15" customHeight="1"/>
    <row r="14996" ht="15" customHeight="1"/>
    <row r="14997" ht="15" customHeight="1"/>
    <row r="14998" ht="15" customHeight="1"/>
    <row r="14999" ht="15" customHeight="1"/>
    <row r="15000" ht="15" customHeight="1"/>
    <row r="15001" ht="15" customHeight="1"/>
    <row r="15002" ht="15" customHeight="1"/>
    <row r="15003" ht="15" customHeight="1"/>
    <row r="15004" ht="15" customHeight="1"/>
    <row r="15005" ht="15" customHeight="1"/>
    <row r="15006" ht="15" customHeight="1"/>
    <row r="15007" ht="15" customHeight="1"/>
    <row r="15008" ht="15" customHeight="1"/>
    <row r="15009" ht="15" customHeight="1"/>
    <row r="15010" ht="15" customHeight="1"/>
    <row r="15011" ht="15" customHeight="1"/>
    <row r="15012" ht="15" customHeight="1"/>
    <row r="15013" ht="15" customHeight="1"/>
    <row r="15014" ht="15" customHeight="1"/>
    <row r="15015" ht="15" customHeight="1"/>
    <row r="15016" ht="15" customHeight="1"/>
    <row r="15017" ht="15" customHeight="1"/>
    <row r="15018" ht="15" customHeight="1"/>
    <row r="15019" ht="15" customHeight="1"/>
    <row r="15020" ht="15" customHeight="1"/>
    <row r="15021" ht="15" customHeight="1"/>
    <row r="15022" ht="15" customHeight="1"/>
    <row r="15023" ht="15" customHeight="1"/>
    <row r="15024" ht="15" customHeight="1"/>
    <row r="15025" ht="15" customHeight="1"/>
    <row r="15026" ht="15" customHeight="1"/>
    <row r="15027" ht="15" customHeight="1"/>
    <row r="15028" ht="15" customHeight="1"/>
    <row r="15029" ht="15" customHeight="1"/>
    <row r="15030" ht="15" customHeight="1"/>
    <row r="15031" ht="15" customHeight="1"/>
    <row r="15032" ht="15" customHeight="1"/>
    <row r="15033" ht="15" customHeight="1"/>
    <row r="15034" ht="15" customHeight="1"/>
    <row r="15035" ht="15" customHeight="1"/>
    <row r="15036" ht="15" customHeight="1"/>
    <row r="15037" ht="15" customHeight="1"/>
    <row r="15038" ht="15" customHeight="1"/>
    <row r="15039" ht="15" customHeight="1"/>
    <row r="15040" ht="15" customHeight="1"/>
    <row r="15041" ht="15" customHeight="1"/>
    <row r="15042" ht="15" customHeight="1"/>
    <row r="15043" ht="15" customHeight="1"/>
    <row r="15044" ht="15" customHeight="1"/>
    <row r="15045" ht="15" customHeight="1"/>
    <row r="15046" ht="15" customHeight="1"/>
    <row r="15047" ht="15" customHeight="1"/>
    <row r="15048" ht="15" customHeight="1"/>
    <row r="15049" ht="15" customHeight="1"/>
    <row r="15050" ht="15" customHeight="1"/>
    <row r="15051" ht="15" customHeight="1"/>
    <row r="15052" ht="15" customHeight="1"/>
    <row r="15053" ht="15" customHeight="1"/>
    <row r="15054" ht="15" customHeight="1"/>
    <row r="15055" ht="15" customHeight="1"/>
    <row r="15056" ht="15" customHeight="1"/>
    <row r="15057" ht="15" customHeight="1"/>
    <row r="15058" ht="15" customHeight="1"/>
    <row r="15059" ht="15" customHeight="1"/>
    <row r="15060" ht="15" customHeight="1"/>
    <row r="15061" ht="15" customHeight="1"/>
    <row r="15062" ht="15" customHeight="1"/>
    <row r="15063" ht="15" customHeight="1"/>
    <row r="15064" ht="15" customHeight="1"/>
    <row r="15065" ht="15" customHeight="1"/>
    <row r="15066" ht="15" customHeight="1"/>
    <row r="15067" ht="15" customHeight="1"/>
    <row r="15068" ht="15" customHeight="1"/>
    <row r="15069" ht="15" customHeight="1"/>
    <row r="15070" ht="15" customHeight="1"/>
    <row r="15071" ht="15" customHeight="1"/>
    <row r="15072" ht="15" customHeight="1"/>
    <row r="15073" ht="15" customHeight="1"/>
    <row r="15074" ht="15" customHeight="1"/>
    <row r="15075" ht="15" customHeight="1"/>
    <row r="15076" ht="15" customHeight="1"/>
    <row r="15077" ht="15" customHeight="1"/>
    <row r="15078" ht="15" customHeight="1"/>
    <row r="15079" ht="15" customHeight="1"/>
    <row r="15080" ht="15" customHeight="1"/>
    <row r="15081" ht="15" customHeight="1"/>
    <row r="15082" ht="15" customHeight="1"/>
    <row r="15083" ht="15" customHeight="1"/>
    <row r="15084" ht="15" customHeight="1"/>
    <row r="15085" ht="15" customHeight="1"/>
    <row r="15086" ht="15" customHeight="1"/>
    <row r="15087" ht="15" customHeight="1"/>
    <row r="15088" ht="15" customHeight="1"/>
    <row r="15089" ht="15" customHeight="1"/>
    <row r="15090" ht="15" customHeight="1"/>
    <row r="15091" ht="15" customHeight="1"/>
    <row r="15092" ht="15" customHeight="1"/>
    <row r="15093" ht="15" customHeight="1"/>
    <row r="15094" ht="15" customHeight="1"/>
    <row r="15095" ht="15" customHeight="1"/>
    <row r="15096" ht="15" customHeight="1"/>
    <row r="15097" ht="15" customHeight="1"/>
    <row r="15098" ht="15" customHeight="1"/>
    <row r="15099" ht="15" customHeight="1"/>
    <row r="15100" ht="15" customHeight="1"/>
    <row r="15101" ht="15" customHeight="1"/>
    <row r="15102" ht="15" customHeight="1"/>
    <row r="15103" ht="15" customHeight="1"/>
    <row r="15104" ht="15" customHeight="1"/>
    <row r="15105" ht="15" customHeight="1"/>
    <row r="15106" ht="15" customHeight="1"/>
    <row r="15107" ht="15" customHeight="1"/>
    <row r="15108" ht="15" customHeight="1"/>
    <row r="15109" ht="15" customHeight="1"/>
    <row r="15110" ht="15" customHeight="1"/>
    <row r="15111" ht="15" customHeight="1"/>
    <row r="15112" ht="15" customHeight="1"/>
    <row r="15113" ht="15" customHeight="1"/>
    <row r="15114" ht="15" customHeight="1"/>
    <row r="15115" ht="15" customHeight="1"/>
    <row r="15116" ht="15" customHeight="1"/>
    <row r="15117" ht="15" customHeight="1"/>
    <row r="15118" ht="15" customHeight="1"/>
    <row r="15119" ht="15" customHeight="1"/>
    <row r="15120" ht="15" customHeight="1"/>
    <row r="15121" ht="15" customHeight="1"/>
    <row r="15122" ht="15" customHeight="1"/>
    <row r="15123" ht="15" customHeight="1"/>
    <row r="15124" ht="15" customHeight="1"/>
    <row r="15125" ht="15" customHeight="1"/>
    <row r="15126" ht="15" customHeight="1"/>
    <row r="15127" ht="15" customHeight="1"/>
    <row r="15128" ht="15" customHeight="1"/>
    <row r="15129" ht="15" customHeight="1"/>
    <row r="15130" ht="15" customHeight="1"/>
    <row r="15131" ht="15" customHeight="1"/>
    <row r="15132" ht="15" customHeight="1"/>
    <row r="15133" ht="15" customHeight="1"/>
    <row r="15134" ht="15" customHeight="1"/>
    <row r="15135" ht="15" customHeight="1"/>
    <row r="15136" ht="15" customHeight="1"/>
    <row r="15137" ht="15" customHeight="1"/>
    <row r="15138" ht="15" customHeight="1"/>
    <row r="15139" ht="15" customHeight="1"/>
    <row r="15140" ht="15" customHeight="1"/>
    <row r="15141" ht="15" customHeight="1"/>
    <row r="15142" ht="15" customHeight="1"/>
    <row r="15143" ht="15" customHeight="1"/>
    <row r="15144" ht="15" customHeight="1"/>
    <row r="15145" ht="15" customHeight="1"/>
    <row r="15146" ht="15" customHeight="1"/>
    <row r="15147" ht="15" customHeight="1"/>
    <row r="15148" ht="15" customHeight="1"/>
    <row r="15149" ht="15" customHeight="1"/>
    <row r="15150" ht="15" customHeight="1"/>
    <row r="15151" ht="15" customHeight="1"/>
    <row r="15152" ht="15" customHeight="1"/>
    <row r="15153" ht="15" customHeight="1"/>
    <row r="15154" ht="15" customHeight="1"/>
    <row r="15155" ht="15" customHeight="1"/>
    <row r="15156" ht="15" customHeight="1"/>
    <row r="15157" ht="15" customHeight="1"/>
    <row r="15158" ht="15" customHeight="1"/>
    <row r="15159" ht="15" customHeight="1"/>
    <row r="15160" ht="15" customHeight="1"/>
    <row r="15161" ht="15" customHeight="1"/>
    <row r="15162" ht="15" customHeight="1"/>
    <row r="15163" ht="15" customHeight="1"/>
    <row r="15164" ht="15" customHeight="1"/>
    <row r="15165" ht="15" customHeight="1"/>
    <row r="15166" ht="15" customHeight="1"/>
    <row r="15167" ht="15" customHeight="1"/>
    <row r="15168" ht="15" customHeight="1"/>
    <row r="15169" ht="15" customHeight="1"/>
    <row r="15170" ht="15" customHeight="1"/>
    <row r="15171" ht="15" customHeight="1"/>
    <row r="15172" ht="15" customHeight="1"/>
    <row r="15173" ht="15" customHeight="1"/>
    <row r="15174" ht="15" customHeight="1"/>
    <row r="15175" ht="15" customHeight="1"/>
    <row r="15176" ht="15" customHeight="1"/>
    <row r="15177" ht="15" customHeight="1"/>
    <row r="15178" ht="15" customHeight="1"/>
    <row r="15179" ht="15" customHeight="1"/>
    <row r="15180" ht="15" customHeight="1"/>
    <row r="15181" ht="15" customHeight="1"/>
    <row r="15182" ht="15" customHeight="1"/>
    <row r="15183" ht="15" customHeight="1"/>
    <row r="15184" ht="15" customHeight="1"/>
    <row r="15185" ht="15" customHeight="1"/>
    <row r="15186" ht="15" customHeight="1"/>
    <row r="15187" ht="15" customHeight="1"/>
    <row r="15188" ht="15" customHeight="1"/>
    <row r="15189" ht="15" customHeight="1"/>
    <row r="15190" ht="15" customHeight="1"/>
    <row r="15191" ht="15" customHeight="1"/>
    <row r="15192" ht="15" customHeight="1"/>
    <row r="15193" ht="15" customHeight="1"/>
    <row r="15194" ht="15" customHeight="1"/>
    <row r="15195" ht="15" customHeight="1"/>
    <row r="15196" ht="15" customHeight="1"/>
    <row r="15197" ht="15" customHeight="1"/>
    <row r="15198" ht="15" customHeight="1"/>
    <row r="15199" ht="15" customHeight="1"/>
    <row r="15200" ht="15" customHeight="1"/>
    <row r="15201" ht="15" customHeight="1"/>
    <row r="15202" ht="15" customHeight="1"/>
    <row r="15203" ht="15" customHeight="1"/>
    <row r="15204" ht="15" customHeight="1"/>
    <row r="15205" ht="15" customHeight="1"/>
    <row r="15206" ht="15" customHeight="1"/>
    <row r="15207" ht="15" customHeight="1"/>
    <row r="15208" ht="15" customHeight="1"/>
    <row r="15209" ht="15" customHeight="1"/>
    <row r="15210" ht="15" customHeight="1"/>
    <row r="15211" ht="15" customHeight="1"/>
    <row r="15212" ht="15" customHeight="1"/>
    <row r="15213" ht="15" customHeight="1"/>
    <row r="15214" ht="15" customHeight="1"/>
    <row r="15215" ht="15" customHeight="1"/>
    <row r="15216" ht="15" customHeight="1"/>
    <row r="15217" ht="15" customHeight="1"/>
    <row r="15218" ht="15" customHeight="1"/>
    <row r="15219" ht="15" customHeight="1"/>
    <row r="15220" ht="15" customHeight="1"/>
    <row r="15221" ht="15" customHeight="1"/>
    <row r="15222" ht="15" customHeight="1"/>
    <row r="15223" ht="15" customHeight="1"/>
    <row r="15224" ht="15" customHeight="1"/>
    <row r="15225" ht="15" customHeight="1"/>
    <row r="15226" ht="15" customHeight="1"/>
    <row r="15227" ht="15" customHeight="1"/>
    <row r="15228" ht="15" customHeight="1"/>
    <row r="15229" ht="15" customHeight="1"/>
    <row r="15230" ht="15" customHeight="1"/>
    <row r="15231" ht="15" customHeight="1"/>
    <row r="15232" ht="15" customHeight="1"/>
    <row r="15233" ht="15" customHeight="1"/>
    <row r="15234" ht="15" customHeight="1"/>
    <row r="15235" ht="15" customHeight="1"/>
    <row r="15236" ht="15" customHeight="1"/>
    <row r="15237" ht="15" customHeight="1"/>
    <row r="15238" ht="15" customHeight="1"/>
    <row r="15239" ht="15" customHeight="1"/>
    <row r="15240" ht="15" customHeight="1"/>
    <row r="15241" ht="15" customHeight="1"/>
    <row r="15242" ht="15" customHeight="1"/>
    <row r="15243" ht="15" customHeight="1"/>
    <row r="15244" ht="15" customHeight="1"/>
    <row r="15245" ht="15" customHeight="1"/>
    <row r="15246" ht="15" customHeight="1"/>
    <row r="15247" ht="15" customHeight="1"/>
    <row r="15248" ht="15" customHeight="1"/>
    <row r="15249" ht="15" customHeight="1"/>
    <row r="15250" ht="15" customHeight="1"/>
    <row r="15251" ht="15" customHeight="1"/>
    <row r="15252" ht="15" customHeight="1"/>
    <row r="15253" ht="15" customHeight="1"/>
    <row r="15254" ht="15" customHeight="1"/>
    <row r="15255" ht="15" customHeight="1"/>
    <row r="15256" ht="15" customHeight="1"/>
    <row r="15257" ht="15" customHeight="1"/>
    <row r="15258" ht="15" customHeight="1"/>
    <row r="15259" ht="15" customHeight="1"/>
    <row r="15260" ht="15" customHeight="1"/>
    <row r="15261" ht="15" customHeight="1"/>
    <row r="15262" ht="15" customHeight="1"/>
    <row r="15263" ht="15" customHeight="1"/>
    <row r="15264" ht="15" customHeight="1"/>
    <row r="15265" ht="15" customHeight="1"/>
    <row r="15266" ht="15" customHeight="1"/>
    <row r="15267" ht="15" customHeight="1"/>
    <row r="15268" ht="15" customHeight="1"/>
    <row r="15269" ht="15" customHeight="1"/>
    <row r="15270" ht="15" customHeight="1"/>
    <row r="15271" ht="15" customHeight="1"/>
    <row r="15272" ht="15" customHeight="1"/>
    <row r="15273" ht="15" customHeight="1"/>
    <row r="15274" ht="15" customHeight="1"/>
    <row r="15275" ht="15" customHeight="1"/>
    <row r="15276" ht="15" customHeight="1"/>
    <row r="15277" ht="15" customHeight="1"/>
    <row r="15278" ht="15" customHeight="1"/>
    <row r="15279" ht="15" customHeight="1"/>
    <row r="15280" ht="15" customHeight="1"/>
    <row r="15281" ht="15" customHeight="1"/>
    <row r="15282" ht="15" customHeight="1"/>
    <row r="15283" ht="15" customHeight="1"/>
    <row r="15284" ht="15" customHeight="1"/>
    <row r="15285" ht="15" customHeight="1"/>
    <row r="15286" ht="15" customHeight="1"/>
    <row r="15287" ht="15" customHeight="1"/>
    <row r="15288" ht="15" customHeight="1"/>
    <row r="15289" ht="15" customHeight="1"/>
    <row r="15290" ht="15" customHeight="1"/>
    <row r="15291" ht="15" customHeight="1"/>
    <row r="15292" ht="15" customHeight="1"/>
    <row r="15293" ht="15" customHeight="1"/>
    <row r="15294" ht="15" customHeight="1"/>
    <row r="15295" ht="15" customHeight="1"/>
    <row r="15296" ht="15" customHeight="1"/>
    <row r="15297" ht="15" customHeight="1"/>
    <row r="15298" ht="15" customHeight="1"/>
    <row r="15299" ht="15" customHeight="1"/>
    <row r="15300" ht="15" customHeight="1"/>
    <row r="15301" ht="15" customHeight="1"/>
    <row r="15302" ht="15" customHeight="1"/>
    <row r="15303" ht="15" customHeight="1"/>
    <row r="15304" ht="15" customHeight="1"/>
    <row r="15305" ht="15" customHeight="1"/>
    <row r="15306" ht="15" customHeight="1"/>
    <row r="15307" ht="15" customHeight="1"/>
    <row r="15308" ht="15" customHeight="1"/>
    <row r="15309" ht="15" customHeight="1"/>
    <row r="15310" ht="15" customHeight="1"/>
    <row r="15311" ht="15" customHeight="1"/>
    <row r="15312" ht="15" customHeight="1"/>
    <row r="15313" ht="15" customHeight="1"/>
    <row r="15314" ht="15" customHeight="1"/>
    <row r="15315" ht="15" customHeight="1"/>
    <row r="15316" ht="15" customHeight="1"/>
    <row r="15317" ht="15" customHeight="1"/>
    <row r="15318" ht="15" customHeight="1"/>
    <row r="15319" ht="15" customHeight="1"/>
    <row r="15320" ht="15" customHeight="1"/>
    <row r="15321" ht="15" customHeight="1"/>
    <row r="15322" ht="15" customHeight="1"/>
    <row r="15323" ht="15" customHeight="1"/>
    <row r="15324" ht="15" customHeight="1"/>
    <row r="15325" ht="15" customHeight="1"/>
    <row r="15326" ht="15" customHeight="1"/>
    <row r="15327" ht="15" customHeight="1"/>
    <row r="15328" ht="15" customHeight="1"/>
    <row r="15329" ht="15" customHeight="1"/>
    <row r="15330" ht="15" customHeight="1"/>
    <row r="15331" ht="15" customHeight="1"/>
    <row r="15332" ht="15" customHeight="1"/>
    <row r="15333" ht="15" customHeight="1"/>
    <row r="15334" ht="15" customHeight="1"/>
    <row r="15335" ht="15" customHeight="1"/>
    <row r="15336" ht="15" customHeight="1"/>
    <row r="15337" ht="15" customHeight="1"/>
    <row r="15338" ht="15" customHeight="1"/>
    <row r="15339" ht="15" customHeight="1"/>
    <row r="15340" ht="15" customHeight="1"/>
    <row r="15341" ht="15" customHeight="1"/>
    <row r="15342" ht="15" customHeight="1"/>
    <row r="15343" ht="15" customHeight="1"/>
    <row r="15344" ht="15" customHeight="1"/>
    <row r="15345" ht="15" customHeight="1"/>
    <row r="15346" ht="15" customHeight="1"/>
    <row r="15347" ht="15" customHeight="1"/>
    <row r="15348" ht="15" customHeight="1"/>
    <row r="15349" ht="15" customHeight="1"/>
    <row r="15350" ht="15" customHeight="1"/>
    <row r="15351" ht="15" customHeight="1"/>
    <row r="15352" ht="15" customHeight="1"/>
    <row r="15353" ht="15" customHeight="1"/>
    <row r="15354" ht="15" customHeight="1"/>
    <row r="15355" ht="15" customHeight="1"/>
    <row r="15356" ht="15" customHeight="1"/>
    <row r="15357" ht="15" customHeight="1"/>
    <row r="15358" ht="15" customHeight="1"/>
    <row r="15359" ht="15" customHeight="1"/>
    <row r="15360" ht="15" customHeight="1"/>
    <row r="15361" ht="15" customHeight="1"/>
    <row r="15362" ht="15" customHeight="1"/>
    <row r="15363" ht="15" customHeight="1"/>
    <row r="15364" ht="15" customHeight="1"/>
    <row r="15365" ht="15" customHeight="1"/>
    <row r="15366" ht="15" customHeight="1"/>
    <row r="15367" ht="15" customHeight="1"/>
    <row r="15368" ht="15" customHeight="1"/>
    <row r="15369" ht="15" customHeight="1"/>
    <row r="15370" ht="15" customHeight="1"/>
    <row r="15371" ht="15" customHeight="1"/>
    <row r="15372" ht="15" customHeight="1"/>
    <row r="15373" ht="15" customHeight="1"/>
    <row r="15374" ht="15" customHeight="1"/>
    <row r="15375" ht="15" customHeight="1"/>
    <row r="15376" ht="15" customHeight="1"/>
    <row r="15377" ht="15" customHeight="1"/>
    <row r="15378" ht="15" customHeight="1"/>
    <row r="15379" ht="15" customHeight="1"/>
    <row r="15380" ht="15" customHeight="1"/>
    <row r="15381" ht="15" customHeight="1"/>
    <row r="15382" ht="15" customHeight="1"/>
    <row r="15383" ht="15" customHeight="1"/>
    <row r="15384" ht="15" customHeight="1"/>
    <row r="15385" ht="15" customHeight="1"/>
    <row r="15386" ht="15" customHeight="1"/>
    <row r="15387" ht="15" customHeight="1"/>
    <row r="15388" ht="15" customHeight="1"/>
    <row r="15389" ht="15" customHeight="1"/>
    <row r="15390" ht="15" customHeight="1"/>
    <row r="15391" ht="15" customHeight="1"/>
    <row r="15392" ht="15" customHeight="1"/>
    <row r="15393" ht="15" customHeight="1"/>
    <row r="15394" ht="15" customHeight="1"/>
    <row r="15395" ht="15" customHeight="1"/>
    <row r="15396" ht="15" customHeight="1"/>
    <row r="15397" ht="15" customHeight="1"/>
    <row r="15398" ht="15" customHeight="1"/>
    <row r="15399" ht="15" customHeight="1"/>
    <row r="15400" ht="15" customHeight="1"/>
    <row r="15401" ht="15" customHeight="1"/>
    <row r="15402" ht="15" customHeight="1"/>
    <row r="15403" ht="15" customHeight="1"/>
    <row r="15404" ht="15" customHeight="1"/>
    <row r="15405" ht="15" customHeight="1"/>
    <row r="15406" ht="15" customHeight="1"/>
    <row r="15407" ht="15" customHeight="1"/>
    <row r="15408" ht="15" customHeight="1"/>
    <row r="15409" ht="15" customHeight="1"/>
    <row r="15410" ht="15" customHeight="1"/>
    <row r="15411" ht="15" customHeight="1"/>
    <row r="15412" ht="15" customHeight="1"/>
    <row r="15413" ht="15" customHeight="1"/>
    <row r="15414" ht="15" customHeight="1"/>
    <row r="15415" ht="15" customHeight="1"/>
    <row r="15416" ht="15" customHeight="1"/>
    <row r="15417" ht="15" customHeight="1"/>
    <row r="15418" ht="15" customHeight="1"/>
    <row r="15419" ht="15" customHeight="1"/>
    <row r="15420" ht="15" customHeight="1"/>
    <row r="15421" ht="15" customHeight="1"/>
    <row r="15422" ht="15" customHeight="1"/>
    <row r="15423" ht="15" customHeight="1"/>
    <row r="15424" ht="15" customHeight="1"/>
    <row r="15425" ht="15" customHeight="1"/>
    <row r="15426" ht="15" customHeight="1"/>
    <row r="15427" ht="15" customHeight="1"/>
    <row r="15428" ht="15" customHeight="1"/>
    <row r="15429" ht="15" customHeight="1"/>
    <row r="15430" ht="15" customHeight="1"/>
    <row r="15431" ht="15" customHeight="1"/>
    <row r="15432" ht="15" customHeight="1"/>
    <row r="15433" ht="15" customHeight="1"/>
    <row r="15434" ht="15" customHeight="1"/>
    <row r="15435" ht="15" customHeight="1"/>
    <row r="15436" ht="15" customHeight="1"/>
    <row r="15437" ht="15" customHeight="1"/>
    <row r="15438" ht="15" customHeight="1"/>
    <row r="15439" ht="15" customHeight="1"/>
    <row r="15440" ht="15" customHeight="1"/>
    <row r="15441" ht="15" customHeight="1"/>
    <row r="15442" ht="15" customHeight="1"/>
    <row r="15443" ht="15" customHeight="1"/>
    <row r="15444" ht="15" customHeight="1"/>
    <row r="15445" ht="15" customHeight="1"/>
    <row r="15446" ht="15" customHeight="1"/>
    <row r="15447" ht="15" customHeight="1"/>
    <row r="15448" ht="15" customHeight="1"/>
    <row r="15449" ht="15" customHeight="1"/>
    <row r="15450" ht="15" customHeight="1"/>
    <row r="15451" ht="15" customHeight="1"/>
    <row r="15452" ht="15" customHeight="1"/>
    <row r="15453" ht="15" customHeight="1"/>
    <row r="15454" ht="15" customHeight="1"/>
    <row r="15455" ht="15" customHeight="1"/>
    <row r="15456" ht="15" customHeight="1"/>
    <row r="15457" ht="15" customHeight="1"/>
    <row r="15458" ht="15" customHeight="1"/>
    <row r="15459" ht="15" customHeight="1"/>
    <row r="15460" ht="15" customHeight="1"/>
    <row r="15461" ht="15" customHeight="1"/>
    <row r="15462" ht="15" customHeight="1"/>
    <row r="15463" ht="15" customHeight="1"/>
    <row r="15464" ht="15" customHeight="1"/>
    <row r="15465" ht="15" customHeight="1"/>
    <row r="15466" ht="15" customHeight="1"/>
    <row r="15467" ht="15" customHeight="1"/>
    <row r="15468" ht="15" customHeight="1"/>
    <row r="15469" ht="15" customHeight="1"/>
    <row r="15470" ht="15" customHeight="1"/>
    <row r="15471" ht="15" customHeight="1"/>
    <row r="15472" ht="15" customHeight="1"/>
    <row r="15473" ht="15" customHeight="1"/>
    <row r="15474" ht="15" customHeight="1"/>
    <row r="15475" ht="15" customHeight="1"/>
    <row r="15476" ht="15" customHeight="1"/>
    <row r="15477" ht="15" customHeight="1"/>
    <row r="15478" ht="15" customHeight="1"/>
    <row r="15479" ht="15" customHeight="1"/>
    <row r="15480" ht="15" customHeight="1"/>
    <row r="15481" ht="15" customHeight="1"/>
    <row r="15482" ht="15" customHeight="1"/>
    <row r="15483" ht="15" customHeight="1"/>
    <row r="15484" ht="15" customHeight="1"/>
    <row r="15485" ht="15" customHeight="1"/>
    <row r="15486" ht="15" customHeight="1"/>
    <row r="15487" ht="15" customHeight="1"/>
    <row r="15488" ht="15" customHeight="1"/>
    <row r="15489" ht="15" customHeight="1"/>
    <row r="15490" ht="15" customHeight="1"/>
    <row r="15491" ht="15" customHeight="1"/>
    <row r="15492" ht="15" customHeight="1"/>
    <row r="15493" ht="15" customHeight="1"/>
    <row r="15494" ht="15" customHeight="1"/>
    <row r="15495" ht="15" customHeight="1"/>
    <row r="15496" ht="15" customHeight="1"/>
    <row r="15497" ht="15" customHeight="1"/>
    <row r="15498" ht="15" customHeight="1"/>
    <row r="15499" ht="15" customHeight="1"/>
    <row r="15500" ht="15" customHeight="1"/>
    <row r="15501" ht="15" customHeight="1"/>
    <row r="15502" ht="15" customHeight="1"/>
    <row r="15503" ht="15" customHeight="1"/>
    <row r="15504" ht="15" customHeight="1"/>
    <row r="15505" ht="15" customHeight="1"/>
    <row r="15506" ht="15" customHeight="1"/>
    <row r="15507" ht="15" customHeight="1"/>
    <row r="15508" ht="15" customHeight="1"/>
    <row r="15509" ht="15" customHeight="1"/>
    <row r="15510" ht="15" customHeight="1"/>
    <row r="15511" ht="15" customHeight="1"/>
    <row r="15512" ht="15" customHeight="1"/>
    <row r="15513" ht="15" customHeight="1"/>
    <row r="15514" ht="15" customHeight="1"/>
    <row r="15515" ht="15" customHeight="1"/>
    <row r="15516" ht="15" customHeight="1"/>
    <row r="15517" ht="15" customHeight="1"/>
    <row r="15518" ht="15" customHeight="1"/>
    <row r="15519" ht="15" customHeight="1"/>
    <row r="15520" ht="15" customHeight="1"/>
    <row r="15521" ht="15" customHeight="1"/>
    <row r="15522" ht="15" customHeight="1"/>
    <row r="15523" ht="15" customHeight="1"/>
    <row r="15524" ht="15" customHeight="1"/>
    <row r="15525" ht="15" customHeight="1"/>
    <row r="15526" ht="15" customHeight="1"/>
    <row r="15527" ht="15" customHeight="1"/>
    <row r="15528" ht="15" customHeight="1"/>
    <row r="15529" ht="15" customHeight="1"/>
    <row r="15530" ht="15" customHeight="1"/>
    <row r="15531" ht="15" customHeight="1"/>
    <row r="15532" ht="15" customHeight="1"/>
    <row r="15533" ht="15" customHeight="1"/>
    <row r="15534" ht="15" customHeight="1"/>
    <row r="15535" ht="15" customHeight="1"/>
    <row r="15536" ht="15" customHeight="1"/>
    <row r="15537" ht="15" customHeight="1"/>
    <row r="15538" ht="15" customHeight="1"/>
    <row r="15539" ht="15" customHeight="1"/>
    <row r="15540" ht="15" customHeight="1"/>
    <row r="15541" ht="15" customHeight="1"/>
    <row r="15542" ht="15" customHeight="1"/>
    <row r="15543" ht="15" customHeight="1"/>
    <row r="15544" ht="15" customHeight="1"/>
    <row r="15545" ht="15" customHeight="1"/>
    <row r="15546" ht="15" customHeight="1"/>
    <row r="15547" ht="15" customHeight="1"/>
    <row r="15548" ht="15" customHeight="1"/>
    <row r="15549" ht="15" customHeight="1"/>
    <row r="15550" ht="15" customHeight="1"/>
    <row r="15551" ht="15" customHeight="1"/>
    <row r="15552" ht="15" customHeight="1"/>
    <row r="15553" ht="15" customHeight="1"/>
    <row r="15554" ht="15" customHeight="1"/>
    <row r="15555" ht="15" customHeight="1"/>
    <row r="15556" ht="15" customHeight="1"/>
    <row r="15557" ht="15" customHeight="1"/>
    <row r="15558" ht="15" customHeight="1"/>
    <row r="15559" ht="15" customHeight="1"/>
    <row r="15560" ht="15" customHeight="1"/>
    <row r="15561" ht="15" customHeight="1"/>
    <row r="15562" ht="15" customHeight="1"/>
    <row r="15563" ht="15" customHeight="1"/>
    <row r="15564" ht="15" customHeight="1"/>
    <row r="15565" ht="15" customHeight="1"/>
    <row r="15566" ht="15" customHeight="1"/>
    <row r="15567" ht="15" customHeight="1"/>
    <row r="15568" ht="15" customHeight="1"/>
    <row r="15569" ht="15" customHeight="1"/>
    <row r="15570" ht="15" customHeight="1"/>
    <row r="15571" ht="15" customHeight="1"/>
    <row r="15572" ht="15" customHeight="1"/>
    <row r="15573" ht="15" customHeight="1"/>
    <row r="15574" ht="15" customHeight="1"/>
    <row r="15575" ht="15" customHeight="1"/>
    <row r="15576" ht="15" customHeight="1"/>
    <row r="15577" ht="15" customHeight="1"/>
    <row r="15578" ht="15" customHeight="1"/>
    <row r="15579" ht="15" customHeight="1"/>
    <row r="15580" ht="15" customHeight="1"/>
    <row r="15581" ht="15" customHeight="1"/>
    <row r="15582" ht="15" customHeight="1"/>
    <row r="15583" ht="15" customHeight="1"/>
    <row r="15584" ht="15" customHeight="1"/>
    <row r="15585" ht="15" customHeight="1"/>
    <row r="15586" ht="15" customHeight="1"/>
    <row r="15587" ht="15" customHeight="1"/>
    <row r="15588" ht="15" customHeight="1"/>
    <row r="15589" ht="15" customHeight="1"/>
    <row r="15590" ht="15" customHeight="1"/>
    <row r="15591" ht="15" customHeight="1"/>
    <row r="15592" ht="15" customHeight="1"/>
    <row r="15593" ht="15" customHeight="1"/>
    <row r="15594" ht="15" customHeight="1"/>
    <row r="15595" ht="15" customHeight="1"/>
    <row r="15596" ht="15" customHeight="1"/>
    <row r="15597" ht="15" customHeight="1"/>
    <row r="15598" ht="15" customHeight="1"/>
    <row r="15599" ht="15" customHeight="1"/>
    <row r="15600" ht="15" customHeight="1"/>
    <row r="15601" ht="15" customHeight="1"/>
    <row r="15602" ht="15" customHeight="1"/>
    <row r="15603" ht="15" customHeight="1"/>
    <row r="15604" ht="15" customHeight="1"/>
    <row r="15605" ht="15" customHeight="1"/>
    <row r="15606" ht="15" customHeight="1"/>
    <row r="15607" ht="15" customHeight="1"/>
    <row r="15608" ht="15" customHeight="1"/>
    <row r="15609" ht="15" customHeight="1"/>
    <row r="15610" ht="15" customHeight="1"/>
    <row r="15611" ht="15" customHeight="1"/>
    <row r="15612" ht="15" customHeight="1"/>
    <row r="15613" ht="15" customHeight="1"/>
    <row r="15614" ht="15" customHeight="1"/>
    <row r="15615" ht="15" customHeight="1"/>
    <row r="15616" ht="15" customHeight="1"/>
    <row r="15617" ht="15" customHeight="1"/>
    <row r="15618" ht="15" customHeight="1"/>
    <row r="15619" ht="15" customHeight="1"/>
    <row r="15620" ht="15" customHeight="1"/>
    <row r="15621" ht="15" customHeight="1"/>
    <row r="15622" ht="15" customHeight="1"/>
    <row r="15623" ht="15" customHeight="1"/>
    <row r="15624" ht="15" customHeight="1"/>
    <row r="15625" ht="15" customHeight="1"/>
    <row r="15626" ht="15" customHeight="1"/>
    <row r="15627" ht="15" customHeight="1"/>
    <row r="15628" ht="15" customHeight="1"/>
    <row r="15629" ht="15" customHeight="1"/>
    <row r="15630" ht="15" customHeight="1"/>
    <row r="15631" ht="15" customHeight="1"/>
    <row r="15632" ht="15" customHeight="1"/>
    <row r="15633" ht="15" customHeight="1"/>
    <row r="15634" ht="15" customHeight="1"/>
    <row r="15635" ht="15" customHeight="1"/>
    <row r="15636" ht="15" customHeight="1"/>
    <row r="15637" ht="15" customHeight="1"/>
    <row r="15638" ht="15" customHeight="1"/>
    <row r="15639" ht="15" customHeight="1"/>
    <row r="15640" ht="15" customHeight="1"/>
    <row r="15641" ht="15" customHeight="1"/>
    <row r="15642" ht="15" customHeight="1"/>
    <row r="15643" ht="15" customHeight="1"/>
    <row r="15644" ht="15" customHeight="1"/>
    <row r="15645" ht="15" customHeight="1"/>
    <row r="15646" ht="15" customHeight="1"/>
    <row r="15647" ht="15" customHeight="1"/>
    <row r="15648" ht="15" customHeight="1"/>
    <row r="15649" ht="15" customHeight="1"/>
    <row r="15650" ht="15" customHeight="1"/>
    <row r="15651" ht="15" customHeight="1"/>
    <row r="15652" ht="15" customHeight="1"/>
    <row r="15653" ht="15" customHeight="1"/>
    <row r="15654" ht="15" customHeight="1"/>
    <row r="15655" ht="15" customHeight="1"/>
    <row r="15656" ht="15" customHeight="1"/>
    <row r="15657" ht="15" customHeight="1"/>
    <row r="15658" ht="15" customHeight="1"/>
    <row r="15659" ht="15" customHeight="1"/>
    <row r="15660" ht="15" customHeight="1"/>
    <row r="15661" ht="15" customHeight="1"/>
    <row r="15662" ht="15" customHeight="1"/>
    <row r="15663" ht="15" customHeight="1"/>
    <row r="15664" ht="15" customHeight="1"/>
    <row r="15665" ht="15" customHeight="1"/>
    <row r="15666" ht="15" customHeight="1"/>
    <row r="15667" ht="15" customHeight="1"/>
    <row r="15668" ht="15" customHeight="1"/>
    <row r="15669" ht="15" customHeight="1"/>
    <row r="15670" ht="15" customHeight="1"/>
    <row r="15671" ht="15" customHeight="1"/>
    <row r="15672" ht="15" customHeight="1"/>
    <row r="15673" ht="15" customHeight="1"/>
    <row r="15674" ht="15" customHeight="1"/>
    <row r="15675" ht="15" customHeight="1"/>
    <row r="15676" ht="15" customHeight="1"/>
    <row r="15677" ht="15" customHeight="1"/>
    <row r="15678" ht="15" customHeight="1"/>
    <row r="15679" ht="15" customHeight="1"/>
    <row r="15680" ht="15" customHeight="1"/>
    <row r="15681" ht="15" customHeight="1"/>
    <row r="15682" ht="15" customHeight="1"/>
    <row r="15683" ht="15" customHeight="1"/>
    <row r="15684" ht="15" customHeight="1"/>
    <row r="15685" ht="15" customHeight="1"/>
    <row r="15686" ht="15" customHeight="1"/>
    <row r="15687" ht="15" customHeight="1"/>
    <row r="15688" ht="15" customHeight="1"/>
    <row r="15689" ht="15" customHeight="1"/>
    <row r="15690" ht="15" customHeight="1"/>
    <row r="15691" ht="15" customHeight="1"/>
    <row r="15692" ht="15" customHeight="1"/>
    <row r="15693" ht="15" customHeight="1"/>
    <row r="15694" ht="15" customHeight="1"/>
    <row r="15695" ht="15" customHeight="1"/>
    <row r="15696" ht="15" customHeight="1"/>
    <row r="15697" ht="15" customHeight="1"/>
    <row r="15698" ht="15" customHeight="1"/>
    <row r="15699" ht="15" customHeight="1"/>
    <row r="15700" ht="15" customHeight="1"/>
    <row r="15701" ht="15" customHeight="1"/>
    <row r="15702" ht="15" customHeight="1"/>
    <row r="15703" ht="15" customHeight="1"/>
    <row r="15704" ht="15" customHeight="1"/>
    <row r="15705" ht="15" customHeight="1"/>
    <row r="15706" ht="15" customHeight="1"/>
    <row r="15707" ht="15" customHeight="1"/>
    <row r="15708" ht="15" customHeight="1"/>
    <row r="15709" ht="15" customHeight="1"/>
    <row r="15710" ht="15" customHeight="1"/>
    <row r="15711" ht="15" customHeight="1"/>
    <row r="15712" ht="15" customHeight="1"/>
    <row r="15713" ht="15" customHeight="1"/>
    <row r="15714" ht="15" customHeight="1"/>
    <row r="15715" ht="15" customHeight="1"/>
    <row r="15716" ht="15" customHeight="1"/>
    <row r="15717" ht="15" customHeight="1"/>
    <row r="15718" ht="15" customHeight="1"/>
    <row r="15719" ht="15" customHeight="1"/>
    <row r="15720" ht="15" customHeight="1"/>
    <row r="15721" ht="15" customHeight="1"/>
    <row r="15722" ht="15" customHeight="1"/>
  </sheetData>
  <sheetProtection selectLockedCells="1" selectUnlockedCells="1" algorithmName="SHA-512" sheet="1" objects="1" insertRows="1" insertHyperlinks="1" autoFilter="1" scenarios="1" formatColumns="1" deleteColumns="1" insertColumns="1" pivotTables="1" deleteRows="1" formatCells="1" saltValue="PjLnM6euvTwZ392iGxiuBw==" formatRows="1" sort="1" spinCount="100000" hashValue="z0gsIPPVT3I7o7gjMEtzVoQJM5F+xsTFU9b4E48un+Qg0VlOGlVEZF4AP/BK61t/Kry+S5Tdej1l6QpWUtDDaA=="/>
  <mergeCells count="1">
    <mergeCell ref="A1:I1"/>
  </mergeCells>
  <pageMargins left="0.25" right="0.25" top="0.75" bottom="0.75" header="0.3" footer="0.3"/>
  <pageSetup orientation="landscape" paperSize="9" scale="75" fitToHeight="0"/>
</worksheet>
</file>

<file path=xl/worksheets/sheet8.xml><?xml version="1.0" encoding="utf-8"?>
<worksheet xmlns="http://schemas.openxmlformats.org/spreadsheetml/2006/main">
  <sheetPr codeName="Sheet107">
    <tabColor theme="4" tint="0.7999816888943144"/>
    <outlinePr summaryBelow="1" summaryRight="1"/>
    <pageSetUpPr fitToPage="1"/>
  </sheetPr>
  <dimension ref="A1:P86"/>
  <sheetViews>
    <sheetView zoomScale="80" zoomScaleNormal="80" workbookViewId="0">
      <pane ySplit="3" topLeftCell="A57" activePane="bottomLeft" state="frozenSplit"/>
      <selection pane="bottomLeft" activeCell="A77" sqref="A77"/>
      <selection activeCell="A1" sqref="A1:D1"/>
    </sheetView>
  </sheetViews>
  <sheetFormatPr baseColWidth="8" defaultColWidth="9.28515625" defaultRowHeight="14.45"/>
  <cols>
    <col width="100.7109375" customWidth="1" style="8" min="1" max="1"/>
    <col width="10.28515625" customWidth="1" style="20" min="2" max="2"/>
    <col width="4.5703125" customWidth="1" style="20" min="3" max="3"/>
    <col width="19.5703125" customWidth="1" style="20" min="4" max="4"/>
    <col width="10.28515625" customWidth="1" style="20" min="5" max="5"/>
    <col width="3" customWidth="1" style="20" min="6" max="6"/>
    <col width="15.7109375" customWidth="1" style="20" min="7" max="7"/>
    <col width="1.7109375" customWidth="1" style="20" min="8" max="8"/>
    <col width="18" customWidth="1" style="20" min="9" max="9"/>
    <col width="15.7109375" customWidth="1" style="20" min="10" max="11"/>
    <col width="20.7109375" customWidth="1" style="20" min="12" max="12"/>
    <col width="1.7109375" customWidth="1" style="8" min="13" max="13"/>
    <col width="20.7109375" customWidth="1" style="8" min="14" max="14"/>
    <col width="9.28515625" customWidth="1" style="8" min="15" max="16384"/>
  </cols>
  <sheetData>
    <row r="1" ht="23.45" customHeight="1">
      <c r="A1" s="336" t="inlineStr">
        <is>
          <t>SUM OF ALL BENEFICIARIES (including AFFILIATED ENTITIES) FOR ALL THE WORK PACKAGES</t>
        </is>
      </c>
      <c r="B1" s="337" t="n"/>
      <c r="C1" s="337" t="n"/>
      <c r="D1" s="337" t="n"/>
      <c r="E1" s="337" t="n"/>
      <c r="F1" s="337" t="n"/>
      <c r="G1" s="337" t="n"/>
      <c r="H1" s="337" t="n"/>
      <c r="I1" s="337" t="n"/>
      <c r="J1" s="337" t="n"/>
      <c r="K1" s="337" t="n"/>
      <c r="L1" s="337" t="n"/>
      <c r="M1" s="337" t="n"/>
      <c r="N1" s="338" t="n"/>
    </row>
    <row r="2" ht="30.4" customFormat="1" customHeight="1" s="23">
      <c r="B2" s="300" t="inlineStr">
        <is>
          <t>ALL BENEFICIARIES 
(without affiliated entities)</t>
        </is>
      </c>
      <c r="C2" s="337" t="n"/>
      <c r="D2" s="338" t="n"/>
      <c r="E2" s="300" t="inlineStr">
        <is>
          <t>ALL AFFILIATED ENTITIES</t>
        </is>
      </c>
      <c r="F2" s="337" t="n"/>
      <c r="G2" s="338" t="n"/>
      <c r="H2" s="88" t="n"/>
      <c r="I2" s="300" t="n"/>
      <c r="J2" s="302" t="inlineStr">
        <is>
          <t>ALL BENEFICIARIES 
(with affiliated entities)</t>
        </is>
      </c>
      <c r="K2" s="338" t="n"/>
      <c r="L2" s="21" t="n"/>
      <c r="M2" s="88" t="n"/>
      <c r="N2" s="18" t="n"/>
    </row>
    <row r="3" ht="108" customFormat="1" customHeight="1" s="23">
      <c r="A3" s="19" t="inlineStr">
        <is>
          <t xml:space="preserve"> COST CATEGORY</t>
        </is>
      </c>
      <c r="B3" s="21" t="inlineStr">
        <is>
          <t>ITEMS</t>
        </is>
      </c>
      <c r="C3" s="300" t="inlineStr">
        <is>
          <t>COST PER ITEM</t>
        </is>
      </c>
      <c r="D3" s="21" t="inlineStr">
        <is>
          <t>BE TOTAL COSTS</t>
        </is>
      </c>
      <c r="E3" s="22" t="inlineStr">
        <is>
          <t>ITEMS</t>
        </is>
      </c>
      <c r="F3" s="25" t="inlineStr">
        <is>
          <t>COST PER ITEM</t>
        </is>
      </c>
      <c r="G3" s="22" t="inlineStr">
        <is>
          <t>AE TOTAL COSTS</t>
        </is>
      </c>
      <c r="H3" s="88" t="n"/>
      <c r="I3" s="22" t="n"/>
      <c r="J3" s="300" t="inlineStr">
        <is>
          <t>ITEMS
(TOTAL)</t>
        </is>
      </c>
      <c r="K3" s="300" t="inlineStr">
        <is>
          <t>AVERAGE COST PER ITEM</t>
        </is>
      </c>
      <c r="L3" s="300" t="inlineStr">
        <is>
          <t>BE+TP TOTAL COSTS</t>
        </is>
      </c>
      <c r="M3" s="88" t="n"/>
      <c r="N3" s="18" t="inlineStr">
        <is>
          <t>TOTAL COSTS</t>
        </is>
      </c>
    </row>
    <row r="4">
      <c r="A4" s="209" t="n"/>
      <c r="B4" s="207" t="n"/>
      <c r="C4" s="209" t="n"/>
      <c r="D4" s="208" t="n"/>
      <c r="E4" s="207" t="n"/>
      <c r="F4" s="209" t="n"/>
      <c r="G4" s="208" t="n"/>
      <c r="H4" s="208" t="n"/>
      <c r="I4" s="208" t="n"/>
      <c r="J4" s="208" t="n"/>
      <c r="K4" s="208" t="n"/>
      <c r="L4" s="208" t="n"/>
      <c r="M4" s="209" t="n"/>
      <c r="N4" s="210" t="n"/>
    </row>
    <row r="5" ht="21" customHeight="1">
      <c r="A5" s="301" t="n"/>
      <c r="B5" s="337" t="n"/>
      <c r="C5" s="337" t="n"/>
      <c r="D5" s="337" t="n"/>
      <c r="E5" s="337" t="n"/>
      <c r="F5" s="337" t="n"/>
      <c r="G5" s="337" t="n"/>
      <c r="H5" s="337" t="n"/>
      <c r="I5" s="337" t="n"/>
      <c r="J5" s="337" t="n"/>
      <c r="K5" s="337" t="n"/>
      <c r="L5" s="337" t="n"/>
      <c r="M5" s="337" t="n"/>
      <c r="N5" s="338" t="n"/>
    </row>
    <row r="6" ht="6.95" customHeight="1">
      <c r="B6" s="8" t="n"/>
      <c r="C6" s="8" t="n"/>
      <c r="D6" s="8" t="n"/>
      <c r="E6" s="8" t="n"/>
      <c r="F6" s="8" t="n"/>
      <c r="G6" s="8" t="n"/>
      <c r="H6" s="8" t="n"/>
      <c r="I6" s="8" t="n"/>
      <c r="J6" s="8" t="n"/>
      <c r="K6" s="8" t="n"/>
      <c r="L6" s="8" t="n"/>
    </row>
    <row r="7">
      <c r="A7" s="11" t="inlineStr">
        <is>
          <t>A. DIRECT PERSONNEL COSTS</t>
        </is>
      </c>
      <c r="B7" s="4" t="n"/>
      <c r="C7" s="339" t="n"/>
      <c r="D7" s="340" t="n"/>
      <c r="E7" s="4" t="n"/>
      <c r="F7" s="339" t="n"/>
      <c r="G7" s="340" t="n"/>
      <c r="H7" s="8" t="n"/>
      <c r="I7" s="340" t="n"/>
      <c r="J7" s="340" t="n"/>
      <c r="K7" s="340" t="n"/>
      <c r="L7" s="340" t="n"/>
      <c r="N7" s="340" t="n"/>
    </row>
    <row r="8">
      <c r="A8" s="7" t="inlineStr">
        <is>
          <t>A.1 Employees (or equivalent)</t>
        </is>
      </c>
      <c r="B8" s="89" t="n"/>
      <c r="C8" s="89" t="n"/>
      <c r="D8" s="89" t="n"/>
      <c r="E8" s="89" t="n"/>
      <c r="F8" s="89" t="n"/>
      <c r="G8" s="89" t="n"/>
      <c r="H8" s="8" t="n"/>
      <c r="I8" s="89" t="n"/>
      <c r="J8" s="89" t="n"/>
      <c r="K8" s="89" t="n"/>
      <c r="L8" s="89" t="n"/>
      <c r="N8" s="89" t="n"/>
    </row>
    <row r="9">
      <c r="A9" s="36" t="inlineStr">
        <is>
          <t>SENIOR SCIENTISTS (or equivalent in the private sector)</t>
        </is>
      </c>
      <c r="B9" s="341">
        <f>#REF!+#REF!+#REF!+#REF!+#REF!+#REF!+#REF!+#REF!+#REF!+#REF!</f>
        <v/>
      </c>
      <c r="C9" s="228" t="n"/>
      <c r="D9" s="229">
        <f>#REF!+#REF!+#REF!+#REF!+#REF!+#REF!+#REF!+#REF!+#REF!+#REF!</f>
        <v/>
      </c>
      <c r="E9" s="342">
        <f>#REF!+#REF!+#REF!+#REF!+#REF!+#REF!+#REF!+#REF!+#REF!+#REF!</f>
        <v/>
      </c>
      <c r="F9" s="226" t="n"/>
      <c r="G9" s="225">
        <f>#REF!+#REF!+#REF!+#REF!+#REF!+#REF!+#REF!+#REF!+#REF!+#REF!</f>
        <v/>
      </c>
      <c r="H9" s="8" t="n"/>
      <c r="I9" s="343">
        <f>D9+G9</f>
        <v/>
      </c>
      <c r="J9" s="342">
        <f>E9+B9</f>
        <v/>
      </c>
      <c r="K9" s="225">
        <f>IF(J9&gt;0,L9/J9," ")</f>
        <v/>
      </c>
      <c r="L9" s="225">
        <f>G9+D9</f>
        <v/>
      </c>
      <c r="N9" s="222">
        <f>D9+G9</f>
        <v/>
      </c>
      <c r="P9" s="10" t="n"/>
    </row>
    <row r="10">
      <c r="A10" s="36" t="inlineStr">
        <is>
          <t>JUNIOR SCIENTISTS (or equivalent in the private sector)</t>
        </is>
      </c>
      <c r="B10" s="341">
        <f>#REF!+#REF!+#REF!+#REF!+#REF!+#REF!+#REF!+#REF!+#REF!+#REF!</f>
        <v/>
      </c>
      <c r="C10" s="228" t="n"/>
      <c r="D10" s="229">
        <f>#REF!+#REF!+#REF!+#REF!+#REF!+#REF!+#REF!+#REF!+#REF!+#REF!</f>
        <v/>
      </c>
      <c r="E10" s="342">
        <f>#REF!+#REF!+#REF!+#REF!+#REF!+#REF!+#REF!+#REF!+#REF!+#REF!</f>
        <v/>
      </c>
      <c r="F10" s="226" t="n"/>
      <c r="G10" s="225">
        <f>#REF!+#REF!+#REF!+#REF!+#REF!+#REF!+#REF!+#REF!+#REF!+#REF!</f>
        <v/>
      </c>
      <c r="H10" s="8" t="n"/>
      <c r="I10" s="343">
        <f>D10+G10</f>
        <v/>
      </c>
      <c r="J10" s="342">
        <f>E10+B10</f>
        <v/>
      </c>
      <c r="K10" s="225">
        <f>IF(J10&gt;0,L10/J10," ")</f>
        <v/>
      </c>
      <c r="L10" s="225">
        <f>G10+D10</f>
        <v/>
      </c>
      <c r="N10" s="222">
        <f>D10+G10</f>
        <v/>
      </c>
    </row>
    <row r="11">
      <c r="A11" s="36" t="inlineStr">
        <is>
          <t>TECHNICAL PERSONNEL (or equivalent in the private sector)</t>
        </is>
      </c>
      <c r="B11" s="341">
        <f>#REF!+#REF!+#REF!+#REF!+#REF!+#REF!+#REF!+#REF!+#REF!+#REF!</f>
        <v/>
      </c>
      <c r="C11" s="228" t="n"/>
      <c r="D11" s="229">
        <f>#REF!+#REF!+#REF!+#REF!+#REF!+#REF!+#REF!+#REF!+#REF!+#REF!</f>
        <v/>
      </c>
      <c r="E11" s="342">
        <f>#REF!+#REF!+#REF!+#REF!+#REF!+#REF!+#REF!+#REF!+#REF!+#REF!</f>
        <v/>
      </c>
      <c r="F11" s="226" t="n"/>
      <c r="G11" s="225">
        <f>#REF!+#REF!+#REF!+#REF!+#REF!+#REF!+#REF!+#REF!+#REF!+#REF!</f>
        <v/>
      </c>
      <c r="H11" s="8" t="n"/>
      <c r="I11" s="343">
        <f>D11+G11</f>
        <v/>
      </c>
      <c r="J11" s="342">
        <f>E11+B11</f>
        <v/>
      </c>
      <c r="K11" s="225">
        <f>IF(J11&gt;0,L11/J11," ")</f>
        <v/>
      </c>
      <c r="L11" s="225">
        <f>G11+D11</f>
        <v/>
      </c>
      <c r="N11" s="222">
        <f>D11+G11</f>
        <v/>
      </c>
    </row>
    <row r="12">
      <c r="A12" s="36" t="inlineStr">
        <is>
          <t>ADMINISTRATIVE PERSONNEL (or equivalent in the private sector)</t>
        </is>
      </c>
      <c r="B12" s="341">
        <f>#REF!+#REF!+#REF!+#REF!+#REF!+#REF!+#REF!+#REF!+#REF!+#REF!</f>
        <v/>
      </c>
      <c r="C12" s="228" t="n"/>
      <c r="D12" s="229">
        <f>#REF!+#REF!+#REF!+#REF!+#REF!+#REF!+#REF!+#REF!+#REF!+#REF!</f>
        <v/>
      </c>
      <c r="E12" s="342">
        <f>#REF!+#REF!+#REF!+#REF!+#REF!+#REF!+#REF!+#REF!+#REF!+#REF!</f>
        <v/>
      </c>
      <c r="F12" s="226" t="n"/>
      <c r="G12" s="225">
        <f>#REF!+#REF!+#REF!+#REF!+#REF!+#REF!+#REF!+#REF!+#REF!+#REF!</f>
        <v/>
      </c>
      <c r="H12" s="8" t="n"/>
      <c r="I12" s="343">
        <f>D12+G12</f>
        <v/>
      </c>
      <c r="J12" s="342">
        <f>E12+B12</f>
        <v/>
      </c>
      <c r="K12" s="225">
        <f>IF(J12&gt;0,L12/J12," ")</f>
        <v/>
      </c>
      <c r="L12" s="225">
        <f>G12+D12</f>
        <v/>
      </c>
      <c r="N12" s="222">
        <f>D12+G12</f>
        <v/>
      </c>
    </row>
    <row r="13">
      <c r="A13" s="36" t="inlineStr">
        <is>
          <t>OTHERS</t>
        </is>
      </c>
      <c r="B13" s="341">
        <f>#REF!+#REF!+#REF!+#REF!+#REF!+#REF!+#REF!+#REF!+#REF!+#REF!</f>
        <v/>
      </c>
      <c r="C13" s="228" t="n"/>
      <c r="D13" s="229">
        <f>#REF!+#REF!+#REF!+#REF!+#REF!+#REF!+#REF!+#REF!+#REF!+#REF!</f>
        <v/>
      </c>
      <c r="E13" s="342">
        <f>#REF!+#REF!+#REF!+#REF!+#REF!+#REF!+#REF!+#REF!+#REF!+#REF!</f>
        <v/>
      </c>
      <c r="F13" s="226" t="n"/>
      <c r="G13" s="225">
        <f>#REF!+#REF!+#REF!+#REF!+#REF!+#REF!+#REF!+#REF!+#REF!+#REF!</f>
        <v/>
      </c>
      <c r="H13" s="8" t="n"/>
      <c r="I13" s="343">
        <f>D13+G13</f>
        <v/>
      </c>
      <c r="J13" s="342">
        <f>E13+B13</f>
        <v/>
      </c>
      <c r="K13" s="225">
        <f>IF(J13&gt;0,L13/J13," ")</f>
        <v/>
      </c>
      <c r="L13" s="225">
        <f>G13+D13</f>
        <v/>
      </c>
      <c r="N13" s="222">
        <f>D13+G13</f>
        <v/>
      </c>
    </row>
    <row r="14">
      <c r="A14" s="7" t="inlineStr">
        <is>
          <t>A.2 Natural Persons under direct contract</t>
        </is>
      </c>
      <c r="B14" s="341">
        <f>#REF!+#REF!+#REF!+#REF!+#REF!+#REF!+#REF!+#REF!+#REF!+#REF!</f>
        <v/>
      </c>
      <c r="C14" s="228" t="n"/>
      <c r="D14" s="229">
        <f>#REF!+#REF!+#REF!+#REF!+#REF!+#REF!+#REF!+#REF!+#REF!+#REF!</f>
        <v/>
      </c>
      <c r="E14" s="342">
        <f>#REF!+#REF!+#REF!+#REF!+#REF!+#REF!+#REF!+#REF!+#REF!+#REF!</f>
        <v/>
      </c>
      <c r="F14" s="226" t="n"/>
      <c r="G14" s="225">
        <f>#REF!+#REF!+#REF!+#REF!+#REF!+#REF!+#REF!+#REF!+#REF!+#REF!</f>
        <v/>
      </c>
      <c r="H14" s="8" t="n"/>
      <c r="I14" s="343">
        <f>D14+G14</f>
        <v/>
      </c>
      <c r="J14" s="342">
        <f>E14+B14</f>
        <v/>
      </c>
      <c r="K14" s="225">
        <f>IF(J14&gt;0,L14/J14," ")</f>
        <v/>
      </c>
      <c r="L14" s="225">
        <f>G14+D14</f>
        <v/>
      </c>
      <c r="N14" s="222">
        <f>D14+G14</f>
        <v/>
      </c>
    </row>
    <row r="15">
      <c r="A15" s="7" t="inlineStr">
        <is>
          <t>A.3 Seconded Persons</t>
        </is>
      </c>
      <c r="B15" s="341">
        <f>#REF!+#REF!+#REF!+#REF!+#REF!+#REF!+#REF!+#REF!+#REF!+#REF!</f>
        <v/>
      </c>
      <c r="C15" s="228" t="n"/>
      <c r="D15" s="229">
        <f>#REF!+#REF!+#REF!+#REF!+#REF!+#REF!+#REF!+#REF!+#REF!+#REF!</f>
        <v/>
      </c>
      <c r="E15" s="342">
        <f>#REF!+#REF!+#REF!+#REF!+#REF!+#REF!+#REF!+#REF!+#REF!+#REF!</f>
        <v/>
      </c>
      <c r="F15" s="226" t="n"/>
      <c r="G15" s="225">
        <f>#REF!+#REF!+#REF!+#REF!+#REF!+#REF!+#REF!+#REF!+#REF!+#REF!</f>
        <v/>
      </c>
      <c r="H15" s="8" t="n"/>
      <c r="I15" s="343">
        <f>D15+G15</f>
        <v/>
      </c>
      <c r="J15" s="342">
        <f>E15+B15</f>
        <v/>
      </c>
      <c r="K15" s="225">
        <f>IF(J15&gt;0,L15/J15," ")</f>
        <v/>
      </c>
      <c r="L15" s="225">
        <f>G15+D15</f>
        <v/>
      </c>
      <c r="N15" s="222">
        <f>D15+G15</f>
        <v/>
      </c>
    </row>
    <row r="16">
      <c r="A16" s="7" t="inlineStr">
        <is>
          <t>A.4 SME owners and natural person beneficiaries</t>
        </is>
      </c>
      <c r="B16" s="341">
        <f>#REF!+#REF!+#REF!+#REF!+#REF!+#REF!+#REF!+#REF!+#REF!+#REF!</f>
        <v/>
      </c>
      <c r="C16" s="228" t="n"/>
      <c r="D16" s="229">
        <f>#REF!+#REF!+#REF!+#REF!+#REF!+#REF!+#REF!+#REF!+#REF!+#REF!</f>
        <v/>
      </c>
      <c r="E16" s="342">
        <f>#REF!+#REF!+#REF!+#REF!+#REF!+#REF!+#REF!+#REF!+#REF!+#REF!</f>
        <v/>
      </c>
      <c r="F16" s="226" t="n"/>
      <c r="G16" s="225">
        <f>#REF!+#REF!+#REF!+#REF!+#REF!+#REF!+#REF!+#REF!+#REF!+#REF!</f>
        <v/>
      </c>
      <c r="H16" s="8" t="n"/>
      <c r="I16" s="343">
        <f>D16+G16</f>
        <v/>
      </c>
      <c r="J16" s="342">
        <f>E16+B16</f>
        <v/>
      </c>
      <c r="K16" s="225">
        <f>IF(J16&gt;0,L16/J16," ")</f>
        <v/>
      </c>
      <c r="L16" s="225">
        <f>G16+D16</f>
        <v/>
      </c>
      <c r="N16" s="222">
        <f>D16+G16</f>
        <v/>
      </c>
    </row>
    <row r="17">
      <c r="A17" s="11" t="inlineStr">
        <is>
          <t>B. DIRECT SUBCONTRACTING COSTS</t>
        </is>
      </c>
      <c r="B17" s="344" t="n"/>
      <c r="C17" s="227" t="n"/>
      <c r="D17" s="223" t="n"/>
      <c r="E17" s="344" t="n"/>
      <c r="F17" s="227" t="n"/>
      <c r="G17" s="223" t="n"/>
      <c r="H17" s="8" t="n"/>
      <c r="I17" s="340" t="n"/>
      <c r="J17" s="345" t="n"/>
      <c r="K17" s="223" t="n"/>
      <c r="L17" s="223" t="n"/>
      <c r="N17" s="223" t="n"/>
    </row>
    <row r="18">
      <c r="A18" s="9" t="n"/>
      <c r="B18" s="341">
        <f>#REF!+#REF!+#REF!+#REF!+#REF!+#REF!+#REF!+#REF!+#REF!+#REF!</f>
        <v/>
      </c>
      <c r="C18" s="228" t="n"/>
      <c r="D18" s="229">
        <f>#REF!+#REF!+#REF!+#REF!+#REF!+#REF!+#REF!+#REF!+#REF!+#REF!</f>
        <v/>
      </c>
      <c r="E18" s="342">
        <f>#REF!+#REF!+#REF!+#REF!+#REF!+#REF!+#REF!+#REF!+#REF!+#REF!</f>
        <v/>
      </c>
      <c r="F18" s="226" t="n"/>
      <c r="G18" s="225">
        <f>#REF!+#REF!+#REF!+#REF!+#REF!+#REF!+#REF!+#REF!+#REF!+#REF!</f>
        <v/>
      </c>
      <c r="H18" s="8" t="n"/>
      <c r="I18" s="343">
        <f>D18+G18</f>
        <v/>
      </c>
      <c r="J18" s="342">
        <f>E18+B18</f>
        <v/>
      </c>
      <c r="K18" s="225">
        <f>IF(J18&gt;0,L18/J18," ")</f>
        <v/>
      </c>
      <c r="L18" s="225">
        <f>G18+D18</f>
        <v/>
      </c>
      <c r="N18" s="222">
        <f>D18+G18</f>
        <v/>
      </c>
    </row>
    <row r="19">
      <c r="A19" s="11" t="inlineStr">
        <is>
          <t>C. DIRECT PURCHASE COSTS</t>
        </is>
      </c>
      <c r="B19" s="344" t="n"/>
      <c r="C19" s="227" t="n"/>
      <c r="D19" s="223" t="n"/>
      <c r="E19" s="344" t="n"/>
      <c r="F19" s="227" t="n"/>
      <c r="G19" s="223" t="n"/>
      <c r="H19" s="8" t="n"/>
      <c r="I19" s="340" t="n"/>
      <c r="J19" s="345" t="n"/>
      <c r="K19" s="223" t="n"/>
      <c r="L19" s="223" t="n"/>
      <c r="N19" s="223" t="n"/>
    </row>
    <row r="20">
      <c r="A20" s="39" t="inlineStr">
        <is>
          <t>C.1 Travel and subsistence</t>
        </is>
      </c>
      <c r="B20" s="341">
        <f>#REF!+#REF!+#REF!+#REF!+#REF!+#REF!+#REF!+#REF!+#REF!+#REF!</f>
        <v/>
      </c>
      <c r="C20" s="228" t="n"/>
      <c r="D20" s="229">
        <f>#REF!+#REF!+#REF!+#REF!+#REF!+#REF!+#REF!+#REF!+#REF!+#REF!</f>
        <v/>
      </c>
      <c r="E20" s="342">
        <f>#REF!+#REF!+#REF!+#REF!+#REF!+#REF!+#REF!+#REF!+#REF!+#REF!</f>
        <v/>
      </c>
      <c r="F20" s="226" t="n"/>
      <c r="G20" s="225">
        <f>#REF!+#REF!+#REF!+#REF!+#REF!+#REF!+#REF!+#REF!+#REF!+#REF!</f>
        <v/>
      </c>
      <c r="H20" s="8" t="n"/>
      <c r="I20" s="343">
        <f>D20+G20</f>
        <v/>
      </c>
      <c r="J20" s="342">
        <f>E20+B20</f>
        <v/>
      </c>
      <c r="K20" s="225">
        <f>IF(J20&gt;0,L20/J20," ")</f>
        <v/>
      </c>
      <c r="L20" s="225">
        <f>G20+D20</f>
        <v/>
      </c>
      <c r="N20" s="222">
        <f>D20+G20</f>
        <v/>
      </c>
    </row>
    <row r="21">
      <c r="A21" s="7" t="inlineStr">
        <is>
          <t>C.2 Equipment (complete 'Depreciation cost' sheet)</t>
        </is>
      </c>
      <c r="B21" s="346" t="n"/>
      <c r="C21" s="160" t="n"/>
      <c r="D21" s="160" t="n"/>
      <c r="E21" s="346" t="n"/>
      <c r="F21" s="160" t="n"/>
      <c r="G21" s="160" t="n"/>
      <c r="H21" s="8" t="n"/>
      <c r="I21" s="89" t="n"/>
      <c r="J21" s="346" t="n"/>
      <c r="K21" s="160" t="n"/>
      <c r="L21" s="160" t="n"/>
      <c r="N21" s="160" t="n"/>
    </row>
    <row r="22">
      <c r="A22" s="37" t="inlineStr">
        <is>
          <t>Equipment</t>
        </is>
      </c>
      <c r="B22" s="341">
        <f>#REF!+#REF!+#REF!+#REF!+#REF!+#REF!+#REF!+#REF!+#REF!+#REF!</f>
        <v/>
      </c>
      <c r="C22" s="228" t="n"/>
      <c r="D22" s="229">
        <f>#REF!+#REF!+#REF!+#REF!+#REF!+#REF!+#REF!+#REF!+#REF!+#REF!</f>
        <v/>
      </c>
      <c r="E22" s="342">
        <f>#REF!+#REF!+#REF!+#REF!+#REF!+#REF!+#REF!+#REF!+#REF!+#REF!</f>
        <v/>
      </c>
      <c r="F22" s="226" t="n"/>
      <c r="G22" s="225">
        <f>#REF!+#REF!+#REF!+#REF!+#REF!+#REF!+#REF!+#REF!+#REF!+#REF!</f>
        <v/>
      </c>
      <c r="H22" s="8" t="n"/>
      <c r="I22" s="343">
        <f>D22+G22</f>
        <v/>
      </c>
      <c r="J22" s="342">
        <f>E22+B22</f>
        <v/>
      </c>
      <c r="K22" s="225">
        <f>IF(J22&gt;0,L22/J22," ")</f>
        <v/>
      </c>
      <c r="L22" s="225">
        <f>G22+D22</f>
        <v/>
      </c>
      <c r="N22" s="222">
        <f>D22+G22</f>
        <v/>
      </c>
    </row>
    <row r="23">
      <c r="A23" s="37" t="inlineStr">
        <is>
          <t>Infrastructure</t>
        </is>
      </c>
      <c r="B23" s="341">
        <f>#REF!+#REF!+#REF!+#REF!+#REF!+#REF!+#REF!+#REF!+#REF!+#REF!</f>
        <v/>
      </c>
      <c r="C23" s="228" t="n"/>
      <c r="D23" s="229">
        <f>#REF!+#REF!+#REF!+#REF!+#REF!+#REF!+#REF!+#REF!+#REF!+#REF!</f>
        <v/>
      </c>
      <c r="E23" s="342">
        <f>#REF!+#REF!+#REF!+#REF!+#REF!+#REF!+#REF!+#REF!+#REF!+#REF!</f>
        <v/>
      </c>
      <c r="F23" s="226" t="n"/>
      <c r="G23" s="225">
        <f>#REF!+#REF!+#REF!+#REF!+#REF!+#REF!+#REF!+#REF!+#REF!+#REF!</f>
        <v/>
      </c>
      <c r="H23" s="8" t="n"/>
      <c r="I23" s="343">
        <f>D23+G23</f>
        <v/>
      </c>
      <c r="J23" s="342">
        <f>E23+B23</f>
        <v/>
      </c>
      <c r="K23" s="225">
        <f>IF(J23&gt;0,L23/J23," ")</f>
        <v/>
      </c>
      <c r="L23" s="225">
        <f>G23+D23</f>
        <v/>
      </c>
      <c r="N23" s="222">
        <f>D23+G23</f>
        <v/>
      </c>
    </row>
    <row r="24">
      <c r="A24" s="37" t="inlineStr">
        <is>
          <t>Other assets</t>
        </is>
      </c>
      <c r="B24" s="341">
        <f>#REF!+#REF!+#REF!+#REF!+#REF!+#REF!+#REF!+#REF!+#REF!+#REF!</f>
        <v/>
      </c>
      <c r="C24" s="228" t="n"/>
      <c r="D24" s="229">
        <f>#REF!+#REF!+#REF!+#REF!+#REF!+#REF!+#REF!+#REF!+#REF!+#REF!</f>
        <v/>
      </c>
      <c r="E24" s="342">
        <f>#REF!+#REF!+#REF!+#REF!+#REF!+#REF!+#REF!+#REF!+#REF!+#REF!</f>
        <v/>
      </c>
      <c r="F24" s="226" t="n"/>
      <c r="G24" s="225">
        <f>#REF!+#REF!+#REF!+#REF!+#REF!+#REF!+#REF!+#REF!+#REF!+#REF!</f>
        <v/>
      </c>
      <c r="H24" s="8" t="n"/>
      <c r="I24" s="343">
        <f>D24+G24</f>
        <v/>
      </c>
      <c r="J24" s="342">
        <f>E24+B24</f>
        <v/>
      </c>
      <c r="K24" s="225">
        <f>IF(J24&gt;0,L24/J24," ")</f>
        <v/>
      </c>
      <c r="L24" s="225">
        <f>G24+D24</f>
        <v/>
      </c>
      <c r="N24" s="222">
        <f>D24+G24</f>
        <v/>
      </c>
    </row>
    <row r="25">
      <c r="A25" s="7" t="inlineStr">
        <is>
          <t>C.3 Other goods, works and services</t>
        </is>
      </c>
      <c r="B25" s="346" t="n"/>
      <c r="C25" s="160" t="n"/>
      <c r="D25" s="160" t="n"/>
      <c r="E25" s="346" t="n"/>
      <c r="F25" s="160" t="n"/>
      <c r="G25" s="160" t="n"/>
      <c r="H25" s="8" t="n"/>
      <c r="I25" s="89" t="n"/>
      <c r="J25" s="346" t="n"/>
      <c r="K25" s="160" t="n"/>
      <c r="L25" s="160" t="n"/>
      <c r="N25" s="160" t="n"/>
    </row>
    <row r="26">
      <c r="A26" s="37" t="inlineStr">
        <is>
          <t>Consumables</t>
        </is>
      </c>
      <c r="B26" s="341">
        <f>#REF!+#REF!+#REF!+#REF!+#REF!+#REF!+#REF!+#REF!+#REF!+#REF!</f>
        <v/>
      </c>
      <c r="C26" s="228" t="n"/>
      <c r="D26" s="229">
        <f>#REF!+#REF!+#REF!+#REF!+#REF!+#REF!+#REF!+#REF!+#REF!+#REF!</f>
        <v/>
      </c>
      <c r="E26" s="342">
        <f>#REF!+#REF!+#REF!+#REF!+#REF!+#REF!+#REF!+#REF!+#REF!+#REF!</f>
        <v/>
      </c>
      <c r="F26" s="226" t="n"/>
      <c r="G26" s="225">
        <f>#REF!+#REF!+#REF!+#REF!+#REF!+#REF!+#REF!+#REF!+#REF!+#REF!</f>
        <v/>
      </c>
      <c r="H26" s="8" t="n"/>
      <c r="I26" s="343">
        <f>D26+G26</f>
        <v/>
      </c>
      <c r="J26" s="342">
        <f>E26+B26</f>
        <v/>
      </c>
      <c r="K26" s="225">
        <f>IF(J26&gt;0,L26/J26," ")</f>
        <v/>
      </c>
      <c r="L26" s="225">
        <f>G26+D26</f>
        <v/>
      </c>
      <c r="N26" s="222">
        <f>D26+G26</f>
        <v/>
      </c>
    </row>
    <row r="27">
      <c r="A27" s="37" t="inlineStr">
        <is>
          <t>Services for meetings, seminars</t>
        </is>
      </c>
      <c r="B27" s="341">
        <f>#REF!+#REF!+#REF!+#REF!+#REF!+#REF!+#REF!+#REF!+#REF!+#REF!</f>
        <v/>
      </c>
      <c r="C27" s="228" t="n"/>
      <c r="D27" s="229">
        <f>#REF!+#REF!+#REF!+#REF!+#REF!+#REF!+#REF!+#REF!+#REF!+#REF!</f>
        <v/>
      </c>
      <c r="E27" s="342">
        <f>#REF!+#REF!+#REF!+#REF!+#REF!+#REF!+#REF!+#REF!+#REF!+#REF!</f>
        <v/>
      </c>
      <c r="F27" s="226" t="n"/>
      <c r="G27" s="225">
        <f>#REF!+#REF!+#REF!+#REF!+#REF!+#REF!+#REF!+#REF!+#REF!+#REF!</f>
        <v/>
      </c>
      <c r="H27" s="8" t="n"/>
      <c r="I27" s="343">
        <f>D27+G27</f>
        <v/>
      </c>
      <c r="J27" s="342">
        <f>E27+B27</f>
        <v/>
      </c>
      <c r="K27" s="225">
        <f>IF(J27&gt;0,L27/J27," ")</f>
        <v/>
      </c>
      <c r="L27" s="225">
        <f>G27+D27</f>
        <v/>
      </c>
      <c r="N27" s="222">
        <f>D27+G27</f>
        <v/>
      </c>
    </row>
    <row r="28">
      <c r="A28" s="37" t="inlineStr">
        <is>
          <t>Services for dissemination activities (including website)</t>
        </is>
      </c>
      <c r="B28" s="341">
        <f>#REF!+#REF!+#REF!+#REF!+#REF!+#REF!+#REF!+#REF!+#REF!+#REF!</f>
        <v/>
      </c>
      <c r="C28" s="228" t="n"/>
      <c r="D28" s="229">
        <f>#REF!+#REF!+#REF!+#REF!+#REF!+#REF!+#REF!+#REF!+#REF!+#REF!</f>
        <v/>
      </c>
      <c r="E28" s="342">
        <f>#REF!+#REF!+#REF!+#REF!+#REF!+#REF!+#REF!+#REF!+#REF!+#REF!</f>
        <v/>
      </c>
      <c r="F28" s="226" t="n"/>
      <c r="G28" s="225">
        <f>#REF!+#REF!+#REF!+#REF!+#REF!+#REF!+#REF!+#REF!+#REF!+#REF!</f>
        <v/>
      </c>
      <c r="H28" s="8" t="n"/>
      <c r="I28" s="343">
        <f>D28+G28</f>
        <v/>
      </c>
      <c r="J28" s="342">
        <f>E28+B28</f>
        <v/>
      </c>
      <c r="K28" s="225">
        <f>IF(J28&gt;0,L28/J28," ")</f>
        <v/>
      </c>
      <c r="L28" s="225">
        <f>G28+D28</f>
        <v/>
      </c>
      <c r="N28" s="222">
        <f>D28+G28</f>
        <v/>
      </c>
    </row>
    <row r="29">
      <c r="A29" s="37" t="inlineStr">
        <is>
          <t>Publication fees</t>
        </is>
      </c>
      <c r="B29" s="341">
        <f>#REF!+#REF!+#REF!+#REF!+#REF!+#REF!+#REF!+#REF!+#REF!+#REF!</f>
        <v/>
      </c>
      <c r="C29" s="228" t="n"/>
      <c r="D29" s="229">
        <f>#REF!+#REF!+#REF!+#REF!+#REF!+#REF!+#REF!+#REF!+#REF!+#REF!</f>
        <v/>
      </c>
      <c r="E29" s="342">
        <f>#REF!+#REF!+#REF!+#REF!+#REF!+#REF!+#REF!+#REF!+#REF!+#REF!</f>
        <v/>
      </c>
      <c r="F29" s="226" t="n"/>
      <c r="G29" s="225">
        <f>#REF!+#REF!+#REF!+#REF!+#REF!+#REF!+#REF!+#REF!+#REF!+#REF!</f>
        <v/>
      </c>
      <c r="H29" s="8" t="n"/>
      <c r="I29" s="343">
        <f>D29+G29</f>
        <v/>
      </c>
      <c r="J29" s="342">
        <f>E29+B29</f>
        <v/>
      </c>
      <c r="K29" s="225">
        <f>IF(J29&gt;0,L29/J29," ")</f>
        <v/>
      </c>
      <c r="L29" s="225">
        <f>G29+D29</f>
        <v/>
      </c>
      <c r="N29" s="222">
        <f>D29+G29</f>
        <v/>
      </c>
    </row>
    <row r="30">
      <c r="A30" s="37" t="inlineStr">
        <is>
          <t>Other (shipment,insurance, translation, etc.)</t>
        </is>
      </c>
      <c r="B30" s="341">
        <f>#REF!+#REF!+#REF!+#REF!+#REF!+#REF!+#REF!+#REF!+#REF!+#REF!</f>
        <v/>
      </c>
      <c r="C30" s="228" t="n"/>
      <c r="D30" s="229">
        <f>#REF!+#REF!+#REF!+#REF!+#REF!+#REF!+#REF!+#REF!+#REF!+#REF!</f>
        <v/>
      </c>
      <c r="E30" s="342">
        <f>#REF!+#REF!+#REF!+#REF!+#REF!+#REF!+#REF!+#REF!+#REF!+#REF!</f>
        <v/>
      </c>
      <c r="F30" s="226" t="n"/>
      <c r="G30" s="225">
        <f>#REF!+#REF!+#REF!+#REF!+#REF!+#REF!+#REF!+#REF!+#REF!+#REF!</f>
        <v/>
      </c>
      <c r="H30" s="8" t="n"/>
      <c r="I30" s="343">
        <f>D30+G30</f>
        <v/>
      </c>
      <c r="J30" s="342">
        <f>E30+B30</f>
        <v/>
      </c>
      <c r="K30" s="225">
        <f>IF(J30&gt;0,L30/J30," ")</f>
        <v/>
      </c>
      <c r="L30" s="225">
        <f>G30+D30</f>
        <v/>
      </c>
      <c r="N30" s="222">
        <f>D30+G30</f>
        <v/>
      </c>
    </row>
    <row r="31">
      <c r="A31" s="6" t="inlineStr">
        <is>
          <t>D. OTHER COST CATEGORIES</t>
        </is>
      </c>
      <c r="B31" s="344" t="n"/>
      <c r="C31" s="227" t="n"/>
      <c r="D31" s="223" t="n"/>
      <c r="E31" s="344" t="n"/>
      <c r="F31" s="227" t="n"/>
      <c r="G31" s="223" t="n"/>
      <c r="H31" s="8" t="n"/>
      <c r="I31" s="340" t="n"/>
      <c r="J31" s="345" t="n"/>
      <c r="K31" s="223" t="n"/>
      <c r="L31" s="223" t="n"/>
      <c r="N31" s="223" t="n"/>
    </row>
    <row r="32">
      <c r="A32" s="40" t="inlineStr">
        <is>
          <t>D.1 Financial support to third parties (if applicable in the topic specific conditions)</t>
        </is>
      </c>
      <c r="B32" s="341">
        <f>#REF!+#REF!+#REF!+#REF!+#REF!+#REF!+#REF!+#REF!+#REF!+#REF!</f>
        <v/>
      </c>
      <c r="C32" s="228" t="n"/>
      <c r="D32" s="229">
        <f>#REF!+#REF!+#REF!+#REF!+#REF!+#REF!+#REF!+#REF!+#REF!+#REF!</f>
        <v/>
      </c>
      <c r="E32" s="342">
        <f>#REF!+#REF!+#REF!+#REF!+#REF!+#REF!+#REF!+#REF!+#REF!+#REF!</f>
        <v/>
      </c>
      <c r="F32" s="226" t="n"/>
      <c r="G32" s="225">
        <f>#REF!+#REF!+#REF!+#REF!+#REF!+#REF!+#REF!+#REF!+#REF!+#REF!</f>
        <v/>
      </c>
      <c r="H32" s="8" t="n"/>
      <c r="I32" s="343">
        <f>D32+G32</f>
        <v/>
      </c>
      <c r="J32" s="342">
        <f>E32+B32</f>
        <v/>
      </c>
      <c r="K32" s="225">
        <f>IF(J32&gt;0,L32/J32," ")</f>
        <v/>
      </c>
      <c r="L32" s="225">
        <f>G32+D32</f>
        <v/>
      </c>
      <c r="N32" s="222">
        <f>D32+G32</f>
        <v/>
      </c>
    </row>
    <row r="33">
      <c r="A33" s="39" t="inlineStr">
        <is>
          <t>D.2 Internally invoiced goods and services</t>
        </is>
      </c>
      <c r="B33" s="341">
        <f>#REF!+#REF!+#REF!+#REF!+#REF!+#REF!+#REF!+#REF!+#REF!+#REF!</f>
        <v/>
      </c>
      <c r="C33" s="228" t="n"/>
      <c r="D33" s="229">
        <f>#REF!+#REF!+#REF!+#REF!+#REF!+#REF!+#REF!+#REF!+#REF!+#REF!</f>
        <v/>
      </c>
      <c r="E33" s="342">
        <f>#REF!+#REF!+#REF!+#REF!+#REF!+#REF!+#REF!+#REF!+#REF!+#REF!</f>
        <v/>
      </c>
      <c r="F33" s="226" t="n"/>
      <c r="G33" s="225">
        <f>#REF!+#REF!+#REF!+#REF!+#REF!+#REF!+#REF!+#REF!+#REF!+#REF!</f>
        <v/>
      </c>
      <c r="H33" s="8" t="n"/>
      <c r="I33" s="343">
        <f>D33+G33</f>
        <v/>
      </c>
      <c r="J33" s="342">
        <f>E33+B33</f>
        <v/>
      </c>
      <c r="K33" s="225">
        <f>IF(J33&gt;0,L33/J33," ")</f>
        <v/>
      </c>
      <c r="L33" s="225">
        <f>G33+D33</f>
        <v/>
      </c>
      <c r="N33" s="222">
        <f>D33+G33</f>
        <v/>
      </c>
    </row>
    <row r="34">
      <c r="A34" s="39" t="inlineStr">
        <is>
          <t>D.3 Transnational access to research infrastructure unit costs (if required in the topic specific conditions)</t>
        </is>
      </c>
      <c r="B34" s="341">
        <f>#REF!+#REF!+#REF!+#REF!+#REF!+#REF!+#REF!+#REF!+#REF!+#REF!</f>
        <v/>
      </c>
      <c r="C34" s="228" t="n"/>
      <c r="D34" s="229">
        <f>#REF!+#REF!+#REF!+#REF!+#REF!+#REF!+#REF!+#REF!+#REF!+#REF!</f>
        <v/>
      </c>
      <c r="E34" s="342">
        <f>#REF!+#REF!+#REF!+#REF!+#REF!+#REF!+#REF!+#REF!+#REF!+#REF!</f>
        <v/>
      </c>
      <c r="F34" s="226" t="n"/>
      <c r="G34" s="225">
        <f>#REF!+#REF!+#REF!+#REF!+#REF!+#REF!+#REF!+#REF!+#REF!+#REF!</f>
        <v/>
      </c>
      <c r="H34" s="8" t="n"/>
      <c r="I34" s="343">
        <f>D34+G34</f>
        <v/>
      </c>
      <c r="J34" s="342">
        <f>E34+B34</f>
        <v/>
      </c>
      <c r="K34" s="225">
        <f>IF(J34&gt;0,L34/J34," ")</f>
        <v/>
      </c>
      <c r="L34" s="225">
        <f>G34+D34</f>
        <v/>
      </c>
      <c r="N34" s="222">
        <f>D34+G34</f>
        <v/>
      </c>
    </row>
    <row r="35">
      <c r="A35" s="39" t="inlineStr">
        <is>
          <t>D.4 Virtual access to research infrastructure unit costs (if required in the topic specific conditions)</t>
        </is>
      </c>
      <c r="B35" s="341">
        <f>#REF!+#REF!+#REF!+#REF!+#REF!+#REF!+#REF!+#REF!+#REF!+#REF!</f>
        <v/>
      </c>
      <c r="C35" s="228" t="n"/>
      <c r="D35" s="229">
        <f>#REF!+#REF!+#REF!+#REF!+#REF!+#REF!+#REF!+#REF!+#REF!+#REF!</f>
        <v/>
      </c>
      <c r="E35" s="342">
        <f>#REF!+#REF!+#REF!+#REF!+#REF!+#REF!+#REF!+#REF!+#REF!+#REF!</f>
        <v/>
      </c>
      <c r="F35" s="226" t="n"/>
      <c r="G35" s="225">
        <f>#REF!+#REF!+#REF!+#REF!+#REF!+#REF!+#REF!+#REF!+#REF!+#REF!</f>
        <v/>
      </c>
      <c r="H35" s="8" t="n"/>
      <c r="I35" s="343">
        <f>D35+G35</f>
        <v/>
      </c>
      <c r="J35" s="342">
        <f>E35+B35</f>
        <v/>
      </c>
      <c r="K35" s="225">
        <f>IF(J35&gt;0,L35/J35," ")</f>
        <v/>
      </c>
      <c r="L35" s="225">
        <f>G35+D35</f>
        <v/>
      </c>
      <c r="N35" s="222">
        <f>D35+G35</f>
        <v/>
      </c>
    </row>
    <row r="36">
      <c r="A36" s="39" t="inlineStr">
        <is>
          <t>D.5 PCP/PPI procurement costs (if mentioned as eligible in the topic specific conditions)</t>
        </is>
      </c>
      <c r="B36" s="341">
        <f>#REF!+#REF!+#REF!+#REF!+#REF!+#REF!+#REF!+#REF!+#REF!+#REF!</f>
        <v/>
      </c>
      <c r="C36" s="228" t="n"/>
      <c r="D36" s="229">
        <f>#REF!+#REF!+#REF!+#REF!+#REF!+#REF!+#REF!+#REF!+#REF!+#REF!</f>
        <v/>
      </c>
      <c r="E36" s="342">
        <f>#REF!+#REF!+#REF!+#REF!+#REF!+#REF!+#REF!+#REF!+#REF!+#REF!</f>
        <v/>
      </c>
      <c r="F36" s="226" t="n"/>
      <c r="G36" s="225">
        <f>#REF!+#REF!+#REF!+#REF!+#REF!+#REF!+#REF!+#REF!+#REF!+#REF!</f>
        <v/>
      </c>
      <c r="H36" s="8" t="n"/>
      <c r="I36" s="343">
        <f>D36+G36</f>
        <v/>
      </c>
      <c r="J36" s="342">
        <f>E36+B36</f>
        <v/>
      </c>
      <c r="K36" s="225">
        <f>IF(J36&gt;0,L36/J36," ")</f>
        <v/>
      </c>
      <c r="L36" s="225">
        <f>G36+D36</f>
        <v/>
      </c>
      <c r="N36" s="222">
        <f>D36+G36</f>
        <v/>
      </c>
    </row>
    <row r="37">
      <c r="A37" s="26" t="n"/>
      <c r="B37" s="346" t="n"/>
      <c r="C37" s="160" t="n"/>
      <c r="D37" s="160" t="n"/>
      <c r="E37" s="346" t="n"/>
      <c r="F37" s="160" t="n"/>
      <c r="G37" s="160" t="n"/>
      <c r="H37" s="8" t="n"/>
      <c r="I37" s="89" t="n"/>
      <c r="J37" s="346" t="n"/>
      <c r="K37" s="160" t="n"/>
      <c r="L37" s="160" t="n"/>
      <c r="N37" s="160" t="n"/>
    </row>
    <row r="38">
      <c r="A38" s="41" t="inlineStr">
        <is>
          <t>TOTAL DIRECT PERSONNEL COSTS AND PURCHASE COSTS (A+C)</t>
        </is>
      </c>
      <c r="B38" s="347" t="n"/>
      <c r="C38" s="224" t="n"/>
      <c r="D38" s="224">
        <f>SUM(D9:D16,D20:D30)</f>
        <v/>
      </c>
      <c r="E38" s="347" t="n"/>
      <c r="F38" s="224" t="n"/>
      <c r="G38" s="224">
        <f>SUM(G9:G16,G20:G30)</f>
        <v/>
      </c>
      <c r="H38" s="8" t="n"/>
      <c r="I38" s="348">
        <f>SUM(I9:I16,I20:I30)</f>
        <v/>
      </c>
      <c r="J38" s="347" t="n"/>
      <c r="K38" s="224" t="n"/>
      <c r="L38" s="224">
        <f>SUM(L9:L16,L20:L30)</f>
        <v/>
      </c>
      <c r="N38" s="224">
        <f>SUM(N9:N16,N20:N30)</f>
        <v/>
      </c>
    </row>
    <row r="39">
      <c r="A39" s="41" t="inlineStr">
        <is>
          <t>TOTAL DIRECT COSTS  (A+B+C+D)</t>
        </is>
      </c>
      <c r="B39" s="347" t="n"/>
      <c r="C39" s="224" t="n"/>
      <c r="D39" s="224">
        <f>SUM(D9:D36)</f>
        <v/>
      </c>
      <c r="E39" s="347" t="n"/>
      <c r="F39" s="224" t="n"/>
      <c r="G39" s="224">
        <f>SUM(G9:G36)</f>
        <v/>
      </c>
      <c r="H39" s="8" t="n"/>
      <c r="I39" s="348">
        <f>SUM(I9:I36)</f>
        <v/>
      </c>
      <c r="J39" s="347" t="n"/>
      <c r="K39" s="224" t="n"/>
      <c r="L39" s="224">
        <f>SUM(L9:L36)</f>
        <v/>
      </c>
      <c r="N39" s="224">
        <f>SUM(N9:N36)</f>
        <v/>
      </c>
    </row>
    <row r="40" ht="6.95" customHeight="1">
      <c r="B40" s="349" t="n"/>
      <c r="C40" s="134" t="n"/>
      <c r="D40" s="134" t="n"/>
      <c r="E40" s="349" t="n"/>
      <c r="F40" s="134" t="n"/>
      <c r="G40" s="134" t="n"/>
      <c r="H40" s="8" t="n"/>
      <c r="I40" s="8" t="n"/>
      <c r="J40" s="349" t="n"/>
      <c r="K40" s="134" t="n"/>
      <c r="L40" s="134" t="n"/>
      <c r="N40" s="134" t="n"/>
    </row>
    <row r="41">
      <c r="A41" s="11" t="inlineStr">
        <is>
          <t>E. INDIRECT COSTS (25% * (A+C))</t>
        </is>
      </c>
      <c r="B41" s="347" t="n"/>
      <c r="C41" s="224" t="n"/>
      <c r="D41" s="224">
        <f>+D38*0.25</f>
        <v/>
      </c>
      <c r="E41" s="347" t="n"/>
      <c r="F41" s="224" t="n"/>
      <c r="G41" s="224">
        <f>+G38*0.25</f>
        <v/>
      </c>
      <c r="H41" s="8" t="n"/>
      <c r="I41" s="348">
        <f>+I38*0.25</f>
        <v/>
      </c>
      <c r="J41" s="347" t="n"/>
      <c r="K41" s="224" t="n"/>
      <c r="L41" s="224">
        <f>+L38*0.25</f>
        <v/>
      </c>
      <c r="N41" s="224">
        <f>+N38*0.25</f>
        <v/>
      </c>
    </row>
    <row r="42" ht="6.95" customHeight="1">
      <c r="B42" s="349" t="n"/>
      <c r="C42" s="134" t="n"/>
      <c r="D42" s="134" t="n"/>
      <c r="E42" s="349" t="n"/>
      <c r="F42" s="134" t="n"/>
      <c r="G42" s="134" t="n"/>
      <c r="H42" s="8" t="n"/>
      <c r="I42" s="8" t="n"/>
      <c r="J42" s="349" t="n"/>
      <c r="K42" s="134" t="n"/>
      <c r="L42" s="134" t="n"/>
      <c r="N42" s="134" t="n"/>
    </row>
    <row r="43">
      <c r="A43" s="11" t="inlineStr">
        <is>
          <t>F. TOTAL COSTS (A+B+C+D+E)</t>
        </is>
      </c>
      <c r="B43" s="347" t="n"/>
      <c r="C43" s="224" t="n"/>
      <c r="D43" s="224">
        <f>D39+D41</f>
        <v/>
      </c>
      <c r="E43" s="347" t="n"/>
      <c r="F43" s="224" t="n"/>
      <c r="G43" s="224">
        <f>G39+G41</f>
        <v/>
      </c>
      <c r="H43" s="8" t="n"/>
      <c r="I43" s="348">
        <f>I39+I41</f>
        <v/>
      </c>
      <c r="J43" s="347" t="n"/>
      <c r="K43" s="224" t="n"/>
      <c r="L43" s="224">
        <f>L39+L41</f>
        <v/>
      </c>
      <c r="N43" s="224">
        <f>N39+N41</f>
        <v/>
      </c>
    </row>
    <row r="44" ht="6.95" customHeight="1">
      <c r="B44" s="8" t="n"/>
      <c r="C44" s="8" t="n"/>
      <c r="D44" s="8" t="n"/>
      <c r="E44" s="8" t="n"/>
      <c r="F44" s="8" t="n"/>
      <c r="G44" s="8" t="n"/>
      <c r="H44" s="8" t="n"/>
      <c r="I44" s="8" t="n"/>
      <c r="J44" s="8" t="n"/>
      <c r="K44" s="8" t="n"/>
      <c r="L44" s="8" t="n"/>
    </row>
    <row r="45">
      <c r="A45" s="209" t="n"/>
      <c r="B45" s="207" t="n"/>
      <c r="C45" s="209" t="n"/>
      <c r="D45" s="208" t="n"/>
      <c r="E45" s="207" t="n"/>
      <c r="F45" s="209" t="n"/>
      <c r="G45" s="208" t="n"/>
      <c r="H45" s="208" t="n"/>
      <c r="I45" s="208" t="n"/>
      <c r="J45" s="208" t="n"/>
      <c r="K45" s="208" t="n"/>
      <c r="L45" s="208" t="n"/>
      <c r="M45" s="209" t="n"/>
      <c r="N45" s="210" t="n"/>
    </row>
    <row r="46" ht="21" customHeight="1">
      <c r="A46" s="301" t="inlineStr">
        <is>
          <t>SUM OF ALL WORK PACKAGES FOR ALL BENEFICIARIES</t>
        </is>
      </c>
      <c r="B46" s="337" t="n"/>
      <c r="C46" s="337" t="n"/>
      <c r="D46" s="337" t="n"/>
      <c r="E46" s="337" t="n"/>
      <c r="F46" s="337" t="n"/>
      <c r="G46" s="337" t="n"/>
      <c r="H46" s="337" t="n"/>
      <c r="I46" s="337" t="n"/>
      <c r="J46" s="337" t="n"/>
      <c r="K46" s="337" t="n"/>
      <c r="L46" s="337" t="n"/>
      <c r="M46" s="337" t="n"/>
      <c r="N46" s="338" t="n"/>
    </row>
    <row r="47" ht="6.95" customHeight="1">
      <c r="B47" s="8" t="n"/>
      <c r="C47" s="8" t="n"/>
      <c r="D47" s="8" t="n"/>
      <c r="E47" s="8" t="n"/>
      <c r="F47" s="8" t="n"/>
      <c r="G47" s="8" t="n"/>
      <c r="H47" s="8" t="n"/>
      <c r="I47" s="8" t="n"/>
      <c r="J47" s="8" t="n"/>
      <c r="K47" s="8" t="n"/>
      <c r="L47" s="8" t="n"/>
    </row>
    <row r="48">
      <c r="A48" s="11" t="inlineStr">
        <is>
          <t>A. DIRECT PERSONNEL COSTS</t>
        </is>
      </c>
      <c r="B48" s="4" t="n"/>
      <c r="C48" s="339" t="n"/>
      <c r="D48" s="340" t="n"/>
      <c r="E48" s="4" t="n"/>
      <c r="F48" s="339" t="n"/>
      <c r="G48" s="340" t="n"/>
      <c r="H48" s="8" t="n"/>
      <c r="I48" s="340" t="n"/>
      <c r="J48" s="340" t="n"/>
      <c r="K48" s="340" t="n"/>
      <c r="L48" s="340" t="n"/>
      <c r="N48" s="340" t="n"/>
    </row>
    <row r="49">
      <c r="A49" s="7" t="inlineStr">
        <is>
          <t>A.1 Employees (or equivalent)</t>
        </is>
      </c>
      <c r="B49" s="89" t="n"/>
      <c r="C49" s="89" t="n"/>
      <c r="D49" s="89" t="n"/>
      <c r="E49" s="89" t="n"/>
      <c r="F49" s="89" t="n"/>
      <c r="G49" s="89" t="n"/>
      <c r="H49" s="8" t="n"/>
      <c r="I49" s="89" t="n"/>
      <c r="J49" s="89" t="n"/>
      <c r="K49" s="89" t="n"/>
      <c r="L49" s="89" t="n"/>
      <c r="N49" s="89" t="n"/>
    </row>
    <row r="50">
      <c r="A50" s="36" t="inlineStr">
        <is>
          <t>SENIOR SCIENTISTS (or equivalent in the private sector)</t>
        </is>
      </c>
      <c r="B50" s="341">
        <f>#REF!+#REF!+#REF!+#REF!+#REF!+#REF!+#REF!+#REF!+#REF!+#REF!</f>
        <v/>
      </c>
      <c r="C50" s="350" t="n"/>
      <c r="D50" s="351">
        <f>#REF!+#REF!+#REF!+#REF!+#REF!+#REF!+#REF!+#REF!+#REF!+#REF!</f>
        <v/>
      </c>
      <c r="E50" s="342">
        <f>#REF!+#REF!+#REF!+#REF!+#REF!+#REF!+#REF!+#REF!+#REF!+#REF!</f>
        <v/>
      </c>
      <c r="F50" s="352" t="n"/>
      <c r="G50" s="353">
        <f>#REF!+#REF!+#REF!+#REF!+#REF!+#REF!+#REF!+#REF!+#REF!+#REF!</f>
        <v/>
      </c>
      <c r="H50" s="8" t="n"/>
      <c r="I50" s="343">
        <f>D50+G50</f>
        <v/>
      </c>
      <c r="J50" s="342">
        <f>E50+B50</f>
        <v/>
      </c>
      <c r="K50" s="353">
        <f>IF(J50&gt;0,L50/J50," ")</f>
        <v/>
      </c>
      <c r="L50" s="353">
        <f>G50+D50</f>
        <v/>
      </c>
      <c r="N50" s="343">
        <f>D50+G50</f>
        <v/>
      </c>
      <c r="P50" s="10" t="n"/>
    </row>
    <row r="51">
      <c r="A51" s="36" t="inlineStr">
        <is>
          <t>JUNIOR SCIENTISTS (or equivalent in the private sector)</t>
        </is>
      </c>
      <c r="B51" s="341">
        <f>#REF!+#REF!+#REF!+#REF!+#REF!+#REF!+#REF!+#REF!+#REF!+#REF!</f>
        <v/>
      </c>
      <c r="C51" s="350" t="n"/>
      <c r="D51" s="351">
        <f>#REF!+#REF!+#REF!+#REF!+#REF!+#REF!+#REF!+#REF!+#REF!+#REF!</f>
        <v/>
      </c>
      <c r="E51" s="342">
        <f>#REF!+#REF!+#REF!+#REF!+#REF!+#REF!+#REF!+#REF!+#REF!+#REF!</f>
        <v/>
      </c>
      <c r="F51" s="352" t="n"/>
      <c r="G51" s="353">
        <f>#REF!+#REF!+#REF!+#REF!+#REF!+#REF!+#REF!+#REF!+#REF!+#REF!</f>
        <v/>
      </c>
      <c r="H51" s="8" t="n"/>
      <c r="I51" s="343">
        <f>D51+G51</f>
        <v/>
      </c>
      <c r="J51" s="342">
        <f>E51+B51</f>
        <v/>
      </c>
      <c r="K51" s="353">
        <f>IF(J51&gt;0,L51/J51," ")</f>
        <v/>
      </c>
      <c r="L51" s="353">
        <f>G51+D51</f>
        <v/>
      </c>
      <c r="N51" s="343">
        <f>D51+G51</f>
        <v/>
      </c>
    </row>
    <row r="52">
      <c r="A52" s="36" t="inlineStr">
        <is>
          <t>TECHNICAL PERSONNEL (or equivalent in the private sector)</t>
        </is>
      </c>
      <c r="B52" s="341">
        <f>#REF!+#REF!+#REF!+#REF!+#REF!+#REF!+#REF!+#REF!+#REF!+#REF!</f>
        <v/>
      </c>
      <c r="C52" s="350" t="n"/>
      <c r="D52" s="351">
        <f>#REF!+#REF!+#REF!+#REF!+#REF!+#REF!+#REF!+#REF!+#REF!+#REF!</f>
        <v/>
      </c>
      <c r="E52" s="342">
        <f>#REF!+#REF!+#REF!+#REF!+#REF!+#REF!+#REF!+#REF!+#REF!+#REF!</f>
        <v/>
      </c>
      <c r="F52" s="352" t="n"/>
      <c r="G52" s="353">
        <f>#REF!+#REF!+#REF!+#REF!+#REF!+#REF!+#REF!+#REF!+#REF!+#REF!</f>
        <v/>
      </c>
      <c r="H52" s="8" t="n"/>
      <c r="I52" s="343">
        <f>D52+G52</f>
        <v/>
      </c>
      <c r="J52" s="342">
        <f>E52+B52</f>
        <v/>
      </c>
      <c r="K52" s="353">
        <f>IF(J52&gt;0,L52/J52," ")</f>
        <v/>
      </c>
      <c r="L52" s="353">
        <f>G52+D52</f>
        <v/>
      </c>
      <c r="N52" s="343">
        <f>D52+G52</f>
        <v/>
      </c>
    </row>
    <row r="53">
      <c r="A53" s="36" t="inlineStr">
        <is>
          <t>ADMINISTRATIVE PERSONNEL (or equivalent in the private sector)</t>
        </is>
      </c>
      <c r="B53" s="341">
        <f>#REF!+#REF!+#REF!+#REF!+#REF!+#REF!+#REF!+#REF!+#REF!+#REF!</f>
        <v/>
      </c>
      <c r="C53" s="350" t="n"/>
      <c r="D53" s="351">
        <f>#REF!+#REF!+#REF!+#REF!+#REF!+#REF!+#REF!+#REF!+#REF!+#REF!</f>
        <v/>
      </c>
      <c r="E53" s="342">
        <f>#REF!+#REF!+#REF!+#REF!+#REF!+#REF!+#REF!+#REF!+#REF!+#REF!</f>
        <v/>
      </c>
      <c r="F53" s="352" t="n"/>
      <c r="G53" s="353">
        <f>#REF!+#REF!+#REF!+#REF!+#REF!+#REF!+#REF!+#REF!+#REF!+#REF!</f>
        <v/>
      </c>
      <c r="H53" s="8" t="n"/>
      <c r="I53" s="343">
        <f>D53+G53</f>
        <v/>
      </c>
      <c r="J53" s="342">
        <f>E53+B53</f>
        <v/>
      </c>
      <c r="K53" s="353">
        <f>IF(J53&gt;0,L53/J53," ")</f>
        <v/>
      </c>
      <c r="L53" s="353">
        <f>G53+D53</f>
        <v/>
      </c>
      <c r="N53" s="343">
        <f>D53+G53</f>
        <v/>
      </c>
    </row>
    <row r="54">
      <c r="A54" s="36" t="inlineStr">
        <is>
          <t>OTHERS</t>
        </is>
      </c>
      <c r="B54" s="341">
        <f>#REF!+#REF!+#REF!+#REF!+#REF!+#REF!+#REF!+#REF!+#REF!+#REF!</f>
        <v/>
      </c>
      <c r="C54" s="350" t="n"/>
      <c r="D54" s="351">
        <f>#REF!+#REF!+#REF!+#REF!+#REF!+#REF!+#REF!+#REF!+#REF!+#REF!</f>
        <v/>
      </c>
      <c r="E54" s="342">
        <f>#REF!+#REF!+#REF!+#REF!+#REF!+#REF!+#REF!+#REF!+#REF!+#REF!</f>
        <v/>
      </c>
      <c r="F54" s="352" t="n"/>
      <c r="G54" s="353">
        <f>#REF!+#REF!+#REF!+#REF!+#REF!+#REF!+#REF!+#REF!+#REF!+#REF!</f>
        <v/>
      </c>
      <c r="H54" s="8" t="n"/>
      <c r="I54" s="343">
        <f>D54+G54</f>
        <v/>
      </c>
      <c r="J54" s="342">
        <f>E54+B54</f>
        <v/>
      </c>
      <c r="K54" s="353">
        <f>IF(J54&gt;0,L54/J54," ")</f>
        <v/>
      </c>
      <c r="L54" s="353">
        <f>G54+D54</f>
        <v/>
      </c>
      <c r="N54" s="343">
        <f>D54+G54</f>
        <v/>
      </c>
    </row>
    <row r="55">
      <c r="A55" s="7" t="inlineStr">
        <is>
          <t>A.2 Natural Persons under direct contract</t>
        </is>
      </c>
      <c r="B55" s="341">
        <f>#REF!+#REF!+#REF!+#REF!+#REF!+#REF!+#REF!+#REF!+#REF!+#REF!</f>
        <v/>
      </c>
      <c r="C55" s="350" t="n"/>
      <c r="D55" s="351">
        <f>#REF!+#REF!+#REF!+#REF!+#REF!+#REF!+#REF!+#REF!+#REF!+#REF!</f>
        <v/>
      </c>
      <c r="E55" s="342">
        <f>#REF!+#REF!+#REF!+#REF!+#REF!+#REF!+#REF!+#REF!+#REF!+#REF!</f>
        <v/>
      </c>
      <c r="F55" s="352" t="n"/>
      <c r="G55" s="353">
        <f>#REF!+#REF!+#REF!+#REF!+#REF!+#REF!+#REF!+#REF!+#REF!+#REF!</f>
        <v/>
      </c>
      <c r="H55" s="8" t="n"/>
      <c r="I55" s="343">
        <f>D55+G55</f>
        <v/>
      </c>
      <c r="J55" s="342">
        <f>E55+B55</f>
        <v/>
      </c>
      <c r="K55" s="353">
        <f>IF(J55&gt;0,L55/J55," ")</f>
        <v/>
      </c>
      <c r="L55" s="353">
        <f>G55+D55</f>
        <v/>
      </c>
      <c r="N55" s="343">
        <f>D55+G55</f>
        <v/>
      </c>
    </row>
    <row r="56">
      <c r="A56" s="7" t="inlineStr">
        <is>
          <t>A.3 Seconded Persons</t>
        </is>
      </c>
      <c r="B56" s="341">
        <f>#REF!+#REF!+#REF!+#REF!+#REF!+#REF!+#REF!+#REF!+#REF!+#REF!</f>
        <v/>
      </c>
      <c r="C56" s="350" t="n"/>
      <c r="D56" s="351">
        <f>#REF!+#REF!+#REF!+#REF!+#REF!+#REF!+#REF!+#REF!+#REF!+#REF!</f>
        <v/>
      </c>
      <c r="E56" s="342">
        <f>#REF!+#REF!+#REF!+#REF!+#REF!+#REF!+#REF!+#REF!+#REF!+#REF!</f>
        <v/>
      </c>
      <c r="F56" s="352" t="n"/>
      <c r="G56" s="353">
        <f>#REF!+#REF!+#REF!+#REF!+#REF!+#REF!+#REF!+#REF!+#REF!+#REF!</f>
        <v/>
      </c>
      <c r="H56" s="8" t="n"/>
      <c r="I56" s="343">
        <f>D56+G56</f>
        <v/>
      </c>
      <c r="J56" s="342">
        <f>E56+B56</f>
        <v/>
      </c>
      <c r="K56" s="353">
        <f>IF(J56&gt;0,L56/J56," ")</f>
        <v/>
      </c>
      <c r="L56" s="353">
        <f>G56+D56</f>
        <v/>
      </c>
      <c r="N56" s="343">
        <f>D56+G56</f>
        <v/>
      </c>
    </row>
    <row r="57">
      <c r="A57" s="7" t="inlineStr">
        <is>
          <t>A.4 SME owners and natural person beneficiaries</t>
        </is>
      </c>
      <c r="B57" s="341">
        <f>#REF!+#REF!+#REF!+#REF!+#REF!+#REF!+#REF!+#REF!+#REF!+#REF!</f>
        <v/>
      </c>
      <c r="C57" s="350" t="n"/>
      <c r="D57" s="351">
        <f>#REF!+#REF!+#REF!+#REF!+#REF!+#REF!+#REF!+#REF!+#REF!+#REF!</f>
        <v/>
      </c>
      <c r="E57" s="342">
        <f>#REF!+#REF!+#REF!+#REF!+#REF!+#REF!+#REF!+#REF!+#REF!+#REF!</f>
        <v/>
      </c>
      <c r="F57" s="352" t="n"/>
      <c r="G57" s="353">
        <f>#REF!+#REF!+#REF!+#REF!+#REF!+#REF!+#REF!+#REF!+#REF!+#REF!</f>
        <v/>
      </c>
      <c r="H57" s="8" t="n"/>
      <c r="I57" s="343">
        <f>D57+G57</f>
        <v/>
      </c>
      <c r="J57" s="342">
        <f>E57+B57</f>
        <v/>
      </c>
      <c r="K57" s="353">
        <f>IF(J57&gt;0,L57/J57," ")</f>
        <v/>
      </c>
      <c r="L57" s="353">
        <f>G57+D57</f>
        <v/>
      </c>
      <c r="N57" s="343">
        <f>D57+G57</f>
        <v/>
      </c>
    </row>
    <row r="58">
      <c r="A58" s="11" t="inlineStr">
        <is>
          <t>B. DIRECT SUBCONTRACTING COSTS</t>
        </is>
      </c>
      <c r="B58" s="344" t="n"/>
      <c r="C58" s="339" t="n"/>
      <c r="D58" s="340" t="n"/>
      <c r="E58" s="344" t="n"/>
      <c r="F58" s="339" t="n"/>
      <c r="G58" s="340" t="n"/>
      <c r="H58" s="8" t="n"/>
      <c r="I58" s="340" t="n"/>
      <c r="J58" s="345" t="n"/>
      <c r="K58" s="340" t="n"/>
      <c r="L58" s="340" t="n"/>
      <c r="N58" s="340" t="n"/>
    </row>
    <row r="59">
      <c r="A59" s="9" t="n"/>
      <c r="B59" s="341">
        <f>#REF!+#REF!+#REF!+#REF!+#REF!+#REF!+#REF!+#REF!+#REF!+#REF!</f>
        <v/>
      </c>
      <c r="C59" s="350" t="n"/>
      <c r="D59" s="351">
        <f>#REF!+#REF!+#REF!+#REF!+#REF!+#REF!+#REF!+#REF!+#REF!+#REF!</f>
        <v/>
      </c>
      <c r="E59" s="342">
        <f>#REF!+#REF!+#REF!+#REF!+#REF!+#REF!+#REF!+#REF!+#REF!+#REF!</f>
        <v/>
      </c>
      <c r="F59" s="352" t="n"/>
      <c r="G59" s="353">
        <f>#REF!+#REF!+#REF!+#REF!+#REF!+#REF!+#REF!+#REF!+#REF!+#REF!</f>
        <v/>
      </c>
      <c r="H59" s="8" t="n"/>
      <c r="I59" s="343">
        <f>D59+G59</f>
        <v/>
      </c>
      <c r="J59" s="342">
        <f>E59+B59</f>
        <v/>
      </c>
      <c r="K59" s="353">
        <f>IF(J59&gt;0,L59/J59," ")</f>
        <v/>
      </c>
      <c r="L59" s="353">
        <f>G59+D59</f>
        <v/>
      </c>
      <c r="N59" s="343">
        <f>D59+G59</f>
        <v/>
      </c>
    </row>
    <row r="60">
      <c r="A60" s="11" t="inlineStr">
        <is>
          <t>C. DIRECT PURCHASE COSTS</t>
        </is>
      </c>
      <c r="B60" s="344" t="n"/>
      <c r="C60" s="339" t="n"/>
      <c r="D60" s="340" t="n"/>
      <c r="E60" s="344" t="n"/>
      <c r="F60" s="339" t="n"/>
      <c r="G60" s="340" t="n"/>
      <c r="H60" s="8" t="n"/>
      <c r="I60" s="340" t="n"/>
      <c r="J60" s="345" t="n"/>
      <c r="K60" s="340" t="n"/>
      <c r="L60" s="340" t="n"/>
      <c r="N60" s="340" t="n"/>
    </row>
    <row r="61">
      <c r="A61" s="39" t="inlineStr">
        <is>
          <t>C.1 Travel and subsistence</t>
        </is>
      </c>
      <c r="B61" s="341">
        <f>#REF!+#REF!+#REF!+#REF!+#REF!+#REF!+#REF!+#REF!+#REF!+#REF!</f>
        <v/>
      </c>
      <c r="C61" s="350" t="n"/>
      <c r="D61" s="351">
        <f>#REF!+#REF!+#REF!+#REF!+#REF!+#REF!+#REF!+#REF!+#REF!+#REF!</f>
        <v/>
      </c>
      <c r="E61" s="342">
        <f>#REF!+#REF!+#REF!+#REF!+#REF!+#REF!+#REF!+#REF!+#REF!+#REF!</f>
        <v/>
      </c>
      <c r="F61" s="352" t="n"/>
      <c r="G61" s="353">
        <f>#REF!+#REF!+#REF!+#REF!+#REF!+#REF!+#REF!+#REF!+#REF!+#REF!</f>
        <v/>
      </c>
      <c r="H61" s="8" t="n"/>
      <c r="I61" s="343">
        <f>D61+G61</f>
        <v/>
      </c>
      <c r="J61" s="342">
        <f>E61+B61</f>
        <v/>
      </c>
      <c r="K61" s="353">
        <f>IF(J61&gt;0,L61/J61," ")</f>
        <v/>
      </c>
      <c r="L61" s="353">
        <f>G61+D61</f>
        <v/>
      </c>
      <c r="N61" s="343">
        <f>D61+G61</f>
        <v/>
      </c>
    </row>
    <row r="62">
      <c r="A62" s="7" t="inlineStr">
        <is>
          <t>C.2 Equipment (complete 'Depreciation cost' sheet)</t>
        </is>
      </c>
      <c r="B62" s="346" t="n"/>
      <c r="C62" s="89" t="n"/>
      <c r="D62" s="89" t="n"/>
      <c r="E62" s="346" t="n"/>
      <c r="F62" s="89" t="n"/>
      <c r="G62" s="89" t="n"/>
      <c r="H62" s="8" t="n"/>
      <c r="I62" s="89" t="n"/>
      <c r="J62" s="346" t="n"/>
      <c r="K62" s="89" t="n"/>
      <c r="L62" s="89" t="n"/>
      <c r="N62" s="89" t="n"/>
    </row>
    <row r="63">
      <c r="A63" s="37" t="inlineStr">
        <is>
          <t>Equipment</t>
        </is>
      </c>
      <c r="B63" s="341">
        <f>#REF!+#REF!+#REF!+#REF!+#REF!+#REF!+#REF!+#REF!+#REF!+#REF!</f>
        <v/>
      </c>
      <c r="C63" s="350" t="n"/>
      <c r="D63" s="351">
        <f>#REF!+#REF!+#REF!+#REF!+#REF!+#REF!+#REF!+#REF!+#REF!+#REF!</f>
        <v/>
      </c>
      <c r="E63" s="342">
        <f>#REF!+#REF!+#REF!+#REF!+#REF!+#REF!+#REF!+#REF!+#REF!+#REF!</f>
        <v/>
      </c>
      <c r="F63" s="352" t="n"/>
      <c r="G63" s="353">
        <f>#REF!+#REF!+#REF!+#REF!+#REF!+#REF!+#REF!+#REF!+#REF!+#REF!</f>
        <v/>
      </c>
      <c r="H63" s="8" t="n"/>
      <c r="I63" s="343">
        <f>D63+G63</f>
        <v/>
      </c>
      <c r="J63" s="342">
        <f>E63+B63</f>
        <v/>
      </c>
      <c r="K63" s="353">
        <f>IF(J63&gt;0,L63/J63," ")</f>
        <v/>
      </c>
      <c r="L63" s="353">
        <f>G63+D63</f>
        <v/>
      </c>
      <c r="N63" s="343">
        <f>D63+G63</f>
        <v/>
      </c>
    </row>
    <row r="64">
      <c r="A64" s="37" t="inlineStr">
        <is>
          <t>Infrastructure</t>
        </is>
      </c>
      <c r="B64" s="341">
        <f>#REF!+#REF!+#REF!+#REF!+#REF!+#REF!+#REF!+#REF!+#REF!+#REF!</f>
        <v/>
      </c>
      <c r="C64" s="350" t="n"/>
      <c r="D64" s="351">
        <f>#REF!+#REF!+#REF!+#REF!+#REF!+#REF!+#REF!+#REF!+#REF!+#REF!</f>
        <v/>
      </c>
      <c r="E64" s="342">
        <f>#REF!+#REF!+#REF!+#REF!+#REF!+#REF!+#REF!+#REF!+#REF!+#REF!</f>
        <v/>
      </c>
      <c r="F64" s="352" t="n"/>
      <c r="G64" s="353">
        <f>#REF!+#REF!+#REF!+#REF!+#REF!+#REF!+#REF!+#REF!+#REF!+#REF!</f>
        <v/>
      </c>
      <c r="H64" s="8" t="n"/>
      <c r="I64" s="343">
        <f>D64+G64</f>
        <v/>
      </c>
      <c r="J64" s="342">
        <f>E64+B64</f>
        <v/>
      </c>
      <c r="K64" s="353">
        <f>IF(J64&gt;0,L64/J64," ")</f>
        <v/>
      </c>
      <c r="L64" s="353">
        <f>G64+D64</f>
        <v/>
      </c>
      <c r="N64" s="343">
        <f>D64+G64</f>
        <v/>
      </c>
    </row>
    <row r="65">
      <c r="A65" s="37" t="inlineStr">
        <is>
          <t>Other assets</t>
        </is>
      </c>
      <c r="B65" s="341">
        <f>#REF!+#REF!+#REF!+#REF!+#REF!+#REF!+#REF!+#REF!+#REF!+#REF!</f>
        <v/>
      </c>
      <c r="C65" s="350" t="n"/>
      <c r="D65" s="351">
        <f>#REF!+#REF!+#REF!+#REF!+#REF!+#REF!+#REF!+#REF!+#REF!+#REF!</f>
        <v/>
      </c>
      <c r="E65" s="342">
        <f>#REF!+#REF!+#REF!+#REF!+#REF!+#REF!+#REF!+#REF!+#REF!+#REF!</f>
        <v/>
      </c>
      <c r="F65" s="352" t="n"/>
      <c r="G65" s="353">
        <f>#REF!+#REF!+#REF!+#REF!+#REF!+#REF!+#REF!+#REF!+#REF!+#REF!</f>
        <v/>
      </c>
      <c r="H65" s="8" t="n"/>
      <c r="I65" s="343">
        <f>D65+G65</f>
        <v/>
      </c>
      <c r="J65" s="342">
        <f>E65+B65</f>
        <v/>
      </c>
      <c r="K65" s="353">
        <f>IF(J65&gt;0,L65/J65," ")</f>
        <v/>
      </c>
      <c r="L65" s="353">
        <f>G65+D65</f>
        <v/>
      </c>
      <c r="N65" s="343">
        <f>D65+G65</f>
        <v/>
      </c>
    </row>
    <row r="66">
      <c r="A66" s="7" t="inlineStr">
        <is>
          <t>C.3 Other goods, works and services</t>
        </is>
      </c>
      <c r="B66" s="346" t="n"/>
      <c r="C66" s="89" t="n"/>
      <c r="D66" s="89" t="n"/>
      <c r="E66" s="346" t="n"/>
      <c r="F66" s="89" t="n"/>
      <c r="G66" s="89" t="n"/>
      <c r="H66" s="8" t="n"/>
      <c r="I66" s="89" t="n"/>
      <c r="J66" s="346" t="n"/>
      <c r="K66" s="89" t="n"/>
      <c r="L66" s="89" t="n"/>
      <c r="N66" s="89" t="n"/>
    </row>
    <row r="67">
      <c r="A67" s="37" t="inlineStr">
        <is>
          <t>Consumables</t>
        </is>
      </c>
      <c r="B67" s="341">
        <f>#REF!+#REF!+#REF!+#REF!+#REF!+#REF!+#REF!+#REF!+#REF!+#REF!</f>
        <v/>
      </c>
      <c r="C67" s="350" t="n"/>
      <c r="D67" s="351">
        <f>#REF!+#REF!+#REF!+#REF!+#REF!+#REF!+#REF!+#REF!+#REF!+#REF!</f>
        <v/>
      </c>
      <c r="E67" s="342">
        <f>#REF!+#REF!+#REF!+#REF!+#REF!+#REF!+#REF!+#REF!+#REF!+#REF!</f>
        <v/>
      </c>
      <c r="F67" s="352" t="n"/>
      <c r="G67" s="353">
        <f>#REF!+#REF!+#REF!+#REF!+#REF!+#REF!+#REF!+#REF!+#REF!+#REF!</f>
        <v/>
      </c>
      <c r="H67" s="8" t="n"/>
      <c r="I67" s="343">
        <f>D67+G67</f>
        <v/>
      </c>
      <c r="J67" s="342">
        <f>E67+B67</f>
        <v/>
      </c>
      <c r="K67" s="353">
        <f>IF(J67&gt;0,L67/J67," ")</f>
        <v/>
      </c>
      <c r="L67" s="353">
        <f>G67+D67</f>
        <v/>
      </c>
      <c r="N67" s="343">
        <f>D67+G67</f>
        <v/>
      </c>
    </row>
    <row r="68">
      <c r="A68" s="37" t="inlineStr">
        <is>
          <t>Services for meetings, seminars</t>
        </is>
      </c>
      <c r="B68" s="341">
        <f>#REF!+#REF!+#REF!+#REF!+#REF!+#REF!+#REF!+#REF!+#REF!+#REF!</f>
        <v/>
      </c>
      <c r="C68" s="350" t="n"/>
      <c r="D68" s="351">
        <f>#REF!+#REF!+#REF!+#REF!+#REF!+#REF!+#REF!+#REF!+#REF!+#REF!</f>
        <v/>
      </c>
      <c r="E68" s="342">
        <f>#REF!+#REF!+#REF!+#REF!+#REF!+#REF!+#REF!+#REF!+#REF!+#REF!</f>
        <v/>
      </c>
      <c r="F68" s="352" t="n"/>
      <c r="G68" s="353">
        <f>#REF!+#REF!+#REF!+#REF!+#REF!+#REF!+#REF!+#REF!+#REF!+#REF!</f>
        <v/>
      </c>
      <c r="H68" s="8" t="n"/>
      <c r="I68" s="343">
        <f>D68+G68</f>
        <v/>
      </c>
      <c r="J68" s="342">
        <f>E68+B68</f>
        <v/>
      </c>
      <c r="K68" s="353">
        <f>IF(J68&gt;0,L68/J68," ")</f>
        <v/>
      </c>
      <c r="L68" s="353">
        <f>G68+D68</f>
        <v/>
      </c>
      <c r="N68" s="343">
        <f>D68+G68</f>
        <v/>
      </c>
    </row>
    <row r="69">
      <c r="A69" s="37" t="inlineStr">
        <is>
          <t>Services for dissemination activities (including website)</t>
        </is>
      </c>
      <c r="B69" s="341">
        <f>#REF!+#REF!+#REF!+#REF!+#REF!+#REF!+#REF!+#REF!+#REF!+#REF!</f>
        <v/>
      </c>
      <c r="C69" s="350" t="n"/>
      <c r="D69" s="351">
        <f>#REF!+#REF!+#REF!+#REF!+#REF!+#REF!+#REF!+#REF!+#REF!+#REF!</f>
        <v/>
      </c>
      <c r="E69" s="342">
        <f>#REF!+#REF!+#REF!+#REF!+#REF!+#REF!+#REF!+#REF!+#REF!+#REF!</f>
        <v/>
      </c>
      <c r="F69" s="352" t="n"/>
      <c r="G69" s="353">
        <f>#REF!+#REF!+#REF!+#REF!+#REF!+#REF!+#REF!+#REF!+#REF!+#REF!</f>
        <v/>
      </c>
      <c r="H69" s="8" t="n"/>
      <c r="I69" s="343">
        <f>D69+G69</f>
        <v/>
      </c>
      <c r="J69" s="342">
        <f>E69+B69</f>
        <v/>
      </c>
      <c r="K69" s="353">
        <f>IF(J69&gt;0,L69/J69," ")</f>
        <v/>
      </c>
      <c r="L69" s="353">
        <f>G69+D69</f>
        <v/>
      </c>
      <c r="N69" s="343">
        <f>D69+G69</f>
        <v/>
      </c>
    </row>
    <row r="70">
      <c r="A70" s="37" t="inlineStr">
        <is>
          <t>Publication fees</t>
        </is>
      </c>
      <c r="B70" s="341">
        <f>#REF!+#REF!+#REF!+#REF!+#REF!+#REF!+#REF!+#REF!+#REF!+#REF!</f>
        <v/>
      </c>
      <c r="C70" s="350" t="n"/>
      <c r="D70" s="351">
        <f>#REF!+#REF!+#REF!+#REF!+#REF!+#REF!+#REF!+#REF!+#REF!+#REF!</f>
        <v/>
      </c>
      <c r="E70" s="342">
        <f>#REF!+#REF!+#REF!+#REF!+#REF!+#REF!+#REF!+#REF!+#REF!+#REF!</f>
        <v/>
      </c>
      <c r="F70" s="352" t="n"/>
      <c r="G70" s="353">
        <f>#REF!+#REF!+#REF!+#REF!+#REF!+#REF!+#REF!+#REF!+#REF!+#REF!</f>
        <v/>
      </c>
      <c r="H70" s="8" t="n"/>
      <c r="I70" s="343">
        <f>D70+G70</f>
        <v/>
      </c>
      <c r="J70" s="342">
        <f>E70+B70</f>
        <v/>
      </c>
      <c r="K70" s="353">
        <f>IF(J70&gt;0,L70/J70," ")</f>
        <v/>
      </c>
      <c r="L70" s="353">
        <f>G70+D70</f>
        <v/>
      </c>
      <c r="N70" s="343">
        <f>D70+G70</f>
        <v/>
      </c>
    </row>
    <row r="71">
      <c r="A71" s="37" t="inlineStr">
        <is>
          <t>Other (shipment,insurance, translation, etc.)</t>
        </is>
      </c>
      <c r="B71" s="341">
        <f>#REF!+#REF!+#REF!+#REF!+#REF!+#REF!+#REF!+#REF!+#REF!+#REF!</f>
        <v/>
      </c>
      <c r="C71" s="350" t="n"/>
      <c r="D71" s="351">
        <f>#REF!+#REF!+#REF!+#REF!+#REF!+#REF!+#REF!+#REF!+#REF!+#REF!</f>
        <v/>
      </c>
      <c r="E71" s="342">
        <f>#REF!+#REF!+#REF!+#REF!+#REF!+#REF!+#REF!+#REF!+#REF!+#REF!</f>
        <v/>
      </c>
      <c r="F71" s="352" t="n"/>
      <c r="G71" s="353">
        <f>#REF!+#REF!+#REF!+#REF!+#REF!+#REF!+#REF!+#REF!+#REF!+#REF!</f>
        <v/>
      </c>
      <c r="H71" s="8" t="n"/>
      <c r="I71" s="343">
        <f>D71+G71</f>
        <v/>
      </c>
      <c r="J71" s="342">
        <f>E71+B71</f>
        <v/>
      </c>
      <c r="K71" s="353">
        <f>IF(J71&gt;0,L71/J71," ")</f>
        <v/>
      </c>
      <c r="L71" s="353">
        <f>G71+D71</f>
        <v/>
      </c>
      <c r="N71" s="343">
        <f>D71+G71</f>
        <v/>
      </c>
    </row>
    <row r="72">
      <c r="A72" s="6" t="inlineStr">
        <is>
          <t>D. OTHER COST CATEGORIES</t>
        </is>
      </c>
      <c r="B72" s="344" t="n"/>
      <c r="C72" s="339" t="n"/>
      <c r="D72" s="340" t="n"/>
      <c r="E72" s="344" t="n"/>
      <c r="F72" s="339" t="n"/>
      <c r="G72" s="340" t="n"/>
      <c r="H72" s="8" t="n"/>
      <c r="I72" s="340" t="n"/>
      <c r="J72" s="345" t="n"/>
      <c r="K72" s="340" t="n"/>
      <c r="L72" s="340" t="n"/>
      <c r="N72" s="340" t="n"/>
    </row>
    <row r="73">
      <c r="A73" s="40" t="inlineStr">
        <is>
          <t>D.1 Financial support to third parties (if applicable in the topic specific conditions)</t>
        </is>
      </c>
      <c r="B73" s="341">
        <f>#REF!+#REF!+#REF!+#REF!+#REF!+#REF!+#REF!+#REF!+#REF!+#REF!</f>
        <v/>
      </c>
      <c r="C73" s="350" t="n"/>
      <c r="D73" s="351">
        <f>#REF!+#REF!+#REF!+#REF!+#REF!+#REF!+#REF!+#REF!+#REF!+#REF!</f>
        <v/>
      </c>
      <c r="E73" s="342">
        <f>#REF!+#REF!+#REF!+#REF!+#REF!+#REF!+#REF!+#REF!+#REF!+#REF!</f>
        <v/>
      </c>
      <c r="F73" s="352" t="n"/>
      <c r="G73" s="353">
        <f>#REF!+#REF!+#REF!+#REF!+#REF!+#REF!+#REF!+#REF!+#REF!+#REF!</f>
        <v/>
      </c>
      <c r="H73" s="8" t="n"/>
      <c r="I73" s="343">
        <f>D73+G73</f>
        <v/>
      </c>
      <c r="J73" s="342">
        <f>E73+B73</f>
        <v/>
      </c>
      <c r="K73" s="353">
        <f>IF(J73&gt;0,L73/J73," ")</f>
        <v/>
      </c>
      <c r="L73" s="353">
        <f>G73+D73</f>
        <v/>
      </c>
      <c r="N73" s="343">
        <f>D73+G73</f>
        <v/>
      </c>
    </row>
    <row r="74">
      <c r="A74" s="39" t="inlineStr">
        <is>
          <t>D.2 Internally invoiced goods and services</t>
        </is>
      </c>
      <c r="B74" s="341">
        <f>#REF!+#REF!+#REF!+#REF!+#REF!+#REF!+#REF!+#REF!+#REF!+#REF!</f>
        <v/>
      </c>
      <c r="C74" s="350" t="n"/>
      <c r="D74" s="351">
        <f>#REF!+#REF!+#REF!+#REF!+#REF!+#REF!+#REF!+#REF!+#REF!+#REF!</f>
        <v/>
      </c>
      <c r="E74" s="342">
        <f>#REF!+#REF!+#REF!+#REF!+#REF!+#REF!+#REF!+#REF!+#REF!+#REF!</f>
        <v/>
      </c>
      <c r="F74" s="352" t="n"/>
      <c r="G74" s="353">
        <f>#REF!+#REF!+#REF!+#REF!+#REF!+#REF!+#REF!+#REF!+#REF!+#REF!</f>
        <v/>
      </c>
      <c r="H74" s="8" t="n"/>
      <c r="I74" s="343">
        <f>D74+G74</f>
        <v/>
      </c>
      <c r="J74" s="342">
        <f>E74+B74</f>
        <v/>
      </c>
      <c r="K74" s="353">
        <f>IF(J74&gt;0,L74/J74," ")</f>
        <v/>
      </c>
      <c r="L74" s="353">
        <f>G74+D74</f>
        <v/>
      </c>
      <c r="N74" s="343">
        <f>D74+G74</f>
        <v/>
      </c>
    </row>
    <row r="75">
      <c r="A75" s="39" t="inlineStr">
        <is>
          <t>D.3 Transnational access to research infrastructure unit costs (if required in the topic specific conditions)</t>
        </is>
      </c>
      <c r="B75" s="341">
        <f>#REF!+#REF!+#REF!+#REF!+#REF!+#REF!+#REF!+#REF!+#REF!+#REF!</f>
        <v/>
      </c>
      <c r="C75" s="350" t="n"/>
      <c r="D75" s="351">
        <f>#REF!+#REF!+#REF!+#REF!+#REF!+#REF!+#REF!+#REF!+#REF!+#REF!</f>
        <v/>
      </c>
      <c r="E75" s="342">
        <f>#REF!+#REF!+#REF!+#REF!+#REF!+#REF!+#REF!+#REF!+#REF!+#REF!</f>
        <v/>
      </c>
      <c r="F75" s="352" t="n"/>
      <c r="G75" s="353">
        <f>#REF!+#REF!+#REF!+#REF!+#REF!+#REF!+#REF!+#REF!+#REF!+#REF!</f>
        <v/>
      </c>
      <c r="H75" s="8" t="n"/>
      <c r="I75" s="343">
        <f>D75+G75</f>
        <v/>
      </c>
      <c r="J75" s="342">
        <f>E75+B75</f>
        <v/>
      </c>
      <c r="K75" s="353">
        <f>IF(J75&gt;0,L75/J75," ")</f>
        <v/>
      </c>
      <c r="L75" s="353">
        <f>G75+D75</f>
        <v/>
      </c>
      <c r="N75" s="343">
        <f>D75+G75</f>
        <v/>
      </c>
    </row>
    <row r="76">
      <c r="A76" s="39" t="inlineStr">
        <is>
          <t>D.4 Virtual access to research infrastructure unit costs (if required in the topic specific conditions)</t>
        </is>
      </c>
      <c r="B76" s="341">
        <f>#REF!+#REF!+#REF!+#REF!+#REF!+#REF!+#REF!+#REF!+#REF!+#REF!</f>
        <v/>
      </c>
      <c r="C76" s="350" t="n"/>
      <c r="D76" s="351">
        <f>#REF!+#REF!+#REF!+#REF!+#REF!+#REF!+#REF!+#REF!+#REF!+#REF!</f>
        <v/>
      </c>
      <c r="E76" s="342">
        <f>#REF!+#REF!+#REF!+#REF!+#REF!+#REF!+#REF!+#REF!+#REF!+#REF!</f>
        <v/>
      </c>
      <c r="F76" s="352" t="n"/>
      <c r="G76" s="353">
        <f>#REF!+#REF!+#REF!+#REF!+#REF!+#REF!+#REF!+#REF!+#REF!+#REF!</f>
        <v/>
      </c>
      <c r="H76" s="8" t="n"/>
      <c r="I76" s="343">
        <f>D76+G76</f>
        <v/>
      </c>
      <c r="J76" s="342">
        <f>E76+B76</f>
        <v/>
      </c>
      <c r="K76" s="353">
        <f>IF(J76&gt;0,L76/J76," ")</f>
        <v/>
      </c>
      <c r="L76" s="353">
        <f>G76+D76</f>
        <v/>
      </c>
      <c r="N76" s="343">
        <f>D76+G76</f>
        <v/>
      </c>
    </row>
    <row r="77">
      <c r="A77" s="39" t="inlineStr">
        <is>
          <t>D.5 PCP/PPI procurement costs (if mentioned as eligible in the topic specific conditions)</t>
        </is>
      </c>
      <c r="B77" s="341">
        <f>#REF!+#REF!+#REF!+#REF!+#REF!+#REF!+#REF!+#REF!+#REF!+#REF!</f>
        <v/>
      </c>
      <c r="C77" s="350" t="n"/>
      <c r="D77" s="351">
        <f>#REF!+#REF!+#REF!+#REF!+#REF!+#REF!+#REF!+#REF!+#REF!+#REF!</f>
        <v/>
      </c>
      <c r="E77" s="342">
        <f>#REF!+#REF!+#REF!+#REF!+#REF!+#REF!+#REF!+#REF!+#REF!+#REF!</f>
        <v/>
      </c>
      <c r="F77" s="352" t="n"/>
      <c r="G77" s="353">
        <f>#REF!+#REF!+#REF!+#REF!+#REF!+#REF!+#REF!+#REF!+#REF!+#REF!</f>
        <v/>
      </c>
      <c r="H77" s="8" t="n"/>
      <c r="I77" s="343">
        <f>D77+G77</f>
        <v/>
      </c>
      <c r="J77" s="342">
        <f>E77+B77</f>
        <v/>
      </c>
      <c r="K77" s="353">
        <f>IF(J77&gt;0,L77/J77," ")</f>
        <v/>
      </c>
      <c r="L77" s="353">
        <f>G77+D77</f>
        <v/>
      </c>
      <c r="N77" s="343">
        <f>D77+G77</f>
        <v/>
      </c>
    </row>
    <row r="78">
      <c r="A78" s="16" t="n"/>
      <c r="B78" s="346" t="n"/>
      <c r="C78" s="89" t="n"/>
      <c r="D78" s="89" t="n"/>
      <c r="E78" s="346" t="n"/>
      <c r="F78" s="89" t="n"/>
      <c r="G78" s="89" t="n"/>
      <c r="H78" s="8" t="n"/>
      <c r="I78" s="89" t="n"/>
      <c r="J78" s="346" t="n"/>
      <c r="K78" s="89" t="n"/>
      <c r="L78" s="89" t="n"/>
      <c r="N78" s="89" t="n"/>
    </row>
    <row r="79">
      <c r="A79" s="41" t="inlineStr">
        <is>
          <t>TOTAL DIRECT PERSONNEL COSTS AND PURCHASE COSTS (A+C)</t>
        </is>
      </c>
      <c r="B79" s="347" t="n"/>
      <c r="C79" s="214" t="n"/>
      <c r="D79" s="348">
        <f>SUM(D50:D57,D61:D71)</f>
        <v/>
      </c>
      <c r="E79" s="347" t="n"/>
      <c r="F79" s="214" t="n"/>
      <c r="G79" s="348">
        <f>SUM(G50:G57,G61:G71)</f>
        <v/>
      </c>
      <c r="H79" s="8" t="n"/>
      <c r="I79" s="348">
        <f>SUM(I50:I57,I61:I71)</f>
        <v/>
      </c>
      <c r="J79" s="347" t="n"/>
      <c r="K79" s="348" t="n"/>
      <c r="L79" s="348">
        <f>SUM(L50:L57,L61:L71)</f>
        <v/>
      </c>
      <c r="N79" s="348">
        <f>SUM(N50:N57,N61:N71)</f>
        <v/>
      </c>
    </row>
    <row r="80">
      <c r="A80" s="41" t="inlineStr">
        <is>
          <t>TOTAL DIRECT COSTS  (A+B+C+D)</t>
        </is>
      </c>
      <c r="B80" s="347" t="n"/>
      <c r="C80" s="214" t="n"/>
      <c r="D80" s="348">
        <f>SUM(D50:D77)</f>
        <v/>
      </c>
      <c r="E80" s="347" t="n"/>
      <c r="F80" s="214" t="n"/>
      <c r="G80" s="348">
        <f>SUM(G50:G77)</f>
        <v/>
      </c>
      <c r="H80" s="8" t="n"/>
      <c r="I80" s="348">
        <f>SUM(I50:I77)</f>
        <v/>
      </c>
      <c r="J80" s="347" t="n"/>
      <c r="K80" s="348" t="n"/>
      <c r="L80" s="348">
        <f>SUM(L50:L77)</f>
        <v/>
      </c>
      <c r="N80" s="348">
        <f>SUM(N50:N77)</f>
        <v/>
      </c>
    </row>
    <row r="81" ht="6.95" customHeight="1">
      <c r="B81" s="349" t="n"/>
      <c r="C81" s="8" t="n"/>
      <c r="D81" s="8" t="n"/>
      <c r="E81" s="349" t="n"/>
      <c r="F81" s="8" t="n"/>
      <c r="G81" s="8" t="n"/>
      <c r="H81" s="8" t="n"/>
      <c r="I81" s="8" t="n"/>
      <c r="J81" s="349" t="n"/>
      <c r="K81" s="8" t="n"/>
      <c r="L81" s="8" t="n"/>
    </row>
    <row r="82">
      <c r="A82" s="11" t="inlineStr">
        <is>
          <t>E. INDIRECT COSTS (25% * (A+C))</t>
        </is>
      </c>
      <c r="B82" s="347" t="n"/>
      <c r="C82" s="214" t="n"/>
      <c r="D82" s="348">
        <f>+D79*0.25</f>
        <v/>
      </c>
      <c r="E82" s="347" t="n"/>
      <c r="F82" s="214" t="n"/>
      <c r="G82" s="348">
        <f>+G79*0.25</f>
        <v/>
      </c>
      <c r="H82" s="8" t="n"/>
      <c r="I82" s="348">
        <f>+I79*0.25</f>
        <v/>
      </c>
      <c r="J82" s="347" t="n"/>
      <c r="K82" s="348" t="n"/>
      <c r="L82" s="348">
        <f>+L79*0.25</f>
        <v/>
      </c>
      <c r="N82" s="348">
        <f>+N79*0.25</f>
        <v/>
      </c>
    </row>
    <row r="83" ht="6.95" customHeight="1">
      <c r="B83" s="349" t="n"/>
      <c r="C83" s="8" t="n"/>
      <c r="D83" s="8" t="n"/>
      <c r="E83" s="349" t="n"/>
      <c r="F83" s="8" t="n"/>
      <c r="G83" s="8" t="n"/>
      <c r="H83" s="8" t="n"/>
      <c r="I83" s="8" t="n"/>
      <c r="J83" s="349" t="n"/>
      <c r="K83" s="8" t="n"/>
      <c r="L83" s="8" t="n"/>
    </row>
    <row r="84">
      <c r="A84" s="11" t="inlineStr">
        <is>
          <t>F. TOTAL COSTS (A+B+C+D+E)</t>
        </is>
      </c>
      <c r="B84" s="347" t="n"/>
      <c r="C84" s="214" t="n"/>
      <c r="D84" s="348">
        <f>D80+D82</f>
        <v/>
      </c>
      <c r="E84" s="347" t="n"/>
      <c r="F84" s="214" t="n"/>
      <c r="G84" s="348">
        <f>G80+G82</f>
        <v/>
      </c>
      <c r="H84" s="8" t="n"/>
      <c r="I84" s="348">
        <f>I80+I82</f>
        <v/>
      </c>
      <c r="J84" s="347" t="n"/>
      <c r="K84" s="348" t="n"/>
      <c r="L84" s="348">
        <f>L80+L82</f>
        <v/>
      </c>
      <c r="N84" s="348">
        <f>N80+N82</f>
        <v/>
      </c>
    </row>
    <row r="85" ht="6.95" customHeight="1">
      <c r="B85" s="8" t="n"/>
      <c r="C85" s="8" t="n"/>
      <c r="D85" s="8" t="n"/>
      <c r="E85" s="8" t="n"/>
      <c r="F85" s="8" t="n"/>
      <c r="G85" s="8" t="n"/>
      <c r="H85" s="8" t="n"/>
      <c r="I85" s="8" t="n"/>
      <c r="J85" s="8" t="n"/>
      <c r="K85" s="8" t="n"/>
      <c r="L85" s="8" t="n"/>
    </row>
    <row r="86">
      <c r="A86" s="209" t="n"/>
      <c r="B86" s="207" t="n"/>
      <c r="C86" s="209" t="n"/>
      <c r="D86" s="208" t="n"/>
      <c r="E86" s="207" t="n"/>
      <c r="F86" s="209" t="n"/>
      <c r="G86" s="208" t="n"/>
      <c r="H86" s="208" t="n"/>
      <c r="I86" s="208" t="n"/>
      <c r="J86" s="208" t="n"/>
      <c r="K86" s="208" t="n"/>
      <c r="L86" s="208" t="n"/>
      <c r="M86" s="209" t="n"/>
      <c r="N86" s="210" t="n"/>
    </row>
  </sheetData>
  <sheetProtection selectLockedCells="0" selectUnlockedCells="0" algorithmName="SHA-512" sheet="1" objects="1" insertRows="1" insertHyperlinks="1" autoFilter="1" scenarios="1" formatColumns="1" deleteColumns="1" insertColumns="1" pivotTables="1" deleteRows="1" formatCells="1" saltValue="5RFCF8Z4EY/WE+Ide5vlZQ==" formatRows="1" sort="1" spinCount="100000" hashValue="iYIuvrPe8hBrXrQ4biJO50Y9a2qClUKgzdDwmS3gMYk7alMJkFpohjhjdVWMBLiicke6Tk1s+Oq0H3mDIdOOTA=="/>
  <mergeCells count="6">
    <mergeCell ref="E2:G2"/>
    <mergeCell ref="J2:K2"/>
    <mergeCell ref="A5:N5"/>
    <mergeCell ref="A46:N46"/>
    <mergeCell ref="B2:D2"/>
    <mergeCell ref="A1:N1"/>
  </mergeCells>
  <pageMargins left="0.2362204724409449" right="0.2362204724409449" top="0.7480314960629921" bottom="0.7480314960629921" header="0.3149606299212598" footer="0.3149606299212598"/>
  <pageSetup orientation="landscape" paperSize="8" scale="79" fitToHeight="0"/>
</worksheet>
</file>

<file path=xl/worksheets/sheet9.xml><?xml version="1.0" encoding="utf-8"?>
<worksheet xmlns="http://schemas.openxmlformats.org/spreadsheetml/2006/main">
  <sheetPr codeName="Sheet108">
    <tabColor theme="3" tint="0.7999816888943144"/>
    <outlinePr summaryBelow="1" summaryRight="1"/>
    <pageSetUpPr fitToPage="1"/>
  </sheetPr>
  <dimension ref="A1:N290"/>
  <sheetViews>
    <sheetView zoomScale="80" zoomScaleNormal="80" workbookViewId="0">
      <pane xSplit="1" ySplit="3" topLeftCell="J4" activePane="bottomRight" state="frozenSplit"/>
      <selection pane="bottomRight" activeCell="A1" sqref="A1:N1"/>
      <selection pane="bottomLeft" activeCell="A4" sqref="A4"/>
      <selection pane="topRight" activeCell="B7" sqref="B7"/>
    </sheetView>
  </sheetViews>
  <sheetFormatPr baseColWidth="8" defaultColWidth="8.7109375" defaultRowHeight="14.45"/>
  <cols>
    <col width="100.7109375" customWidth="1" min="1" max="1"/>
    <col hidden="1" width="10.28515625" customWidth="1" min="2" max="2"/>
    <col hidden="1" width="4.5703125" customWidth="1" min="3" max="3"/>
    <col hidden="1" width="19.5703125" customWidth="1" min="4" max="4"/>
    <col hidden="1" width="10.28515625" customWidth="1" min="5" max="5"/>
    <col hidden="1" width="3" customWidth="1" min="6" max="6"/>
    <col hidden="1" width="15.7109375" customWidth="1" min="7" max="7"/>
    <col hidden="1" width="1.7109375" customWidth="1" min="8" max="8"/>
    <col hidden="1" width="18" customWidth="1" min="9" max="9"/>
    <col width="15.7109375" customWidth="1" min="10" max="11"/>
    <col hidden="1" width="20.7109375" customWidth="1" min="12" max="12"/>
    <col width="1.7109375" customWidth="1" min="13" max="13"/>
    <col width="20.7109375" customWidth="1" min="14" max="14"/>
  </cols>
  <sheetData>
    <row r="1" ht="23.45" customHeight="1">
      <c r="A1" s="336" t="inlineStr">
        <is>
          <t>SUM OF ALL BENEFICIARIES (including AFFILIATED ENTITIES) FOR ALL THE WORK PACKAGES</t>
        </is>
      </c>
      <c r="B1" s="337" t="n"/>
      <c r="C1" s="337" t="n"/>
      <c r="D1" s="337" t="n"/>
      <c r="E1" s="337" t="n"/>
      <c r="F1" s="337" t="n"/>
      <c r="G1" s="337" t="n"/>
      <c r="H1" s="337" t="n"/>
      <c r="I1" s="337" t="n"/>
      <c r="J1" s="337" t="n"/>
      <c r="K1" s="337" t="n"/>
      <c r="L1" s="337" t="n"/>
      <c r="M1" s="337" t="n"/>
      <c r="N1" s="338" t="n"/>
    </row>
    <row r="2" ht="30.4" customHeight="1">
      <c r="A2" s="23" t="n"/>
      <c r="B2" s="300" t="inlineStr">
        <is>
          <t>ALL BENEFICIARIES 
(without affiliated entities)</t>
        </is>
      </c>
      <c r="C2" s="337" t="n"/>
      <c r="D2" s="338" t="n"/>
      <c r="E2" s="300" t="inlineStr">
        <is>
          <t>ALL AFFILIATED ENTITIES</t>
        </is>
      </c>
      <c r="F2" s="337" t="n"/>
      <c r="G2" s="338" t="n"/>
      <c r="H2" s="88" t="n"/>
      <c r="I2" s="300" t="n"/>
      <c r="J2" s="302" t="inlineStr">
        <is>
          <t>ALL BENEFICIARIES 
(with affiliated entities)</t>
        </is>
      </c>
      <c r="K2" s="338" t="n"/>
      <c r="L2" s="21" t="n"/>
      <c r="M2" s="88" t="n"/>
      <c r="N2" s="18" t="n"/>
    </row>
    <row r="3" ht="108" customHeight="1">
      <c r="A3" s="19" t="inlineStr">
        <is>
          <t xml:space="preserve"> COST CATEGORY</t>
        </is>
      </c>
      <c r="B3" s="21" t="inlineStr">
        <is>
          <t>ITEMS</t>
        </is>
      </c>
      <c r="C3" s="300" t="inlineStr">
        <is>
          <t>COST PER ITEM</t>
        </is>
      </c>
      <c r="D3" s="21" t="inlineStr">
        <is>
          <t>BE TOTAL COSTS</t>
        </is>
      </c>
      <c r="E3" s="22" t="inlineStr">
        <is>
          <t>ITEMS</t>
        </is>
      </c>
      <c r="F3" s="25" t="inlineStr">
        <is>
          <t>COST PER ITEM</t>
        </is>
      </c>
      <c r="G3" s="22" t="inlineStr">
        <is>
          <t>AE TOTAL COSTS</t>
        </is>
      </c>
      <c r="H3" s="88" t="n"/>
      <c r="I3" s="22" t="n"/>
      <c r="J3" s="300" t="inlineStr">
        <is>
          <t>ITEMS
(TOTAL)</t>
        </is>
      </c>
      <c r="K3" s="300" t="inlineStr">
        <is>
          <t>AVERAGE COST PER ITEM</t>
        </is>
      </c>
      <c r="L3" s="300" t="inlineStr">
        <is>
          <t>BE+TP TOTAL COSTS</t>
        </is>
      </c>
      <c r="M3" s="88" t="n"/>
      <c r="N3" s="18" t="inlineStr">
        <is>
          <t>TOTAL COSTS</t>
        </is>
      </c>
    </row>
    <row r="4" ht="14.45" customHeight="1">
      <c r="A4" s="209" t="n"/>
      <c r="B4" s="207" t="n"/>
      <c r="C4" s="209" t="n"/>
      <c r="D4" s="208" t="n"/>
      <c r="E4" s="207" t="n"/>
      <c r="F4" s="209" t="n"/>
      <c r="G4" s="208" t="n"/>
      <c r="H4" s="208" t="n"/>
      <c r="I4" s="208" t="n"/>
      <c r="J4" s="208" t="n"/>
      <c r="K4" s="208" t="n"/>
      <c r="L4" s="208" t="n"/>
      <c r="M4" s="209" t="n"/>
      <c r="N4" s="210" t="n"/>
    </row>
    <row r="5" ht="21" customHeight="1">
      <c r="A5" s="301" t="inlineStr">
        <is>
          <t>COSTS WORK PACKAGE 1: Management, IP and Innovation Management</t>
        </is>
      </c>
      <c r="B5" s="337" t="n"/>
      <c r="C5" s="337" t="n"/>
      <c r="D5" s="337" t="n"/>
      <c r="E5" s="337" t="n"/>
      <c r="F5" s="337" t="n"/>
      <c r="G5" s="337" t="n"/>
      <c r="H5" s="337" t="n"/>
      <c r="I5" s="337" t="n"/>
      <c r="J5" s="337" t="n"/>
      <c r="K5" s="337" t="n"/>
      <c r="L5" s="337" t="n"/>
      <c r="M5" s="337" t="n"/>
      <c r="N5" s="338" t="n"/>
    </row>
    <row r="6" ht="6.95" customHeight="1">
      <c r="A6" s="8" t="n"/>
      <c r="B6" s="8" t="n"/>
      <c r="C6" s="8" t="n"/>
      <c r="D6" s="8" t="n"/>
      <c r="E6" s="8" t="n"/>
      <c r="F6" s="8" t="n"/>
      <c r="G6" s="8" t="n"/>
      <c r="H6" s="8" t="n"/>
      <c r="I6" s="8" t="n"/>
      <c r="J6" s="8" t="n"/>
      <c r="K6" s="8" t="n"/>
      <c r="L6" s="8" t="n"/>
      <c r="M6" s="8" t="n"/>
      <c r="N6" s="8" t="n"/>
    </row>
    <row r="7" ht="14.45" customHeight="1">
      <c r="A7" s="11" t="inlineStr">
        <is>
          <t>A. DIRECT PERSONNEL COSTS</t>
        </is>
      </c>
      <c r="B7" s="4" t="n"/>
      <c r="C7" s="339" t="n"/>
      <c r="D7" s="340" t="n"/>
      <c r="E7" s="4" t="n"/>
      <c r="F7" s="339" t="n"/>
      <c r="G7" s="340" t="n"/>
      <c r="H7" s="8" t="n"/>
      <c r="I7" s="340" t="n"/>
      <c r="J7" s="340" t="n"/>
      <c r="K7" s="340" t="n"/>
      <c r="L7" s="340" t="n"/>
      <c r="M7" s="8" t="n"/>
      <c r="N7" s="340" t="n"/>
    </row>
    <row r="8" ht="14.45" customHeight="1">
      <c r="A8" s="7" t="inlineStr">
        <is>
          <t>A.1 Employees (or equivalent)</t>
        </is>
      </c>
      <c r="B8" s="89" t="n"/>
      <c r="C8" s="89" t="n"/>
      <c r="D8" s="89" t="n"/>
      <c r="E8" s="89" t="n"/>
      <c r="F8" s="89" t="n"/>
      <c r="G8" s="89" t="n"/>
      <c r="H8" s="8" t="n"/>
      <c r="I8" s="89" t="n"/>
      <c r="J8" s="89" t="n"/>
      <c r="K8" s="89" t="n"/>
      <c r="L8" s="89" t="n"/>
      <c r="M8" s="8" t="n"/>
      <c r="N8" s="89" t="n"/>
    </row>
    <row r="9" ht="14.45" customHeight="1">
      <c r="A9" s="36" t="inlineStr">
        <is>
          <t>SENIOR SCIENTISTS (or equivalent in the private sector)</t>
        </is>
      </c>
      <c r="B9" s="341">
        <f>'BE1'!B9+'BE2'!B9+'BE3'!B9+'BE4'!B9</f>
        <v/>
      </c>
      <c r="C9" s="228" t="n"/>
      <c r="D9" s="229">
        <f>'BE1'!D9+'BE2'!D9+'BE3'!D9+'BE4'!D9</f>
        <v/>
      </c>
      <c r="E9" s="342" t="n"/>
      <c r="F9" s="226" t="n"/>
      <c r="G9" s="225" t="n"/>
      <c r="H9" s="8" t="n"/>
      <c r="I9" s="343">
        <f>D9+G9</f>
        <v/>
      </c>
      <c r="J9" s="342">
        <f>E9+B9</f>
        <v/>
      </c>
      <c r="K9" s="225">
        <f>IF(J9&gt;0,L9/J9," ")</f>
        <v/>
      </c>
      <c r="L9" s="225">
        <f>G9+D9</f>
        <v/>
      </c>
      <c r="M9" s="8" t="n"/>
      <c r="N9" s="222">
        <f>D9+G9</f>
        <v/>
      </c>
    </row>
    <row r="10" ht="14.45" customHeight="1">
      <c r="A10" s="36" t="inlineStr">
        <is>
          <t>JUNIOR SCIENTISTS (or equivalent in the private sector)</t>
        </is>
      </c>
      <c r="B10" s="341">
        <f>'BE1'!B10+'BE2'!B10+'BE3'!B10+'BE4'!B10</f>
        <v/>
      </c>
      <c r="C10" s="228" t="n"/>
      <c r="D10" s="229">
        <f>'BE1'!D10+'BE2'!D10+'BE3'!D10+'BE4'!D10</f>
        <v/>
      </c>
      <c r="E10" s="342" t="n"/>
      <c r="F10" s="226" t="n"/>
      <c r="G10" s="225" t="n"/>
      <c r="H10" s="8" t="n"/>
      <c r="I10" s="343">
        <f>D10+G10</f>
        <v/>
      </c>
      <c r="J10" s="342">
        <f>E10+B10</f>
        <v/>
      </c>
      <c r="K10" s="225">
        <f>IF(J10&gt;0,L10/J10," ")</f>
        <v/>
      </c>
      <c r="L10" s="225">
        <f>G10+D10</f>
        <v/>
      </c>
      <c r="M10" s="8" t="n"/>
      <c r="N10" s="222">
        <f>D10+G10</f>
        <v/>
      </c>
    </row>
    <row r="11" ht="14.45" customHeight="1">
      <c r="A11" s="36" t="inlineStr">
        <is>
          <t>TECHNICAL PERSONNEL (or equivalent in the private sector)</t>
        </is>
      </c>
      <c r="B11" s="341">
        <f>'BE1'!B11+'BE2'!B11+'BE3'!B11+'BE4'!B11</f>
        <v/>
      </c>
      <c r="C11" s="228" t="n"/>
      <c r="D11" s="229">
        <f>'BE1'!D11+'BE2'!D11+'BE3'!D11+'BE4'!D11</f>
        <v/>
      </c>
      <c r="E11" s="342" t="n"/>
      <c r="F11" s="226" t="n"/>
      <c r="G11" s="225" t="n"/>
      <c r="H11" s="8" t="n"/>
      <c r="I11" s="343">
        <f>D11+G11</f>
        <v/>
      </c>
      <c r="J11" s="342">
        <f>E11+B11</f>
        <v/>
      </c>
      <c r="K11" s="225">
        <f>IF(J11&gt;0,L11/J11," ")</f>
        <v/>
      </c>
      <c r="L11" s="225">
        <f>G11+D11</f>
        <v/>
      </c>
      <c r="M11" s="8" t="n"/>
      <c r="N11" s="222">
        <f>D11+G11</f>
        <v/>
      </c>
    </row>
    <row r="12" ht="14.45" customHeight="1">
      <c r="A12" s="36" t="inlineStr">
        <is>
          <t>ADMINISTRATIVE PERSONNEL (or equivalent in the private sector)</t>
        </is>
      </c>
      <c r="B12" s="341">
        <f>'BE1'!B12+'BE2'!B12+'BE3'!B12+'BE4'!B12</f>
        <v/>
      </c>
      <c r="C12" s="228" t="n"/>
      <c r="D12" s="229">
        <f>'BE1'!D12+'BE2'!D12+'BE3'!D12+'BE4'!D12</f>
        <v/>
      </c>
      <c r="E12" s="342" t="n"/>
      <c r="F12" s="226" t="n"/>
      <c r="G12" s="225" t="n"/>
      <c r="H12" s="8" t="n"/>
      <c r="I12" s="343">
        <f>D12+G12</f>
        <v/>
      </c>
      <c r="J12" s="342">
        <f>E12+B12</f>
        <v/>
      </c>
      <c r="K12" s="225">
        <f>IF(J12&gt;0,L12/J12," ")</f>
        <v/>
      </c>
      <c r="L12" s="225">
        <f>G12+D12</f>
        <v/>
      </c>
      <c r="M12" s="8" t="n"/>
      <c r="N12" s="222">
        <f>D12+G12</f>
        <v/>
      </c>
    </row>
    <row r="13" ht="14.45" customHeight="1">
      <c r="A13" s="36" t="inlineStr">
        <is>
          <t>OTHERS</t>
        </is>
      </c>
      <c r="B13" s="341">
        <f>'BE1'!B13+'BE2'!B13+'BE3'!B13+'BE4'!B13</f>
        <v/>
      </c>
      <c r="C13" s="228" t="n"/>
      <c r="D13" s="229">
        <f>'BE1'!D13+'BE2'!D13+'BE3'!D13+'BE4'!D13</f>
        <v/>
      </c>
      <c r="E13" s="342" t="n"/>
      <c r="F13" s="226" t="n"/>
      <c r="G13" s="225" t="n"/>
      <c r="H13" s="8" t="n"/>
      <c r="I13" s="343">
        <f>D13+G13</f>
        <v/>
      </c>
      <c r="J13" s="342">
        <f>E13+B13</f>
        <v/>
      </c>
      <c r="K13" s="225">
        <f>IF(J13&gt;0,L13/J13," ")</f>
        <v/>
      </c>
      <c r="L13" s="225">
        <f>G13+D13</f>
        <v/>
      </c>
      <c r="M13" s="8" t="n"/>
      <c r="N13" s="222">
        <f>D13+G13</f>
        <v/>
      </c>
    </row>
    <row r="14" ht="14.45" customHeight="1">
      <c r="A14" s="7" t="inlineStr">
        <is>
          <t>A.2 Natural Persons under direct contract</t>
        </is>
      </c>
      <c r="B14" s="341">
        <f>'BE1'!B14+'BE2'!B14+'BE3'!B14+'BE4'!B14</f>
        <v/>
      </c>
      <c r="C14" s="228" t="n"/>
      <c r="D14" s="229">
        <f>'BE1'!D14+'BE2'!D14+'BE3'!D14+'BE4'!D14</f>
        <v/>
      </c>
      <c r="E14" s="342" t="n"/>
      <c r="F14" s="226" t="n"/>
      <c r="G14" s="225" t="n"/>
      <c r="H14" s="8" t="n"/>
      <c r="I14" s="343">
        <f>D14+G14</f>
        <v/>
      </c>
      <c r="J14" s="342">
        <f>E14+B14</f>
        <v/>
      </c>
      <c r="K14" s="225">
        <f>IF(J14&gt;0,L14/J14," ")</f>
        <v/>
      </c>
      <c r="L14" s="225">
        <f>G14+D14</f>
        <v/>
      </c>
      <c r="M14" s="8" t="n"/>
      <c r="N14" s="222">
        <f>D14+G14</f>
        <v/>
      </c>
    </row>
    <row r="15" ht="14.45" customHeight="1">
      <c r="A15" s="7" t="inlineStr">
        <is>
          <t>A.3 Seconded Persons</t>
        </is>
      </c>
      <c r="B15" s="341">
        <f>'BE1'!B15+'BE2'!B15+'BE3'!B15+'BE4'!B15</f>
        <v/>
      </c>
      <c r="C15" s="228" t="n"/>
      <c r="D15" s="229">
        <f>'BE1'!D15+'BE2'!D15+'BE3'!D15+'BE4'!D15</f>
        <v/>
      </c>
      <c r="E15" s="342" t="n"/>
      <c r="F15" s="226" t="n"/>
      <c r="G15" s="225" t="n"/>
      <c r="H15" s="8" t="n"/>
      <c r="I15" s="343">
        <f>D15+G15</f>
        <v/>
      </c>
      <c r="J15" s="342">
        <f>E15+B15</f>
        <v/>
      </c>
      <c r="K15" s="225">
        <f>IF(J15&gt;0,L15/J15," ")</f>
        <v/>
      </c>
      <c r="L15" s="225">
        <f>G15+D15</f>
        <v/>
      </c>
      <c r="M15" s="8" t="n"/>
      <c r="N15" s="222">
        <f>D15+G15</f>
        <v/>
      </c>
    </row>
    <row r="16" ht="14.45" customHeight="1">
      <c r="A16" s="7" t="inlineStr">
        <is>
          <t>A.4 SME owners and natural person beneficiaries</t>
        </is>
      </c>
      <c r="B16" s="341">
        <f>'BE1'!B16+'BE2'!B16+'BE3'!B16+'BE4'!B16</f>
        <v/>
      </c>
      <c r="C16" s="228" t="n"/>
      <c r="D16" s="229">
        <f>'BE1'!D16+'BE2'!D16+'BE3'!D16+'BE4'!D16</f>
        <v/>
      </c>
      <c r="E16" s="342" t="n"/>
      <c r="F16" s="226" t="n"/>
      <c r="G16" s="225" t="n"/>
      <c r="H16" s="8" t="n"/>
      <c r="I16" s="343">
        <f>D16+G16</f>
        <v/>
      </c>
      <c r="J16" s="342">
        <f>E16+B16</f>
        <v/>
      </c>
      <c r="K16" s="225">
        <f>IF(J16&gt;0,L16/J16," ")</f>
        <v/>
      </c>
      <c r="L16" s="225">
        <f>G16+D16</f>
        <v/>
      </c>
      <c r="M16" s="8" t="n"/>
      <c r="N16" s="222">
        <f>D16+G16</f>
        <v/>
      </c>
    </row>
    <row r="17" ht="14.45" customHeight="1">
      <c r="A17" s="11" t="inlineStr">
        <is>
          <t>B. DIRECT SUBCONTRACTING COSTS</t>
        </is>
      </c>
      <c r="B17" s="344" t="n"/>
      <c r="C17" s="227" t="n"/>
      <c r="D17" s="223" t="n"/>
      <c r="E17" s="344" t="n"/>
      <c r="F17" s="227" t="n"/>
      <c r="G17" s="223" t="n"/>
      <c r="H17" s="8" t="n"/>
      <c r="I17" s="340" t="n"/>
      <c r="J17" s="345" t="n"/>
      <c r="K17" s="223" t="n"/>
      <c r="L17" s="223" t="n"/>
      <c r="M17" s="8" t="n"/>
      <c r="N17" s="223" t="n"/>
    </row>
    <row r="18" ht="14.45" customHeight="1">
      <c r="A18" s="9" t="n"/>
      <c r="B18" s="341">
        <f>'BE1'!B18+'BE2'!B18+'BE3'!B18+'BE4'!B18</f>
        <v/>
      </c>
      <c r="C18" s="228" t="n"/>
      <c r="D18" s="229">
        <f>'BE1'!D18+'BE2'!D18+'BE3'!D18+'BE4'!D18</f>
        <v/>
      </c>
      <c r="E18" s="342" t="n"/>
      <c r="F18" s="226" t="n"/>
      <c r="G18" s="225" t="n"/>
      <c r="H18" s="8" t="n"/>
      <c r="I18" s="343">
        <f>D18+G18</f>
        <v/>
      </c>
      <c r="J18" s="342">
        <f>E18+B18</f>
        <v/>
      </c>
      <c r="K18" s="225">
        <f>IF(J18&gt;0,L18/J18," ")</f>
        <v/>
      </c>
      <c r="L18" s="225">
        <f>G18+D18</f>
        <v/>
      </c>
      <c r="M18" s="8" t="n"/>
      <c r="N18" s="222">
        <f>D18+G18</f>
        <v/>
      </c>
    </row>
    <row r="19" ht="14.45" customHeight="1">
      <c r="A19" s="11" t="inlineStr">
        <is>
          <t>C. DIRECT PURCHASE COSTS</t>
        </is>
      </c>
      <c r="B19" s="344" t="n"/>
      <c r="C19" s="227" t="n"/>
      <c r="D19" s="223" t="n"/>
      <c r="E19" s="344" t="n"/>
      <c r="F19" s="227" t="n"/>
      <c r="G19" s="223" t="n"/>
      <c r="H19" s="8" t="n"/>
      <c r="I19" s="340" t="n"/>
      <c r="J19" s="345" t="n"/>
      <c r="K19" s="223" t="n"/>
      <c r="L19" s="223" t="n"/>
      <c r="M19" s="8" t="n"/>
      <c r="N19" s="223" t="n"/>
    </row>
    <row r="20" ht="14.45" customHeight="1">
      <c r="A20" s="39" t="inlineStr">
        <is>
          <t>C.1 Travel and subsistence</t>
        </is>
      </c>
      <c r="B20" s="341">
        <f>'BE1'!B20+'BE2'!B20+'BE3'!B20+'BE4'!B20</f>
        <v/>
      </c>
      <c r="C20" s="228" t="n"/>
      <c r="D20" s="229">
        <f>'BE1'!D20+'BE2'!D20+'BE3'!D20+'BE4'!D20</f>
        <v/>
      </c>
      <c r="E20" s="342" t="n"/>
      <c r="F20" s="226" t="n"/>
      <c r="G20" s="225" t="n"/>
      <c r="H20" s="8" t="n"/>
      <c r="I20" s="343">
        <f>D20+G20</f>
        <v/>
      </c>
      <c r="J20" s="342">
        <f>E20+B20</f>
        <v/>
      </c>
      <c r="K20" s="225">
        <f>IF(J20&gt;0,L20/J20," ")</f>
        <v/>
      </c>
      <c r="L20" s="225">
        <f>G20+D20</f>
        <v/>
      </c>
      <c r="M20" s="8" t="n"/>
      <c r="N20" s="222">
        <f>D20+G20</f>
        <v/>
      </c>
    </row>
    <row r="21" ht="14.45" customHeight="1">
      <c r="A21" s="7" t="inlineStr">
        <is>
          <t>C.2 Equipment (complete 'Depreciation cost' sheet)</t>
        </is>
      </c>
      <c r="B21" s="346" t="n"/>
      <c r="C21" s="160" t="n"/>
      <c r="D21" s="160" t="n"/>
      <c r="E21" s="346" t="n"/>
      <c r="F21" s="160" t="n"/>
      <c r="G21" s="160" t="n"/>
      <c r="H21" s="8" t="n"/>
      <c r="I21" s="89" t="n"/>
      <c r="J21" s="346" t="n"/>
      <c r="K21" s="160" t="n"/>
      <c r="L21" s="160" t="n"/>
      <c r="M21" s="8" t="n"/>
      <c r="N21" s="160" t="n"/>
    </row>
    <row r="22" ht="14.45" customHeight="1">
      <c r="A22" s="37" t="inlineStr">
        <is>
          <t>Equipment</t>
        </is>
      </c>
      <c r="B22" s="341">
        <f>'BE1'!B22+'BE2'!B22+'BE3'!B22+'BE4'!B22</f>
        <v/>
      </c>
      <c r="C22" s="228" t="n"/>
      <c r="D22" s="229">
        <f>'BE1'!D22+'BE2'!D22+'BE3'!D22+'BE4'!D22</f>
        <v/>
      </c>
      <c r="E22" s="342" t="n"/>
      <c r="F22" s="226" t="n"/>
      <c r="G22" s="225" t="n"/>
      <c r="H22" s="8" t="n"/>
      <c r="I22" s="343">
        <f>D22+G22</f>
        <v/>
      </c>
      <c r="J22" s="342">
        <f>E22+B22</f>
        <v/>
      </c>
      <c r="K22" s="225">
        <f>IF(J22&gt;0,L22/J22," ")</f>
        <v/>
      </c>
      <c r="L22" s="225">
        <f>G22+D22</f>
        <v/>
      </c>
      <c r="M22" s="8" t="n"/>
      <c r="N22" s="222">
        <f>D22+G22</f>
        <v/>
      </c>
    </row>
    <row r="23" ht="14.45" customHeight="1">
      <c r="A23" s="37" t="inlineStr">
        <is>
          <t>Infrastructure</t>
        </is>
      </c>
      <c r="B23" s="341">
        <f>'BE1'!B23+'BE2'!B23+'BE3'!B23+'BE4'!B23</f>
        <v/>
      </c>
      <c r="C23" s="228" t="n"/>
      <c r="D23" s="229">
        <f>'BE1'!D23+'BE2'!D23+'BE3'!D23+'BE4'!D23</f>
        <v/>
      </c>
      <c r="E23" s="342" t="n"/>
      <c r="F23" s="226" t="n"/>
      <c r="G23" s="225" t="n"/>
      <c r="H23" s="8" t="n"/>
      <c r="I23" s="343">
        <f>D23+G23</f>
        <v/>
      </c>
      <c r="J23" s="342">
        <f>E23+B23</f>
        <v/>
      </c>
      <c r="K23" s="225">
        <f>IF(J23&gt;0,L23/J23," ")</f>
        <v/>
      </c>
      <c r="L23" s="225">
        <f>G23+D23</f>
        <v/>
      </c>
      <c r="M23" s="8" t="n"/>
      <c r="N23" s="222">
        <f>D23+G23</f>
        <v/>
      </c>
    </row>
    <row r="24" ht="14.45" customHeight="1">
      <c r="A24" s="37" t="inlineStr">
        <is>
          <t>Other assets</t>
        </is>
      </c>
      <c r="B24" s="341">
        <f>'BE1'!B24+'BE2'!B24+'BE3'!B24+'BE4'!B24</f>
        <v/>
      </c>
      <c r="C24" s="228" t="n"/>
      <c r="D24" s="229">
        <f>'BE1'!D24+'BE2'!D24+'BE3'!D24+'BE4'!D24</f>
        <v/>
      </c>
      <c r="E24" s="342" t="n"/>
      <c r="F24" s="226" t="n"/>
      <c r="G24" s="225" t="n"/>
      <c r="H24" s="8" t="n"/>
      <c r="I24" s="343">
        <f>D24+G24</f>
        <v/>
      </c>
      <c r="J24" s="342">
        <f>E24+B24</f>
        <v/>
      </c>
      <c r="K24" s="225">
        <f>IF(J24&gt;0,L24/J24," ")</f>
        <v/>
      </c>
      <c r="L24" s="225">
        <f>G24+D24</f>
        <v/>
      </c>
      <c r="M24" s="8" t="n"/>
      <c r="N24" s="222">
        <f>D24+G24</f>
        <v/>
      </c>
    </row>
    <row r="25" ht="14.45" customHeight="1">
      <c r="A25" s="7" t="inlineStr">
        <is>
          <t>C.3 Other goods, works and services</t>
        </is>
      </c>
      <c r="B25" s="346" t="n"/>
      <c r="C25" s="160" t="n"/>
      <c r="D25" s="160" t="n"/>
      <c r="E25" s="346" t="n"/>
      <c r="F25" s="160" t="n"/>
      <c r="G25" s="160" t="n"/>
      <c r="H25" s="8" t="n"/>
      <c r="I25" s="89" t="n"/>
      <c r="J25" s="346" t="n"/>
      <c r="K25" s="160" t="n"/>
      <c r="L25" s="160" t="n"/>
      <c r="M25" s="8" t="n"/>
      <c r="N25" s="160" t="n"/>
    </row>
    <row r="26" ht="14.45" customHeight="1">
      <c r="A26" s="37" t="inlineStr">
        <is>
          <t>Consumables</t>
        </is>
      </c>
      <c r="B26" s="341">
        <f>'BE1'!B26+'BE2'!B26+'BE3'!B26+'BE4'!B26</f>
        <v/>
      </c>
      <c r="C26" s="228" t="n"/>
      <c r="D26" s="229">
        <f>'BE1'!D26+'BE2'!D26+'BE3'!D26+'BE4'!D26</f>
        <v/>
      </c>
      <c r="E26" s="342" t="n"/>
      <c r="F26" s="226" t="n"/>
      <c r="G26" s="225" t="n"/>
      <c r="H26" s="8" t="n"/>
      <c r="I26" s="343">
        <f>D26+G26</f>
        <v/>
      </c>
      <c r="J26" s="342">
        <f>E26+B26</f>
        <v/>
      </c>
      <c r="K26" s="225">
        <f>IF(J26&gt;0,L26/J26," ")</f>
        <v/>
      </c>
      <c r="L26" s="225">
        <f>G26+D26</f>
        <v/>
      </c>
      <c r="M26" s="8" t="n"/>
      <c r="N26" s="222">
        <f>D26+G26</f>
        <v/>
      </c>
    </row>
    <row r="27" ht="14.45" customHeight="1">
      <c r="A27" s="37" t="inlineStr">
        <is>
          <t>Services for meetings, seminars</t>
        </is>
      </c>
      <c r="B27" s="341">
        <f>'BE1'!B27+'BE2'!B27+'BE3'!B27+'BE4'!B27</f>
        <v/>
      </c>
      <c r="C27" s="228" t="n"/>
      <c r="D27" s="229">
        <f>'BE1'!D27+'BE2'!D27+'BE3'!D27+'BE4'!D27</f>
        <v/>
      </c>
      <c r="E27" s="342" t="n"/>
      <c r="F27" s="226" t="n"/>
      <c r="G27" s="225" t="n"/>
      <c r="H27" s="8" t="n"/>
      <c r="I27" s="343">
        <f>D27+G27</f>
        <v/>
      </c>
      <c r="J27" s="342">
        <f>E27+B27</f>
        <v/>
      </c>
      <c r="K27" s="225">
        <f>IF(J27&gt;0,L27/J27," ")</f>
        <v/>
      </c>
      <c r="L27" s="225">
        <f>G27+D27</f>
        <v/>
      </c>
      <c r="M27" s="8" t="n"/>
      <c r="N27" s="222">
        <f>D27+G27</f>
        <v/>
      </c>
    </row>
    <row r="28" ht="14.45" customHeight="1">
      <c r="A28" s="37" t="inlineStr">
        <is>
          <t>Services for dissemination activities (including website)</t>
        </is>
      </c>
      <c r="B28" s="341">
        <f>'BE1'!B28+'BE2'!B28+'BE3'!B28+'BE4'!B28</f>
        <v/>
      </c>
      <c r="C28" s="228" t="n"/>
      <c r="D28" s="229">
        <f>'BE1'!D28+'BE2'!D28+'BE3'!D28+'BE4'!D28</f>
        <v/>
      </c>
      <c r="E28" s="342" t="n"/>
      <c r="F28" s="226" t="n"/>
      <c r="G28" s="225" t="n"/>
      <c r="H28" s="8" t="n"/>
      <c r="I28" s="343">
        <f>D28+G28</f>
        <v/>
      </c>
      <c r="J28" s="342">
        <f>E28+B28</f>
        <v/>
      </c>
      <c r="K28" s="225">
        <f>IF(J28&gt;0,L28/J28," ")</f>
        <v/>
      </c>
      <c r="L28" s="225">
        <f>G28+D28</f>
        <v/>
      </c>
      <c r="M28" s="8" t="n"/>
      <c r="N28" s="222">
        <f>D28+G28</f>
        <v/>
      </c>
    </row>
    <row r="29" ht="14.45" customHeight="1">
      <c r="A29" s="37" t="inlineStr">
        <is>
          <t>Publication fees</t>
        </is>
      </c>
      <c r="B29" s="341">
        <f>'BE1'!B29+'BE2'!B29+'BE3'!B29+'BE4'!B29</f>
        <v/>
      </c>
      <c r="C29" s="228" t="n"/>
      <c r="D29" s="229">
        <f>'BE1'!D29+'BE2'!D29+'BE3'!D29+'BE4'!D29</f>
        <v/>
      </c>
      <c r="E29" s="342" t="n"/>
      <c r="F29" s="226" t="n"/>
      <c r="G29" s="225" t="n"/>
      <c r="H29" s="8" t="n"/>
      <c r="I29" s="343">
        <f>D29+G29</f>
        <v/>
      </c>
      <c r="J29" s="342">
        <f>E29+B29</f>
        <v/>
      </c>
      <c r="K29" s="225">
        <f>IF(J29&gt;0,L29/J29," ")</f>
        <v/>
      </c>
      <c r="L29" s="225">
        <f>G29+D29</f>
        <v/>
      </c>
      <c r="M29" s="8" t="n"/>
      <c r="N29" s="222">
        <f>D29+G29</f>
        <v/>
      </c>
    </row>
    <row r="30" ht="14.45" customHeight="1">
      <c r="A30" s="37" t="inlineStr">
        <is>
          <t>Other (shipment,insurance, translation, etc.)</t>
        </is>
      </c>
      <c r="B30" s="341">
        <f>'BE1'!B30+'BE2'!B30+'BE3'!B30+'BE4'!B30</f>
        <v/>
      </c>
      <c r="C30" s="228" t="n"/>
      <c r="D30" s="229">
        <f>'BE1'!D30+'BE2'!D30+'BE3'!D30+'BE4'!D30</f>
        <v/>
      </c>
      <c r="E30" s="342" t="n"/>
      <c r="F30" s="226" t="n"/>
      <c r="G30" s="225" t="n"/>
      <c r="H30" s="8" t="n"/>
      <c r="I30" s="343">
        <f>D30+G30</f>
        <v/>
      </c>
      <c r="J30" s="342">
        <f>E30+B30</f>
        <v/>
      </c>
      <c r="K30" s="225">
        <f>IF(J30&gt;0,L30/J30," ")</f>
        <v/>
      </c>
      <c r="L30" s="225">
        <f>G30+D30</f>
        <v/>
      </c>
      <c r="M30" s="8" t="n"/>
      <c r="N30" s="222">
        <f>D30+G30</f>
        <v/>
      </c>
    </row>
    <row r="31" ht="14.45" customHeight="1">
      <c r="A31" s="6" t="inlineStr">
        <is>
          <t>D. OTHER COST CATEGORIES</t>
        </is>
      </c>
      <c r="B31" s="344" t="n"/>
      <c r="C31" s="227" t="n"/>
      <c r="D31" s="223" t="n"/>
      <c r="E31" s="344" t="n"/>
      <c r="F31" s="227" t="n"/>
      <c r="G31" s="223" t="n"/>
      <c r="H31" s="8" t="n"/>
      <c r="I31" s="340" t="n"/>
      <c r="J31" s="345" t="n"/>
      <c r="K31" s="223" t="n"/>
      <c r="L31" s="223" t="n"/>
      <c r="M31" s="8" t="n"/>
      <c r="N31" s="223" t="n"/>
    </row>
    <row r="32" ht="14.45" customHeight="1">
      <c r="A32" s="40" t="inlineStr">
        <is>
          <t>D.1 Financial support to third parties (if applicable in the topic specific conditions)</t>
        </is>
      </c>
      <c r="B32" s="341">
        <f>'BE1'!B32+'BE2'!B32+'BE3'!B32+'BE4'!B32</f>
        <v/>
      </c>
      <c r="C32" s="228" t="n"/>
      <c r="D32" s="229">
        <f>'BE1'!D32+'BE2'!D32+'BE3'!D32+'BE4'!D32</f>
        <v/>
      </c>
      <c r="E32" s="342" t="n"/>
      <c r="F32" s="226" t="n"/>
      <c r="G32" s="225" t="n"/>
      <c r="H32" s="8" t="n"/>
      <c r="I32" s="343">
        <f>D32+G32</f>
        <v/>
      </c>
      <c r="J32" s="342">
        <f>E32+B32</f>
        <v/>
      </c>
      <c r="K32" s="225">
        <f>IF(J32&gt;0,L32/J32," ")</f>
        <v/>
      </c>
      <c r="L32" s="225">
        <f>G32+D32</f>
        <v/>
      </c>
      <c r="M32" s="8" t="n"/>
      <c r="N32" s="222">
        <f>D32+G32</f>
        <v/>
      </c>
    </row>
    <row r="33" ht="14.45" customHeight="1">
      <c r="A33" s="39" t="inlineStr">
        <is>
          <t>D.2 Internally invoiced goods and services</t>
        </is>
      </c>
      <c r="B33" s="341">
        <f>'BE1'!B33+'BE2'!B33+'BE3'!B33+'BE4'!B33</f>
        <v/>
      </c>
      <c r="C33" s="228" t="n"/>
      <c r="D33" s="229">
        <f>'BE1'!D33+'BE2'!D33+'BE3'!D33+'BE4'!D33</f>
        <v/>
      </c>
      <c r="E33" s="342" t="n"/>
      <c r="F33" s="226" t="n"/>
      <c r="G33" s="225" t="n"/>
      <c r="H33" s="8" t="n"/>
      <c r="I33" s="343">
        <f>D33+G33</f>
        <v/>
      </c>
      <c r="J33" s="342">
        <f>E33+B33</f>
        <v/>
      </c>
      <c r="K33" s="225">
        <f>IF(J33&gt;0,L33/J33," ")</f>
        <v/>
      </c>
      <c r="L33" s="225">
        <f>G33+D33</f>
        <v/>
      </c>
      <c r="M33" s="8" t="n"/>
      <c r="N33" s="222">
        <f>D33+G33</f>
        <v/>
      </c>
    </row>
    <row r="34" ht="14.45" customHeight="1">
      <c r="A34" s="39" t="inlineStr">
        <is>
          <t>D.3 Transnational access to research infrastructure unit costs (if required in the topic specific conditions)</t>
        </is>
      </c>
      <c r="B34" s="341">
        <f>'BE1'!B34+'BE2'!B34+'BE3'!B34+'BE4'!B34</f>
        <v/>
      </c>
      <c r="C34" s="228" t="n"/>
      <c r="D34" s="229">
        <f>'BE1'!D34+'BE2'!D34+'BE3'!D34+'BE4'!D34</f>
        <v/>
      </c>
      <c r="E34" s="342" t="n"/>
      <c r="F34" s="226" t="n"/>
      <c r="G34" s="225" t="n"/>
      <c r="H34" s="8" t="n"/>
      <c r="I34" s="343">
        <f>D34+G34</f>
        <v/>
      </c>
      <c r="J34" s="342">
        <f>E34+B34</f>
        <v/>
      </c>
      <c r="K34" s="225">
        <f>IF(J34&gt;0,L34/J34," ")</f>
        <v/>
      </c>
      <c r="L34" s="225">
        <f>G34+D34</f>
        <v/>
      </c>
      <c r="M34" s="8" t="n"/>
      <c r="N34" s="222">
        <f>D34+G34</f>
        <v/>
      </c>
    </row>
    <row r="35" ht="14.45" customHeight="1">
      <c r="A35" s="39" t="inlineStr">
        <is>
          <t>D.4 Virtual access to research infrastructure unit costs (if required in the topic specific conditions)</t>
        </is>
      </c>
      <c r="B35" s="341">
        <f>'BE1'!B35+'BE2'!B35+'BE3'!B35+'BE4'!B35</f>
        <v/>
      </c>
      <c r="C35" s="228" t="n"/>
      <c r="D35" s="229">
        <f>'BE1'!D35+'BE2'!D35+'BE3'!D35+'BE4'!D35</f>
        <v/>
      </c>
      <c r="E35" s="342" t="n"/>
      <c r="F35" s="226" t="n"/>
      <c r="G35" s="225" t="n"/>
      <c r="H35" s="8" t="n"/>
      <c r="I35" s="343">
        <f>D35+G35</f>
        <v/>
      </c>
      <c r="J35" s="342">
        <f>E35+B35</f>
        <v/>
      </c>
      <c r="K35" s="225">
        <f>IF(J35&gt;0,L35/J35," ")</f>
        <v/>
      </c>
      <c r="L35" s="225">
        <f>G35+D35</f>
        <v/>
      </c>
      <c r="M35" s="8" t="n"/>
      <c r="N35" s="222">
        <f>D35+G35</f>
        <v/>
      </c>
    </row>
    <row r="36" ht="14.45" customHeight="1">
      <c r="A36" s="39" t="inlineStr">
        <is>
          <t>D.5 PCP/PPI procurement costs (if mentioned as eligible in the topic specific conditions)</t>
        </is>
      </c>
      <c r="B36" s="341">
        <f>'BE1'!B36+'BE2'!B36+'BE3'!B36+'BE4'!B36</f>
        <v/>
      </c>
      <c r="C36" s="228" t="n"/>
      <c r="D36" s="229">
        <f>'BE1'!D36+'BE2'!D36+'BE3'!D36+'BE4'!D36</f>
        <v/>
      </c>
      <c r="E36" s="342" t="n"/>
      <c r="F36" s="226" t="n"/>
      <c r="G36" s="225" t="n"/>
      <c r="H36" s="8" t="n"/>
      <c r="I36" s="343">
        <f>D36+G36</f>
        <v/>
      </c>
      <c r="J36" s="342">
        <f>E36+B36</f>
        <v/>
      </c>
      <c r="K36" s="225">
        <f>IF(J36&gt;0,L36/J36," ")</f>
        <v/>
      </c>
      <c r="L36" s="225">
        <f>G36+D36</f>
        <v/>
      </c>
      <c r="M36" s="8" t="n"/>
      <c r="N36" s="222">
        <f>D36+G36</f>
        <v/>
      </c>
    </row>
    <row r="37" ht="14.45" customHeight="1">
      <c r="A37" s="26" t="n"/>
      <c r="B37" s="346" t="n"/>
      <c r="C37" s="160" t="n"/>
      <c r="D37" s="160" t="n"/>
      <c r="E37" s="346" t="n"/>
      <c r="F37" s="160" t="n"/>
      <c r="G37" s="160" t="n"/>
      <c r="H37" s="8" t="n"/>
      <c r="I37" s="89" t="n"/>
      <c r="J37" s="346" t="n"/>
      <c r="K37" s="160" t="n"/>
      <c r="L37" s="160" t="n"/>
      <c r="M37" s="8" t="n"/>
      <c r="N37" s="160" t="n"/>
    </row>
    <row r="38" ht="14.45" customHeight="1">
      <c r="A38" s="41" t="inlineStr">
        <is>
          <t>TOTAL DIRECT PERSONNEL COSTS AND PURCHASE COSTS (A+C)</t>
        </is>
      </c>
      <c r="B38" s="347" t="n"/>
      <c r="C38" s="224" t="n"/>
      <c r="D38" s="224">
        <f>'BE1'!D38+'BE2'!D38+'BE3'!D38+'BE4'!D38</f>
        <v/>
      </c>
      <c r="E38" s="347" t="n"/>
      <c r="F38" s="224" t="n"/>
      <c r="G38" s="224" t="n"/>
      <c r="H38" s="8" t="n"/>
      <c r="I38" s="348">
        <f>SUM(I9:I16,I20:I30)</f>
        <v/>
      </c>
      <c r="J38" s="347" t="n"/>
      <c r="K38" s="224" t="n"/>
      <c r="L38" s="224">
        <f>SUM(L9:L16,L20:L30)</f>
        <v/>
      </c>
      <c r="M38" s="8" t="n"/>
      <c r="N38" s="224">
        <f>SUM(N9:N16,N20:N30)</f>
        <v/>
      </c>
    </row>
    <row r="39" ht="14.45" customHeight="1">
      <c r="A39" s="41" t="inlineStr">
        <is>
          <t>TOTAL DIRECT COSTS  (A+B+C+D)</t>
        </is>
      </c>
      <c r="B39" s="347" t="n"/>
      <c r="C39" s="224" t="n"/>
      <c r="D39" s="224">
        <f>'BE1'!D39+'BE2'!D39+'BE3'!D39+'BE4'!D39</f>
        <v/>
      </c>
      <c r="E39" s="347" t="n"/>
      <c r="F39" s="224" t="n"/>
      <c r="G39" s="224" t="n"/>
      <c r="H39" s="8" t="n"/>
      <c r="I39" s="348">
        <f>SUM(I9:I36)</f>
        <v/>
      </c>
      <c r="J39" s="347" t="n"/>
      <c r="K39" s="224" t="n"/>
      <c r="L39" s="224">
        <f>SUM(L9:L36)</f>
        <v/>
      </c>
      <c r="M39" s="8" t="n"/>
      <c r="N39" s="224">
        <f>SUM(N9:N36)</f>
        <v/>
      </c>
    </row>
    <row r="40" ht="6.95" customHeight="1">
      <c r="A40" s="8" t="n"/>
      <c r="B40" s="349" t="n"/>
      <c r="C40" s="134" t="n"/>
      <c r="D40" s="134" t="n"/>
      <c r="E40" s="349" t="n"/>
      <c r="F40" s="134" t="n"/>
      <c r="G40" s="134" t="n"/>
      <c r="H40" s="8" t="n"/>
      <c r="I40" s="8" t="n"/>
      <c r="J40" s="349" t="n"/>
      <c r="K40" s="134" t="n"/>
      <c r="L40" s="134" t="n"/>
      <c r="M40" s="8" t="n"/>
      <c r="N40" s="134" t="n"/>
    </row>
    <row r="41" ht="14.45" customHeight="1">
      <c r="A41" s="11" t="inlineStr">
        <is>
          <t>E. INDIRECT COSTS (25% * (A+C))</t>
        </is>
      </c>
      <c r="B41" s="347" t="n"/>
      <c r="C41" s="224" t="n"/>
      <c r="D41" s="224">
        <f>'BE1'!D41+'BE2'!D41+'BE3'!D41+'BE4'!D41</f>
        <v/>
      </c>
      <c r="E41" s="347" t="n"/>
      <c r="F41" s="224" t="n"/>
      <c r="G41" s="224" t="n"/>
      <c r="H41" s="8" t="n"/>
      <c r="I41" s="348">
        <f>+I38*0.25</f>
        <v/>
      </c>
      <c r="J41" s="347" t="n"/>
      <c r="K41" s="224" t="n"/>
      <c r="L41" s="224">
        <f>+L38*0.25</f>
        <v/>
      </c>
      <c r="M41" s="8" t="n"/>
      <c r="N41" s="224">
        <f>+N38*0.25</f>
        <v/>
      </c>
    </row>
    <row r="42" ht="6.95" customHeight="1">
      <c r="A42" s="8" t="n"/>
      <c r="B42" s="349" t="n"/>
      <c r="C42" s="134" t="n"/>
      <c r="D42" s="134" t="n"/>
      <c r="E42" s="349" t="n"/>
      <c r="F42" s="134" t="n"/>
      <c r="G42" s="134" t="n"/>
      <c r="H42" s="8" t="n"/>
      <c r="I42" s="8" t="n"/>
      <c r="J42" s="349" t="n"/>
      <c r="K42" s="134" t="n"/>
      <c r="L42" s="134" t="n"/>
      <c r="M42" s="8" t="n"/>
      <c r="N42" s="134" t="n"/>
    </row>
    <row r="43" ht="14.45" customHeight="1">
      <c r="A43" s="11" t="inlineStr">
        <is>
          <t>F. TOTAL COSTS (A+B+C+D+E)</t>
        </is>
      </c>
      <c r="B43" s="347" t="n"/>
      <c r="C43" s="224" t="n"/>
      <c r="D43" s="224">
        <f>'BE1'!D43+'BE2'!D43+'BE3'!D43+'BE4'!D43</f>
        <v/>
      </c>
      <c r="E43" s="347" t="n"/>
      <c r="F43" s="224" t="n"/>
      <c r="G43" s="224" t="n"/>
      <c r="H43" s="8" t="n"/>
      <c r="I43" s="348">
        <f>I39+I41</f>
        <v/>
      </c>
      <c r="J43" s="347" t="n"/>
      <c r="K43" s="224" t="n"/>
      <c r="L43" s="224">
        <f>L39+L41</f>
        <v/>
      </c>
      <c r="M43" s="8" t="n"/>
      <c r="N43" s="224">
        <f>N39+N41</f>
        <v/>
      </c>
    </row>
    <row r="44" ht="6.95" customHeight="1">
      <c r="A44" s="8" t="n"/>
      <c r="B44" s="8" t="n"/>
      <c r="C44" s="8" t="n"/>
      <c r="D44" s="8" t="n"/>
      <c r="E44" s="8" t="n"/>
      <c r="F44" s="8" t="n"/>
      <c r="G44" s="8" t="n"/>
      <c r="H44" s="8" t="n"/>
      <c r="I44" s="8" t="n"/>
      <c r="J44" s="8" t="n"/>
      <c r="K44" s="8" t="n"/>
      <c r="L44" s="8" t="n"/>
      <c r="M44" s="8" t="n"/>
      <c r="N44" s="8" t="n"/>
    </row>
    <row r="45" ht="14.45" customHeight="1">
      <c r="A45" s="209" t="n"/>
      <c r="B45" s="207" t="n"/>
      <c r="C45" s="209" t="n"/>
      <c r="D45" s="208" t="n"/>
      <c r="E45" s="207" t="n"/>
      <c r="F45" s="209" t="n"/>
      <c r="G45" s="208" t="n"/>
      <c r="H45" s="208" t="n"/>
      <c r="I45" s="208" t="n"/>
      <c r="J45" s="208" t="n"/>
      <c r="K45" s="208" t="n"/>
      <c r="L45" s="208" t="n"/>
      <c r="M45" s="209" t="n"/>
      <c r="N45" s="210" t="n"/>
    </row>
    <row r="46" ht="21" customHeight="1">
      <c r="A46" s="301" t="inlineStr">
        <is>
          <t>COSTS WORK PACKAGE 2: Site Characterisation and Demonstrator Engineering</t>
        </is>
      </c>
      <c r="B46" s="337" t="n"/>
      <c r="C46" s="337" t="n"/>
      <c r="D46" s="337" t="n"/>
      <c r="E46" s="337" t="n"/>
      <c r="F46" s="337" t="n"/>
      <c r="G46" s="337" t="n"/>
      <c r="H46" s="337" t="n"/>
      <c r="I46" s="337" t="n"/>
      <c r="J46" s="337" t="n"/>
      <c r="K46" s="337" t="n"/>
      <c r="L46" s="337" t="n"/>
      <c r="M46" s="337" t="n"/>
      <c r="N46" s="338" t="n"/>
    </row>
    <row r="47" ht="6.95" customHeight="1">
      <c r="A47" s="8" t="n"/>
      <c r="B47" s="8" t="n"/>
      <c r="C47" s="8" t="n"/>
      <c r="D47" s="8" t="n"/>
      <c r="E47" s="8" t="n"/>
      <c r="F47" s="8" t="n"/>
      <c r="G47" s="8" t="n"/>
      <c r="H47" s="8" t="n"/>
      <c r="I47" s="8" t="n"/>
      <c r="J47" s="8" t="n"/>
      <c r="K47" s="8" t="n"/>
      <c r="L47" s="8" t="n"/>
      <c r="M47" s="8" t="n"/>
      <c r="N47" s="8" t="n"/>
    </row>
    <row r="48" ht="14.45" customHeight="1">
      <c r="A48" s="11" t="inlineStr">
        <is>
          <t>A. DIRECT PERSONNEL COSTS</t>
        </is>
      </c>
      <c r="B48" s="4" t="n"/>
      <c r="C48" s="339" t="n"/>
      <c r="D48" s="340" t="n"/>
      <c r="E48" s="4" t="n"/>
      <c r="F48" s="339" t="n"/>
      <c r="G48" s="340" t="n"/>
      <c r="H48" s="8" t="n"/>
      <c r="I48" s="340" t="n"/>
      <c r="J48" s="340" t="n"/>
      <c r="K48" s="340" t="n"/>
      <c r="L48" s="340" t="n"/>
      <c r="M48" s="8" t="n"/>
      <c r="N48" s="340" t="n"/>
    </row>
    <row r="49" ht="14.45" customHeight="1">
      <c r="A49" s="7" t="inlineStr">
        <is>
          <t>A.1 Employees (or equivalent)</t>
        </is>
      </c>
      <c r="B49" s="89" t="n"/>
      <c r="C49" s="89" t="n"/>
      <c r="D49" s="89" t="n"/>
      <c r="E49" s="89" t="n"/>
      <c r="F49" s="89" t="n"/>
      <c r="G49" s="89" t="n"/>
      <c r="H49" s="8" t="n"/>
      <c r="I49" s="89" t="n"/>
      <c r="J49" s="89" t="n"/>
      <c r="K49" s="89" t="n"/>
      <c r="L49" s="89" t="n"/>
      <c r="M49" s="8" t="n"/>
      <c r="N49" s="89" t="n"/>
    </row>
    <row r="50" ht="14.45" customHeight="1">
      <c r="A50" s="36" t="inlineStr">
        <is>
          <t>SENIOR SCIENTISTS (or equivalent in the private sector)</t>
        </is>
      </c>
      <c r="B50" s="341">
        <f>'BE1'!B50+'BE2'!B50+'BE3'!B50+'BE4'!B50</f>
        <v/>
      </c>
      <c r="C50" s="228" t="n"/>
      <c r="D50" s="229">
        <f>'BE1'!D50+'BE2'!D50+'BE3'!D50+'BE4'!D50</f>
        <v/>
      </c>
      <c r="E50" s="342" t="n"/>
      <c r="F50" s="226" t="n"/>
      <c r="G50" s="225" t="n"/>
      <c r="H50" s="8" t="n"/>
      <c r="I50" s="343">
        <f>D50+G50</f>
        <v/>
      </c>
      <c r="J50" s="342">
        <f>E50+B50</f>
        <v/>
      </c>
      <c r="K50" s="225">
        <f>IF(J50&gt;0,L50/J50," ")</f>
        <v/>
      </c>
      <c r="L50" s="225">
        <f>G50+D50</f>
        <v/>
      </c>
      <c r="M50" s="8" t="n"/>
      <c r="N50" s="222">
        <f>D50+G50</f>
        <v/>
      </c>
    </row>
    <row r="51" ht="14.45" customHeight="1">
      <c r="A51" s="36" t="inlineStr">
        <is>
          <t>JUNIOR SCIENTISTS (or equivalent in the private sector)</t>
        </is>
      </c>
      <c r="B51" s="341">
        <f>'BE1'!B51+'BE2'!B51+'BE3'!B51+'BE4'!B51</f>
        <v/>
      </c>
      <c r="C51" s="228" t="n"/>
      <c r="D51" s="229">
        <f>'BE1'!D51+'BE2'!D51+'BE3'!D51+'BE4'!D51</f>
        <v/>
      </c>
      <c r="E51" s="342" t="n"/>
      <c r="F51" s="226" t="n"/>
      <c r="G51" s="225" t="n"/>
      <c r="H51" s="8" t="n"/>
      <c r="I51" s="343">
        <f>D51+G51</f>
        <v/>
      </c>
      <c r="J51" s="342">
        <f>E51+B51</f>
        <v/>
      </c>
      <c r="K51" s="225">
        <f>IF(J51&gt;0,L51/J51," ")</f>
        <v/>
      </c>
      <c r="L51" s="225">
        <f>G51+D51</f>
        <v/>
      </c>
      <c r="M51" s="8" t="n"/>
      <c r="N51" s="222">
        <f>D51+G51</f>
        <v/>
      </c>
    </row>
    <row r="52" ht="14.45" customHeight="1">
      <c r="A52" s="36" t="inlineStr">
        <is>
          <t>TECHNICAL PERSONNEL (or equivalent in the private sector)</t>
        </is>
      </c>
      <c r="B52" s="341">
        <f>'BE1'!B52+'BE2'!B52+'BE3'!B52+'BE4'!B52</f>
        <v/>
      </c>
      <c r="C52" s="228" t="n"/>
      <c r="D52" s="229">
        <f>'BE1'!D52+'BE2'!D52+'BE3'!D52+'BE4'!D52</f>
        <v/>
      </c>
      <c r="E52" s="342" t="n"/>
      <c r="F52" s="226" t="n"/>
      <c r="G52" s="225" t="n"/>
      <c r="H52" s="8" t="n"/>
      <c r="I52" s="343">
        <f>D52+G52</f>
        <v/>
      </c>
      <c r="J52" s="342">
        <f>E52+B52</f>
        <v/>
      </c>
      <c r="K52" s="225">
        <f>IF(J52&gt;0,L52/J52," ")</f>
        <v/>
      </c>
      <c r="L52" s="225">
        <f>G52+D52</f>
        <v/>
      </c>
      <c r="M52" s="8" t="n"/>
      <c r="N52" s="222">
        <f>D52+G52</f>
        <v/>
      </c>
    </row>
    <row r="53" ht="14.45" customHeight="1">
      <c r="A53" s="36" t="inlineStr">
        <is>
          <t>ADMINISTRATIVE PERSONNEL (or equivalent in the private sector)</t>
        </is>
      </c>
      <c r="B53" s="341">
        <f>'BE1'!B53+'BE2'!B53+'BE3'!B53+'BE4'!B53</f>
        <v/>
      </c>
      <c r="C53" s="228" t="n"/>
      <c r="D53" s="229">
        <f>'BE1'!D53+'BE2'!D53+'BE3'!D53+'BE4'!D53</f>
        <v/>
      </c>
      <c r="E53" s="342" t="n"/>
      <c r="F53" s="226" t="n"/>
      <c r="G53" s="225" t="n"/>
      <c r="H53" s="8" t="n"/>
      <c r="I53" s="343">
        <f>D53+G53</f>
        <v/>
      </c>
      <c r="J53" s="342">
        <f>E53+B53</f>
        <v/>
      </c>
      <c r="K53" s="225">
        <f>IF(J53&gt;0,L53/J53," ")</f>
        <v/>
      </c>
      <c r="L53" s="225">
        <f>G53+D53</f>
        <v/>
      </c>
      <c r="M53" s="8" t="n"/>
      <c r="N53" s="222">
        <f>D53+G53</f>
        <v/>
      </c>
    </row>
    <row r="54" ht="14.45" customHeight="1">
      <c r="A54" s="36" t="inlineStr">
        <is>
          <t>OTHERS</t>
        </is>
      </c>
      <c r="B54" s="341">
        <f>'BE1'!B54+'BE2'!B54+'BE3'!B54+'BE4'!B54</f>
        <v/>
      </c>
      <c r="C54" s="228" t="n"/>
      <c r="D54" s="229">
        <f>'BE1'!D54+'BE2'!D54+'BE3'!D54+'BE4'!D54</f>
        <v/>
      </c>
      <c r="E54" s="342" t="n"/>
      <c r="F54" s="226" t="n"/>
      <c r="G54" s="225" t="n"/>
      <c r="H54" s="8" t="n"/>
      <c r="I54" s="343">
        <f>D54+G54</f>
        <v/>
      </c>
      <c r="J54" s="342">
        <f>E54+B54</f>
        <v/>
      </c>
      <c r="K54" s="225">
        <f>IF(J54&gt;0,L54/J54," ")</f>
        <v/>
      </c>
      <c r="L54" s="225">
        <f>G54+D54</f>
        <v/>
      </c>
      <c r="M54" s="8" t="n"/>
      <c r="N54" s="222">
        <f>D54+G54</f>
        <v/>
      </c>
    </row>
    <row r="55" ht="14.45" customHeight="1">
      <c r="A55" s="7" t="inlineStr">
        <is>
          <t>A.2 Natural Persons under direct contract</t>
        </is>
      </c>
      <c r="B55" s="341">
        <f>'BE1'!B55+'BE2'!B55+'BE3'!B55+'BE4'!B55</f>
        <v/>
      </c>
      <c r="C55" s="228" t="n"/>
      <c r="D55" s="229">
        <f>'BE1'!D55+'BE2'!D55+'BE3'!D55+'BE4'!D55</f>
        <v/>
      </c>
      <c r="E55" s="342" t="n"/>
      <c r="F55" s="226" t="n"/>
      <c r="G55" s="225" t="n"/>
      <c r="H55" s="8" t="n"/>
      <c r="I55" s="343">
        <f>D55+G55</f>
        <v/>
      </c>
      <c r="J55" s="342">
        <f>E55+B55</f>
        <v/>
      </c>
      <c r="K55" s="225">
        <f>IF(J55&gt;0,L55/J55," ")</f>
        <v/>
      </c>
      <c r="L55" s="225">
        <f>G55+D55</f>
        <v/>
      </c>
      <c r="M55" s="8" t="n"/>
      <c r="N55" s="222">
        <f>D55+G55</f>
        <v/>
      </c>
    </row>
    <row r="56" ht="14.45" customHeight="1">
      <c r="A56" s="7" t="inlineStr">
        <is>
          <t>A.3 Seconded Persons</t>
        </is>
      </c>
      <c r="B56" s="341">
        <f>'BE1'!B56+'BE2'!B56+'BE3'!B56+'BE4'!B56</f>
        <v/>
      </c>
      <c r="C56" s="228" t="n"/>
      <c r="D56" s="229">
        <f>'BE1'!D56+'BE2'!D56+'BE3'!D56+'BE4'!D56</f>
        <v/>
      </c>
      <c r="E56" s="342" t="n"/>
      <c r="F56" s="226" t="n"/>
      <c r="G56" s="225" t="n"/>
      <c r="H56" s="8" t="n"/>
      <c r="I56" s="343">
        <f>D56+G56</f>
        <v/>
      </c>
      <c r="J56" s="342">
        <f>E56+B56</f>
        <v/>
      </c>
      <c r="K56" s="225">
        <f>IF(J56&gt;0,L56/J56," ")</f>
        <v/>
      </c>
      <c r="L56" s="225">
        <f>G56+D56</f>
        <v/>
      </c>
      <c r="M56" s="8" t="n"/>
      <c r="N56" s="222">
        <f>D56+G56</f>
        <v/>
      </c>
    </row>
    <row r="57" ht="14.45" customHeight="1">
      <c r="A57" s="7" t="inlineStr">
        <is>
          <t>A.4 SME owners and natural person beneficiaries</t>
        </is>
      </c>
      <c r="B57" s="341">
        <f>'BE1'!B57+'BE2'!B57+'BE3'!B57+'BE4'!B57</f>
        <v/>
      </c>
      <c r="C57" s="228" t="n"/>
      <c r="D57" s="229">
        <f>'BE1'!D57+'BE2'!D57+'BE3'!D57+'BE4'!D57</f>
        <v/>
      </c>
      <c r="E57" s="342" t="n"/>
      <c r="F57" s="226" t="n"/>
      <c r="G57" s="225" t="n"/>
      <c r="H57" s="8" t="n"/>
      <c r="I57" s="343">
        <f>D57+G57</f>
        <v/>
      </c>
      <c r="J57" s="342">
        <f>E57+B57</f>
        <v/>
      </c>
      <c r="K57" s="225">
        <f>IF(J57&gt;0,L57/J57," ")</f>
        <v/>
      </c>
      <c r="L57" s="225">
        <f>G57+D57</f>
        <v/>
      </c>
      <c r="M57" s="8" t="n"/>
      <c r="N57" s="222">
        <f>D57+G57</f>
        <v/>
      </c>
    </row>
    <row r="58" ht="14.45" customHeight="1">
      <c r="A58" s="11" t="inlineStr">
        <is>
          <t>B. DIRECT SUBCONTRACTING COSTS</t>
        </is>
      </c>
      <c r="B58" s="344" t="n"/>
      <c r="C58" s="227" t="n"/>
      <c r="D58" s="223" t="n"/>
      <c r="E58" s="344" t="n"/>
      <c r="F58" s="227" t="n"/>
      <c r="G58" s="223" t="n"/>
      <c r="H58" s="8" t="n"/>
      <c r="I58" s="340" t="n"/>
      <c r="J58" s="345" t="n"/>
      <c r="K58" s="223" t="n"/>
      <c r="L58" s="223" t="n"/>
      <c r="M58" s="8" t="n"/>
      <c r="N58" s="223" t="n"/>
    </row>
    <row r="59" ht="14.45" customHeight="1">
      <c r="A59" s="9" t="n"/>
      <c r="B59" s="341">
        <f>'BE1'!B59+'BE2'!B59+'BE3'!B59+'BE4'!B59</f>
        <v/>
      </c>
      <c r="C59" s="228" t="n"/>
      <c r="D59" s="229">
        <f>'BE1'!D59+'BE2'!D59+'BE3'!D59+'BE4'!D59</f>
        <v/>
      </c>
      <c r="E59" s="342" t="n"/>
      <c r="F59" s="226" t="n"/>
      <c r="G59" s="225" t="n"/>
      <c r="H59" s="8" t="n"/>
      <c r="I59" s="343">
        <f>D59+G59</f>
        <v/>
      </c>
      <c r="J59" s="342">
        <f>E59+B59</f>
        <v/>
      </c>
      <c r="K59" s="225">
        <f>IF(J59&gt;0,L59/J59," ")</f>
        <v/>
      </c>
      <c r="L59" s="225">
        <f>G59+D59</f>
        <v/>
      </c>
      <c r="M59" s="8" t="n"/>
      <c r="N59" s="222">
        <f>D59+G59</f>
        <v/>
      </c>
    </row>
    <row r="60" ht="14.45" customHeight="1">
      <c r="A60" s="11" t="inlineStr">
        <is>
          <t>C. DIRECT PURCHASE COSTS</t>
        </is>
      </c>
      <c r="B60" s="344" t="n"/>
      <c r="C60" s="227" t="n"/>
      <c r="D60" s="223" t="n"/>
      <c r="E60" s="344" t="n"/>
      <c r="F60" s="227" t="n"/>
      <c r="G60" s="223" t="n"/>
      <c r="H60" s="8" t="n"/>
      <c r="I60" s="340" t="n"/>
      <c r="J60" s="345" t="n"/>
      <c r="K60" s="223" t="n"/>
      <c r="L60" s="223" t="n"/>
      <c r="M60" s="8" t="n"/>
      <c r="N60" s="223" t="n"/>
    </row>
    <row r="61" ht="14.45" customHeight="1">
      <c r="A61" s="39" t="inlineStr">
        <is>
          <t>C.1 Travel and subsistence</t>
        </is>
      </c>
      <c r="B61" s="341">
        <f>'BE1'!B61+'BE2'!B61+'BE3'!B61+'BE4'!B61</f>
        <v/>
      </c>
      <c r="C61" s="228" t="n"/>
      <c r="D61" s="229">
        <f>'BE1'!D61+'BE2'!D61+'BE3'!D61+'BE4'!D61</f>
        <v/>
      </c>
      <c r="E61" s="342" t="n"/>
      <c r="F61" s="226" t="n"/>
      <c r="G61" s="225" t="n"/>
      <c r="H61" s="8" t="n"/>
      <c r="I61" s="343">
        <f>D61+G61</f>
        <v/>
      </c>
      <c r="J61" s="342">
        <f>E61+B61</f>
        <v/>
      </c>
      <c r="K61" s="225">
        <f>IF(J61&gt;0,L61/J61," ")</f>
        <v/>
      </c>
      <c r="L61" s="225">
        <f>G61+D61</f>
        <v/>
      </c>
      <c r="M61" s="8" t="n"/>
      <c r="N61" s="222">
        <f>D61+G61</f>
        <v/>
      </c>
    </row>
    <row r="62" ht="14.45" customHeight="1">
      <c r="A62" s="7" t="inlineStr">
        <is>
          <t>C.2 Equipment (complete 'Depreciation cost' sheet)</t>
        </is>
      </c>
      <c r="B62" s="346" t="n"/>
      <c r="C62" s="160" t="n"/>
      <c r="D62" s="160" t="n"/>
      <c r="E62" s="346" t="n"/>
      <c r="F62" s="160" t="n"/>
      <c r="G62" s="160" t="n"/>
      <c r="H62" s="8" t="n"/>
      <c r="I62" s="89" t="n"/>
      <c r="J62" s="346" t="n"/>
      <c r="K62" s="160" t="n"/>
      <c r="L62" s="160" t="n"/>
      <c r="M62" s="8" t="n"/>
      <c r="N62" s="160" t="n"/>
    </row>
    <row r="63" ht="14.45" customHeight="1">
      <c r="A63" s="37" t="inlineStr">
        <is>
          <t>Equipment</t>
        </is>
      </c>
      <c r="B63" s="341">
        <f>'BE1'!B63+'BE2'!B63+'BE3'!B63+'BE4'!B63</f>
        <v/>
      </c>
      <c r="C63" s="228" t="n"/>
      <c r="D63" s="229">
        <f>'BE1'!D63+'BE2'!D63+'BE3'!D63+'BE4'!D63</f>
        <v/>
      </c>
      <c r="E63" s="342" t="n"/>
      <c r="F63" s="226" t="n"/>
      <c r="G63" s="225" t="n"/>
      <c r="H63" s="8" t="n"/>
      <c r="I63" s="343">
        <f>D63+G63</f>
        <v/>
      </c>
      <c r="J63" s="342">
        <f>E63+B63</f>
        <v/>
      </c>
      <c r="K63" s="225">
        <f>IF(J63&gt;0,L63/J63," ")</f>
        <v/>
      </c>
      <c r="L63" s="225">
        <f>G63+D63</f>
        <v/>
      </c>
      <c r="M63" s="8" t="n"/>
      <c r="N63" s="222">
        <f>D63+G63</f>
        <v/>
      </c>
    </row>
    <row r="64" ht="14.45" customHeight="1">
      <c r="A64" s="37" t="inlineStr">
        <is>
          <t>Infrastructure</t>
        </is>
      </c>
      <c r="B64" s="341">
        <f>'BE1'!B64+'BE2'!B64+'BE3'!B64+'BE4'!B64</f>
        <v/>
      </c>
      <c r="C64" s="228" t="n"/>
      <c r="D64" s="229">
        <f>'BE1'!D64+'BE2'!D64+'BE3'!D64+'BE4'!D64</f>
        <v/>
      </c>
      <c r="E64" s="342" t="n"/>
      <c r="F64" s="226" t="n"/>
      <c r="G64" s="225" t="n"/>
      <c r="H64" s="8" t="n"/>
      <c r="I64" s="343">
        <f>D64+G64</f>
        <v/>
      </c>
      <c r="J64" s="342">
        <f>E64+B64</f>
        <v/>
      </c>
      <c r="K64" s="225">
        <f>IF(J64&gt;0,L64/J64," ")</f>
        <v/>
      </c>
      <c r="L64" s="225">
        <f>G64+D64</f>
        <v/>
      </c>
      <c r="M64" s="8" t="n"/>
      <c r="N64" s="222">
        <f>D64+G64</f>
        <v/>
      </c>
    </row>
    <row r="65" ht="14.45" customHeight="1">
      <c r="A65" s="37" t="inlineStr">
        <is>
          <t>Other assets</t>
        </is>
      </c>
      <c r="B65" s="341">
        <f>'BE1'!B65+'BE2'!B65+'BE3'!B65+'BE4'!B65</f>
        <v/>
      </c>
      <c r="C65" s="228" t="n"/>
      <c r="D65" s="229">
        <f>'BE1'!D65+'BE2'!D65+'BE3'!D65+'BE4'!D65</f>
        <v/>
      </c>
      <c r="E65" s="342" t="n"/>
      <c r="F65" s="226" t="n"/>
      <c r="G65" s="225" t="n"/>
      <c r="H65" s="8" t="n"/>
      <c r="I65" s="343">
        <f>D65+G65</f>
        <v/>
      </c>
      <c r="J65" s="342">
        <f>E65+B65</f>
        <v/>
      </c>
      <c r="K65" s="225">
        <f>IF(J65&gt;0,L65/J65," ")</f>
        <v/>
      </c>
      <c r="L65" s="225">
        <f>G65+D65</f>
        <v/>
      </c>
      <c r="M65" s="8" t="n"/>
      <c r="N65" s="222">
        <f>D65+G65</f>
        <v/>
      </c>
    </row>
    <row r="66" ht="14.45" customHeight="1">
      <c r="A66" s="7" t="inlineStr">
        <is>
          <t>C.3 Other goods, works and services</t>
        </is>
      </c>
      <c r="B66" s="346" t="n"/>
      <c r="C66" s="160" t="n"/>
      <c r="D66" s="160" t="n"/>
      <c r="E66" s="346" t="n"/>
      <c r="F66" s="160" t="n"/>
      <c r="G66" s="160" t="n"/>
      <c r="H66" s="8" t="n"/>
      <c r="I66" s="89" t="n"/>
      <c r="J66" s="346" t="n"/>
      <c r="K66" s="160" t="n"/>
      <c r="L66" s="160" t="n"/>
      <c r="M66" s="8" t="n"/>
      <c r="N66" s="160" t="n"/>
    </row>
    <row r="67" ht="14.45" customHeight="1">
      <c r="A67" s="37" t="inlineStr">
        <is>
          <t>Consumables</t>
        </is>
      </c>
      <c r="B67" s="341">
        <f>'BE1'!B67+'BE2'!B67+'BE3'!B67+'BE4'!B67</f>
        <v/>
      </c>
      <c r="C67" s="228" t="n"/>
      <c r="D67" s="229">
        <f>'BE1'!D67+'BE2'!D67+'BE3'!D67+'BE4'!D67</f>
        <v/>
      </c>
      <c r="E67" s="342" t="n"/>
      <c r="F67" s="226" t="n"/>
      <c r="G67" s="225" t="n"/>
      <c r="H67" s="8" t="n"/>
      <c r="I67" s="343">
        <f>D67+G67</f>
        <v/>
      </c>
      <c r="J67" s="342">
        <f>E67+B67</f>
        <v/>
      </c>
      <c r="K67" s="225">
        <f>IF(J67&gt;0,L67/J67," ")</f>
        <v/>
      </c>
      <c r="L67" s="225">
        <f>G67+D67</f>
        <v/>
      </c>
      <c r="M67" s="8" t="n"/>
      <c r="N67" s="222">
        <f>D67+G67</f>
        <v/>
      </c>
    </row>
    <row r="68" ht="14.45" customHeight="1">
      <c r="A68" s="37" t="inlineStr">
        <is>
          <t>Services for meetings, seminars</t>
        </is>
      </c>
      <c r="B68" s="341">
        <f>'BE1'!B68+'BE2'!B68+'BE3'!B68+'BE4'!B68</f>
        <v/>
      </c>
      <c r="C68" s="228" t="n"/>
      <c r="D68" s="229">
        <f>'BE1'!D68+'BE2'!D68+'BE3'!D68+'BE4'!D68</f>
        <v/>
      </c>
      <c r="E68" s="342" t="n"/>
      <c r="F68" s="226" t="n"/>
      <c r="G68" s="225" t="n"/>
      <c r="H68" s="8" t="n"/>
      <c r="I68" s="343">
        <f>D68+G68</f>
        <v/>
      </c>
      <c r="J68" s="342">
        <f>E68+B68</f>
        <v/>
      </c>
      <c r="K68" s="225">
        <f>IF(J68&gt;0,L68/J68," ")</f>
        <v/>
      </c>
      <c r="L68" s="225">
        <f>G68+D68</f>
        <v/>
      </c>
      <c r="M68" s="8" t="n"/>
      <c r="N68" s="222">
        <f>D68+G68</f>
        <v/>
      </c>
    </row>
    <row r="69" ht="14.45" customHeight="1">
      <c r="A69" s="37" t="inlineStr">
        <is>
          <t>Services for dissemination activities (including website)</t>
        </is>
      </c>
      <c r="B69" s="341">
        <f>'BE1'!B69+'BE2'!B69+'BE3'!B69+'BE4'!B69</f>
        <v/>
      </c>
      <c r="C69" s="228" t="n"/>
      <c r="D69" s="229">
        <f>'BE1'!D69+'BE2'!D69+'BE3'!D69+'BE4'!D69</f>
        <v/>
      </c>
      <c r="E69" s="342" t="n"/>
      <c r="F69" s="226" t="n"/>
      <c r="G69" s="225" t="n"/>
      <c r="H69" s="8" t="n"/>
      <c r="I69" s="343">
        <f>D69+G69</f>
        <v/>
      </c>
      <c r="J69" s="342">
        <f>E69+B69</f>
        <v/>
      </c>
      <c r="K69" s="225">
        <f>IF(J69&gt;0,L69/J69," ")</f>
        <v/>
      </c>
      <c r="L69" s="225">
        <f>G69+D69</f>
        <v/>
      </c>
      <c r="M69" s="8" t="n"/>
      <c r="N69" s="222">
        <f>D69+G69</f>
        <v/>
      </c>
    </row>
    <row r="70" ht="14.45" customHeight="1">
      <c r="A70" s="37" t="inlineStr">
        <is>
          <t>Publication fees</t>
        </is>
      </c>
      <c r="B70" s="341">
        <f>'BE1'!B70+'BE2'!B70+'BE3'!B70+'BE4'!B70</f>
        <v/>
      </c>
      <c r="C70" s="228" t="n"/>
      <c r="D70" s="229">
        <f>'BE1'!D70+'BE2'!D70+'BE3'!D70+'BE4'!D70</f>
        <v/>
      </c>
      <c r="E70" s="342" t="n"/>
      <c r="F70" s="226" t="n"/>
      <c r="G70" s="225" t="n"/>
      <c r="H70" s="8" t="n"/>
      <c r="I70" s="343">
        <f>D70+G70</f>
        <v/>
      </c>
      <c r="J70" s="342">
        <f>E70+B70</f>
        <v/>
      </c>
      <c r="K70" s="225">
        <f>IF(J70&gt;0,L70/J70," ")</f>
        <v/>
      </c>
      <c r="L70" s="225">
        <f>G70+D70</f>
        <v/>
      </c>
      <c r="M70" s="8" t="n"/>
      <c r="N70" s="222">
        <f>D70+G70</f>
        <v/>
      </c>
    </row>
    <row r="71" ht="14.45" customHeight="1">
      <c r="A71" s="37" t="inlineStr">
        <is>
          <t>Other (shipment,insurance, translation, etc.)</t>
        </is>
      </c>
      <c r="B71" s="341">
        <f>'BE1'!B71+'BE2'!B71+'BE3'!B71+'BE4'!B71</f>
        <v/>
      </c>
      <c r="C71" s="228" t="n"/>
      <c r="D71" s="229">
        <f>'BE1'!D71+'BE2'!D71+'BE3'!D71+'BE4'!D71</f>
        <v/>
      </c>
      <c r="E71" s="342" t="n"/>
      <c r="F71" s="226" t="n"/>
      <c r="G71" s="225" t="n"/>
      <c r="H71" s="8" t="n"/>
      <c r="I71" s="343">
        <f>D71+G71</f>
        <v/>
      </c>
      <c r="J71" s="342">
        <f>E71+B71</f>
        <v/>
      </c>
      <c r="K71" s="225">
        <f>IF(J71&gt;0,L71/J71," ")</f>
        <v/>
      </c>
      <c r="L71" s="225">
        <f>G71+D71</f>
        <v/>
      </c>
      <c r="M71" s="8" t="n"/>
      <c r="N71" s="222">
        <f>D71+G71</f>
        <v/>
      </c>
    </row>
    <row r="72" ht="14.45" customHeight="1">
      <c r="A72" s="6" t="inlineStr">
        <is>
          <t>D. OTHER COST CATEGORIES</t>
        </is>
      </c>
      <c r="B72" s="344" t="n"/>
      <c r="C72" s="227" t="n"/>
      <c r="D72" s="223" t="n"/>
      <c r="E72" s="344" t="n"/>
      <c r="F72" s="227" t="n"/>
      <c r="G72" s="223" t="n"/>
      <c r="H72" s="8" t="n"/>
      <c r="I72" s="340" t="n"/>
      <c r="J72" s="345" t="n"/>
      <c r="K72" s="223" t="n"/>
      <c r="L72" s="223" t="n"/>
      <c r="M72" s="8" t="n"/>
      <c r="N72" s="223" t="n"/>
    </row>
    <row r="73" ht="14.45" customHeight="1">
      <c r="A73" s="40" t="inlineStr">
        <is>
          <t>D.1 Financial support to third parties (if applicable in the topic specific conditions)</t>
        </is>
      </c>
      <c r="B73" s="341">
        <f>'BE1'!B73+'BE2'!B73+'BE3'!B73+'BE4'!B73</f>
        <v/>
      </c>
      <c r="C73" s="228" t="n"/>
      <c r="D73" s="229">
        <f>'BE1'!D73+'BE2'!D73+'BE3'!D73+'BE4'!D73</f>
        <v/>
      </c>
      <c r="E73" s="342" t="n"/>
      <c r="F73" s="226" t="n"/>
      <c r="G73" s="225" t="n"/>
      <c r="H73" s="8" t="n"/>
      <c r="I73" s="343">
        <f>D73+G73</f>
        <v/>
      </c>
      <c r="J73" s="342">
        <f>E73+B73</f>
        <v/>
      </c>
      <c r="K73" s="225">
        <f>IF(J73&gt;0,L73/J73," ")</f>
        <v/>
      </c>
      <c r="L73" s="225">
        <f>G73+D73</f>
        <v/>
      </c>
      <c r="M73" s="8" t="n"/>
      <c r="N73" s="222">
        <f>D73+G73</f>
        <v/>
      </c>
    </row>
    <row r="74" ht="14.45" customHeight="1">
      <c r="A74" s="39" t="inlineStr">
        <is>
          <t>D.2 Internally invoiced goods and services</t>
        </is>
      </c>
      <c r="B74" s="341">
        <f>'BE1'!B74+'BE2'!B74+'BE3'!B74+'BE4'!B74</f>
        <v/>
      </c>
      <c r="C74" s="228" t="n"/>
      <c r="D74" s="229">
        <f>'BE1'!D74+'BE2'!D74+'BE3'!D74+'BE4'!D74</f>
        <v/>
      </c>
      <c r="E74" s="342" t="n"/>
      <c r="F74" s="226" t="n"/>
      <c r="G74" s="225" t="n"/>
      <c r="H74" s="8" t="n"/>
      <c r="I74" s="343">
        <f>D74+G74</f>
        <v/>
      </c>
      <c r="J74" s="342">
        <f>E74+B74</f>
        <v/>
      </c>
      <c r="K74" s="225">
        <f>IF(J74&gt;0,L74/J74," ")</f>
        <v/>
      </c>
      <c r="L74" s="225">
        <f>G74+D74</f>
        <v/>
      </c>
      <c r="M74" s="8" t="n"/>
      <c r="N74" s="222">
        <f>D74+G74</f>
        <v/>
      </c>
    </row>
    <row r="75" ht="14.45" customHeight="1">
      <c r="A75" s="39" t="inlineStr">
        <is>
          <t>D.3 Transnational access to research infrastructure unit costs (if required in the topic specific conditions)</t>
        </is>
      </c>
      <c r="B75" s="341">
        <f>'BE1'!B75+'BE2'!B75+'BE3'!B75+'BE4'!B75</f>
        <v/>
      </c>
      <c r="C75" s="228" t="n"/>
      <c r="D75" s="229">
        <f>'BE1'!D75+'BE2'!D75+'BE3'!D75+'BE4'!D75</f>
        <v/>
      </c>
      <c r="E75" s="342" t="n"/>
      <c r="F75" s="226" t="n"/>
      <c r="G75" s="225" t="n"/>
      <c r="H75" s="8" t="n"/>
      <c r="I75" s="343">
        <f>D75+G75</f>
        <v/>
      </c>
      <c r="J75" s="342">
        <f>E75+B75</f>
        <v/>
      </c>
      <c r="K75" s="225">
        <f>IF(J75&gt;0,L75/J75," ")</f>
        <v/>
      </c>
      <c r="L75" s="225">
        <f>G75+D75</f>
        <v/>
      </c>
      <c r="M75" s="8" t="n"/>
      <c r="N75" s="222">
        <f>D75+G75</f>
        <v/>
      </c>
    </row>
    <row r="76" ht="14.45" customHeight="1">
      <c r="A76" s="39" t="inlineStr">
        <is>
          <t>D.4 Virtual access to research infrastructure unit costs (if required in the topic specific conditions)</t>
        </is>
      </c>
      <c r="B76" s="341">
        <f>'BE1'!B76+'BE2'!B76+'BE3'!B76+'BE4'!B76</f>
        <v/>
      </c>
      <c r="C76" s="228" t="n"/>
      <c r="D76" s="229">
        <f>'BE1'!D76+'BE2'!D76+'BE3'!D76+'BE4'!D76</f>
        <v/>
      </c>
      <c r="E76" s="342" t="n"/>
      <c r="F76" s="226" t="n"/>
      <c r="G76" s="225" t="n"/>
      <c r="H76" s="8" t="n"/>
      <c r="I76" s="343">
        <f>D76+G76</f>
        <v/>
      </c>
      <c r="J76" s="342">
        <f>E76+B76</f>
        <v/>
      </c>
      <c r="K76" s="225">
        <f>IF(J76&gt;0,L76/J76," ")</f>
        <v/>
      </c>
      <c r="L76" s="225">
        <f>G76+D76</f>
        <v/>
      </c>
      <c r="M76" s="8" t="n"/>
      <c r="N76" s="222">
        <f>D76+G76</f>
        <v/>
      </c>
    </row>
    <row r="77" ht="14.45" customHeight="1">
      <c r="A77" s="39" t="inlineStr">
        <is>
          <t>D.5 PCP/PPI procurement costs (if mentioned as eligible in the topic specific conditions)</t>
        </is>
      </c>
      <c r="B77" s="341">
        <f>'BE1'!B77+'BE2'!B77+'BE3'!B77+'BE4'!B77</f>
        <v/>
      </c>
      <c r="C77" s="228" t="n"/>
      <c r="D77" s="229">
        <f>'BE1'!D77+'BE2'!D77+'BE3'!D77+'BE4'!D77</f>
        <v/>
      </c>
      <c r="E77" s="342" t="n"/>
      <c r="F77" s="226" t="n"/>
      <c r="G77" s="225" t="n"/>
      <c r="H77" s="8" t="n"/>
      <c r="I77" s="343">
        <f>D77+G77</f>
        <v/>
      </c>
      <c r="J77" s="342">
        <f>E77+B77</f>
        <v/>
      </c>
      <c r="K77" s="225">
        <f>IF(J77&gt;0,L77/J77," ")</f>
        <v/>
      </c>
      <c r="L77" s="225">
        <f>G77+D77</f>
        <v/>
      </c>
      <c r="M77" s="8" t="n"/>
      <c r="N77" s="222">
        <f>D77+G77</f>
        <v/>
      </c>
    </row>
    <row r="78" ht="14.45" customHeight="1">
      <c r="A78" s="26" t="n"/>
      <c r="B78" s="346" t="n"/>
      <c r="C78" s="160" t="n"/>
      <c r="D78" s="160" t="n"/>
      <c r="E78" s="346" t="n"/>
      <c r="F78" s="160" t="n"/>
      <c r="G78" s="160" t="n"/>
      <c r="H78" s="8" t="n"/>
      <c r="I78" s="89" t="n"/>
      <c r="J78" s="346" t="n"/>
      <c r="K78" s="160" t="n"/>
      <c r="L78" s="160" t="n"/>
      <c r="M78" s="8" t="n"/>
      <c r="N78" s="160" t="n"/>
    </row>
    <row r="79" ht="14.45" customHeight="1">
      <c r="A79" s="41" t="inlineStr">
        <is>
          <t>TOTAL DIRECT PERSONNEL COSTS AND PURCHASE COSTS (A+C)</t>
        </is>
      </c>
      <c r="B79" s="347" t="n"/>
      <c r="C79" s="224" t="n"/>
      <c r="D79" s="224">
        <f>'BE1'!D79+'BE2'!D79+'BE3'!D79+'BE4'!D79</f>
        <v/>
      </c>
      <c r="E79" s="347" t="n"/>
      <c r="F79" s="224" t="n"/>
      <c r="G79" s="224" t="n"/>
      <c r="H79" s="8" t="n"/>
      <c r="I79" s="348">
        <f>SUM(I50:I57,I61:I71)</f>
        <v/>
      </c>
      <c r="J79" s="347" t="n"/>
      <c r="K79" s="224" t="n"/>
      <c r="L79" s="224">
        <f>SUM(L50:L57,L61:L71)</f>
        <v/>
      </c>
      <c r="M79" s="8" t="n"/>
      <c r="N79" s="224">
        <f>SUM(N50:N57,N61:N71)</f>
        <v/>
      </c>
    </row>
    <row r="80" ht="14.45" customHeight="1">
      <c r="A80" s="41" t="inlineStr">
        <is>
          <t>TOTAL DIRECT COSTS  (A+B+C+D)</t>
        </is>
      </c>
      <c r="B80" s="347" t="n"/>
      <c r="C80" s="224" t="n"/>
      <c r="D80" s="224">
        <f>'BE1'!D80+'BE2'!D80+'BE3'!D80+'BE4'!D80</f>
        <v/>
      </c>
      <c r="E80" s="347" t="n"/>
      <c r="F80" s="224" t="n"/>
      <c r="G80" s="224" t="n"/>
      <c r="H80" s="8" t="n"/>
      <c r="I80" s="348">
        <f>SUM(I50:I77)</f>
        <v/>
      </c>
      <c r="J80" s="347" t="n"/>
      <c r="K80" s="224" t="n"/>
      <c r="L80" s="224">
        <f>SUM(L50:L77)</f>
        <v/>
      </c>
      <c r="M80" s="8" t="n"/>
      <c r="N80" s="224">
        <f>SUM(N50:N77)</f>
        <v/>
      </c>
    </row>
    <row r="81" ht="6.95" customHeight="1">
      <c r="A81" s="8" t="n"/>
      <c r="B81" s="349" t="n"/>
      <c r="C81" s="134" t="n"/>
      <c r="D81" s="134" t="n"/>
      <c r="E81" s="349" t="n"/>
      <c r="F81" s="134" t="n"/>
      <c r="G81" s="134" t="n"/>
      <c r="H81" s="8" t="n"/>
      <c r="I81" s="8" t="n"/>
      <c r="J81" s="349" t="n"/>
      <c r="K81" s="134" t="n"/>
      <c r="L81" s="134" t="n"/>
      <c r="M81" s="8" t="n"/>
      <c r="N81" s="134" t="n"/>
    </row>
    <row r="82" ht="14.45" customHeight="1">
      <c r="A82" s="11" t="inlineStr">
        <is>
          <t>E. INDIRECT COSTS (25% * (A+C))</t>
        </is>
      </c>
      <c r="B82" s="347" t="n"/>
      <c r="C82" s="224" t="n"/>
      <c r="D82" s="224">
        <f>'BE1'!D82+'BE2'!D82+'BE3'!D82+'BE4'!D82</f>
        <v/>
      </c>
      <c r="E82" s="347" t="n"/>
      <c r="F82" s="224" t="n"/>
      <c r="G82" s="224" t="n"/>
      <c r="H82" s="8" t="n"/>
      <c r="I82" s="348">
        <f>+I79*0.25</f>
        <v/>
      </c>
      <c r="J82" s="347" t="n"/>
      <c r="K82" s="224" t="n"/>
      <c r="L82" s="224">
        <f>+L79*0.25</f>
        <v/>
      </c>
      <c r="M82" s="8" t="n"/>
      <c r="N82" s="224">
        <f>+N79*0.25</f>
        <v/>
      </c>
    </row>
    <row r="83" ht="6.95" customHeight="1">
      <c r="A83" s="8" t="n"/>
      <c r="B83" s="349" t="n"/>
      <c r="C83" s="134" t="n"/>
      <c r="D83" s="134" t="n"/>
      <c r="E83" s="349" t="n"/>
      <c r="F83" s="134" t="n"/>
      <c r="G83" s="134" t="n"/>
      <c r="H83" s="8" t="n"/>
      <c r="I83" s="8" t="n"/>
      <c r="J83" s="349" t="n"/>
      <c r="K83" s="134" t="n"/>
      <c r="L83" s="134" t="n"/>
      <c r="M83" s="8" t="n"/>
      <c r="N83" s="134" t="n"/>
    </row>
    <row r="84" ht="14.45" customHeight="1">
      <c r="A84" s="11" t="inlineStr">
        <is>
          <t>F. TOTAL COSTS (A+B+C+D+E)</t>
        </is>
      </c>
      <c r="B84" s="347" t="n"/>
      <c r="C84" s="224" t="n"/>
      <c r="D84" s="224">
        <f>'BE1'!D84+'BE2'!D84+'BE3'!D84+'BE4'!D84</f>
        <v/>
      </c>
      <c r="E84" s="347" t="n"/>
      <c r="F84" s="224" t="n"/>
      <c r="G84" s="224" t="n"/>
      <c r="H84" s="8" t="n"/>
      <c r="I84" s="348">
        <f>I80+I82</f>
        <v/>
      </c>
      <c r="J84" s="347" t="n"/>
      <c r="K84" s="224" t="n"/>
      <c r="L84" s="224">
        <f>L80+L82</f>
        <v/>
      </c>
      <c r="M84" s="8" t="n"/>
      <c r="N84" s="224">
        <f>N80+N82</f>
        <v/>
      </c>
    </row>
    <row r="85" ht="6.95" customHeight="1">
      <c r="A85" s="8" t="n"/>
      <c r="B85" s="8" t="n"/>
      <c r="C85" s="8" t="n"/>
      <c r="D85" s="8" t="n"/>
      <c r="E85" s="8" t="n"/>
      <c r="F85" s="8" t="n"/>
      <c r="G85" s="8" t="n"/>
      <c r="H85" s="8" t="n"/>
      <c r="I85" s="8" t="n"/>
      <c r="J85" s="8" t="n"/>
      <c r="K85" s="8" t="n"/>
      <c r="L85" s="8" t="n"/>
      <c r="M85" s="8" t="n"/>
      <c r="N85" s="8" t="n"/>
    </row>
    <row r="86" ht="14.45" customHeight="1">
      <c r="A86" s="209" t="n"/>
      <c r="B86" s="207" t="n"/>
      <c r="C86" s="209" t="n"/>
      <c r="D86" s="208" t="n"/>
      <c r="E86" s="207" t="n"/>
      <c r="F86" s="209" t="n"/>
      <c r="G86" s="208" t="n"/>
      <c r="H86" s="208" t="n"/>
      <c r="I86" s="208" t="n"/>
      <c r="J86" s="208" t="n"/>
      <c r="K86" s="208" t="n"/>
      <c r="L86" s="208" t="n"/>
      <c r="M86" s="209" t="n"/>
      <c r="N86" s="210" t="n"/>
    </row>
    <row r="87" ht="21" customHeight="1">
      <c r="A87" s="301" t="inlineStr">
        <is>
          <t>COSTS WORK PACKAGE 3: Design Verification and Model Validation</t>
        </is>
      </c>
      <c r="B87" s="337" t="n"/>
      <c r="C87" s="337" t="n"/>
      <c r="D87" s="337" t="n"/>
      <c r="E87" s="337" t="n"/>
      <c r="F87" s="337" t="n"/>
      <c r="G87" s="337" t="n"/>
      <c r="H87" s="337" t="n"/>
      <c r="I87" s="337" t="n"/>
      <c r="J87" s="337" t="n"/>
      <c r="K87" s="337" t="n"/>
      <c r="L87" s="337" t="n"/>
      <c r="M87" s="337" t="n"/>
      <c r="N87" s="338" t="n"/>
    </row>
    <row r="88" ht="6.95" customHeight="1">
      <c r="A88" s="8" t="n"/>
      <c r="B88" s="8" t="n"/>
      <c r="C88" s="8" t="n"/>
      <c r="D88" s="8" t="n"/>
      <c r="E88" s="8" t="n"/>
      <c r="F88" s="8" t="n"/>
      <c r="G88" s="8" t="n"/>
      <c r="H88" s="8" t="n"/>
      <c r="I88" s="8" t="n"/>
      <c r="J88" s="8" t="n"/>
      <c r="K88" s="8" t="n"/>
      <c r="L88" s="8" t="n"/>
      <c r="M88" s="8" t="n"/>
      <c r="N88" s="8" t="n"/>
    </row>
    <row r="89" ht="14.45" customHeight="1">
      <c r="A89" s="11" t="inlineStr">
        <is>
          <t>A. DIRECT PERSONNEL COSTS</t>
        </is>
      </c>
      <c r="B89" s="4" t="n"/>
      <c r="C89" s="339" t="n"/>
      <c r="D89" s="340" t="n"/>
      <c r="E89" s="4" t="n"/>
      <c r="F89" s="339" t="n"/>
      <c r="G89" s="340" t="n"/>
      <c r="H89" s="8" t="n"/>
      <c r="I89" s="340" t="n"/>
      <c r="J89" s="340" t="n"/>
      <c r="K89" s="340" t="n"/>
      <c r="L89" s="340" t="n"/>
      <c r="M89" s="8" t="n"/>
      <c r="N89" s="340" t="n"/>
    </row>
    <row r="90" ht="14.45" customHeight="1">
      <c r="A90" s="7" t="inlineStr">
        <is>
          <t>A.1 Employees (or equivalent)</t>
        </is>
      </c>
      <c r="B90" s="89" t="n"/>
      <c r="C90" s="89" t="n"/>
      <c r="D90" s="89" t="n"/>
      <c r="E90" s="89" t="n"/>
      <c r="F90" s="89" t="n"/>
      <c r="G90" s="89" t="n"/>
      <c r="H90" s="8" t="n"/>
      <c r="I90" s="89" t="n"/>
      <c r="J90" s="89" t="n"/>
      <c r="K90" s="89" t="n"/>
      <c r="L90" s="89" t="n"/>
      <c r="M90" s="8" t="n"/>
      <c r="N90" s="89" t="n"/>
    </row>
    <row r="91" ht="14.45" customHeight="1">
      <c r="A91" s="36" t="inlineStr">
        <is>
          <t>SENIOR SCIENTISTS (or equivalent in the private sector)</t>
        </is>
      </c>
      <c r="B91" s="341">
        <f>'BE1'!B91+'BE2'!B91+'BE3'!B91+'BE4'!B91</f>
        <v/>
      </c>
      <c r="C91" s="228" t="n"/>
      <c r="D91" s="229">
        <f>'BE1'!D91+'BE2'!D91+'BE3'!D91+'BE4'!D91</f>
        <v/>
      </c>
      <c r="E91" s="342" t="n"/>
      <c r="F91" s="226" t="n"/>
      <c r="G91" s="225" t="n"/>
      <c r="H91" s="8" t="n"/>
      <c r="I91" s="343">
        <f>D91+G91</f>
        <v/>
      </c>
      <c r="J91" s="342">
        <f>E91+B91</f>
        <v/>
      </c>
      <c r="K91" s="225">
        <f>IF(J91&gt;0,L91/J91," ")</f>
        <v/>
      </c>
      <c r="L91" s="225">
        <f>G91+D91</f>
        <v/>
      </c>
      <c r="M91" s="8" t="n"/>
      <c r="N91" s="222">
        <f>D91+G91</f>
        <v/>
      </c>
    </row>
    <row r="92" ht="14.45" customHeight="1">
      <c r="A92" s="36" t="inlineStr">
        <is>
          <t>JUNIOR SCIENTISTS (or equivalent in the private sector)</t>
        </is>
      </c>
      <c r="B92" s="341">
        <f>'BE1'!B92+'BE2'!B92+'BE3'!B92+'BE4'!B92</f>
        <v/>
      </c>
      <c r="C92" s="228" t="n"/>
      <c r="D92" s="229">
        <f>'BE1'!D92+'BE2'!D92+'BE3'!D92+'BE4'!D92</f>
        <v/>
      </c>
      <c r="E92" s="342" t="n"/>
      <c r="F92" s="226" t="n"/>
      <c r="G92" s="225" t="n"/>
      <c r="H92" s="8" t="n"/>
      <c r="I92" s="343">
        <f>D92+G92</f>
        <v/>
      </c>
      <c r="J92" s="342">
        <f>E92+B92</f>
        <v/>
      </c>
      <c r="K92" s="225">
        <f>IF(J92&gt;0,L92/J92," ")</f>
        <v/>
      </c>
      <c r="L92" s="225">
        <f>G92+D92</f>
        <v/>
      </c>
      <c r="M92" s="8" t="n"/>
      <c r="N92" s="222">
        <f>D92+G92</f>
        <v/>
      </c>
    </row>
    <row r="93" ht="14.45" customHeight="1">
      <c r="A93" s="36" t="inlineStr">
        <is>
          <t>TECHNICAL PERSONNEL (or equivalent in the private sector)</t>
        </is>
      </c>
      <c r="B93" s="341">
        <f>'BE1'!B93+'BE2'!B93+'BE3'!B93+'BE4'!B93</f>
        <v/>
      </c>
      <c r="C93" s="228" t="n"/>
      <c r="D93" s="229">
        <f>'BE1'!D93+'BE2'!D93+'BE3'!D93+'BE4'!D93</f>
        <v/>
      </c>
      <c r="E93" s="342" t="n"/>
      <c r="F93" s="226" t="n"/>
      <c r="G93" s="225" t="n"/>
      <c r="H93" s="8" t="n"/>
      <c r="I93" s="343">
        <f>D93+G93</f>
        <v/>
      </c>
      <c r="J93" s="342">
        <f>E93+B93</f>
        <v/>
      </c>
      <c r="K93" s="225">
        <f>IF(J93&gt;0,L93/J93," ")</f>
        <v/>
      </c>
      <c r="L93" s="225">
        <f>G93+D93</f>
        <v/>
      </c>
      <c r="M93" s="8" t="n"/>
      <c r="N93" s="222">
        <f>D93+G93</f>
        <v/>
      </c>
    </row>
    <row r="94" ht="14.45" customHeight="1">
      <c r="A94" s="36" t="inlineStr">
        <is>
          <t>ADMINISTRATIVE PERSONNEL (or equivalent in the private sector)</t>
        </is>
      </c>
      <c r="B94" s="341">
        <f>'BE1'!B94+'BE2'!B94+'BE3'!B94+'BE4'!B94</f>
        <v/>
      </c>
      <c r="C94" s="228" t="n"/>
      <c r="D94" s="229">
        <f>'BE1'!D94+'BE2'!D94+'BE3'!D94+'BE4'!D94</f>
        <v/>
      </c>
      <c r="E94" s="342" t="n"/>
      <c r="F94" s="226" t="n"/>
      <c r="G94" s="225" t="n"/>
      <c r="H94" s="8" t="n"/>
      <c r="I94" s="343">
        <f>D94+G94</f>
        <v/>
      </c>
      <c r="J94" s="342">
        <f>E94+B94</f>
        <v/>
      </c>
      <c r="K94" s="225">
        <f>IF(J94&gt;0,L94/J94," ")</f>
        <v/>
      </c>
      <c r="L94" s="225">
        <f>G94+D94</f>
        <v/>
      </c>
      <c r="M94" s="8" t="n"/>
      <c r="N94" s="222">
        <f>D94+G94</f>
        <v/>
      </c>
    </row>
    <row r="95" ht="14.45" customHeight="1">
      <c r="A95" s="36" t="inlineStr">
        <is>
          <t>OTHERS</t>
        </is>
      </c>
      <c r="B95" s="341">
        <f>'BE1'!B95+'BE2'!B95+'BE3'!B95+'BE4'!B95</f>
        <v/>
      </c>
      <c r="C95" s="228" t="n"/>
      <c r="D95" s="229">
        <f>'BE1'!D95+'BE2'!D95+'BE3'!D95+'BE4'!D95</f>
        <v/>
      </c>
      <c r="E95" s="342" t="n"/>
      <c r="F95" s="226" t="n"/>
      <c r="G95" s="225" t="n"/>
      <c r="H95" s="8" t="n"/>
      <c r="I95" s="343">
        <f>D95+G95</f>
        <v/>
      </c>
      <c r="J95" s="342">
        <f>E95+B95</f>
        <v/>
      </c>
      <c r="K95" s="225">
        <f>IF(J95&gt;0,L95/J95," ")</f>
        <v/>
      </c>
      <c r="L95" s="225">
        <f>G95+D95</f>
        <v/>
      </c>
      <c r="M95" s="8" t="n"/>
      <c r="N95" s="222">
        <f>D95+G95</f>
        <v/>
      </c>
    </row>
    <row r="96" ht="14.45" customHeight="1">
      <c r="A96" s="7" t="inlineStr">
        <is>
          <t>A.2 Natural Persons under direct contract</t>
        </is>
      </c>
      <c r="B96" s="341">
        <f>'BE1'!B96+'BE2'!B96+'BE3'!B96+'BE4'!B96</f>
        <v/>
      </c>
      <c r="C96" s="228" t="n"/>
      <c r="D96" s="229">
        <f>'BE1'!D96+'BE2'!D96+'BE3'!D96+'BE4'!D96</f>
        <v/>
      </c>
      <c r="E96" s="342" t="n"/>
      <c r="F96" s="226" t="n"/>
      <c r="G96" s="225" t="n"/>
      <c r="H96" s="8" t="n"/>
      <c r="I96" s="343">
        <f>D96+G96</f>
        <v/>
      </c>
      <c r="J96" s="342">
        <f>E96+B96</f>
        <v/>
      </c>
      <c r="K96" s="225">
        <f>IF(J96&gt;0,L96/J96," ")</f>
        <v/>
      </c>
      <c r="L96" s="225">
        <f>G96+D96</f>
        <v/>
      </c>
      <c r="M96" s="8" t="n"/>
      <c r="N96" s="222">
        <f>D96+G96</f>
        <v/>
      </c>
    </row>
    <row r="97" ht="14.45" customHeight="1">
      <c r="A97" s="7" t="inlineStr">
        <is>
          <t>A.3 Seconded Persons</t>
        </is>
      </c>
      <c r="B97" s="341">
        <f>'BE1'!B97+'BE2'!B97+'BE3'!B97+'BE4'!B97</f>
        <v/>
      </c>
      <c r="C97" s="228" t="n"/>
      <c r="D97" s="229">
        <f>'BE1'!D97+'BE2'!D97+'BE3'!D97+'BE4'!D97</f>
        <v/>
      </c>
      <c r="E97" s="342" t="n"/>
      <c r="F97" s="226" t="n"/>
      <c r="G97" s="225" t="n"/>
      <c r="H97" s="8" t="n"/>
      <c r="I97" s="343">
        <f>D97+G97</f>
        <v/>
      </c>
      <c r="J97" s="342">
        <f>E97+B97</f>
        <v/>
      </c>
      <c r="K97" s="225">
        <f>IF(J97&gt;0,L97/J97," ")</f>
        <v/>
      </c>
      <c r="L97" s="225">
        <f>G97+D97</f>
        <v/>
      </c>
      <c r="M97" s="8" t="n"/>
      <c r="N97" s="222">
        <f>D97+G97</f>
        <v/>
      </c>
    </row>
    <row r="98" ht="14.45" customHeight="1">
      <c r="A98" s="7" t="inlineStr">
        <is>
          <t>A.4 SME owners and natural person beneficiaries</t>
        </is>
      </c>
      <c r="B98" s="341">
        <f>'BE1'!B98+'BE2'!B98+'BE3'!B98+'BE4'!B98</f>
        <v/>
      </c>
      <c r="C98" s="228" t="n"/>
      <c r="D98" s="229">
        <f>'BE1'!D98+'BE2'!D98+'BE3'!D98+'BE4'!D98</f>
        <v/>
      </c>
      <c r="E98" s="342" t="n"/>
      <c r="F98" s="226" t="n"/>
      <c r="G98" s="225" t="n"/>
      <c r="H98" s="8" t="n"/>
      <c r="I98" s="343">
        <f>D98+G98</f>
        <v/>
      </c>
      <c r="J98" s="342">
        <f>E98+B98</f>
        <v/>
      </c>
      <c r="K98" s="225">
        <f>IF(J98&gt;0,L98/J98," ")</f>
        <v/>
      </c>
      <c r="L98" s="225">
        <f>G98+D98</f>
        <v/>
      </c>
      <c r="M98" s="8" t="n"/>
      <c r="N98" s="222">
        <f>D98+G98</f>
        <v/>
      </c>
    </row>
    <row r="99" ht="14.45" customHeight="1">
      <c r="A99" s="11" t="inlineStr">
        <is>
          <t>B. DIRECT SUBCONTRACTING COSTS</t>
        </is>
      </c>
      <c r="B99" s="344" t="n"/>
      <c r="C99" s="227" t="n"/>
      <c r="D99" s="223" t="n"/>
      <c r="E99" s="344" t="n"/>
      <c r="F99" s="227" t="n"/>
      <c r="G99" s="223" t="n"/>
      <c r="H99" s="8" t="n"/>
      <c r="I99" s="340" t="n"/>
      <c r="J99" s="345" t="n"/>
      <c r="K99" s="223" t="n"/>
      <c r="L99" s="223" t="n"/>
      <c r="M99" s="8" t="n"/>
      <c r="N99" s="223" t="n"/>
    </row>
    <row r="100" ht="14.45" customHeight="1">
      <c r="A100" s="9" t="n"/>
      <c r="B100" s="341">
        <f>'BE1'!B100+'BE2'!B100+'BE3'!B100+'BE4'!B100</f>
        <v/>
      </c>
      <c r="C100" s="228" t="n"/>
      <c r="D100" s="229">
        <f>'BE1'!D100+'BE2'!D100+'BE3'!D100+'BE4'!D100</f>
        <v/>
      </c>
      <c r="E100" s="342" t="n"/>
      <c r="F100" s="226" t="n"/>
      <c r="G100" s="225" t="n"/>
      <c r="H100" s="8" t="n"/>
      <c r="I100" s="343">
        <f>D100+G100</f>
        <v/>
      </c>
      <c r="J100" s="342">
        <f>E100+B100</f>
        <v/>
      </c>
      <c r="K100" s="225">
        <f>IF(J100&gt;0,L100/J100," ")</f>
        <v/>
      </c>
      <c r="L100" s="225">
        <f>G100+D100</f>
        <v/>
      </c>
      <c r="M100" s="8" t="n"/>
      <c r="N100" s="222">
        <f>D100+G100</f>
        <v/>
      </c>
    </row>
    <row r="101" ht="14.45" customHeight="1">
      <c r="A101" s="11" t="inlineStr">
        <is>
          <t>C. DIRECT PURCHASE COSTS</t>
        </is>
      </c>
      <c r="B101" s="344" t="n"/>
      <c r="C101" s="227" t="n"/>
      <c r="D101" s="223" t="n"/>
      <c r="E101" s="344" t="n"/>
      <c r="F101" s="227" t="n"/>
      <c r="G101" s="223" t="n"/>
      <c r="H101" s="8" t="n"/>
      <c r="I101" s="340" t="n"/>
      <c r="J101" s="345" t="n"/>
      <c r="K101" s="223" t="n"/>
      <c r="L101" s="223" t="n"/>
      <c r="M101" s="8" t="n"/>
      <c r="N101" s="223" t="n"/>
    </row>
    <row r="102" ht="14.45" customHeight="1">
      <c r="A102" s="39" t="inlineStr">
        <is>
          <t>C.1 Travel and subsistence</t>
        </is>
      </c>
      <c r="B102" s="341">
        <f>'BE1'!B102+'BE2'!B102+'BE3'!B102+'BE4'!B102</f>
        <v/>
      </c>
      <c r="C102" s="228" t="n"/>
      <c r="D102" s="229">
        <f>'BE1'!D102+'BE2'!D102+'BE3'!D102+'BE4'!D102</f>
        <v/>
      </c>
      <c r="E102" s="342" t="n"/>
      <c r="F102" s="226" t="n"/>
      <c r="G102" s="225" t="n"/>
      <c r="H102" s="8" t="n"/>
      <c r="I102" s="343">
        <f>D102+G102</f>
        <v/>
      </c>
      <c r="J102" s="342">
        <f>E102+B102</f>
        <v/>
      </c>
      <c r="K102" s="225">
        <f>IF(J102&gt;0,L102/J102," ")</f>
        <v/>
      </c>
      <c r="L102" s="225">
        <f>G102+D102</f>
        <v/>
      </c>
      <c r="M102" s="8" t="n"/>
      <c r="N102" s="222">
        <f>D102+G102</f>
        <v/>
      </c>
    </row>
    <row r="103" ht="14.45" customHeight="1">
      <c r="A103" s="7" t="inlineStr">
        <is>
          <t>C.2 Equipment (complete 'Depreciation cost' sheet)</t>
        </is>
      </c>
      <c r="B103" s="346" t="n"/>
      <c r="C103" s="160" t="n"/>
      <c r="D103" s="160" t="n"/>
      <c r="E103" s="346" t="n"/>
      <c r="F103" s="160" t="n"/>
      <c r="G103" s="160" t="n"/>
      <c r="H103" s="8" t="n"/>
      <c r="I103" s="89" t="n"/>
      <c r="J103" s="346" t="n"/>
      <c r="K103" s="160" t="n"/>
      <c r="L103" s="160" t="n"/>
      <c r="M103" s="8" t="n"/>
      <c r="N103" s="160" t="n"/>
    </row>
    <row r="104" ht="14.45" customHeight="1">
      <c r="A104" s="37" t="inlineStr">
        <is>
          <t>Equipment</t>
        </is>
      </c>
      <c r="B104" s="341">
        <f>'BE1'!B104+'BE2'!B104+'BE3'!B104+'BE4'!B104</f>
        <v/>
      </c>
      <c r="C104" s="228" t="n"/>
      <c r="D104" s="229">
        <f>'BE1'!D104+'BE2'!D104+'BE3'!D104+'BE4'!D104</f>
        <v/>
      </c>
      <c r="E104" s="342" t="n"/>
      <c r="F104" s="226" t="n"/>
      <c r="G104" s="225" t="n"/>
      <c r="H104" s="8" t="n"/>
      <c r="I104" s="343">
        <f>D104+G104</f>
        <v/>
      </c>
      <c r="J104" s="342">
        <f>E104+B104</f>
        <v/>
      </c>
      <c r="K104" s="225">
        <f>IF(J104&gt;0,L104/J104," ")</f>
        <v/>
      </c>
      <c r="L104" s="225">
        <f>G104+D104</f>
        <v/>
      </c>
      <c r="M104" s="8" t="n"/>
      <c r="N104" s="222">
        <f>D104+G104</f>
        <v/>
      </c>
    </row>
    <row r="105" ht="14.45" customHeight="1">
      <c r="A105" s="37" t="inlineStr">
        <is>
          <t>Infrastructure</t>
        </is>
      </c>
      <c r="B105" s="341">
        <f>'BE1'!B105+'BE2'!B105+'BE3'!B105+'BE4'!B105</f>
        <v/>
      </c>
      <c r="C105" s="228" t="n"/>
      <c r="D105" s="229">
        <f>'BE1'!D105+'BE2'!D105+'BE3'!D105+'BE4'!D105</f>
        <v/>
      </c>
      <c r="E105" s="342" t="n"/>
      <c r="F105" s="226" t="n"/>
      <c r="G105" s="225" t="n"/>
      <c r="H105" s="8" t="n"/>
      <c r="I105" s="343">
        <f>D105+G105</f>
        <v/>
      </c>
      <c r="J105" s="342">
        <f>E105+B105</f>
        <v/>
      </c>
      <c r="K105" s="225">
        <f>IF(J105&gt;0,L105/J105," ")</f>
        <v/>
      </c>
      <c r="L105" s="225">
        <f>G105+D105</f>
        <v/>
      </c>
      <c r="M105" s="8" t="n"/>
      <c r="N105" s="222">
        <f>D105+G105</f>
        <v/>
      </c>
    </row>
    <row r="106" ht="14.45" customHeight="1">
      <c r="A106" s="37" t="inlineStr">
        <is>
          <t>Other assets</t>
        </is>
      </c>
      <c r="B106" s="341">
        <f>'BE1'!B106+'BE2'!B106+'BE3'!B106+'BE4'!B106</f>
        <v/>
      </c>
      <c r="C106" s="228" t="n"/>
      <c r="D106" s="229">
        <f>'BE1'!D106+'BE2'!D106+'BE3'!D106+'BE4'!D106</f>
        <v/>
      </c>
      <c r="E106" s="342" t="n"/>
      <c r="F106" s="226" t="n"/>
      <c r="G106" s="225" t="n"/>
      <c r="H106" s="8" t="n"/>
      <c r="I106" s="343">
        <f>D106+G106</f>
        <v/>
      </c>
      <c r="J106" s="342">
        <f>E106+B106</f>
        <v/>
      </c>
      <c r="K106" s="225">
        <f>IF(J106&gt;0,L106/J106," ")</f>
        <v/>
      </c>
      <c r="L106" s="225">
        <f>G106+D106</f>
        <v/>
      </c>
      <c r="M106" s="8" t="n"/>
      <c r="N106" s="222">
        <f>D106+G106</f>
        <v/>
      </c>
    </row>
    <row r="107" ht="14.45" customHeight="1">
      <c r="A107" s="7" t="inlineStr">
        <is>
          <t>C.3 Other goods, works and services</t>
        </is>
      </c>
      <c r="B107" s="346" t="n"/>
      <c r="C107" s="160" t="n"/>
      <c r="D107" s="160" t="n"/>
      <c r="E107" s="346" t="n"/>
      <c r="F107" s="160" t="n"/>
      <c r="G107" s="160" t="n"/>
      <c r="H107" s="8" t="n"/>
      <c r="I107" s="89" t="n"/>
      <c r="J107" s="346" t="n"/>
      <c r="K107" s="160" t="n"/>
      <c r="L107" s="160" t="n"/>
      <c r="M107" s="8" t="n"/>
      <c r="N107" s="160" t="n"/>
    </row>
    <row r="108" ht="14.45" customHeight="1">
      <c r="A108" s="37" t="inlineStr">
        <is>
          <t>Consumables</t>
        </is>
      </c>
      <c r="B108" s="341">
        <f>'BE1'!B108+'BE2'!B108+'BE3'!B108+'BE4'!B108</f>
        <v/>
      </c>
      <c r="C108" s="228" t="n"/>
      <c r="D108" s="229">
        <f>'BE1'!D108+'BE2'!D108+'BE3'!D108+'BE4'!D108</f>
        <v/>
      </c>
      <c r="E108" s="342" t="n"/>
      <c r="F108" s="226" t="n"/>
      <c r="G108" s="225" t="n"/>
      <c r="H108" s="8" t="n"/>
      <c r="I108" s="343">
        <f>D108+G108</f>
        <v/>
      </c>
      <c r="J108" s="342">
        <f>E108+B108</f>
        <v/>
      </c>
      <c r="K108" s="225">
        <f>IF(J108&gt;0,L108/J108," ")</f>
        <v/>
      </c>
      <c r="L108" s="225">
        <f>G108+D108</f>
        <v/>
      </c>
      <c r="M108" s="8" t="n"/>
      <c r="N108" s="222">
        <f>D108+G108</f>
        <v/>
      </c>
    </row>
    <row r="109" ht="14.45" customHeight="1">
      <c r="A109" s="37" t="inlineStr">
        <is>
          <t>Services for meetings, seminars</t>
        </is>
      </c>
      <c r="B109" s="341">
        <f>'BE1'!B109+'BE2'!B109+'BE3'!B109+'BE4'!B109</f>
        <v/>
      </c>
      <c r="C109" s="228" t="n"/>
      <c r="D109" s="229">
        <f>'BE1'!D109+'BE2'!D109+'BE3'!D109+'BE4'!D109</f>
        <v/>
      </c>
      <c r="E109" s="342" t="n"/>
      <c r="F109" s="226" t="n"/>
      <c r="G109" s="225" t="n"/>
      <c r="H109" s="8" t="n"/>
      <c r="I109" s="343">
        <f>D109+G109</f>
        <v/>
      </c>
      <c r="J109" s="342">
        <f>E109+B109</f>
        <v/>
      </c>
      <c r="K109" s="225">
        <f>IF(J109&gt;0,L109/J109," ")</f>
        <v/>
      </c>
      <c r="L109" s="225">
        <f>G109+D109</f>
        <v/>
      </c>
      <c r="M109" s="8" t="n"/>
      <c r="N109" s="222">
        <f>D109+G109</f>
        <v/>
      </c>
    </row>
    <row r="110" ht="14.45" customHeight="1">
      <c r="A110" s="37" t="inlineStr">
        <is>
          <t>Services for dissemination activities (including website)</t>
        </is>
      </c>
      <c r="B110" s="341">
        <f>'BE1'!B110+'BE2'!B110+'BE3'!B110+'BE4'!B110</f>
        <v/>
      </c>
      <c r="C110" s="228" t="n"/>
      <c r="D110" s="229">
        <f>'BE1'!D110+'BE2'!D110+'BE3'!D110+'BE4'!D110</f>
        <v/>
      </c>
      <c r="E110" s="342" t="n"/>
      <c r="F110" s="226" t="n"/>
      <c r="G110" s="225" t="n"/>
      <c r="H110" s="8" t="n"/>
      <c r="I110" s="343">
        <f>D110+G110</f>
        <v/>
      </c>
      <c r="J110" s="342">
        <f>E110+B110</f>
        <v/>
      </c>
      <c r="K110" s="225">
        <f>IF(J110&gt;0,L110/J110," ")</f>
        <v/>
      </c>
      <c r="L110" s="225">
        <f>G110+D110</f>
        <v/>
      </c>
      <c r="M110" s="8" t="n"/>
      <c r="N110" s="222">
        <f>D110+G110</f>
        <v/>
      </c>
    </row>
    <row r="111" ht="14.45" customHeight="1">
      <c r="A111" s="37" t="inlineStr">
        <is>
          <t>Publication fees</t>
        </is>
      </c>
      <c r="B111" s="341">
        <f>'BE1'!B111+'BE2'!B111+'BE3'!B111+'BE4'!B111</f>
        <v/>
      </c>
      <c r="C111" s="228" t="n"/>
      <c r="D111" s="229">
        <f>'BE1'!D111+'BE2'!D111+'BE3'!D111+'BE4'!D111</f>
        <v/>
      </c>
      <c r="E111" s="342" t="n"/>
      <c r="F111" s="226" t="n"/>
      <c r="G111" s="225" t="n"/>
      <c r="H111" s="8" t="n"/>
      <c r="I111" s="343">
        <f>D111+G111</f>
        <v/>
      </c>
      <c r="J111" s="342">
        <f>E111+B111</f>
        <v/>
      </c>
      <c r="K111" s="225">
        <f>IF(J111&gt;0,L111/J111," ")</f>
        <v/>
      </c>
      <c r="L111" s="225">
        <f>G111+D111</f>
        <v/>
      </c>
      <c r="M111" s="8" t="n"/>
      <c r="N111" s="222">
        <f>D111+G111</f>
        <v/>
      </c>
    </row>
    <row r="112" ht="14.45" customHeight="1">
      <c r="A112" s="37" t="inlineStr">
        <is>
          <t>Other (shipment,insurance, translation, etc.)</t>
        </is>
      </c>
      <c r="B112" s="341">
        <f>'BE1'!B112+'BE2'!B112+'BE3'!B112+'BE4'!B112</f>
        <v/>
      </c>
      <c r="C112" s="228" t="n"/>
      <c r="D112" s="229">
        <f>'BE1'!D112+'BE2'!D112+'BE3'!D112+'BE4'!D112</f>
        <v/>
      </c>
      <c r="E112" s="342" t="n"/>
      <c r="F112" s="226" t="n"/>
      <c r="G112" s="225" t="n"/>
      <c r="H112" s="8" t="n"/>
      <c r="I112" s="343">
        <f>D112+G112</f>
        <v/>
      </c>
      <c r="J112" s="342">
        <f>E112+B112</f>
        <v/>
      </c>
      <c r="K112" s="225">
        <f>IF(J112&gt;0,L112/J112," ")</f>
        <v/>
      </c>
      <c r="L112" s="225">
        <f>G112+D112</f>
        <v/>
      </c>
      <c r="M112" s="8" t="n"/>
      <c r="N112" s="222">
        <f>D112+G112</f>
        <v/>
      </c>
    </row>
    <row r="113" ht="14.45" customHeight="1">
      <c r="A113" s="6" t="inlineStr">
        <is>
          <t>D. OTHER COST CATEGORIES</t>
        </is>
      </c>
      <c r="B113" s="344" t="n"/>
      <c r="C113" s="227" t="n"/>
      <c r="D113" s="223" t="n"/>
      <c r="E113" s="344" t="n"/>
      <c r="F113" s="227" t="n"/>
      <c r="G113" s="223" t="n"/>
      <c r="H113" s="8" t="n"/>
      <c r="I113" s="340" t="n"/>
      <c r="J113" s="345" t="n"/>
      <c r="K113" s="223" t="n"/>
      <c r="L113" s="223" t="n"/>
      <c r="M113" s="8" t="n"/>
      <c r="N113" s="223" t="n"/>
    </row>
    <row r="114" ht="14.45" customHeight="1">
      <c r="A114" s="40" t="inlineStr">
        <is>
          <t>D.1 Financial support to third parties (if applicable in the topic specific conditions)</t>
        </is>
      </c>
      <c r="B114" s="341">
        <f>'BE1'!B114+'BE2'!B114+'BE3'!B114+'BE4'!B114</f>
        <v/>
      </c>
      <c r="C114" s="228" t="n"/>
      <c r="D114" s="229">
        <f>'BE1'!D114+'BE2'!D114+'BE3'!D114+'BE4'!D114</f>
        <v/>
      </c>
      <c r="E114" s="342" t="n"/>
      <c r="F114" s="226" t="n"/>
      <c r="G114" s="225" t="n"/>
      <c r="H114" s="8" t="n"/>
      <c r="I114" s="343">
        <f>D114+G114</f>
        <v/>
      </c>
      <c r="J114" s="342">
        <f>E114+B114</f>
        <v/>
      </c>
      <c r="K114" s="225">
        <f>IF(J114&gt;0,L114/J114," ")</f>
        <v/>
      </c>
      <c r="L114" s="225">
        <f>G114+D114</f>
        <v/>
      </c>
      <c r="M114" s="8" t="n"/>
      <c r="N114" s="222">
        <f>D114+G114</f>
        <v/>
      </c>
    </row>
    <row r="115" ht="14.45" customHeight="1">
      <c r="A115" s="39" t="inlineStr">
        <is>
          <t>D.2 Internally invoiced goods and services</t>
        </is>
      </c>
      <c r="B115" s="341">
        <f>'BE1'!B115+'BE2'!B115+'BE3'!B115+'BE4'!B115</f>
        <v/>
      </c>
      <c r="C115" s="228" t="n"/>
      <c r="D115" s="229">
        <f>'BE1'!D115+'BE2'!D115+'BE3'!D115+'BE4'!D115</f>
        <v/>
      </c>
      <c r="E115" s="342" t="n"/>
      <c r="F115" s="226" t="n"/>
      <c r="G115" s="225" t="n"/>
      <c r="H115" s="8" t="n"/>
      <c r="I115" s="343">
        <f>D115+G115</f>
        <v/>
      </c>
      <c r="J115" s="342">
        <f>E115+B115</f>
        <v/>
      </c>
      <c r="K115" s="225">
        <f>IF(J115&gt;0,L115/J115," ")</f>
        <v/>
      </c>
      <c r="L115" s="225">
        <f>G115+D115</f>
        <v/>
      </c>
      <c r="M115" s="8" t="n"/>
      <c r="N115" s="222">
        <f>D115+G115</f>
        <v/>
      </c>
    </row>
    <row r="116" ht="14.45" customHeight="1">
      <c r="A116" s="39" t="inlineStr">
        <is>
          <t>D.3 Transnational access to research infrastructure unit costs (if required in the topic specific conditions)</t>
        </is>
      </c>
      <c r="B116" s="341">
        <f>'BE1'!B116+'BE2'!B116+'BE3'!B116+'BE4'!B116</f>
        <v/>
      </c>
      <c r="C116" s="228" t="n"/>
      <c r="D116" s="229">
        <f>'BE1'!D116+'BE2'!D116+'BE3'!D116+'BE4'!D116</f>
        <v/>
      </c>
      <c r="E116" s="342" t="n"/>
      <c r="F116" s="226" t="n"/>
      <c r="G116" s="225" t="n"/>
      <c r="H116" s="8" t="n"/>
      <c r="I116" s="343">
        <f>D116+G116</f>
        <v/>
      </c>
      <c r="J116" s="342">
        <f>E116+B116</f>
        <v/>
      </c>
      <c r="K116" s="225">
        <f>IF(J116&gt;0,L116/J116," ")</f>
        <v/>
      </c>
      <c r="L116" s="225">
        <f>G116+D116</f>
        <v/>
      </c>
      <c r="M116" s="8" t="n"/>
      <c r="N116" s="222">
        <f>D116+G116</f>
        <v/>
      </c>
    </row>
    <row r="117" ht="14.45" customHeight="1">
      <c r="A117" s="39" t="inlineStr">
        <is>
          <t>D.4 Virtual access to research infrastructure unit costs (if required in the topic specific conditions)</t>
        </is>
      </c>
      <c r="B117" s="341">
        <f>'BE1'!B117+'BE2'!B117+'BE3'!B117+'BE4'!B117</f>
        <v/>
      </c>
      <c r="C117" s="228" t="n"/>
      <c r="D117" s="229">
        <f>'BE1'!D117+'BE2'!D117+'BE3'!D117+'BE4'!D117</f>
        <v/>
      </c>
      <c r="E117" s="342" t="n"/>
      <c r="F117" s="226" t="n"/>
      <c r="G117" s="225" t="n"/>
      <c r="H117" s="8" t="n"/>
      <c r="I117" s="343">
        <f>D117+G117</f>
        <v/>
      </c>
      <c r="J117" s="342">
        <f>E117+B117</f>
        <v/>
      </c>
      <c r="K117" s="225">
        <f>IF(J117&gt;0,L117/J117," ")</f>
        <v/>
      </c>
      <c r="L117" s="225">
        <f>G117+D117</f>
        <v/>
      </c>
      <c r="M117" s="8" t="n"/>
      <c r="N117" s="222">
        <f>D117+G117</f>
        <v/>
      </c>
    </row>
    <row r="118" ht="14.45" customHeight="1">
      <c r="A118" s="39" t="inlineStr">
        <is>
          <t>D.5 PCP/PPI procurement costs (if mentioned as eligible in the topic specific conditions)</t>
        </is>
      </c>
      <c r="B118" s="341">
        <f>'BE1'!B118+'BE2'!B118+'BE3'!B118+'BE4'!B118</f>
        <v/>
      </c>
      <c r="C118" s="228" t="n"/>
      <c r="D118" s="229">
        <f>'BE1'!D118+'BE2'!D118+'BE3'!D118+'BE4'!D118</f>
        <v/>
      </c>
      <c r="E118" s="342" t="n"/>
      <c r="F118" s="226" t="n"/>
      <c r="G118" s="225" t="n"/>
      <c r="H118" s="8" t="n"/>
      <c r="I118" s="343">
        <f>D118+G118</f>
        <v/>
      </c>
      <c r="J118" s="342">
        <f>E118+B118</f>
        <v/>
      </c>
      <c r="K118" s="225">
        <f>IF(J118&gt;0,L118/J118," ")</f>
        <v/>
      </c>
      <c r="L118" s="225">
        <f>G118+D118</f>
        <v/>
      </c>
      <c r="M118" s="8" t="n"/>
      <c r="N118" s="222">
        <f>D118+G118</f>
        <v/>
      </c>
    </row>
    <row r="119" ht="14.45" customHeight="1">
      <c r="A119" s="26" t="n"/>
      <c r="B119" s="346" t="n"/>
      <c r="C119" s="160" t="n"/>
      <c r="D119" s="160" t="n"/>
      <c r="E119" s="346" t="n"/>
      <c r="F119" s="160" t="n"/>
      <c r="G119" s="160" t="n"/>
      <c r="H119" s="8" t="n"/>
      <c r="I119" s="89" t="n"/>
      <c r="J119" s="346" t="n"/>
      <c r="K119" s="160" t="n"/>
      <c r="L119" s="160" t="n"/>
      <c r="M119" s="8" t="n"/>
      <c r="N119" s="160" t="n"/>
    </row>
    <row r="120" ht="14.45" customHeight="1">
      <c r="A120" s="41" t="inlineStr">
        <is>
          <t>TOTAL DIRECT PERSONNEL COSTS AND PURCHASE COSTS (A+C)</t>
        </is>
      </c>
      <c r="B120" s="347" t="n"/>
      <c r="C120" s="224" t="n"/>
      <c r="D120" s="224">
        <f>'BE1'!D120+'BE2'!D120+'BE3'!D120+'BE4'!D120</f>
        <v/>
      </c>
      <c r="E120" s="347" t="n"/>
      <c r="F120" s="224" t="n"/>
      <c r="G120" s="224" t="n"/>
      <c r="H120" s="8" t="n"/>
      <c r="I120" s="348">
        <f>SUM(I91:I98,I102:I112)</f>
        <v/>
      </c>
      <c r="J120" s="347" t="n"/>
      <c r="K120" s="224" t="n"/>
      <c r="L120" s="224">
        <f>SUM(L91:L98,L102:L112)</f>
        <v/>
      </c>
      <c r="M120" s="8" t="n"/>
      <c r="N120" s="224">
        <f>SUM(N91:N98,N102:N112)</f>
        <v/>
      </c>
    </row>
    <row r="121" ht="14.45" customHeight="1">
      <c r="A121" s="41" t="inlineStr">
        <is>
          <t>TOTAL DIRECT COSTS  (A+B+C+D)</t>
        </is>
      </c>
      <c r="B121" s="347" t="n"/>
      <c r="C121" s="224" t="n"/>
      <c r="D121" s="224">
        <f>'BE1'!D121+'BE2'!D121+'BE3'!D121+'BE4'!D121</f>
        <v/>
      </c>
      <c r="E121" s="347" t="n"/>
      <c r="F121" s="224" t="n"/>
      <c r="G121" s="224" t="n"/>
      <c r="H121" s="8" t="n"/>
      <c r="I121" s="348">
        <f>SUM(I91:I118)</f>
        <v/>
      </c>
      <c r="J121" s="347" t="n"/>
      <c r="K121" s="224" t="n"/>
      <c r="L121" s="224">
        <f>SUM(L91:L118)</f>
        <v/>
      </c>
      <c r="M121" s="8" t="n"/>
      <c r="N121" s="224">
        <f>SUM(N91:N118)</f>
        <v/>
      </c>
    </row>
    <row r="122" ht="6.95" customHeight="1">
      <c r="A122" s="8" t="n"/>
      <c r="B122" s="349" t="n"/>
      <c r="C122" s="134" t="n"/>
      <c r="D122" s="134" t="n"/>
      <c r="E122" s="349" t="n"/>
      <c r="F122" s="134" t="n"/>
      <c r="G122" s="134" t="n"/>
      <c r="H122" s="8" t="n"/>
      <c r="I122" s="8" t="n"/>
      <c r="J122" s="349" t="n"/>
      <c r="K122" s="134" t="n"/>
      <c r="L122" s="134" t="n"/>
      <c r="M122" s="8" t="n"/>
      <c r="N122" s="134" t="n"/>
    </row>
    <row r="123" ht="14.45" customHeight="1">
      <c r="A123" s="11" t="inlineStr">
        <is>
          <t>E. INDIRECT COSTS (25% * (A+C))</t>
        </is>
      </c>
      <c r="B123" s="347" t="n"/>
      <c r="C123" s="224" t="n"/>
      <c r="D123" s="224">
        <f>'BE1'!D123+'BE2'!D123+'BE3'!D123+'BE4'!D123</f>
        <v/>
      </c>
      <c r="E123" s="347" t="n"/>
      <c r="F123" s="224" t="n"/>
      <c r="G123" s="224" t="n"/>
      <c r="H123" s="8" t="n"/>
      <c r="I123" s="348">
        <f>+I120*0.25</f>
        <v/>
      </c>
      <c r="J123" s="347" t="n"/>
      <c r="K123" s="224" t="n"/>
      <c r="L123" s="224">
        <f>+L120*0.25</f>
        <v/>
      </c>
      <c r="M123" s="8" t="n"/>
      <c r="N123" s="224">
        <f>+N120*0.25</f>
        <v/>
      </c>
    </row>
    <row r="124" ht="6.95" customHeight="1">
      <c r="A124" s="8" t="n"/>
      <c r="B124" s="349" t="n"/>
      <c r="C124" s="134" t="n"/>
      <c r="D124" s="134" t="n"/>
      <c r="E124" s="349" t="n"/>
      <c r="F124" s="134" t="n"/>
      <c r="G124" s="134" t="n"/>
      <c r="H124" s="8" t="n"/>
      <c r="I124" s="8" t="n"/>
      <c r="J124" s="349" t="n"/>
      <c r="K124" s="134" t="n"/>
      <c r="L124" s="134" t="n"/>
      <c r="M124" s="8" t="n"/>
      <c r="N124" s="134" t="n"/>
    </row>
    <row r="125" ht="14.45" customHeight="1">
      <c r="A125" s="11" t="inlineStr">
        <is>
          <t>F. TOTAL COSTS (A+B+C+D+E)</t>
        </is>
      </c>
      <c r="B125" s="347" t="n"/>
      <c r="C125" s="224" t="n"/>
      <c r="D125" s="224">
        <f>'BE1'!D125+'BE2'!D125+'BE3'!D125+'BE4'!D125</f>
        <v/>
      </c>
      <c r="E125" s="347" t="n"/>
      <c r="F125" s="224" t="n"/>
      <c r="G125" s="224" t="n"/>
      <c r="H125" s="8" t="n"/>
      <c r="I125" s="348">
        <f>I121+I123</f>
        <v/>
      </c>
      <c r="J125" s="347" t="n"/>
      <c r="K125" s="224" t="n"/>
      <c r="L125" s="224">
        <f>L121+L123</f>
        <v/>
      </c>
      <c r="M125" s="8" t="n"/>
      <c r="N125" s="224">
        <f>N121+N123</f>
        <v/>
      </c>
    </row>
    <row r="126" ht="6.95" customHeight="1">
      <c r="A126" s="8" t="n"/>
      <c r="B126" s="8" t="n"/>
      <c r="C126" s="8" t="n"/>
      <c r="D126" s="8" t="n"/>
      <c r="E126" s="8" t="n"/>
      <c r="F126" s="8" t="n"/>
      <c r="G126" s="8" t="n"/>
      <c r="H126" s="8" t="n"/>
      <c r="I126" s="8" t="n"/>
      <c r="J126" s="8" t="n"/>
      <c r="K126" s="8" t="n"/>
      <c r="L126" s="8" t="n"/>
      <c r="M126" s="8" t="n"/>
      <c r="N126" s="8" t="n"/>
    </row>
    <row r="127" ht="14.45" customHeight="1">
      <c r="A127" s="209" t="n"/>
      <c r="B127" s="207" t="n"/>
      <c r="C127" s="209" t="n"/>
      <c r="D127" s="208" t="n"/>
      <c r="E127" s="207" t="n"/>
      <c r="F127" s="209" t="n"/>
      <c r="G127" s="208" t="n"/>
      <c r="H127" s="208" t="n"/>
      <c r="I127" s="208" t="n"/>
      <c r="J127" s="208" t="n"/>
      <c r="K127" s="208" t="n"/>
      <c r="L127" s="208" t="n"/>
      <c r="M127" s="209" t="n"/>
      <c r="N127" s="210" t="n"/>
    </row>
    <row r="128" ht="21" customHeight="1">
      <c r="A128" s="301" t="inlineStr">
        <is>
          <t>COSTS WORK PACKAGE 4: Manufacturing, Instrumentation and Factory Acceptance</t>
        </is>
      </c>
      <c r="B128" s="337" t="n"/>
      <c r="C128" s="337" t="n"/>
      <c r="D128" s="337" t="n"/>
      <c r="E128" s="337" t="n"/>
      <c r="F128" s="337" t="n"/>
      <c r="G128" s="337" t="n"/>
      <c r="H128" s="337" t="n"/>
      <c r="I128" s="337" t="n"/>
      <c r="J128" s="337" t="n"/>
      <c r="K128" s="337" t="n"/>
      <c r="L128" s="337" t="n"/>
      <c r="M128" s="337" t="n"/>
      <c r="N128" s="338" t="n"/>
    </row>
    <row r="129" ht="6.95" customHeight="1">
      <c r="A129" s="8" t="n"/>
      <c r="B129" s="8" t="n"/>
      <c r="C129" s="8" t="n"/>
      <c r="D129" s="8" t="n"/>
      <c r="E129" s="8" t="n"/>
      <c r="F129" s="8" t="n"/>
      <c r="G129" s="8" t="n"/>
      <c r="H129" s="8" t="n"/>
      <c r="I129" s="8" t="n"/>
      <c r="J129" s="8" t="n"/>
      <c r="K129" s="8" t="n"/>
      <c r="L129" s="8" t="n"/>
      <c r="M129" s="8" t="n"/>
      <c r="N129" s="8" t="n"/>
    </row>
    <row r="130" ht="14.45" customHeight="1">
      <c r="A130" s="11" t="inlineStr">
        <is>
          <t>A. DIRECT PERSONNEL COSTS</t>
        </is>
      </c>
      <c r="B130" s="4" t="n"/>
      <c r="C130" s="339" t="n"/>
      <c r="D130" s="340" t="n"/>
      <c r="E130" s="4" t="n"/>
      <c r="F130" s="339" t="n"/>
      <c r="G130" s="340" t="n"/>
      <c r="H130" s="8" t="n"/>
      <c r="I130" s="340" t="n"/>
      <c r="J130" s="340" t="n"/>
      <c r="K130" s="340" t="n"/>
      <c r="L130" s="340" t="n"/>
      <c r="M130" s="8" t="n"/>
      <c r="N130" s="340" t="n"/>
    </row>
    <row r="131" ht="14.45" customHeight="1">
      <c r="A131" s="7" t="inlineStr">
        <is>
          <t>A.1 Employees (or equivalent)</t>
        </is>
      </c>
      <c r="B131" s="89" t="n"/>
      <c r="C131" s="89" t="n"/>
      <c r="D131" s="89" t="n"/>
      <c r="E131" s="89" t="n"/>
      <c r="F131" s="89" t="n"/>
      <c r="G131" s="89" t="n"/>
      <c r="H131" s="8" t="n"/>
      <c r="I131" s="89" t="n"/>
      <c r="J131" s="89" t="n"/>
      <c r="K131" s="89" t="n"/>
      <c r="L131" s="89" t="n"/>
      <c r="M131" s="8" t="n"/>
      <c r="N131" s="89" t="n"/>
    </row>
    <row r="132" ht="14.45" customHeight="1">
      <c r="A132" s="36" t="inlineStr">
        <is>
          <t>SENIOR SCIENTISTS (or equivalent in the private sector)</t>
        </is>
      </c>
      <c r="B132" s="341">
        <f>'BE1'!B132+'BE2'!B132+'BE3'!B132+'BE4'!B132</f>
        <v/>
      </c>
      <c r="C132" s="228" t="n"/>
      <c r="D132" s="229">
        <f>'BE1'!D132+'BE2'!D132+'BE3'!D132+'BE4'!D132</f>
        <v/>
      </c>
      <c r="E132" s="342" t="n"/>
      <c r="F132" s="226" t="n"/>
      <c r="G132" s="225" t="n"/>
      <c r="H132" s="8" t="n"/>
      <c r="I132" s="343">
        <f>D132+G132</f>
        <v/>
      </c>
      <c r="J132" s="342">
        <f>E132+B132</f>
        <v/>
      </c>
      <c r="K132" s="225">
        <f>IF(J132&gt;0,L132/J132," ")</f>
        <v/>
      </c>
      <c r="L132" s="225">
        <f>G132+D132</f>
        <v/>
      </c>
      <c r="M132" s="8" t="n"/>
      <c r="N132" s="222">
        <f>D132+G132</f>
        <v/>
      </c>
    </row>
    <row r="133" ht="14.45" customHeight="1">
      <c r="A133" s="36" t="inlineStr">
        <is>
          <t>JUNIOR SCIENTISTS (or equivalent in the private sector)</t>
        </is>
      </c>
      <c r="B133" s="341">
        <f>'BE1'!B133+'BE2'!B133+'BE3'!B133+'BE4'!B133</f>
        <v/>
      </c>
      <c r="C133" s="228" t="n"/>
      <c r="D133" s="229">
        <f>'BE1'!D133+'BE2'!D133+'BE3'!D133+'BE4'!D133</f>
        <v/>
      </c>
      <c r="E133" s="342" t="n"/>
      <c r="F133" s="226" t="n"/>
      <c r="G133" s="225" t="n"/>
      <c r="H133" s="8" t="n"/>
      <c r="I133" s="343">
        <f>D133+G133</f>
        <v/>
      </c>
      <c r="J133" s="342">
        <f>E133+B133</f>
        <v/>
      </c>
      <c r="K133" s="225">
        <f>IF(J133&gt;0,L133/J133," ")</f>
        <v/>
      </c>
      <c r="L133" s="225">
        <f>G133+D133</f>
        <v/>
      </c>
      <c r="M133" s="8" t="n"/>
      <c r="N133" s="222">
        <f>D133+G133</f>
        <v/>
      </c>
    </row>
    <row r="134" ht="14.45" customHeight="1">
      <c r="A134" s="36" t="inlineStr">
        <is>
          <t>TECHNICAL PERSONNEL (or equivalent in the private sector)</t>
        </is>
      </c>
      <c r="B134" s="341">
        <f>'BE1'!B134+'BE2'!B134+'BE3'!B134+'BE4'!B134</f>
        <v/>
      </c>
      <c r="C134" s="228" t="n"/>
      <c r="D134" s="229">
        <f>'BE1'!D134+'BE2'!D134+'BE3'!D134+'BE4'!D134</f>
        <v/>
      </c>
      <c r="E134" s="342" t="n"/>
      <c r="F134" s="226" t="n"/>
      <c r="G134" s="225" t="n"/>
      <c r="H134" s="8" t="n"/>
      <c r="I134" s="343">
        <f>D134+G134</f>
        <v/>
      </c>
      <c r="J134" s="342">
        <f>E134+B134</f>
        <v/>
      </c>
      <c r="K134" s="225">
        <f>IF(J134&gt;0,L134/J134," ")</f>
        <v/>
      </c>
      <c r="L134" s="225">
        <f>G134+D134</f>
        <v/>
      </c>
      <c r="M134" s="8" t="n"/>
      <c r="N134" s="222">
        <f>D134+G134</f>
        <v/>
      </c>
    </row>
    <row r="135" ht="14.45" customHeight="1">
      <c r="A135" s="36" t="inlineStr">
        <is>
          <t>ADMINISTRATIVE PERSONNEL (or equivalent in the private sector)</t>
        </is>
      </c>
      <c r="B135" s="341">
        <f>'BE1'!B135+'BE2'!B135+'BE3'!B135+'BE4'!B135</f>
        <v/>
      </c>
      <c r="C135" s="228" t="n"/>
      <c r="D135" s="229">
        <f>'BE1'!D135+'BE2'!D135+'BE3'!D135+'BE4'!D135</f>
        <v/>
      </c>
      <c r="E135" s="342" t="n"/>
      <c r="F135" s="226" t="n"/>
      <c r="G135" s="225" t="n"/>
      <c r="H135" s="8" t="n"/>
      <c r="I135" s="343">
        <f>D135+G135</f>
        <v/>
      </c>
      <c r="J135" s="342">
        <f>E135+B135</f>
        <v/>
      </c>
      <c r="K135" s="225">
        <f>IF(J135&gt;0,L135/J135," ")</f>
        <v/>
      </c>
      <c r="L135" s="225">
        <f>G135+D135</f>
        <v/>
      </c>
      <c r="M135" s="8" t="n"/>
      <c r="N135" s="222">
        <f>D135+G135</f>
        <v/>
      </c>
    </row>
    <row r="136" ht="14.45" customHeight="1">
      <c r="A136" s="36" t="inlineStr">
        <is>
          <t>OTHERS</t>
        </is>
      </c>
      <c r="B136" s="341">
        <f>'BE1'!B136+'BE2'!B136+'BE3'!B136+'BE4'!B136</f>
        <v/>
      </c>
      <c r="C136" s="228" t="n"/>
      <c r="D136" s="229">
        <f>'BE1'!D136+'BE2'!D136+'BE3'!D136+'BE4'!D136</f>
        <v/>
      </c>
      <c r="E136" s="342" t="n"/>
      <c r="F136" s="226" t="n"/>
      <c r="G136" s="225" t="n"/>
      <c r="H136" s="8" t="n"/>
      <c r="I136" s="343">
        <f>D136+G136</f>
        <v/>
      </c>
      <c r="J136" s="342">
        <f>E136+B136</f>
        <v/>
      </c>
      <c r="K136" s="225">
        <f>IF(J136&gt;0,L136/J136," ")</f>
        <v/>
      </c>
      <c r="L136" s="225">
        <f>G136+D136</f>
        <v/>
      </c>
      <c r="M136" s="8" t="n"/>
      <c r="N136" s="222">
        <f>D136+G136</f>
        <v/>
      </c>
    </row>
    <row r="137" ht="14.45" customHeight="1">
      <c r="A137" s="7" t="inlineStr">
        <is>
          <t>A.2 Natural Persons under direct contract</t>
        </is>
      </c>
      <c r="B137" s="341">
        <f>'BE1'!B137+'BE2'!B137+'BE3'!B137+'BE4'!B137</f>
        <v/>
      </c>
      <c r="C137" s="228" t="n"/>
      <c r="D137" s="229">
        <f>'BE1'!D137+'BE2'!D137+'BE3'!D137+'BE4'!D137</f>
        <v/>
      </c>
      <c r="E137" s="342" t="n"/>
      <c r="F137" s="226" t="n"/>
      <c r="G137" s="225" t="n"/>
      <c r="H137" s="8" t="n"/>
      <c r="I137" s="343">
        <f>D137+G137</f>
        <v/>
      </c>
      <c r="J137" s="342">
        <f>E137+B137</f>
        <v/>
      </c>
      <c r="K137" s="225">
        <f>IF(J137&gt;0,L137/J137," ")</f>
        <v/>
      </c>
      <c r="L137" s="225">
        <f>G137+D137</f>
        <v/>
      </c>
      <c r="M137" s="8" t="n"/>
      <c r="N137" s="222">
        <f>D137+G137</f>
        <v/>
      </c>
    </row>
    <row r="138" ht="14.45" customHeight="1">
      <c r="A138" s="7" t="inlineStr">
        <is>
          <t>A.3 Seconded Persons</t>
        </is>
      </c>
      <c r="B138" s="341">
        <f>'BE1'!B138+'BE2'!B138+'BE3'!B138+'BE4'!B138</f>
        <v/>
      </c>
      <c r="C138" s="228" t="n"/>
      <c r="D138" s="229">
        <f>'BE1'!D138+'BE2'!D138+'BE3'!D138+'BE4'!D138</f>
        <v/>
      </c>
      <c r="E138" s="342" t="n"/>
      <c r="F138" s="226" t="n"/>
      <c r="G138" s="225" t="n"/>
      <c r="H138" s="8" t="n"/>
      <c r="I138" s="343">
        <f>D138+G138</f>
        <v/>
      </c>
      <c r="J138" s="342">
        <f>E138+B138</f>
        <v/>
      </c>
      <c r="K138" s="225">
        <f>IF(J138&gt;0,L138/J138," ")</f>
        <v/>
      </c>
      <c r="L138" s="225">
        <f>G138+D138</f>
        <v/>
      </c>
      <c r="M138" s="8" t="n"/>
      <c r="N138" s="222">
        <f>D138+G138</f>
        <v/>
      </c>
    </row>
    <row r="139" ht="14.45" customHeight="1">
      <c r="A139" s="7" t="inlineStr">
        <is>
          <t>A.4 SME owners and natural person beneficiaries</t>
        </is>
      </c>
      <c r="B139" s="341">
        <f>'BE1'!B139+'BE2'!B139+'BE3'!B139+'BE4'!B139</f>
        <v/>
      </c>
      <c r="C139" s="228" t="n"/>
      <c r="D139" s="229">
        <f>'BE1'!D139+'BE2'!D139+'BE3'!D139+'BE4'!D139</f>
        <v/>
      </c>
      <c r="E139" s="342" t="n"/>
      <c r="F139" s="226" t="n"/>
      <c r="G139" s="225" t="n"/>
      <c r="H139" s="8" t="n"/>
      <c r="I139" s="343">
        <f>D139+G139</f>
        <v/>
      </c>
      <c r="J139" s="342">
        <f>E139+B139</f>
        <v/>
      </c>
      <c r="K139" s="225">
        <f>IF(J139&gt;0,L139/J139," ")</f>
        <v/>
      </c>
      <c r="L139" s="225">
        <f>G139+D139</f>
        <v/>
      </c>
      <c r="M139" s="8" t="n"/>
      <c r="N139" s="222">
        <f>D139+G139</f>
        <v/>
      </c>
    </row>
    <row r="140" ht="14.45" customHeight="1">
      <c r="A140" s="11" t="inlineStr">
        <is>
          <t>B. DIRECT SUBCONTRACTING COSTS</t>
        </is>
      </c>
      <c r="B140" s="344" t="n"/>
      <c r="C140" s="227" t="n"/>
      <c r="D140" s="223" t="n"/>
      <c r="E140" s="344" t="n"/>
      <c r="F140" s="227" t="n"/>
      <c r="G140" s="223" t="n"/>
      <c r="H140" s="8" t="n"/>
      <c r="I140" s="340" t="n"/>
      <c r="J140" s="345" t="n"/>
      <c r="K140" s="223" t="n"/>
      <c r="L140" s="223" t="n"/>
      <c r="M140" s="8" t="n"/>
      <c r="N140" s="223" t="n"/>
    </row>
    <row r="141" ht="14.45" customHeight="1">
      <c r="A141" s="9" t="n"/>
      <c r="B141" s="341">
        <f>'BE1'!B141+'BE2'!B141+'BE3'!B141+'BE4'!B141</f>
        <v/>
      </c>
      <c r="C141" s="228" t="n"/>
      <c r="D141" s="229">
        <f>'BE1'!D141+'BE2'!D141+'BE3'!D141+'BE4'!D141</f>
        <v/>
      </c>
      <c r="E141" s="342" t="n"/>
      <c r="F141" s="226" t="n"/>
      <c r="G141" s="225" t="n"/>
      <c r="H141" s="8" t="n"/>
      <c r="I141" s="343">
        <f>D141+G141</f>
        <v/>
      </c>
      <c r="J141" s="342">
        <f>E141+B141</f>
        <v/>
      </c>
      <c r="K141" s="225">
        <f>IF(J141&gt;0,L141/J141," ")</f>
        <v/>
      </c>
      <c r="L141" s="225">
        <f>G141+D141</f>
        <v/>
      </c>
      <c r="M141" s="8" t="n"/>
      <c r="N141" s="222">
        <f>D141+G141</f>
        <v/>
      </c>
    </row>
    <row r="142" ht="14.45" customHeight="1">
      <c r="A142" s="11" t="inlineStr">
        <is>
          <t>C. DIRECT PURCHASE COSTS</t>
        </is>
      </c>
      <c r="B142" s="344" t="n"/>
      <c r="C142" s="227" t="n"/>
      <c r="D142" s="223" t="n"/>
      <c r="E142" s="344" t="n"/>
      <c r="F142" s="227" t="n"/>
      <c r="G142" s="223" t="n"/>
      <c r="H142" s="8" t="n"/>
      <c r="I142" s="340" t="n"/>
      <c r="J142" s="345" t="n"/>
      <c r="K142" s="223" t="n"/>
      <c r="L142" s="223" t="n"/>
      <c r="M142" s="8" t="n"/>
      <c r="N142" s="223" t="n"/>
    </row>
    <row r="143" ht="14.45" customHeight="1">
      <c r="A143" s="39" t="inlineStr">
        <is>
          <t>C.1 Travel and subsistence</t>
        </is>
      </c>
      <c r="B143" s="341">
        <f>'BE1'!B143+'BE2'!B143+'BE3'!B143+'BE4'!B143</f>
        <v/>
      </c>
      <c r="C143" s="228" t="n"/>
      <c r="D143" s="229">
        <f>'BE1'!D143+'BE2'!D143+'BE3'!D143+'BE4'!D143</f>
        <v/>
      </c>
      <c r="E143" s="342" t="n"/>
      <c r="F143" s="226" t="n"/>
      <c r="G143" s="225" t="n"/>
      <c r="H143" s="8" t="n"/>
      <c r="I143" s="343">
        <f>D143+G143</f>
        <v/>
      </c>
      <c r="J143" s="342">
        <f>E143+B143</f>
        <v/>
      </c>
      <c r="K143" s="225">
        <f>IF(J143&gt;0,L143/J143," ")</f>
        <v/>
      </c>
      <c r="L143" s="225">
        <f>G143+D143</f>
        <v/>
      </c>
      <c r="M143" s="8" t="n"/>
      <c r="N143" s="222">
        <f>D143+G143</f>
        <v/>
      </c>
    </row>
    <row r="144" ht="14.45" customHeight="1">
      <c r="A144" s="7" t="inlineStr">
        <is>
          <t>C.2 Equipment (complete 'Depreciation cost' sheet)</t>
        </is>
      </c>
      <c r="B144" s="346" t="n"/>
      <c r="C144" s="160" t="n"/>
      <c r="D144" s="160" t="n"/>
      <c r="E144" s="346" t="n"/>
      <c r="F144" s="160" t="n"/>
      <c r="G144" s="160" t="n"/>
      <c r="H144" s="8" t="n"/>
      <c r="I144" s="89" t="n"/>
      <c r="J144" s="346" t="n"/>
      <c r="K144" s="160" t="n"/>
      <c r="L144" s="160" t="n"/>
      <c r="M144" s="8" t="n"/>
      <c r="N144" s="160" t="n"/>
    </row>
    <row r="145" ht="14.45" customHeight="1">
      <c r="A145" s="37" t="inlineStr">
        <is>
          <t>Equipment</t>
        </is>
      </c>
      <c r="B145" s="341">
        <f>'BE1'!B145+'BE2'!B145+'BE3'!B145+'BE4'!B145</f>
        <v/>
      </c>
      <c r="C145" s="228" t="n"/>
      <c r="D145" s="229">
        <f>'BE1'!D145+'BE2'!D145+'BE3'!D145+'BE4'!D145</f>
        <v/>
      </c>
      <c r="E145" s="342" t="n"/>
      <c r="F145" s="226" t="n"/>
      <c r="G145" s="225" t="n"/>
      <c r="H145" s="8" t="n"/>
      <c r="I145" s="343">
        <f>D145+G145</f>
        <v/>
      </c>
      <c r="J145" s="342">
        <f>E145+B145</f>
        <v/>
      </c>
      <c r="K145" s="225">
        <f>IF(J145&gt;0,L145/J145," ")</f>
        <v/>
      </c>
      <c r="L145" s="225">
        <f>G145+D145</f>
        <v/>
      </c>
      <c r="M145" s="8" t="n"/>
      <c r="N145" s="222">
        <f>D145+G145</f>
        <v/>
      </c>
    </row>
    <row r="146" ht="14.45" customHeight="1">
      <c r="A146" s="37" t="inlineStr">
        <is>
          <t>Infrastructure</t>
        </is>
      </c>
      <c r="B146" s="341">
        <f>'BE1'!B146+'BE2'!B146+'BE3'!B146+'BE4'!B146</f>
        <v/>
      </c>
      <c r="C146" s="228" t="n"/>
      <c r="D146" s="229">
        <f>'BE1'!D146+'BE2'!D146+'BE3'!D146+'BE4'!D146</f>
        <v/>
      </c>
      <c r="E146" s="342" t="n"/>
      <c r="F146" s="226" t="n"/>
      <c r="G146" s="225" t="n"/>
      <c r="H146" s="8" t="n"/>
      <c r="I146" s="343">
        <f>D146+G146</f>
        <v/>
      </c>
      <c r="J146" s="342">
        <f>E146+B146</f>
        <v/>
      </c>
      <c r="K146" s="225">
        <f>IF(J146&gt;0,L146/J146," ")</f>
        <v/>
      </c>
      <c r="L146" s="225">
        <f>G146+D146</f>
        <v/>
      </c>
      <c r="M146" s="8" t="n"/>
      <c r="N146" s="222">
        <f>D146+G146</f>
        <v/>
      </c>
    </row>
    <row r="147" ht="14.45" customHeight="1">
      <c r="A147" s="37" t="inlineStr">
        <is>
          <t>Other assets</t>
        </is>
      </c>
      <c r="B147" s="341">
        <f>'BE1'!B147+'BE2'!B147+'BE3'!B147+'BE4'!B147</f>
        <v/>
      </c>
      <c r="C147" s="228" t="n"/>
      <c r="D147" s="229">
        <f>'BE1'!D147+'BE2'!D147+'BE3'!D147+'BE4'!D147</f>
        <v/>
      </c>
      <c r="E147" s="342" t="n"/>
      <c r="F147" s="226" t="n"/>
      <c r="G147" s="225" t="n"/>
      <c r="H147" s="8" t="n"/>
      <c r="I147" s="343">
        <f>D147+G147</f>
        <v/>
      </c>
      <c r="J147" s="342">
        <f>E147+B147</f>
        <v/>
      </c>
      <c r="K147" s="225">
        <f>IF(J147&gt;0,L147/J147," ")</f>
        <v/>
      </c>
      <c r="L147" s="225">
        <f>G147+D147</f>
        <v/>
      </c>
      <c r="M147" s="8" t="n"/>
      <c r="N147" s="222">
        <f>D147+G147</f>
        <v/>
      </c>
    </row>
    <row r="148" ht="14.45" customHeight="1">
      <c r="A148" s="7" t="inlineStr">
        <is>
          <t>C.3 Other goods, works and services</t>
        </is>
      </c>
      <c r="B148" s="346" t="n"/>
      <c r="C148" s="160" t="n"/>
      <c r="D148" s="160" t="n"/>
      <c r="E148" s="346" t="n"/>
      <c r="F148" s="160" t="n"/>
      <c r="G148" s="160" t="n"/>
      <c r="H148" s="8" t="n"/>
      <c r="I148" s="89" t="n"/>
      <c r="J148" s="346" t="n"/>
      <c r="K148" s="160" t="n"/>
      <c r="L148" s="160" t="n"/>
      <c r="M148" s="8" t="n"/>
      <c r="N148" s="160" t="n"/>
    </row>
    <row r="149" ht="14.45" customHeight="1">
      <c r="A149" s="37" t="inlineStr">
        <is>
          <t>Consumables</t>
        </is>
      </c>
      <c r="B149" s="341">
        <f>'BE1'!B149+'BE2'!B149+'BE3'!B149+'BE4'!B149</f>
        <v/>
      </c>
      <c r="C149" s="228" t="n"/>
      <c r="D149" s="229">
        <f>'BE1'!D149+'BE2'!D149+'BE3'!D149+'BE4'!D149</f>
        <v/>
      </c>
      <c r="E149" s="342" t="n"/>
      <c r="F149" s="226" t="n"/>
      <c r="G149" s="225" t="n"/>
      <c r="H149" s="8" t="n"/>
      <c r="I149" s="343">
        <f>D149+G149</f>
        <v/>
      </c>
      <c r="J149" s="342">
        <f>E149+B149</f>
        <v/>
      </c>
      <c r="K149" s="225">
        <f>IF(J149&gt;0,L149/J149," ")</f>
        <v/>
      </c>
      <c r="L149" s="225">
        <f>G149+D149</f>
        <v/>
      </c>
      <c r="M149" s="8" t="n"/>
      <c r="N149" s="222">
        <f>D149+G149</f>
        <v/>
      </c>
    </row>
    <row r="150" ht="14.45" customHeight="1">
      <c r="A150" s="37" t="inlineStr">
        <is>
          <t>Services for meetings, seminars</t>
        </is>
      </c>
      <c r="B150" s="341">
        <f>'BE1'!B150+'BE2'!B150+'BE3'!B150+'BE4'!B150</f>
        <v/>
      </c>
      <c r="C150" s="228" t="n"/>
      <c r="D150" s="229">
        <f>'BE1'!D150+'BE2'!D150+'BE3'!D150+'BE4'!D150</f>
        <v/>
      </c>
      <c r="E150" s="342" t="n"/>
      <c r="F150" s="226" t="n"/>
      <c r="G150" s="225" t="n"/>
      <c r="H150" s="8" t="n"/>
      <c r="I150" s="343">
        <f>D150+G150</f>
        <v/>
      </c>
      <c r="J150" s="342">
        <f>E150+B150</f>
        <v/>
      </c>
      <c r="K150" s="225">
        <f>IF(J150&gt;0,L150/J150," ")</f>
        <v/>
      </c>
      <c r="L150" s="225">
        <f>G150+D150</f>
        <v/>
      </c>
      <c r="M150" s="8" t="n"/>
      <c r="N150" s="222">
        <f>D150+G150</f>
        <v/>
      </c>
    </row>
    <row r="151" ht="14.45" customHeight="1">
      <c r="A151" s="37" t="inlineStr">
        <is>
          <t>Services for dissemination activities (including website)</t>
        </is>
      </c>
      <c r="B151" s="341">
        <f>'BE1'!B151+'BE2'!B151+'BE3'!B151+'BE4'!B151</f>
        <v/>
      </c>
      <c r="C151" s="228" t="n"/>
      <c r="D151" s="229">
        <f>'BE1'!D151+'BE2'!D151+'BE3'!D151+'BE4'!D151</f>
        <v/>
      </c>
      <c r="E151" s="342" t="n"/>
      <c r="F151" s="226" t="n"/>
      <c r="G151" s="225" t="n"/>
      <c r="H151" s="8" t="n"/>
      <c r="I151" s="343">
        <f>D151+G151</f>
        <v/>
      </c>
      <c r="J151" s="342">
        <f>E151+B151</f>
        <v/>
      </c>
      <c r="K151" s="225">
        <f>IF(J151&gt;0,L151/J151," ")</f>
        <v/>
      </c>
      <c r="L151" s="225">
        <f>G151+D151</f>
        <v/>
      </c>
      <c r="M151" s="8" t="n"/>
      <c r="N151" s="222">
        <f>D151+G151</f>
        <v/>
      </c>
    </row>
    <row r="152" ht="14.45" customHeight="1">
      <c r="A152" s="37" t="inlineStr">
        <is>
          <t>Publication fees</t>
        </is>
      </c>
      <c r="B152" s="341">
        <f>'BE1'!B152+'BE2'!B152+'BE3'!B152+'BE4'!B152</f>
        <v/>
      </c>
      <c r="C152" s="228" t="n"/>
      <c r="D152" s="229">
        <f>'BE1'!D152+'BE2'!D152+'BE3'!D152+'BE4'!D152</f>
        <v/>
      </c>
      <c r="E152" s="342" t="n"/>
      <c r="F152" s="226" t="n"/>
      <c r="G152" s="225" t="n"/>
      <c r="H152" s="8" t="n"/>
      <c r="I152" s="343">
        <f>D152+G152</f>
        <v/>
      </c>
      <c r="J152" s="342">
        <f>E152+B152</f>
        <v/>
      </c>
      <c r="K152" s="225">
        <f>IF(J152&gt;0,L152/J152," ")</f>
        <v/>
      </c>
      <c r="L152" s="225">
        <f>G152+D152</f>
        <v/>
      </c>
      <c r="M152" s="8" t="n"/>
      <c r="N152" s="222">
        <f>D152+G152</f>
        <v/>
      </c>
    </row>
    <row r="153" ht="14.45" customHeight="1">
      <c r="A153" s="37" t="inlineStr">
        <is>
          <t>Other (shipment,insurance, translation, etc.)</t>
        </is>
      </c>
      <c r="B153" s="341">
        <f>'BE1'!B153+'BE2'!B153+'BE3'!B153+'BE4'!B153</f>
        <v/>
      </c>
      <c r="C153" s="228" t="n"/>
      <c r="D153" s="229">
        <f>'BE1'!D153+'BE2'!D153+'BE3'!D153+'BE4'!D153</f>
        <v/>
      </c>
      <c r="E153" s="342" t="n"/>
      <c r="F153" s="226" t="n"/>
      <c r="G153" s="225" t="n"/>
      <c r="H153" s="8" t="n"/>
      <c r="I153" s="343">
        <f>D153+G153</f>
        <v/>
      </c>
      <c r="J153" s="342">
        <f>E153+B153</f>
        <v/>
      </c>
      <c r="K153" s="225">
        <f>IF(J153&gt;0,L153/J153," ")</f>
        <v/>
      </c>
      <c r="L153" s="225">
        <f>G153+D153</f>
        <v/>
      </c>
      <c r="M153" s="8" t="n"/>
      <c r="N153" s="222">
        <f>D153+G153</f>
        <v/>
      </c>
    </row>
    <row r="154" ht="14.45" customHeight="1">
      <c r="A154" s="6" t="inlineStr">
        <is>
          <t>D. OTHER COST CATEGORIES</t>
        </is>
      </c>
      <c r="B154" s="344" t="n"/>
      <c r="C154" s="227" t="n"/>
      <c r="D154" s="223" t="n"/>
      <c r="E154" s="344" t="n"/>
      <c r="F154" s="227" t="n"/>
      <c r="G154" s="223" t="n"/>
      <c r="H154" s="8" t="n"/>
      <c r="I154" s="340" t="n"/>
      <c r="J154" s="345" t="n"/>
      <c r="K154" s="223" t="n"/>
      <c r="L154" s="223" t="n"/>
      <c r="M154" s="8" t="n"/>
      <c r="N154" s="223" t="n"/>
    </row>
    <row r="155" ht="14.45" customHeight="1">
      <c r="A155" s="40" t="inlineStr">
        <is>
          <t>D.1 Financial support to third parties (if applicable in the topic specific conditions)</t>
        </is>
      </c>
      <c r="B155" s="341">
        <f>'BE1'!B155+'BE2'!B155+'BE3'!B155+'BE4'!B155</f>
        <v/>
      </c>
      <c r="C155" s="228" t="n"/>
      <c r="D155" s="229">
        <f>'BE1'!D155+'BE2'!D155+'BE3'!D155+'BE4'!D155</f>
        <v/>
      </c>
      <c r="E155" s="342" t="n"/>
      <c r="F155" s="226" t="n"/>
      <c r="G155" s="225" t="n"/>
      <c r="H155" s="8" t="n"/>
      <c r="I155" s="343">
        <f>D155+G155</f>
        <v/>
      </c>
      <c r="J155" s="342">
        <f>E155+B155</f>
        <v/>
      </c>
      <c r="K155" s="225">
        <f>IF(J155&gt;0,L155/J155," ")</f>
        <v/>
      </c>
      <c r="L155" s="225">
        <f>G155+D155</f>
        <v/>
      </c>
      <c r="M155" s="8" t="n"/>
      <c r="N155" s="222">
        <f>D155+G155</f>
        <v/>
      </c>
    </row>
    <row r="156" ht="14.45" customHeight="1">
      <c r="A156" s="39" t="inlineStr">
        <is>
          <t>D.2 Internally invoiced goods and services</t>
        </is>
      </c>
      <c r="B156" s="341">
        <f>'BE1'!B156+'BE2'!B156+'BE3'!B156+'BE4'!B156</f>
        <v/>
      </c>
      <c r="C156" s="228" t="n"/>
      <c r="D156" s="229">
        <f>'BE1'!D156+'BE2'!D156+'BE3'!D156+'BE4'!D156</f>
        <v/>
      </c>
      <c r="E156" s="342" t="n"/>
      <c r="F156" s="226" t="n"/>
      <c r="G156" s="225" t="n"/>
      <c r="H156" s="8" t="n"/>
      <c r="I156" s="343">
        <f>D156+G156</f>
        <v/>
      </c>
      <c r="J156" s="342">
        <f>E156+B156</f>
        <v/>
      </c>
      <c r="K156" s="225">
        <f>IF(J156&gt;0,L156/J156," ")</f>
        <v/>
      </c>
      <c r="L156" s="225">
        <f>G156+D156</f>
        <v/>
      </c>
      <c r="M156" s="8" t="n"/>
      <c r="N156" s="222">
        <f>D156+G156</f>
        <v/>
      </c>
    </row>
    <row r="157" ht="14.45" customHeight="1">
      <c r="A157" s="39" t="inlineStr">
        <is>
          <t>D.3 Transnational access to research infrastructure unit costs (if required in the topic specific conditions)</t>
        </is>
      </c>
      <c r="B157" s="341">
        <f>'BE1'!B157+'BE2'!B157+'BE3'!B157+'BE4'!B157</f>
        <v/>
      </c>
      <c r="C157" s="228" t="n"/>
      <c r="D157" s="229">
        <f>'BE1'!D157+'BE2'!D157+'BE3'!D157+'BE4'!D157</f>
        <v/>
      </c>
      <c r="E157" s="342" t="n"/>
      <c r="F157" s="226" t="n"/>
      <c r="G157" s="225" t="n"/>
      <c r="H157" s="8" t="n"/>
      <c r="I157" s="343">
        <f>D157+G157</f>
        <v/>
      </c>
      <c r="J157" s="342">
        <f>E157+B157</f>
        <v/>
      </c>
      <c r="K157" s="225">
        <f>IF(J157&gt;0,L157/J157," ")</f>
        <v/>
      </c>
      <c r="L157" s="225">
        <f>G157+D157</f>
        <v/>
      </c>
      <c r="M157" s="8" t="n"/>
      <c r="N157" s="222">
        <f>D157+G157</f>
        <v/>
      </c>
    </row>
    <row r="158" ht="14.45" customHeight="1">
      <c r="A158" s="39" t="inlineStr">
        <is>
          <t>D.4 Virtual access to research infrastructure unit costs (if required in the topic specific conditions)</t>
        </is>
      </c>
      <c r="B158" s="341">
        <f>'BE1'!B158+'BE2'!B158+'BE3'!B158+'BE4'!B158</f>
        <v/>
      </c>
      <c r="C158" s="228" t="n"/>
      <c r="D158" s="229">
        <f>'BE1'!D158+'BE2'!D158+'BE3'!D158+'BE4'!D158</f>
        <v/>
      </c>
      <c r="E158" s="342" t="n"/>
      <c r="F158" s="226" t="n"/>
      <c r="G158" s="225" t="n"/>
      <c r="H158" s="8" t="n"/>
      <c r="I158" s="343">
        <f>D158+G158</f>
        <v/>
      </c>
      <c r="J158" s="342">
        <f>E158+B158</f>
        <v/>
      </c>
      <c r="K158" s="225">
        <f>IF(J158&gt;0,L158/J158," ")</f>
        <v/>
      </c>
      <c r="L158" s="225">
        <f>G158+D158</f>
        <v/>
      </c>
      <c r="M158" s="8" t="n"/>
      <c r="N158" s="222">
        <f>D158+G158</f>
        <v/>
      </c>
    </row>
    <row r="159" ht="14.45" customHeight="1">
      <c r="A159" s="39" t="inlineStr">
        <is>
          <t>D.5 PCP/PPI procurement costs (if mentioned as eligible in the topic specific conditions)</t>
        </is>
      </c>
      <c r="B159" s="341">
        <f>'BE1'!B159+'BE2'!B159+'BE3'!B159+'BE4'!B159</f>
        <v/>
      </c>
      <c r="C159" s="228" t="n"/>
      <c r="D159" s="229">
        <f>'BE1'!D159+'BE2'!D159+'BE3'!D159+'BE4'!D159</f>
        <v/>
      </c>
      <c r="E159" s="342" t="n"/>
      <c r="F159" s="226" t="n"/>
      <c r="G159" s="225" t="n"/>
      <c r="H159" s="8" t="n"/>
      <c r="I159" s="343">
        <f>D159+G159</f>
        <v/>
      </c>
      <c r="J159" s="342">
        <f>E159+B159</f>
        <v/>
      </c>
      <c r="K159" s="225">
        <f>IF(J159&gt;0,L159/J159," ")</f>
        <v/>
      </c>
      <c r="L159" s="225">
        <f>G159+D159</f>
        <v/>
      </c>
      <c r="M159" s="8" t="n"/>
      <c r="N159" s="222">
        <f>D159+G159</f>
        <v/>
      </c>
    </row>
    <row r="160" ht="14.45" customHeight="1">
      <c r="A160" s="26" t="n"/>
      <c r="B160" s="346" t="n"/>
      <c r="C160" s="160" t="n"/>
      <c r="D160" s="160" t="n"/>
      <c r="E160" s="346" t="n"/>
      <c r="F160" s="160" t="n"/>
      <c r="G160" s="160" t="n"/>
      <c r="H160" s="8" t="n"/>
      <c r="I160" s="89" t="n"/>
      <c r="J160" s="346" t="n"/>
      <c r="K160" s="160" t="n"/>
      <c r="L160" s="160" t="n"/>
      <c r="M160" s="8" t="n"/>
      <c r="N160" s="160" t="n"/>
    </row>
    <row r="161" ht="14.45" customHeight="1">
      <c r="A161" s="41" t="inlineStr">
        <is>
          <t>TOTAL DIRECT PERSONNEL COSTS AND PURCHASE COSTS (A+C)</t>
        </is>
      </c>
      <c r="B161" s="347" t="n"/>
      <c r="C161" s="224" t="n"/>
      <c r="D161" s="224">
        <f>'BE1'!D161+'BE2'!D161+'BE3'!D161+'BE4'!D161</f>
        <v/>
      </c>
      <c r="E161" s="347" t="n"/>
      <c r="F161" s="224" t="n"/>
      <c r="G161" s="224" t="n"/>
      <c r="H161" s="8" t="n"/>
      <c r="I161" s="348">
        <f>SUM(I132:I139,I143:I153)</f>
        <v/>
      </c>
      <c r="J161" s="347" t="n"/>
      <c r="K161" s="224" t="n"/>
      <c r="L161" s="224">
        <f>SUM(L132:L139,L143:L153)</f>
        <v/>
      </c>
      <c r="M161" s="8" t="n"/>
      <c r="N161" s="224">
        <f>SUM(N132:N139,N143:N153)</f>
        <v/>
      </c>
    </row>
    <row r="162" ht="14.45" customHeight="1">
      <c r="A162" s="41" t="inlineStr">
        <is>
          <t>TOTAL DIRECT COSTS  (A+B+C+D)</t>
        </is>
      </c>
      <c r="B162" s="347" t="n"/>
      <c r="C162" s="224" t="n"/>
      <c r="D162" s="224">
        <f>'BE1'!D162+'BE2'!D162+'BE3'!D162+'BE4'!D162</f>
        <v/>
      </c>
      <c r="E162" s="347" t="n"/>
      <c r="F162" s="224" t="n"/>
      <c r="G162" s="224" t="n"/>
      <c r="H162" s="8" t="n"/>
      <c r="I162" s="348">
        <f>SUM(I132:I159)</f>
        <v/>
      </c>
      <c r="J162" s="347" t="n"/>
      <c r="K162" s="224" t="n"/>
      <c r="L162" s="224">
        <f>SUM(L132:L159)</f>
        <v/>
      </c>
      <c r="M162" s="8" t="n"/>
      <c r="N162" s="224">
        <f>SUM(N132:N159)</f>
        <v/>
      </c>
    </row>
    <row r="163" ht="6.95" customHeight="1">
      <c r="A163" s="8" t="n"/>
      <c r="B163" s="349" t="n"/>
      <c r="C163" s="134" t="n"/>
      <c r="D163" s="134" t="n"/>
      <c r="E163" s="349" t="n"/>
      <c r="F163" s="134" t="n"/>
      <c r="G163" s="134" t="n"/>
      <c r="H163" s="8" t="n"/>
      <c r="I163" s="8" t="n"/>
      <c r="J163" s="349" t="n"/>
      <c r="K163" s="134" t="n"/>
      <c r="L163" s="134" t="n"/>
      <c r="M163" s="8" t="n"/>
      <c r="N163" s="134" t="n"/>
    </row>
    <row r="164" ht="14.45" customHeight="1">
      <c r="A164" s="11" t="inlineStr">
        <is>
          <t>E. INDIRECT COSTS (25% * (A+C))</t>
        </is>
      </c>
      <c r="B164" s="347" t="n"/>
      <c r="C164" s="224" t="n"/>
      <c r="D164" s="224">
        <f>'BE1'!D164+'BE2'!D164+'BE3'!D164+'BE4'!D164</f>
        <v/>
      </c>
      <c r="E164" s="347" t="n"/>
      <c r="F164" s="224" t="n"/>
      <c r="G164" s="224" t="n"/>
      <c r="H164" s="8" t="n"/>
      <c r="I164" s="348">
        <f>+I161*0.25</f>
        <v/>
      </c>
      <c r="J164" s="347" t="n"/>
      <c r="K164" s="224" t="n"/>
      <c r="L164" s="224">
        <f>+L161*0.25</f>
        <v/>
      </c>
      <c r="M164" s="8" t="n"/>
      <c r="N164" s="224">
        <f>+N161*0.25</f>
        <v/>
      </c>
    </row>
    <row r="165" ht="6.95" customHeight="1">
      <c r="A165" s="8" t="n"/>
      <c r="B165" s="349" t="n"/>
      <c r="C165" s="134" t="n"/>
      <c r="D165" s="134" t="n"/>
      <c r="E165" s="349" t="n"/>
      <c r="F165" s="134" t="n"/>
      <c r="G165" s="134" t="n"/>
      <c r="H165" s="8" t="n"/>
      <c r="I165" s="8" t="n"/>
      <c r="J165" s="349" t="n"/>
      <c r="K165" s="134" t="n"/>
      <c r="L165" s="134" t="n"/>
      <c r="M165" s="8" t="n"/>
      <c r="N165" s="134" t="n"/>
    </row>
    <row r="166" ht="14.45" customHeight="1">
      <c r="A166" s="11" t="inlineStr">
        <is>
          <t>F. TOTAL COSTS (A+B+C+D+E)</t>
        </is>
      </c>
      <c r="B166" s="347" t="n"/>
      <c r="C166" s="224" t="n"/>
      <c r="D166" s="224">
        <f>'BE1'!D166+'BE2'!D166+'BE3'!D166+'BE4'!D166</f>
        <v/>
      </c>
      <c r="E166" s="347" t="n"/>
      <c r="F166" s="224" t="n"/>
      <c r="G166" s="224" t="n"/>
      <c r="H166" s="8" t="n"/>
      <c r="I166" s="348">
        <f>I162+I164</f>
        <v/>
      </c>
      <c r="J166" s="347" t="n"/>
      <c r="K166" s="224" t="n"/>
      <c r="L166" s="224">
        <f>L162+L164</f>
        <v/>
      </c>
      <c r="M166" s="8" t="n"/>
      <c r="N166" s="224">
        <f>N162+N164</f>
        <v/>
      </c>
    </row>
    <row r="167" ht="6.95" customHeight="1">
      <c r="A167" s="8" t="n"/>
      <c r="B167" s="8" t="n"/>
      <c r="C167" s="8" t="n"/>
      <c r="D167" s="8" t="n"/>
      <c r="E167" s="8" t="n"/>
      <c r="F167" s="8" t="n"/>
      <c r="G167" s="8" t="n"/>
      <c r="H167" s="8" t="n"/>
      <c r="I167" s="8" t="n"/>
      <c r="J167" s="8" t="n"/>
      <c r="K167" s="8" t="n"/>
      <c r="L167" s="8" t="n"/>
      <c r="M167" s="8" t="n"/>
      <c r="N167" s="8" t="n"/>
    </row>
    <row r="168" ht="14.45" customHeight="1">
      <c r="A168" s="209" t="n"/>
      <c r="B168" s="207" t="n"/>
      <c r="C168" s="209" t="n"/>
      <c r="D168" s="208" t="n"/>
      <c r="E168" s="207" t="n"/>
      <c r="F168" s="209" t="n"/>
      <c r="G168" s="208" t="n"/>
      <c r="H168" s="208" t="n"/>
      <c r="I168" s="208" t="n"/>
      <c r="J168" s="208" t="n"/>
      <c r="K168" s="208" t="n"/>
      <c r="L168" s="208" t="n"/>
      <c r="M168" s="209" t="n"/>
      <c r="N168" s="210" t="n"/>
    </row>
    <row r="169" ht="21" customHeight="1">
      <c r="A169" s="301" t="inlineStr">
        <is>
          <t>COSTS WORK PACKAGE 5: Deployment, Operation and Validation Campaign</t>
        </is>
      </c>
      <c r="B169" s="337" t="n"/>
      <c r="C169" s="337" t="n"/>
      <c r="D169" s="337" t="n"/>
      <c r="E169" s="337" t="n"/>
      <c r="F169" s="337" t="n"/>
      <c r="G169" s="337" t="n"/>
      <c r="H169" s="337" t="n"/>
      <c r="I169" s="337" t="n"/>
      <c r="J169" s="337" t="n"/>
      <c r="K169" s="337" t="n"/>
      <c r="L169" s="337" t="n"/>
      <c r="M169" s="337" t="n"/>
      <c r="N169" s="338" t="n"/>
    </row>
    <row r="170" ht="6.95" customHeight="1">
      <c r="A170" s="8" t="n"/>
      <c r="B170" s="8" t="n"/>
      <c r="C170" s="8" t="n"/>
      <c r="D170" s="8" t="n"/>
      <c r="E170" s="8" t="n"/>
      <c r="F170" s="8" t="n"/>
      <c r="G170" s="8" t="n"/>
      <c r="H170" s="8" t="n"/>
      <c r="I170" s="8" t="n"/>
      <c r="J170" s="8" t="n"/>
      <c r="K170" s="8" t="n"/>
      <c r="L170" s="8" t="n"/>
      <c r="M170" s="8" t="n"/>
      <c r="N170" s="8" t="n"/>
    </row>
    <row r="171" ht="14.45" customHeight="1">
      <c r="A171" s="11" t="inlineStr">
        <is>
          <t>A. DIRECT PERSONNEL COSTS</t>
        </is>
      </c>
      <c r="B171" s="4" t="n"/>
      <c r="C171" s="339" t="n"/>
      <c r="D171" s="340" t="n"/>
      <c r="E171" s="4" t="n"/>
      <c r="F171" s="339" t="n"/>
      <c r="G171" s="340" t="n"/>
      <c r="H171" s="8" t="n"/>
      <c r="I171" s="340" t="n"/>
      <c r="J171" s="340" t="n"/>
      <c r="K171" s="340" t="n"/>
      <c r="L171" s="340" t="n"/>
      <c r="M171" s="8" t="n"/>
      <c r="N171" s="340" t="n"/>
    </row>
    <row r="172" ht="14.45" customHeight="1">
      <c r="A172" s="7" t="inlineStr">
        <is>
          <t>A.1 Employees (or equivalent)</t>
        </is>
      </c>
      <c r="B172" s="89" t="n"/>
      <c r="C172" s="89" t="n"/>
      <c r="D172" s="89" t="n"/>
      <c r="E172" s="89" t="n"/>
      <c r="F172" s="89" t="n"/>
      <c r="G172" s="89" t="n"/>
      <c r="H172" s="8" t="n"/>
      <c r="I172" s="89" t="n"/>
      <c r="J172" s="89" t="n"/>
      <c r="K172" s="89" t="n"/>
      <c r="L172" s="89" t="n"/>
      <c r="M172" s="8" t="n"/>
      <c r="N172" s="89" t="n"/>
    </row>
    <row r="173" ht="14.45" customHeight="1">
      <c r="A173" s="36" t="inlineStr">
        <is>
          <t>SENIOR SCIENTISTS (or equivalent in the private sector)</t>
        </is>
      </c>
      <c r="B173" s="341">
        <f>'BE1'!B173+'BE2'!B173+'BE3'!B173+'BE4'!B173</f>
        <v/>
      </c>
      <c r="C173" s="228" t="n"/>
      <c r="D173" s="229">
        <f>'BE1'!D173+'BE2'!D173+'BE3'!D173+'BE4'!D173</f>
        <v/>
      </c>
      <c r="E173" s="342" t="n"/>
      <c r="F173" s="226" t="n"/>
      <c r="G173" s="225" t="n"/>
      <c r="H173" s="8" t="n"/>
      <c r="I173" s="343">
        <f>D173+G173</f>
        <v/>
      </c>
      <c r="J173" s="342">
        <f>E173+B173</f>
        <v/>
      </c>
      <c r="K173" s="225">
        <f>IF(J173&gt;0,L173/J173," ")</f>
        <v/>
      </c>
      <c r="L173" s="225">
        <f>G173+D173</f>
        <v/>
      </c>
      <c r="M173" s="8" t="n"/>
      <c r="N173" s="222">
        <f>D173+G173</f>
        <v/>
      </c>
    </row>
    <row r="174" ht="14.45" customHeight="1">
      <c r="A174" s="36" t="inlineStr">
        <is>
          <t>JUNIOR SCIENTISTS (or equivalent in the private sector)</t>
        </is>
      </c>
      <c r="B174" s="341">
        <f>'BE1'!B174+'BE2'!B174+'BE3'!B174+'BE4'!B174</f>
        <v/>
      </c>
      <c r="C174" s="228" t="n"/>
      <c r="D174" s="229">
        <f>'BE1'!D174+'BE2'!D174+'BE3'!D174+'BE4'!D174</f>
        <v/>
      </c>
      <c r="E174" s="342" t="n"/>
      <c r="F174" s="226" t="n"/>
      <c r="G174" s="225" t="n"/>
      <c r="H174" s="8" t="n"/>
      <c r="I174" s="343">
        <f>D174+G174</f>
        <v/>
      </c>
      <c r="J174" s="342">
        <f>E174+B174</f>
        <v/>
      </c>
      <c r="K174" s="225">
        <f>IF(J174&gt;0,L174/J174," ")</f>
        <v/>
      </c>
      <c r="L174" s="225">
        <f>G174+D174</f>
        <v/>
      </c>
      <c r="M174" s="8" t="n"/>
      <c r="N174" s="222">
        <f>D174+G174</f>
        <v/>
      </c>
    </row>
    <row r="175" ht="14.45" customHeight="1">
      <c r="A175" s="36" t="inlineStr">
        <is>
          <t>TECHNICAL PERSONNEL (or equivalent in the private sector)</t>
        </is>
      </c>
      <c r="B175" s="341">
        <f>'BE1'!B175+'BE2'!B175+'BE3'!B175+'BE4'!B175</f>
        <v/>
      </c>
      <c r="C175" s="228" t="n"/>
      <c r="D175" s="229">
        <f>'BE1'!D175+'BE2'!D175+'BE3'!D175+'BE4'!D175</f>
        <v/>
      </c>
      <c r="E175" s="342" t="n"/>
      <c r="F175" s="226" t="n"/>
      <c r="G175" s="225" t="n"/>
      <c r="H175" s="8" t="n"/>
      <c r="I175" s="343">
        <f>D175+G175</f>
        <v/>
      </c>
      <c r="J175" s="342">
        <f>E175+B175</f>
        <v/>
      </c>
      <c r="K175" s="225">
        <f>IF(J175&gt;0,L175/J175," ")</f>
        <v/>
      </c>
      <c r="L175" s="225">
        <f>G175+D175</f>
        <v/>
      </c>
      <c r="M175" s="8" t="n"/>
      <c r="N175" s="222">
        <f>D175+G175</f>
        <v/>
      </c>
    </row>
    <row r="176" ht="14.45" customHeight="1">
      <c r="A176" s="36" t="inlineStr">
        <is>
          <t>ADMINISTRATIVE PERSONNEL (or equivalent in the private sector)</t>
        </is>
      </c>
      <c r="B176" s="341">
        <f>'BE1'!B176+'BE2'!B176+'BE3'!B176+'BE4'!B176</f>
        <v/>
      </c>
      <c r="C176" s="228" t="n"/>
      <c r="D176" s="229">
        <f>'BE1'!D176+'BE2'!D176+'BE3'!D176+'BE4'!D176</f>
        <v/>
      </c>
      <c r="E176" s="342" t="n"/>
      <c r="F176" s="226" t="n"/>
      <c r="G176" s="225" t="n"/>
      <c r="H176" s="8" t="n"/>
      <c r="I176" s="343">
        <f>D176+G176</f>
        <v/>
      </c>
      <c r="J176" s="342">
        <f>E176+B176</f>
        <v/>
      </c>
      <c r="K176" s="225">
        <f>IF(J176&gt;0,L176/J176," ")</f>
        <v/>
      </c>
      <c r="L176" s="225">
        <f>G176+D176</f>
        <v/>
      </c>
      <c r="M176" s="8" t="n"/>
      <c r="N176" s="222">
        <f>D176+G176</f>
        <v/>
      </c>
    </row>
    <row r="177" ht="14.45" customHeight="1">
      <c r="A177" s="36" t="inlineStr">
        <is>
          <t>OTHERS</t>
        </is>
      </c>
      <c r="B177" s="341">
        <f>'BE1'!B177+'BE2'!B177+'BE3'!B177+'BE4'!B177</f>
        <v/>
      </c>
      <c r="C177" s="228" t="n"/>
      <c r="D177" s="229">
        <f>'BE1'!D177+'BE2'!D177+'BE3'!D177+'BE4'!D177</f>
        <v/>
      </c>
      <c r="E177" s="342" t="n"/>
      <c r="F177" s="226" t="n"/>
      <c r="G177" s="225" t="n"/>
      <c r="H177" s="8" t="n"/>
      <c r="I177" s="343">
        <f>D177+G177</f>
        <v/>
      </c>
      <c r="J177" s="342">
        <f>E177+B177</f>
        <v/>
      </c>
      <c r="K177" s="225">
        <f>IF(J177&gt;0,L177/J177," ")</f>
        <v/>
      </c>
      <c r="L177" s="225">
        <f>G177+D177</f>
        <v/>
      </c>
      <c r="M177" s="8" t="n"/>
      <c r="N177" s="222">
        <f>D177+G177</f>
        <v/>
      </c>
    </row>
    <row r="178" ht="14.45" customHeight="1">
      <c r="A178" s="7" t="inlineStr">
        <is>
          <t>A.2 Natural Persons under direct contract</t>
        </is>
      </c>
      <c r="B178" s="341">
        <f>'BE1'!B178+'BE2'!B178+'BE3'!B178+'BE4'!B178</f>
        <v/>
      </c>
      <c r="C178" s="228" t="n"/>
      <c r="D178" s="229">
        <f>'BE1'!D178+'BE2'!D178+'BE3'!D178+'BE4'!D178</f>
        <v/>
      </c>
      <c r="E178" s="342" t="n"/>
      <c r="F178" s="226" t="n"/>
      <c r="G178" s="225" t="n"/>
      <c r="H178" s="8" t="n"/>
      <c r="I178" s="343">
        <f>D178+G178</f>
        <v/>
      </c>
      <c r="J178" s="342">
        <f>E178+B178</f>
        <v/>
      </c>
      <c r="K178" s="225">
        <f>IF(J178&gt;0,L178/J178," ")</f>
        <v/>
      </c>
      <c r="L178" s="225">
        <f>G178+D178</f>
        <v/>
      </c>
      <c r="M178" s="8" t="n"/>
      <c r="N178" s="222">
        <f>D178+G178</f>
        <v/>
      </c>
    </row>
    <row r="179" ht="14.45" customHeight="1">
      <c r="A179" s="7" t="inlineStr">
        <is>
          <t>A.3 Seconded Persons</t>
        </is>
      </c>
      <c r="B179" s="341">
        <f>'BE1'!B179+'BE2'!B179+'BE3'!B179+'BE4'!B179</f>
        <v/>
      </c>
      <c r="C179" s="228" t="n"/>
      <c r="D179" s="229">
        <f>'BE1'!D179+'BE2'!D179+'BE3'!D179+'BE4'!D179</f>
        <v/>
      </c>
      <c r="E179" s="342" t="n"/>
      <c r="F179" s="226" t="n"/>
      <c r="G179" s="225" t="n"/>
      <c r="H179" s="8" t="n"/>
      <c r="I179" s="343">
        <f>D179+G179</f>
        <v/>
      </c>
      <c r="J179" s="342">
        <f>E179+B179</f>
        <v/>
      </c>
      <c r="K179" s="225">
        <f>IF(J179&gt;0,L179/J179," ")</f>
        <v/>
      </c>
      <c r="L179" s="225">
        <f>G179+D179</f>
        <v/>
      </c>
      <c r="M179" s="8" t="n"/>
      <c r="N179" s="222">
        <f>D179+G179</f>
        <v/>
      </c>
    </row>
    <row r="180" ht="14.45" customHeight="1">
      <c r="A180" s="7" t="inlineStr">
        <is>
          <t>A.4 SME owners and natural person beneficiaries</t>
        </is>
      </c>
      <c r="B180" s="341">
        <f>'BE1'!B180+'BE2'!B180+'BE3'!B180+'BE4'!B180</f>
        <v/>
      </c>
      <c r="C180" s="228" t="n"/>
      <c r="D180" s="229">
        <f>'BE1'!D180+'BE2'!D180+'BE3'!D180+'BE4'!D180</f>
        <v/>
      </c>
      <c r="E180" s="342" t="n"/>
      <c r="F180" s="226" t="n"/>
      <c r="G180" s="225" t="n"/>
      <c r="H180" s="8" t="n"/>
      <c r="I180" s="343">
        <f>D180+G180</f>
        <v/>
      </c>
      <c r="J180" s="342">
        <f>E180+B180</f>
        <v/>
      </c>
      <c r="K180" s="225">
        <f>IF(J180&gt;0,L180/J180," ")</f>
        <v/>
      </c>
      <c r="L180" s="225">
        <f>G180+D180</f>
        <v/>
      </c>
      <c r="M180" s="8" t="n"/>
      <c r="N180" s="222">
        <f>D180+G180</f>
        <v/>
      </c>
    </row>
    <row r="181" ht="14.45" customHeight="1">
      <c r="A181" s="11" t="inlineStr">
        <is>
          <t>B. DIRECT SUBCONTRACTING COSTS</t>
        </is>
      </c>
      <c r="B181" s="344" t="n"/>
      <c r="C181" s="227" t="n"/>
      <c r="D181" s="223" t="n"/>
      <c r="E181" s="344" t="n"/>
      <c r="F181" s="227" t="n"/>
      <c r="G181" s="223" t="n"/>
      <c r="H181" s="8" t="n"/>
      <c r="I181" s="340" t="n"/>
      <c r="J181" s="345" t="n"/>
      <c r="K181" s="223" t="n"/>
      <c r="L181" s="223" t="n"/>
      <c r="M181" s="8" t="n"/>
      <c r="N181" s="223" t="n"/>
    </row>
    <row r="182" ht="14.45" customHeight="1">
      <c r="A182" s="9" t="n"/>
      <c r="B182" s="341">
        <f>'BE1'!B182+'BE2'!B182+'BE3'!B182+'BE4'!B182</f>
        <v/>
      </c>
      <c r="C182" s="228" t="n"/>
      <c r="D182" s="229">
        <f>'BE1'!D182+'BE2'!D182+'BE3'!D182+'BE4'!D182</f>
        <v/>
      </c>
      <c r="E182" s="342" t="n"/>
      <c r="F182" s="226" t="n"/>
      <c r="G182" s="225" t="n"/>
      <c r="H182" s="8" t="n"/>
      <c r="I182" s="343">
        <f>D182+G182</f>
        <v/>
      </c>
      <c r="J182" s="342">
        <f>E182+B182</f>
        <v/>
      </c>
      <c r="K182" s="225">
        <f>IF(J182&gt;0,L182/J182," ")</f>
        <v/>
      </c>
      <c r="L182" s="225">
        <f>G182+D182</f>
        <v/>
      </c>
      <c r="M182" s="8" t="n"/>
      <c r="N182" s="222">
        <f>D182+G182</f>
        <v/>
      </c>
    </row>
    <row r="183" ht="14.45" customHeight="1">
      <c r="A183" s="11" t="inlineStr">
        <is>
          <t>C. DIRECT PURCHASE COSTS</t>
        </is>
      </c>
      <c r="B183" s="344" t="n"/>
      <c r="C183" s="227" t="n"/>
      <c r="D183" s="223" t="n"/>
      <c r="E183" s="344" t="n"/>
      <c r="F183" s="227" t="n"/>
      <c r="G183" s="223" t="n"/>
      <c r="H183" s="8" t="n"/>
      <c r="I183" s="340" t="n"/>
      <c r="J183" s="345" t="n"/>
      <c r="K183" s="223" t="n"/>
      <c r="L183" s="223" t="n"/>
      <c r="M183" s="8" t="n"/>
      <c r="N183" s="223" t="n"/>
    </row>
    <row r="184" ht="14.45" customHeight="1">
      <c r="A184" s="39" t="inlineStr">
        <is>
          <t>C.1 Travel and subsistence</t>
        </is>
      </c>
      <c r="B184" s="341">
        <f>'BE1'!B184+'BE2'!B184+'BE3'!B184+'BE4'!B184</f>
        <v/>
      </c>
      <c r="C184" s="228" t="n"/>
      <c r="D184" s="229">
        <f>'BE1'!D184+'BE2'!D184+'BE3'!D184+'BE4'!D184</f>
        <v/>
      </c>
      <c r="E184" s="342" t="n"/>
      <c r="F184" s="226" t="n"/>
      <c r="G184" s="225" t="n"/>
      <c r="H184" s="8" t="n"/>
      <c r="I184" s="343">
        <f>D184+G184</f>
        <v/>
      </c>
      <c r="J184" s="342">
        <f>E184+B184</f>
        <v/>
      </c>
      <c r="K184" s="225">
        <f>IF(J184&gt;0,L184/J184," ")</f>
        <v/>
      </c>
      <c r="L184" s="225">
        <f>G184+D184</f>
        <v/>
      </c>
      <c r="M184" s="8" t="n"/>
      <c r="N184" s="222">
        <f>D184+G184</f>
        <v/>
      </c>
    </row>
    <row r="185" ht="14.45" customHeight="1">
      <c r="A185" s="7" t="inlineStr">
        <is>
          <t>C.2 Equipment (complete 'Depreciation cost' sheet)</t>
        </is>
      </c>
      <c r="B185" s="346" t="n"/>
      <c r="C185" s="160" t="n"/>
      <c r="D185" s="160" t="n"/>
      <c r="E185" s="346" t="n"/>
      <c r="F185" s="160" t="n"/>
      <c r="G185" s="160" t="n"/>
      <c r="H185" s="8" t="n"/>
      <c r="I185" s="89" t="n"/>
      <c r="J185" s="346" t="n"/>
      <c r="K185" s="160" t="n"/>
      <c r="L185" s="160" t="n"/>
      <c r="M185" s="8" t="n"/>
      <c r="N185" s="160" t="n"/>
    </row>
    <row r="186" ht="14.45" customHeight="1">
      <c r="A186" s="37" t="inlineStr">
        <is>
          <t>Equipment</t>
        </is>
      </c>
      <c r="B186" s="341">
        <f>'BE1'!B186+'BE2'!B186+'BE3'!B186+'BE4'!B186</f>
        <v/>
      </c>
      <c r="C186" s="228" t="n"/>
      <c r="D186" s="229">
        <f>'BE1'!D186+'BE2'!D186+'BE3'!D186+'BE4'!D186</f>
        <v/>
      </c>
      <c r="E186" s="342" t="n"/>
      <c r="F186" s="226" t="n"/>
      <c r="G186" s="225" t="n"/>
      <c r="H186" s="8" t="n"/>
      <c r="I186" s="343">
        <f>D186+G186</f>
        <v/>
      </c>
      <c r="J186" s="342">
        <f>E186+B186</f>
        <v/>
      </c>
      <c r="K186" s="225">
        <f>IF(J186&gt;0,L186/J186," ")</f>
        <v/>
      </c>
      <c r="L186" s="225">
        <f>G186+D186</f>
        <v/>
      </c>
      <c r="M186" s="8" t="n"/>
      <c r="N186" s="222">
        <f>D186+G186</f>
        <v/>
      </c>
    </row>
    <row r="187" ht="14.45" customHeight="1">
      <c r="A187" s="37" t="inlineStr">
        <is>
          <t>Infrastructure</t>
        </is>
      </c>
      <c r="B187" s="341">
        <f>'BE1'!B187+'BE2'!B187+'BE3'!B187+'BE4'!B187</f>
        <v/>
      </c>
      <c r="C187" s="228" t="n"/>
      <c r="D187" s="229">
        <f>'BE1'!D187+'BE2'!D187+'BE3'!D187+'BE4'!D187</f>
        <v/>
      </c>
      <c r="E187" s="342" t="n"/>
      <c r="F187" s="226" t="n"/>
      <c r="G187" s="225" t="n"/>
      <c r="H187" s="8" t="n"/>
      <c r="I187" s="343">
        <f>D187+G187</f>
        <v/>
      </c>
      <c r="J187" s="342">
        <f>E187+B187</f>
        <v/>
      </c>
      <c r="K187" s="225">
        <f>IF(J187&gt;0,L187/J187," ")</f>
        <v/>
      </c>
      <c r="L187" s="225">
        <f>G187+D187</f>
        <v/>
      </c>
      <c r="M187" s="8" t="n"/>
      <c r="N187" s="222">
        <f>D187+G187</f>
        <v/>
      </c>
    </row>
    <row r="188" ht="14.45" customHeight="1">
      <c r="A188" s="37" t="inlineStr">
        <is>
          <t>Other assets</t>
        </is>
      </c>
      <c r="B188" s="341">
        <f>'BE1'!B188+'BE2'!B188+'BE3'!B188+'BE4'!B188</f>
        <v/>
      </c>
      <c r="C188" s="228" t="n"/>
      <c r="D188" s="229">
        <f>'BE1'!D188+'BE2'!D188+'BE3'!D188+'BE4'!D188</f>
        <v/>
      </c>
      <c r="E188" s="342" t="n"/>
      <c r="F188" s="226" t="n"/>
      <c r="G188" s="225" t="n"/>
      <c r="H188" s="8" t="n"/>
      <c r="I188" s="343">
        <f>D188+G188</f>
        <v/>
      </c>
      <c r="J188" s="342">
        <f>E188+B188</f>
        <v/>
      </c>
      <c r="K188" s="225">
        <f>IF(J188&gt;0,L188/J188," ")</f>
        <v/>
      </c>
      <c r="L188" s="225">
        <f>G188+D188</f>
        <v/>
      </c>
      <c r="M188" s="8" t="n"/>
      <c r="N188" s="222">
        <f>D188+G188</f>
        <v/>
      </c>
    </row>
    <row r="189" ht="14.45" customHeight="1">
      <c r="A189" s="7" t="inlineStr">
        <is>
          <t>C.3 Other goods, works and services</t>
        </is>
      </c>
      <c r="B189" s="346" t="n"/>
      <c r="C189" s="160" t="n"/>
      <c r="D189" s="160" t="n"/>
      <c r="E189" s="346" t="n"/>
      <c r="F189" s="160" t="n"/>
      <c r="G189" s="160" t="n"/>
      <c r="H189" s="8" t="n"/>
      <c r="I189" s="89" t="n"/>
      <c r="J189" s="346" t="n"/>
      <c r="K189" s="160" t="n"/>
      <c r="L189" s="160" t="n"/>
      <c r="M189" s="8" t="n"/>
      <c r="N189" s="160" t="n"/>
    </row>
    <row r="190" ht="14.45" customHeight="1">
      <c r="A190" s="37" t="inlineStr">
        <is>
          <t>Consumables</t>
        </is>
      </c>
      <c r="B190" s="341">
        <f>'BE1'!B190+'BE2'!B190+'BE3'!B190+'BE4'!B190</f>
        <v/>
      </c>
      <c r="C190" s="228" t="n"/>
      <c r="D190" s="229">
        <f>'BE1'!D190+'BE2'!D190+'BE3'!D190+'BE4'!D190</f>
        <v/>
      </c>
      <c r="E190" s="342" t="n"/>
      <c r="F190" s="226" t="n"/>
      <c r="G190" s="225" t="n"/>
      <c r="H190" s="8" t="n"/>
      <c r="I190" s="343">
        <f>D190+G190</f>
        <v/>
      </c>
      <c r="J190" s="342">
        <f>E190+B190</f>
        <v/>
      </c>
      <c r="K190" s="225">
        <f>IF(J190&gt;0,L190/J190," ")</f>
        <v/>
      </c>
      <c r="L190" s="225">
        <f>G190+D190</f>
        <v/>
      </c>
      <c r="M190" s="8" t="n"/>
      <c r="N190" s="222">
        <f>D190+G190</f>
        <v/>
      </c>
    </row>
    <row r="191" ht="14.45" customHeight="1">
      <c r="A191" s="37" t="inlineStr">
        <is>
          <t>Services for meetings, seminars</t>
        </is>
      </c>
      <c r="B191" s="341">
        <f>'BE1'!B191+'BE2'!B191+'BE3'!B191+'BE4'!B191</f>
        <v/>
      </c>
      <c r="C191" s="228" t="n"/>
      <c r="D191" s="229">
        <f>'BE1'!D191+'BE2'!D191+'BE3'!D191+'BE4'!D191</f>
        <v/>
      </c>
      <c r="E191" s="342" t="n"/>
      <c r="F191" s="226" t="n"/>
      <c r="G191" s="225" t="n"/>
      <c r="H191" s="8" t="n"/>
      <c r="I191" s="343">
        <f>D191+G191</f>
        <v/>
      </c>
      <c r="J191" s="342">
        <f>E191+B191</f>
        <v/>
      </c>
      <c r="K191" s="225">
        <f>IF(J191&gt;0,L191/J191," ")</f>
        <v/>
      </c>
      <c r="L191" s="225">
        <f>G191+D191</f>
        <v/>
      </c>
      <c r="M191" s="8" t="n"/>
      <c r="N191" s="222">
        <f>D191+G191</f>
        <v/>
      </c>
    </row>
    <row r="192" ht="14.45" customHeight="1">
      <c r="A192" s="37" t="inlineStr">
        <is>
          <t>Services for dissemination activities (including website)</t>
        </is>
      </c>
      <c r="B192" s="341">
        <f>'BE1'!B192+'BE2'!B192+'BE3'!B192+'BE4'!B192</f>
        <v/>
      </c>
      <c r="C192" s="228" t="n"/>
      <c r="D192" s="229">
        <f>'BE1'!D192+'BE2'!D192+'BE3'!D192+'BE4'!D192</f>
        <v/>
      </c>
      <c r="E192" s="342" t="n"/>
      <c r="F192" s="226" t="n"/>
      <c r="G192" s="225" t="n"/>
      <c r="H192" s="8" t="n"/>
      <c r="I192" s="343">
        <f>D192+G192</f>
        <v/>
      </c>
      <c r="J192" s="342">
        <f>E192+B192</f>
        <v/>
      </c>
      <c r="K192" s="225">
        <f>IF(J192&gt;0,L192/J192," ")</f>
        <v/>
      </c>
      <c r="L192" s="225">
        <f>G192+D192</f>
        <v/>
      </c>
      <c r="M192" s="8" t="n"/>
      <c r="N192" s="222">
        <f>D192+G192</f>
        <v/>
      </c>
    </row>
    <row r="193" ht="14.45" customHeight="1">
      <c r="A193" s="37" t="inlineStr">
        <is>
          <t>Publication fees</t>
        </is>
      </c>
      <c r="B193" s="341">
        <f>'BE1'!B193+'BE2'!B193+'BE3'!B193+'BE4'!B193</f>
        <v/>
      </c>
      <c r="C193" s="228" t="n"/>
      <c r="D193" s="229">
        <f>'BE1'!D193+'BE2'!D193+'BE3'!D193+'BE4'!D193</f>
        <v/>
      </c>
      <c r="E193" s="342" t="n"/>
      <c r="F193" s="226" t="n"/>
      <c r="G193" s="225" t="n"/>
      <c r="H193" s="8" t="n"/>
      <c r="I193" s="343">
        <f>D193+G193</f>
        <v/>
      </c>
      <c r="J193" s="342">
        <f>E193+B193</f>
        <v/>
      </c>
      <c r="K193" s="225">
        <f>IF(J193&gt;0,L193/J193," ")</f>
        <v/>
      </c>
      <c r="L193" s="225">
        <f>G193+D193</f>
        <v/>
      </c>
      <c r="M193" s="8" t="n"/>
      <c r="N193" s="222">
        <f>D193+G193</f>
        <v/>
      </c>
    </row>
    <row r="194" ht="14.45" customHeight="1">
      <c r="A194" s="37" t="inlineStr">
        <is>
          <t>Other (shipment,insurance, translation, etc.)</t>
        </is>
      </c>
      <c r="B194" s="341">
        <f>'BE1'!B194+'BE2'!B194+'BE3'!B194+'BE4'!B194</f>
        <v/>
      </c>
      <c r="C194" s="228" t="n"/>
      <c r="D194" s="229">
        <f>'BE1'!D194+'BE2'!D194+'BE3'!D194+'BE4'!D194</f>
        <v/>
      </c>
      <c r="E194" s="342" t="n"/>
      <c r="F194" s="226" t="n"/>
      <c r="G194" s="225" t="n"/>
      <c r="H194" s="8" t="n"/>
      <c r="I194" s="343">
        <f>D194+G194</f>
        <v/>
      </c>
      <c r="J194" s="342">
        <f>E194+B194</f>
        <v/>
      </c>
      <c r="K194" s="225">
        <f>IF(J194&gt;0,L194/J194," ")</f>
        <v/>
      </c>
      <c r="L194" s="225">
        <f>G194+D194</f>
        <v/>
      </c>
      <c r="M194" s="8" t="n"/>
      <c r="N194" s="222">
        <f>D194+G194</f>
        <v/>
      </c>
    </row>
    <row r="195" ht="14.45" customHeight="1">
      <c r="A195" s="6" t="inlineStr">
        <is>
          <t>D. OTHER COST CATEGORIES</t>
        </is>
      </c>
      <c r="B195" s="344" t="n"/>
      <c r="C195" s="227" t="n"/>
      <c r="D195" s="223" t="n"/>
      <c r="E195" s="344" t="n"/>
      <c r="F195" s="227" t="n"/>
      <c r="G195" s="223" t="n"/>
      <c r="H195" s="8" t="n"/>
      <c r="I195" s="340" t="n"/>
      <c r="J195" s="345" t="n"/>
      <c r="K195" s="223" t="n"/>
      <c r="L195" s="223" t="n"/>
      <c r="M195" s="8" t="n"/>
      <c r="N195" s="223" t="n"/>
    </row>
    <row r="196" ht="14.45" customHeight="1">
      <c r="A196" s="40" t="inlineStr">
        <is>
          <t>D.1 Financial support to third parties (if applicable in the topic specific conditions)</t>
        </is>
      </c>
      <c r="B196" s="341">
        <f>'BE1'!B196+'BE2'!B196+'BE3'!B196+'BE4'!B196</f>
        <v/>
      </c>
      <c r="C196" s="228" t="n"/>
      <c r="D196" s="229">
        <f>'BE1'!D196+'BE2'!D196+'BE3'!D196+'BE4'!D196</f>
        <v/>
      </c>
      <c r="E196" s="342" t="n"/>
      <c r="F196" s="226" t="n"/>
      <c r="G196" s="225" t="n"/>
      <c r="H196" s="8" t="n"/>
      <c r="I196" s="343">
        <f>D196+G196</f>
        <v/>
      </c>
      <c r="J196" s="342">
        <f>E196+B196</f>
        <v/>
      </c>
      <c r="K196" s="225">
        <f>IF(J196&gt;0,L196/J196," ")</f>
        <v/>
      </c>
      <c r="L196" s="225">
        <f>G196+D196</f>
        <v/>
      </c>
      <c r="M196" s="8" t="n"/>
      <c r="N196" s="222">
        <f>D196+G196</f>
        <v/>
      </c>
    </row>
    <row r="197" ht="14.45" customHeight="1">
      <c r="A197" s="39" t="inlineStr">
        <is>
          <t>D.2 Internally invoiced goods and services</t>
        </is>
      </c>
      <c r="B197" s="341">
        <f>'BE1'!B197+'BE2'!B197+'BE3'!B197+'BE4'!B197</f>
        <v/>
      </c>
      <c r="C197" s="228" t="n"/>
      <c r="D197" s="229">
        <f>'BE1'!D197+'BE2'!D197+'BE3'!D197+'BE4'!D197</f>
        <v/>
      </c>
      <c r="E197" s="342" t="n"/>
      <c r="F197" s="226" t="n"/>
      <c r="G197" s="225" t="n"/>
      <c r="H197" s="8" t="n"/>
      <c r="I197" s="343">
        <f>D197+G197</f>
        <v/>
      </c>
      <c r="J197" s="342">
        <f>E197+B197</f>
        <v/>
      </c>
      <c r="K197" s="225">
        <f>IF(J197&gt;0,L197/J197," ")</f>
        <v/>
      </c>
      <c r="L197" s="225">
        <f>G197+D197</f>
        <v/>
      </c>
      <c r="M197" s="8" t="n"/>
      <c r="N197" s="222">
        <f>D197+G197</f>
        <v/>
      </c>
    </row>
    <row r="198" ht="14.45" customHeight="1">
      <c r="A198" s="39" t="inlineStr">
        <is>
          <t>D.3 Transnational access to research infrastructure unit costs (if required in the topic specific conditions)</t>
        </is>
      </c>
      <c r="B198" s="341">
        <f>'BE1'!B198+'BE2'!B198+'BE3'!B198+'BE4'!B198</f>
        <v/>
      </c>
      <c r="C198" s="228" t="n"/>
      <c r="D198" s="229">
        <f>'BE1'!D198+'BE2'!D198+'BE3'!D198+'BE4'!D198</f>
        <v/>
      </c>
      <c r="E198" s="342" t="n"/>
      <c r="F198" s="226" t="n"/>
      <c r="G198" s="225" t="n"/>
      <c r="H198" s="8" t="n"/>
      <c r="I198" s="343">
        <f>D198+G198</f>
        <v/>
      </c>
      <c r="J198" s="342">
        <f>E198+B198</f>
        <v/>
      </c>
      <c r="K198" s="225">
        <f>IF(J198&gt;0,L198/J198," ")</f>
        <v/>
      </c>
      <c r="L198" s="225">
        <f>G198+D198</f>
        <v/>
      </c>
      <c r="M198" s="8" t="n"/>
      <c r="N198" s="222">
        <f>D198+G198</f>
        <v/>
      </c>
    </row>
    <row r="199" ht="14.45" customHeight="1">
      <c r="A199" s="39" t="inlineStr">
        <is>
          <t>D.4 Virtual access to research infrastructure unit costs (if required in the topic specific conditions)</t>
        </is>
      </c>
      <c r="B199" s="341">
        <f>'BE1'!B199+'BE2'!B199+'BE3'!B199+'BE4'!B199</f>
        <v/>
      </c>
      <c r="C199" s="228" t="n"/>
      <c r="D199" s="229">
        <f>'BE1'!D199+'BE2'!D199+'BE3'!D199+'BE4'!D199</f>
        <v/>
      </c>
      <c r="E199" s="342" t="n"/>
      <c r="F199" s="226" t="n"/>
      <c r="G199" s="225" t="n"/>
      <c r="H199" s="8" t="n"/>
      <c r="I199" s="343">
        <f>D199+G199</f>
        <v/>
      </c>
      <c r="J199" s="342">
        <f>E199+B199</f>
        <v/>
      </c>
      <c r="K199" s="225">
        <f>IF(J199&gt;0,L199/J199," ")</f>
        <v/>
      </c>
      <c r="L199" s="225">
        <f>G199+D199</f>
        <v/>
      </c>
      <c r="M199" s="8" t="n"/>
      <c r="N199" s="222">
        <f>D199+G199</f>
        <v/>
      </c>
    </row>
    <row r="200" ht="14.45" customHeight="1">
      <c r="A200" s="39" t="inlineStr">
        <is>
          <t>D.5 PCP/PPI procurement costs (if mentioned as eligible in the topic specific conditions)</t>
        </is>
      </c>
      <c r="B200" s="341">
        <f>'BE1'!B200+'BE2'!B200+'BE3'!B200+'BE4'!B200</f>
        <v/>
      </c>
      <c r="C200" s="228" t="n"/>
      <c r="D200" s="229">
        <f>'BE1'!D200+'BE2'!D200+'BE3'!D200+'BE4'!D200</f>
        <v/>
      </c>
      <c r="E200" s="342" t="n"/>
      <c r="F200" s="226" t="n"/>
      <c r="G200" s="225" t="n"/>
      <c r="H200" s="8" t="n"/>
      <c r="I200" s="343">
        <f>D200+G200</f>
        <v/>
      </c>
      <c r="J200" s="342">
        <f>E200+B200</f>
        <v/>
      </c>
      <c r="K200" s="225">
        <f>IF(J200&gt;0,L200/J200," ")</f>
        <v/>
      </c>
      <c r="L200" s="225">
        <f>G200+D200</f>
        <v/>
      </c>
      <c r="M200" s="8" t="n"/>
      <c r="N200" s="222">
        <f>D200+G200</f>
        <v/>
      </c>
    </row>
    <row r="201" ht="14.45" customHeight="1">
      <c r="A201" s="26" t="n"/>
      <c r="B201" s="346" t="n"/>
      <c r="C201" s="160" t="n"/>
      <c r="D201" s="160" t="n"/>
      <c r="E201" s="346" t="n"/>
      <c r="F201" s="160" t="n"/>
      <c r="G201" s="160" t="n"/>
      <c r="H201" s="8" t="n"/>
      <c r="I201" s="89" t="n"/>
      <c r="J201" s="346" t="n"/>
      <c r="K201" s="160" t="n"/>
      <c r="L201" s="160" t="n"/>
      <c r="M201" s="8" t="n"/>
      <c r="N201" s="160" t="n"/>
    </row>
    <row r="202" ht="14.45" customHeight="1">
      <c r="A202" s="41" t="inlineStr">
        <is>
          <t>TOTAL DIRECT PERSONNEL COSTS AND PURCHASE COSTS (A+C)</t>
        </is>
      </c>
      <c r="B202" s="347" t="n"/>
      <c r="C202" s="224" t="n"/>
      <c r="D202" s="224">
        <f>'BE1'!D202+'BE2'!D202+'BE3'!D202+'BE4'!D202</f>
        <v/>
      </c>
      <c r="E202" s="347" t="n"/>
      <c r="F202" s="224" t="n"/>
      <c r="G202" s="224" t="n"/>
      <c r="H202" s="8" t="n"/>
      <c r="I202" s="348">
        <f>SUM(I173:I180,I184:I194)</f>
        <v/>
      </c>
      <c r="J202" s="347" t="n"/>
      <c r="K202" s="224" t="n"/>
      <c r="L202" s="224">
        <f>SUM(L173:L180,L184:L194)</f>
        <v/>
      </c>
      <c r="M202" s="8" t="n"/>
      <c r="N202" s="224">
        <f>SUM(N173:N180,N184:N194)</f>
        <v/>
      </c>
    </row>
    <row r="203" ht="14.45" customHeight="1">
      <c r="A203" s="41" t="inlineStr">
        <is>
          <t>TOTAL DIRECT COSTS  (A+B+C+D)</t>
        </is>
      </c>
      <c r="B203" s="347" t="n"/>
      <c r="C203" s="224" t="n"/>
      <c r="D203" s="224">
        <f>'BE1'!D203+'BE2'!D203+'BE3'!D203+'BE4'!D203</f>
        <v/>
      </c>
      <c r="E203" s="347" t="n"/>
      <c r="F203" s="224" t="n"/>
      <c r="G203" s="224" t="n"/>
      <c r="H203" s="8" t="n"/>
      <c r="I203" s="348">
        <f>SUM(I173:I200)</f>
        <v/>
      </c>
      <c r="J203" s="347" t="n"/>
      <c r="K203" s="224" t="n"/>
      <c r="L203" s="224">
        <f>SUM(L173:L200)</f>
        <v/>
      </c>
      <c r="M203" s="8" t="n"/>
      <c r="N203" s="224">
        <f>SUM(N173:N200)</f>
        <v/>
      </c>
    </row>
    <row r="204" ht="6.95" customHeight="1">
      <c r="A204" s="8" t="n"/>
      <c r="B204" s="349" t="n"/>
      <c r="C204" s="134" t="n"/>
      <c r="D204" s="134" t="n"/>
      <c r="E204" s="349" t="n"/>
      <c r="F204" s="134" t="n"/>
      <c r="G204" s="134" t="n"/>
      <c r="H204" s="8" t="n"/>
      <c r="I204" s="8" t="n"/>
      <c r="J204" s="349" t="n"/>
      <c r="K204" s="134" t="n"/>
      <c r="L204" s="134" t="n"/>
      <c r="M204" s="8" t="n"/>
      <c r="N204" s="134" t="n"/>
    </row>
    <row r="205" ht="14.45" customHeight="1">
      <c r="A205" s="11" t="inlineStr">
        <is>
          <t>E. INDIRECT COSTS (25% * (A+C))</t>
        </is>
      </c>
      <c r="B205" s="347" t="n"/>
      <c r="C205" s="224" t="n"/>
      <c r="D205" s="224">
        <f>'BE1'!D205+'BE2'!D205+'BE3'!D205+'BE4'!D205</f>
        <v/>
      </c>
      <c r="E205" s="347" t="n"/>
      <c r="F205" s="224" t="n"/>
      <c r="G205" s="224" t="n"/>
      <c r="H205" s="8" t="n"/>
      <c r="I205" s="348">
        <f>+I202*0.25</f>
        <v/>
      </c>
      <c r="J205" s="347" t="n"/>
      <c r="K205" s="224" t="n"/>
      <c r="L205" s="224">
        <f>+L202*0.25</f>
        <v/>
      </c>
      <c r="M205" s="8" t="n"/>
      <c r="N205" s="224">
        <f>+N202*0.25</f>
        <v/>
      </c>
    </row>
    <row r="206" ht="6.95" customHeight="1">
      <c r="A206" s="8" t="n"/>
      <c r="B206" s="349" t="n"/>
      <c r="C206" s="134" t="n"/>
      <c r="D206" s="134" t="n"/>
      <c r="E206" s="349" t="n"/>
      <c r="F206" s="134" t="n"/>
      <c r="G206" s="134" t="n"/>
      <c r="H206" s="8" t="n"/>
      <c r="I206" s="8" t="n"/>
      <c r="J206" s="349" t="n"/>
      <c r="K206" s="134" t="n"/>
      <c r="L206" s="134" t="n"/>
      <c r="M206" s="8" t="n"/>
      <c r="N206" s="134" t="n"/>
    </row>
    <row r="207" ht="14.45" customHeight="1">
      <c r="A207" s="11" t="inlineStr">
        <is>
          <t>F. TOTAL COSTS (A+B+C+D+E)</t>
        </is>
      </c>
      <c r="B207" s="347" t="n"/>
      <c r="C207" s="224" t="n"/>
      <c r="D207" s="224">
        <f>'BE1'!D207+'BE2'!D207+'BE3'!D207+'BE4'!D207</f>
        <v/>
      </c>
      <c r="E207" s="347" t="n"/>
      <c r="F207" s="224" t="n"/>
      <c r="G207" s="224" t="n"/>
      <c r="H207" s="8" t="n"/>
      <c r="I207" s="348">
        <f>I203+I205</f>
        <v/>
      </c>
      <c r="J207" s="347" t="n"/>
      <c r="K207" s="224" t="n"/>
      <c r="L207" s="224">
        <f>L203+L205</f>
        <v/>
      </c>
      <c r="M207" s="8" t="n"/>
      <c r="N207" s="224">
        <f>N203+N205</f>
        <v/>
      </c>
    </row>
    <row r="208" ht="6.95" customHeight="1">
      <c r="A208" s="8" t="n"/>
      <c r="B208" s="8" t="n"/>
      <c r="C208" s="8" t="n"/>
      <c r="D208" s="8" t="n"/>
      <c r="E208" s="8" t="n"/>
      <c r="F208" s="8" t="n"/>
      <c r="G208" s="8" t="n"/>
      <c r="H208" s="8" t="n"/>
      <c r="I208" s="8" t="n"/>
      <c r="J208" s="8" t="n"/>
      <c r="K208" s="8" t="n"/>
      <c r="L208" s="8" t="n"/>
      <c r="M208" s="8" t="n"/>
      <c r="N208" s="8" t="n"/>
    </row>
    <row r="209" ht="14.45" customHeight="1">
      <c r="A209" s="209" t="n"/>
      <c r="B209" s="207" t="n"/>
      <c r="C209" s="209" t="n"/>
      <c r="D209" s="208" t="n"/>
      <c r="E209" s="207" t="n"/>
      <c r="F209" s="209" t="n"/>
      <c r="G209" s="208" t="n"/>
      <c r="H209" s="208" t="n"/>
      <c r="I209" s="208" t="n"/>
      <c r="J209" s="208" t="n"/>
      <c r="K209" s="208" t="n"/>
      <c r="L209" s="208" t="n"/>
      <c r="M209" s="209" t="n"/>
      <c r="N209" s="210" t="n"/>
    </row>
    <row r="210" ht="21" customHeight="1">
      <c r="A210" s="301" t="inlineStr">
        <is>
          <t>COSTS WORK PACKAGE 6: Business Validation, Exploitation and Dissemination</t>
        </is>
      </c>
      <c r="B210" s="337" t="n"/>
      <c r="C210" s="337" t="n"/>
      <c r="D210" s="337" t="n"/>
      <c r="E210" s="337" t="n"/>
      <c r="F210" s="337" t="n"/>
      <c r="G210" s="337" t="n"/>
      <c r="H210" s="337" t="n"/>
      <c r="I210" s="337" t="n"/>
      <c r="J210" s="337" t="n"/>
      <c r="K210" s="337" t="n"/>
      <c r="L210" s="337" t="n"/>
      <c r="M210" s="337" t="n"/>
      <c r="N210" s="338" t="n"/>
    </row>
    <row r="211" ht="6.95" customHeight="1">
      <c r="A211" s="8" t="n"/>
      <c r="B211" s="8" t="n"/>
      <c r="C211" s="8" t="n"/>
      <c r="D211" s="8" t="n"/>
      <c r="E211" s="8" t="n"/>
      <c r="F211" s="8" t="n"/>
      <c r="G211" s="8" t="n"/>
      <c r="H211" s="8" t="n"/>
      <c r="I211" s="8" t="n"/>
      <c r="J211" s="8" t="n"/>
      <c r="K211" s="8" t="n"/>
      <c r="L211" s="8" t="n"/>
      <c r="M211" s="8" t="n"/>
      <c r="N211" s="8" t="n"/>
    </row>
    <row r="212" ht="14.45" customHeight="1">
      <c r="A212" s="11" t="inlineStr">
        <is>
          <t>A. DIRECT PERSONNEL COSTS</t>
        </is>
      </c>
      <c r="B212" s="4" t="n"/>
      <c r="C212" s="339" t="n"/>
      <c r="D212" s="340" t="n"/>
      <c r="E212" s="4" t="n"/>
      <c r="F212" s="339" t="n"/>
      <c r="G212" s="340" t="n"/>
      <c r="H212" s="8" t="n"/>
      <c r="I212" s="340" t="n"/>
      <c r="J212" s="340" t="n"/>
      <c r="K212" s="340" t="n"/>
      <c r="L212" s="340" t="n"/>
      <c r="M212" s="8" t="n"/>
      <c r="N212" s="340" t="n"/>
    </row>
    <row r="213" ht="14.45" customHeight="1">
      <c r="A213" s="7" t="inlineStr">
        <is>
          <t>A.1 Employees (or equivalent)</t>
        </is>
      </c>
      <c r="B213" s="89" t="n"/>
      <c r="C213" s="89" t="n"/>
      <c r="D213" s="89" t="n"/>
      <c r="E213" s="89" t="n"/>
      <c r="F213" s="89" t="n"/>
      <c r="G213" s="89" t="n"/>
      <c r="H213" s="8" t="n"/>
      <c r="I213" s="89" t="n"/>
      <c r="J213" s="89" t="n"/>
      <c r="K213" s="89" t="n"/>
      <c r="L213" s="89" t="n"/>
      <c r="M213" s="8" t="n"/>
      <c r="N213" s="89" t="n"/>
    </row>
    <row r="214" ht="14.45" customHeight="1">
      <c r="A214" s="36" t="inlineStr">
        <is>
          <t>SENIOR SCIENTISTS (or equivalent in the private sector)</t>
        </is>
      </c>
      <c r="B214" s="341">
        <f>'BE1'!B214+'BE2'!B214+'BE3'!B214+'BE4'!B214</f>
        <v/>
      </c>
      <c r="C214" s="228" t="n"/>
      <c r="D214" s="229">
        <f>'BE1'!D214+'BE2'!D214+'BE3'!D214+'BE4'!D214</f>
        <v/>
      </c>
      <c r="E214" s="342" t="n"/>
      <c r="F214" s="226" t="n"/>
      <c r="G214" s="225" t="n"/>
      <c r="H214" s="8" t="n"/>
      <c r="I214" s="343">
        <f>D214+G214</f>
        <v/>
      </c>
      <c r="J214" s="342">
        <f>E214+B214</f>
        <v/>
      </c>
      <c r="K214" s="225">
        <f>IF(J214&gt;0,L214/J214," ")</f>
        <v/>
      </c>
      <c r="L214" s="225">
        <f>G214+D214</f>
        <v/>
      </c>
      <c r="M214" s="8" t="n"/>
      <c r="N214" s="222">
        <f>D214+G214</f>
        <v/>
      </c>
    </row>
    <row r="215" ht="14.45" customHeight="1">
      <c r="A215" s="36" t="inlineStr">
        <is>
          <t>JUNIOR SCIENTISTS (or equivalent in the private sector)</t>
        </is>
      </c>
      <c r="B215" s="341">
        <f>'BE1'!B215+'BE2'!B215+'BE3'!B215+'BE4'!B215</f>
        <v/>
      </c>
      <c r="C215" s="228" t="n"/>
      <c r="D215" s="229">
        <f>'BE1'!D215+'BE2'!D215+'BE3'!D215+'BE4'!D215</f>
        <v/>
      </c>
      <c r="E215" s="342" t="n"/>
      <c r="F215" s="226" t="n"/>
      <c r="G215" s="225" t="n"/>
      <c r="H215" s="8" t="n"/>
      <c r="I215" s="343">
        <f>D215+G215</f>
        <v/>
      </c>
      <c r="J215" s="342">
        <f>E215+B215</f>
        <v/>
      </c>
      <c r="K215" s="225">
        <f>IF(J215&gt;0,L215/J215," ")</f>
        <v/>
      </c>
      <c r="L215" s="225">
        <f>G215+D215</f>
        <v/>
      </c>
      <c r="M215" s="8" t="n"/>
      <c r="N215" s="222">
        <f>D215+G215</f>
        <v/>
      </c>
    </row>
    <row r="216" ht="14.45" customHeight="1">
      <c r="A216" s="36" t="inlineStr">
        <is>
          <t>TECHNICAL PERSONNEL (or equivalent in the private sector)</t>
        </is>
      </c>
      <c r="B216" s="341">
        <f>'BE1'!B216+'BE2'!B216+'BE3'!B216+'BE4'!B216</f>
        <v/>
      </c>
      <c r="C216" s="228" t="n"/>
      <c r="D216" s="229">
        <f>'BE1'!D216+'BE2'!D216+'BE3'!D216+'BE4'!D216</f>
        <v/>
      </c>
      <c r="E216" s="342" t="n"/>
      <c r="F216" s="226" t="n"/>
      <c r="G216" s="225" t="n"/>
      <c r="H216" s="8" t="n"/>
      <c r="I216" s="343">
        <f>D216+G216</f>
        <v/>
      </c>
      <c r="J216" s="342">
        <f>E216+B216</f>
        <v/>
      </c>
      <c r="K216" s="225">
        <f>IF(J216&gt;0,L216/J216," ")</f>
        <v/>
      </c>
      <c r="L216" s="225">
        <f>G216+D216</f>
        <v/>
      </c>
      <c r="M216" s="8" t="n"/>
      <c r="N216" s="222">
        <f>D216+G216</f>
        <v/>
      </c>
    </row>
    <row r="217" ht="14.45" customHeight="1">
      <c r="A217" s="36" t="inlineStr">
        <is>
          <t>ADMINISTRATIVE PERSONNEL (or equivalent in the private sector)</t>
        </is>
      </c>
      <c r="B217" s="341">
        <f>'BE1'!B217+'BE2'!B217+'BE3'!B217+'BE4'!B217</f>
        <v/>
      </c>
      <c r="C217" s="228" t="n"/>
      <c r="D217" s="229">
        <f>'BE1'!D217+'BE2'!D217+'BE3'!D217+'BE4'!D217</f>
        <v/>
      </c>
      <c r="E217" s="342" t="n"/>
      <c r="F217" s="226" t="n"/>
      <c r="G217" s="225" t="n"/>
      <c r="H217" s="8" t="n"/>
      <c r="I217" s="343">
        <f>D217+G217</f>
        <v/>
      </c>
      <c r="J217" s="342">
        <f>E217+B217</f>
        <v/>
      </c>
      <c r="K217" s="225">
        <f>IF(J217&gt;0,L217/J217," ")</f>
        <v/>
      </c>
      <c r="L217" s="225">
        <f>G217+D217</f>
        <v/>
      </c>
      <c r="M217" s="8" t="n"/>
      <c r="N217" s="222">
        <f>D217+G217</f>
        <v/>
      </c>
    </row>
    <row r="218" ht="14.45" customHeight="1">
      <c r="A218" s="36" t="inlineStr">
        <is>
          <t>OTHERS</t>
        </is>
      </c>
      <c r="B218" s="341">
        <f>'BE1'!B218+'BE2'!B218+'BE3'!B218+'BE4'!B218</f>
        <v/>
      </c>
      <c r="C218" s="228" t="n"/>
      <c r="D218" s="229">
        <f>'BE1'!D218+'BE2'!D218+'BE3'!D218+'BE4'!D218</f>
        <v/>
      </c>
      <c r="E218" s="342" t="n"/>
      <c r="F218" s="226" t="n"/>
      <c r="G218" s="225" t="n"/>
      <c r="H218" s="8" t="n"/>
      <c r="I218" s="343">
        <f>D218+G218</f>
        <v/>
      </c>
      <c r="J218" s="342">
        <f>E218+B218</f>
        <v/>
      </c>
      <c r="K218" s="225">
        <f>IF(J218&gt;0,L218/J218," ")</f>
        <v/>
      </c>
      <c r="L218" s="225">
        <f>G218+D218</f>
        <v/>
      </c>
      <c r="M218" s="8" t="n"/>
      <c r="N218" s="222">
        <f>D218+G218</f>
        <v/>
      </c>
    </row>
    <row r="219" ht="14.45" customHeight="1">
      <c r="A219" s="7" t="inlineStr">
        <is>
          <t>A.2 Natural Persons under direct contract</t>
        </is>
      </c>
      <c r="B219" s="341">
        <f>'BE1'!B219+'BE2'!B219+'BE3'!B219+'BE4'!B219</f>
        <v/>
      </c>
      <c r="C219" s="228" t="n"/>
      <c r="D219" s="229">
        <f>'BE1'!D219+'BE2'!D219+'BE3'!D219+'BE4'!D219</f>
        <v/>
      </c>
      <c r="E219" s="342" t="n"/>
      <c r="F219" s="226" t="n"/>
      <c r="G219" s="225" t="n"/>
      <c r="H219" s="8" t="n"/>
      <c r="I219" s="343">
        <f>D219+G219</f>
        <v/>
      </c>
      <c r="J219" s="342">
        <f>E219+B219</f>
        <v/>
      </c>
      <c r="K219" s="225">
        <f>IF(J219&gt;0,L219/J219," ")</f>
        <v/>
      </c>
      <c r="L219" s="225">
        <f>G219+D219</f>
        <v/>
      </c>
      <c r="M219" s="8" t="n"/>
      <c r="N219" s="222">
        <f>D219+G219</f>
        <v/>
      </c>
    </row>
    <row r="220" ht="14.45" customHeight="1">
      <c r="A220" s="7" t="inlineStr">
        <is>
          <t>A.3 Seconded Persons</t>
        </is>
      </c>
      <c r="B220" s="341">
        <f>'BE1'!B220+'BE2'!B220+'BE3'!B220+'BE4'!B220</f>
        <v/>
      </c>
      <c r="C220" s="228" t="n"/>
      <c r="D220" s="229">
        <f>'BE1'!D220+'BE2'!D220+'BE3'!D220+'BE4'!D220</f>
        <v/>
      </c>
      <c r="E220" s="342" t="n"/>
      <c r="F220" s="226" t="n"/>
      <c r="G220" s="225" t="n"/>
      <c r="H220" s="8" t="n"/>
      <c r="I220" s="343">
        <f>D220+G220</f>
        <v/>
      </c>
      <c r="J220" s="342">
        <f>E220+B220</f>
        <v/>
      </c>
      <c r="K220" s="225">
        <f>IF(J220&gt;0,L220/J220," ")</f>
        <v/>
      </c>
      <c r="L220" s="225">
        <f>G220+D220</f>
        <v/>
      </c>
      <c r="M220" s="8" t="n"/>
      <c r="N220" s="222">
        <f>D220+G220</f>
        <v/>
      </c>
    </row>
    <row r="221" ht="14.45" customHeight="1">
      <c r="A221" s="7" t="inlineStr">
        <is>
          <t>A.4 SME owners and natural person beneficiaries</t>
        </is>
      </c>
      <c r="B221" s="341">
        <f>'BE1'!B221+'BE2'!B221+'BE3'!B221+'BE4'!B221</f>
        <v/>
      </c>
      <c r="C221" s="228" t="n"/>
      <c r="D221" s="229">
        <f>'BE1'!D221+'BE2'!D221+'BE3'!D221+'BE4'!D221</f>
        <v/>
      </c>
      <c r="E221" s="342" t="n"/>
      <c r="F221" s="226" t="n"/>
      <c r="G221" s="225" t="n"/>
      <c r="H221" s="8" t="n"/>
      <c r="I221" s="343">
        <f>D221+G221</f>
        <v/>
      </c>
      <c r="J221" s="342">
        <f>E221+B221</f>
        <v/>
      </c>
      <c r="K221" s="225">
        <f>IF(J221&gt;0,L221/J221," ")</f>
        <v/>
      </c>
      <c r="L221" s="225">
        <f>G221+D221</f>
        <v/>
      </c>
      <c r="M221" s="8" t="n"/>
      <c r="N221" s="222">
        <f>D221+G221</f>
        <v/>
      </c>
    </row>
    <row r="222" ht="14.45" customHeight="1">
      <c r="A222" s="11" t="inlineStr">
        <is>
          <t>B. DIRECT SUBCONTRACTING COSTS</t>
        </is>
      </c>
      <c r="B222" s="344" t="n"/>
      <c r="C222" s="227" t="n"/>
      <c r="D222" s="223" t="n"/>
      <c r="E222" s="344" t="n"/>
      <c r="F222" s="227" t="n"/>
      <c r="G222" s="223" t="n"/>
      <c r="H222" s="8" t="n"/>
      <c r="I222" s="340" t="n"/>
      <c r="J222" s="345" t="n"/>
      <c r="K222" s="223" t="n"/>
      <c r="L222" s="223" t="n"/>
      <c r="M222" s="8" t="n"/>
      <c r="N222" s="223" t="n"/>
    </row>
    <row r="223" ht="14.45" customHeight="1">
      <c r="A223" s="9" t="n"/>
      <c r="B223" s="341">
        <f>'BE1'!B223+'BE2'!B223+'BE3'!B223+'BE4'!B223</f>
        <v/>
      </c>
      <c r="C223" s="228" t="n"/>
      <c r="D223" s="229">
        <f>'BE1'!D223+'BE2'!D223+'BE3'!D223+'BE4'!D223</f>
        <v/>
      </c>
      <c r="E223" s="342" t="n"/>
      <c r="F223" s="226" t="n"/>
      <c r="G223" s="225" t="n"/>
      <c r="H223" s="8" t="n"/>
      <c r="I223" s="343">
        <f>D223+G223</f>
        <v/>
      </c>
      <c r="J223" s="342">
        <f>E223+B223</f>
        <v/>
      </c>
      <c r="K223" s="225">
        <f>IF(J223&gt;0,L223/J223," ")</f>
        <v/>
      </c>
      <c r="L223" s="225">
        <f>G223+D223</f>
        <v/>
      </c>
      <c r="M223" s="8" t="n"/>
      <c r="N223" s="222">
        <f>D223+G223</f>
        <v/>
      </c>
    </row>
    <row r="224" ht="14.45" customHeight="1">
      <c r="A224" s="11" t="inlineStr">
        <is>
          <t>C. DIRECT PURCHASE COSTS</t>
        </is>
      </c>
      <c r="B224" s="344" t="n"/>
      <c r="C224" s="227" t="n"/>
      <c r="D224" s="223" t="n"/>
      <c r="E224" s="344" t="n"/>
      <c r="F224" s="227" t="n"/>
      <c r="G224" s="223" t="n"/>
      <c r="H224" s="8" t="n"/>
      <c r="I224" s="340" t="n"/>
      <c r="J224" s="345" t="n"/>
      <c r="K224" s="223" t="n"/>
      <c r="L224" s="223" t="n"/>
      <c r="M224" s="8" t="n"/>
      <c r="N224" s="223" t="n"/>
    </row>
    <row r="225" ht="14.45" customHeight="1">
      <c r="A225" s="39" t="inlineStr">
        <is>
          <t>C.1 Travel and subsistence</t>
        </is>
      </c>
      <c r="B225" s="341">
        <f>'BE1'!B225+'BE2'!B225+'BE3'!B225+'BE4'!B225</f>
        <v/>
      </c>
      <c r="C225" s="228" t="n"/>
      <c r="D225" s="229">
        <f>'BE1'!D225+'BE2'!D225+'BE3'!D225+'BE4'!D225</f>
        <v/>
      </c>
      <c r="E225" s="342" t="n"/>
      <c r="F225" s="226" t="n"/>
      <c r="G225" s="225" t="n"/>
      <c r="H225" s="8" t="n"/>
      <c r="I225" s="343">
        <f>D225+G225</f>
        <v/>
      </c>
      <c r="J225" s="342">
        <f>E225+B225</f>
        <v/>
      </c>
      <c r="K225" s="225">
        <f>IF(J225&gt;0,L225/J225," ")</f>
        <v/>
      </c>
      <c r="L225" s="225">
        <f>G225+D225</f>
        <v/>
      </c>
      <c r="M225" s="8" t="n"/>
      <c r="N225" s="222">
        <f>D225+G225</f>
        <v/>
      </c>
    </row>
    <row r="226" ht="14.45" customHeight="1">
      <c r="A226" s="7" t="inlineStr">
        <is>
          <t>C.2 Equipment (complete 'Depreciation cost' sheet)</t>
        </is>
      </c>
      <c r="B226" s="346" t="n"/>
      <c r="C226" s="160" t="n"/>
      <c r="D226" s="160" t="n"/>
      <c r="E226" s="346" t="n"/>
      <c r="F226" s="160" t="n"/>
      <c r="G226" s="160" t="n"/>
      <c r="H226" s="8" t="n"/>
      <c r="I226" s="89" t="n"/>
      <c r="J226" s="346" t="n"/>
      <c r="K226" s="160" t="n"/>
      <c r="L226" s="160" t="n"/>
      <c r="M226" s="8" t="n"/>
      <c r="N226" s="160" t="n"/>
    </row>
    <row r="227" ht="14.45" customHeight="1">
      <c r="A227" s="37" t="inlineStr">
        <is>
          <t>Equipment</t>
        </is>
      </c>
      <c r="B227" s="341">
        <f>'BE1'!B227+'BE2'!B227+'BE3'!B227+'BE4'!B227</f>
        <v/>
      </c>
      <c r="C227" s="228" t="n"/>
      <c r="D227" s="229">
        <f>'BE1'!D227+'BE2'!D227+'BE3'!D227+'BE4'!D227</f>
        <v/>
      </c>
      <c r="E227" s="342" t="n"/>
      <c r="F227" s="226" t="n"/>
      <c r="G227" s="225" t="n"/>
      <c r="H227" s="8" t="n"/>
      <c r="I227" s="343">
        <f>D227+G227</f>
        <v/>
      </c>
      <c r="J227" s="342">
        <f>E227+B227</f>
        <v/>
      </c>
      <c r="K227" s="225">
        <f>IF(J227&gt;0,L227/J227," ")</f>
        <v/>
      </c>
      <c r="L227" s="225">
        <f>G227+D227</f>
        <v/>
      </c>
      <c r="M227" s="8" t="n"/>
      <c r="N227" s="222">
        <f>D227+G227</f>
        <v/>
      </c>
    </row>
    <row r="228" ht="14.45" customHeight="1">
      <c r="A228" s="37" t="inlineStr">
        <is>
          <t>Infrastructure</t>
        </is>
      </c>
      <c r="B228" s="341">
        <f>'BE1'!B228+'BE2'!B228+'BE3'!B228+'BE4'!B228</f>
        <v/>
      </c>
      <c r="C228" s="228" t="n"/>
      <c r="D228" s="229">
        <f>'BE1'!D228+'BE2'!D228+'BE3'!D228+'BE4'!D228</f>
        <v/>
      </c>
      <c r="E228" s="342" t="n"/>
      <c r="F228" s="226" t="n"/>
      <c r="G228" s="225" t="n"/>
      <c r="H228" s="8" t="n"/>
      <c r="I228" s="343">
        <f>D228+G228</f>
        <v/>
      </c>
      <c r="J228" s="342">
        <f>E228+B228</f>
        <v/>
      </c>
      <c r="K228" s="225">
        <f>IF(J228&gt;0,L228/J228," ")</f>
        <v/>
      </c>
      <c r="L228" s="225">
        <f>G228+D228</f>
        <v/>
      </c>
      <c r="M228" s="8" t="n"/>
      <c r="N228" s="222">
        <f>D228+G228</f>
        <v/>
      </c>
    </row>
    <row r="229" ht="14.45" customHeight="1">
      <c r="A229" s="37" t="inlineStr">
        <is>
          <t>Other assets</t>
        </is>
      </c>
      <c r="B229" s="341">
        <f>'BE1'!B229+'BE2'!B229+'BE3'!B229+'BE4'!B229</f>
        <v/>
      </c>
      <c r="C229" s="228" t="n"/>
      <c r="D229" s="229">
        <f>'BE1'!D229+'BE2'!D229+'BE3'!D229+'BE4'!D229</f>
        <v/>
      </c>
      <c r="E229" s="342" t="n"/>
      <c r="F229" s="226" t="n"/>
      <c r="G229" s="225" t="n"/>
      <c r="H229" s="8" t="n"/>
      <c r="I229" s="343">
        <f>D229+G229</f>
        <v/>
      </c>
      <c r="J229" s="342">
        <f>E229+B229</f>
        <v/>
      </c>
      <c r="K229" s="225">
        <f>IF(J229&gt;0,L229/J229," ")</f>
        <v/>
      </c>
      <c r="L229" s="225">
        <f>G229+D229</f>
        <v/>
      </c>
      <c r="M229" s="8" t="n"/>
      <c r="N229" s="222">
        <f>D229+G229</f>
        <v/>
      </c>
    </row>
    <row r="230" ht="14.45" customHeight="1">
      <c r="A230" s="7" t="inlineStr">
        <is>
          <t>C.3 Other goods, works and services</t>
        </is>
      </c>
      <c r="B230" s="346" t="n"/>
      <c r="C230" s="160" t="n"/>
      <c r="D230" s="160" t="n"/>
      <c r="E230" s="346" t="n"/>
      <c r="F230" s="160" t="n"/>
      <c r="G230" s="160" t="n"/>
      <c r="H230" s="8" t="n"/>
      <c r="I230" s="89" t="n"/>
      <c r="J230" s="346" t="n"/>
      <c r="K230" s="160" t="n"/>
      <c r="L230" s="160" t="n"/>
      <c r="M230" s="8" t="n"/>
      <c r="N230" s="160" t="n"/>
    </row>
    <row r="231" ht="14.45" customHeight="1">
      <c r="A231" s="37" t="inlineStr">
        <is>
          <t>Consumables</t>
        </is>
      </c>
      <c r="B231" s="341">
        <f>'BE1'!B231+'BE2'!B231+'BE3'!B231+'BE4'!B231</f>
        <v/>
      </c>
      <c r="C231" s="228" t="n"/>
      <c r="D231" s="229">
        <f>'BE1'!D231+'BE2'!D231+'BE3'!D231+'BE4'!D231</f>
        <v/>
      </c>
      <c r="E231" s="342" t="n"/>
      <c r="F231" s="226" t="n"/>
      <c r="G231" s="225" t="n"/>
      <c r="H231" s="8" t="n"/>
      <c r="I231" s="343">
        <f>D231+G231</f>
        <v/>
      </c>
      <c r="J231" s="342">
        <f>E231+B231</f>
        <v/>
      </c>
      <c r="K231" s="225">
        <f>IF(J231&gt;0,L231/J231," ")</f>
        <v/>
      </c>
      <c r="L231" s="225">
        <f>G231+D231</f>
        <v/>
      </c>
      <c r="M231" s="8" t="n"/>
      <c r="N231" s="222">
        <f>D231+G231</f>
        <v/>
      </c>
    </row>
    <row r="232" ht="14.45" customHeight="1">
      <c r="A232" s="37" t="inlineStr">
        <is>
          <t>Services for meetings, seminars</t>
        </is>
      </c>
      <c r="B232" s="341">
        <f>'BE1'!B232+'BE2'!B232+'BE3'!B232+'BE4'!B232</f>
        <v/>
      </c>
      <c r="C232" s="228" t="n"/>
      <c r="D232" s="229">
        <f>'BE1'!D232+'BE2'!D232+'BE3'!D232+'BE4'!D232</f>
        <v/>
      </c>
      <c r="E232" s="342" t="n"/>
      <c r="F232" s="226" t="n"/>
      <c r="G232" s="225" t="n"/>
      <c r="H232" s="8" t="n"/>
      <c r="I232" s="343">
        <f>D232+G232</f>
        <v/>
      </c>
      <c r="J232" s="342">
        <f>E232+B232</f>
        <v/>
      </c>
      <c r="K232" s="225">
        <f>IF(J232&gt;0,L232/J232," ")</f>
        <v/>
      </c>
      <c r="L232" s="225">
        <f>G232+D232</f>
        <v/>
      </c>
      <c r="M232" s="8" t="n"/>
      <c r="N232" s="222">
        <f>D232+G232</f>
        <v/>
      </c>
    </row>
    <row r="233" ht="14.45" customHeight="1">
      <c r="A233" s="37" t="inlineStr">
        <is>
          <t>Services for dissemination activities (including website)</t>
        </is>
      </c>
      <c r="B233" s="341">
        <f>'BE1'!B233+'BE2'!B233+'BE3'!B233+'BE4'!B233</f>
        <v/>
      </c>
      <c r="C233" s="228" t="n"/>
      <c r="D233" s="229">
        <f>'BE1'!D233+'BE2'!D233+'BE3'!D233+'BE4'!D233</f>
        <v/>
      </c>
      <c r="E233" s="342" t="n"/>
      <c r="F233" s="226" t="n"/>
      <c r="G233" s="225" t="n"/>
      <c r="H233" s="8" t="n"/>
      <c r="I233" s="343">
        <f>D233+G233</f>
        <v/>
      </c>
      <c r="J233" s="342">
        <f>E233+B233</f>
        <v/>
      </c>
      <c r="K233" s="225">
        <f>IF(J233&gt;0,L233/J233," ")</f>
        <v/>
      </c>
      <c r="L233" s="225">
        <f>G233+D233</f>
        <v/>
      </c>
      <c r="M233" s="8" t="n"/>
      <c r="N233" s="222">
        <f>D233+G233</f>
        <v/>
      </c>
    </row>
    <row r="234" ht="14.45" customHeight="1">
      <c r="A234" s="37" t="inlineStr">
        <is>
          <t>Publication fees</t>
        </is>
      </c>
      <c r="B234" s="341">
        <f>'BE1'!B234+'BE2'!B234+'BE3'!B234+'BE4'!B234</f>
        <v/>
      </c>
      <c r="C234" s="228" t="n"/>
      <c r="D234" s="229">
        <f>'BE1'!D234+'BE2'!D234+'BE3'!D234+'BE4'!D234</f>
        <v/>
      </c>
      <c r="E234" s="342" t="n"/>
      <c r="F234" s="226" t="n"/>
      <c r="G234" s="225" t="n"/>
      <c r="H234" s="8" t="n"/>
      <c r="I234" s="343">
        <f>D234+G234</f>
        <v/>
      </c>
      <c r="J234" s="342">
        <f>E234+B234</f>
        <v/>
      </c>
      <c r="K234" s="225">
        <f>IF(J234&gt;0,L234/J234," ")</f>
        <v/>
      </c>
      <c r="L234" s="225">
        <f>G234+D234</f>
        <v/>
      </c>
      <c r="M234" s="8" t="n"/>
      <c r="N234" s="222">
        <f>D234+G234</f>
        <v/>
      </c>
    </row>
    <row r="235" ht="14.45" customHeight="1">
      <c r="A235" s="37" t="inlineStr">
        <is>
          <t>Other (shipment,insurance, translation, etc.)</t>
        </is>
      </c>
      <c r="B235" s="341">
        <f>'BE1'!B235+'BE2'!B235+'BE3'!B235+'BE4'!B235</f>
        <v/>
      </c>
      <c r="C235" s="228" t="n"/>
      <c r="D235" s="229">
        <f>'BE1'!D235+'BE2'!D235+'BE3'!D235+'BE4'!D235</f>
        <v/>
      </c>
      <c r="E235" s="342" t="n"/>
      <c r="F235" s="226" t="n"/>
      <c r="G235" s="225" t="n"/>
      <c r="H235" s="8" t="n"/>
      <c r="I235" s="343">
        <f>D235+G235</f>
        <v/>
      </c>
      <c r="J235" s="342">
        <f>E235+B235</f>
        <v/>
      </c>
      <c r="K235" s="225">
        <f>IF(J235&gt;0,L235/J235," ")</f>
        <v/>
      </c>
      <c r="L235" s="225">
        <f>G235+D235</f>
        <v/>
      </c>
      <c r="M235" s="8" t="n"/>
      <c r="N235" s="222">
        <f>D235+G235</f>
        <v/>
      </c>
    </row>
    <row r="236" ht="14.45" customHeight="1">
      <c r="A236" s="6" t="inlineStr">
        <is>
          <t>D. OTHER COST CATEGORIES</t>
        </is>
      </c>
      <c r="B236" s="344" t="n"/>
      <c r="C236" s="227" t="n"/>
      <c r="D236" s="223" t="n"/>
      <c r="E236" s="344" t="n"/>
      <c r="F236" s="227" t="n"/>
      <c r="G236" s="223" t="n"/>
      <c r="H236" s="8" t="n"/>
      <c r="I236" s="340" t="n"/>
      <c r="J236" s="345" t="n"/>
      <c r="K236" s="223" t="n"/>
      <c r="L236" s="223" t="n"/>
      <c r="M236" s="8" t="n"/>
      <c r="N236" s="223" t="n"/>
    </row>
    <row r="237" ht="14.45" customHeight="1">
      <c r="A237" s="40" t="inlineStr">
        <is>
          <t>D.1 Financial support to third parties (if applicable in the topic specific conditions)</t>
        </is>
      </c>
      <c r="B237" s="341">
        <f>'BE1'!B237+'BE2'!B237+'BE3'!B237+'BE4'!B237</f>
        <v/>
      </c>
      <c r="C237" s="228" t="n"/>
      <c r="D237" s="229">
        <f>'BE1'!D237+'BE2'!D237+'BE3'!D237+'BE4'!D237</f>
        <v/>
      </c>
      <c r="E237" s="342" t="n"/>
      <c r="F237" s="226" t="n"/>
      <c r="G237" s="225" t="n"/>
      <c r="H237" s="8" t="n"/>
      <c r="I237" s="343">
        <f>D237+G237</f>
        <v/>
      </c>
      <c r="J237" s="342">
        <f>E237+B237</f>
        <v/>
      </c>
      <c r="K237" s="225">
        <f>IF(J237&gt;0,L237/J237," ")</f>
        <v/>
      </c>
      <c r="L237" s="225">
        <f>G237+D237</f>
        <v/>
      </c>
      <c r="M237" s="8" t="n"/>
      <c r="N237" s="222">
        <f>D237+G237</f>
        <v/>
      </c>
    </row>
    <row r="238" ht="14.45" customHeight="1">
      <c r="A238" s="39" t="inlineStr">
        <is>
          <t>D.2 Internally invoiced goods and services</t>
        </is>
      </c>
      <c r="B238" s="341">
        <f>'BE1'!B238+'BE2'!B238+'BE3'!B238+'BE4'!B238</f>
        <v/>
      </c>
      <c r="C238" s="228" t="n"/>
      <c r="D238" s="229">
        <f>'BE1'!D238+'BE2'!D238+'BE3'!D238+'BE4'!D238</f>
        <v/>
      </c>
      <c r="E238" s="342" t="n"/>
      <c r="F238" s="226" t="n"/>
      <c r="G238" s="225" t="n"/>
      <c r="H238" s="8" t="n"/>
      <c r="I238" s="343">
        <f>D238+G238</f>
        <v/>
      </c>
      <c r="J238" s="342">
        <f>E238+B238</f>
        <v/>
      </c>
      <c r="K238" s="225">
        <f>IF(J238&gt;0,L238/J238," ")</f>
        <v/>
      </c>
      <c r="L238" s="225">
        <f>G238+D238</f>
        <v/>
      </c>
      <c r="M238" s="8" t="n"/>
      <c r="N238" s="222">
        <f>D238+G238</f>
        <v/>
      </c>
    </row>
    <row r="239" ht="14.45" customHeight="1">
      <c r="A239" s="39" t="inlineStr">
        <is>
          <t>D.3 Transnational access to research infrastructure unit costs (if required in the topic specific conditions)</t>
        </is>
      </c>
      <c r="B239" s="341">
        <f>'BE1'!B239+'BE2'!B239+'BE3'!B239+'BE4'!B239</f>
        <v/>
      </c>
      <c r="C239" s="228" t="n"/>
      <c r="D239" s="229">
        <f>'BE1'!D239+'BE2'!D239+'BE3'!D239+'BE4'!D239</f>
        <v/>
      </c>
      <c r="E239" s="342" t="n"/>
      <c r="F239" s="226" t="n"/>
      <c r="G239" s="225" t="n"/>
      <c r="H239" s="8" t="n"/>
      <c r="I239" s="343">
        <f>D239+G239</f>
        <v/>
      </c>
      <c r="J239" s="342">
        <f>E239+B239</f>
        <v/>
      </c>
      <c r="K239" s="225">
        <f>IF(J239&gt;0,L239/J239," ")</f>
        <v/>
      </c>
      <c r="L239" s="225">
        <f>G239+D239</f>
        <v/>
      </c>
      <c r="M239" s="8" t="n"/>
      <c r="N239" s="222">
        <f>D239+G239</f>
        <v/>
      </c>
    </row>
    <row r="240" ht="14.45" customHeight="1">
      <c r="A240" s="39" t="inlineStr">
        <is>
          <t>D.4 Virtual access to research infrastructure unit costs (if required in the topic specific conditions)</t>
        </is>
      </c>
      <c r="B240" s="341">
        <f>'BE1'!B240+'BE2'!B240+'BE3'!B240+'BE4'!B240</f>
        <v/>
      </c>
      <c r="C240" s="228" t="n"/>
      <c r="D240" s="229">
        <f>'BE1'!D240+'BE2'!D240+'BE3'!D240+'BE4'!D240</f>
        <v/>
      </c>
      <c r="E240" s="342" t="n"/>
      <c r="F240" s="226" t="n"/>
      <c r="G240" s="225" t="n"/>
      <c r="H240" s="8" t="n"/>
      <c r="I240" s="343">
        <f>D240+G240</f>
        <v/>
      </c>
      <c r="J240" s="342">
        <f>E240+B240</f>
        <v/>
      </c>
      <c r="K240" s="225">
        <f>IF(J240&gt;0,L240/J240," ")</f>
        <v/>
      </c>
      <c r="L240" s="225">
        <f>G240+D240</f>
        <v/>
      </c>
      <c r="M240" s="8" t="n"/>
      <c r="N240" s="222">
        <f>D240+G240</f>
        <v/>
      </c>
    </row>
    <row r="241" ht="14.45" customHeight="1">
      <c r="A241" s="39" t="inlineStr">
        <is>
          <t>D.5 PCP/PPI procurement costs (if mentioned as eligible in the topic specific conditions)</t>
        </is>
      </c>
      <c r="B241" s="341">
        <f>'BE1'!B241+'BE2'!B241+'BE3'!B241+'BE4'!B241</f>
        <v/>
      </c>
      <c r="C241" s="228" t="n"/>
      <c r="D241" s="229">
        <f>'BE1'!D241+'BE2'!D241+'BE3'!D241+'BE4'!D241</f>
        <v/>
      </c>
      <c r="E241" s="342" t="n"/>
      <c r="F241" s="226" t="n"/>
      <c r="G241" s="225" t="n"/>
      <c r="H241" s="8" t="n"/>
      <c r="I241" s="343">
        <f>D241+G241</f>
        <v/>
      </c>
      <c r="J241" s="342">
        <f>E241+B241</f>
        <v/>
      </c>
      <c r="K241" s="225">
        <f>IF(J241&gt;0,L241/J241," ")</f>
        <v/>
      </c>
      <c r="L241" s="225">
        <f>G241+D241</f>
        <v/>
      </c>
      <c r="M241" s="8" t="n"/>
      <c r="N241" s="222">
        <f>D241+G241</f>
        <v/>
      </c>
    </row>
    <row r="242" ht="14.45" customHeight="1">
      <c r="A242" s="26" t="n"/>
      <c r="B242" s="346" t="n"/>
      <c r="C242" s="160" t="n"/>
      <c r="D242" s="160" t="n"/>
      <c r="E242" s="346" t="n"/>
      <c r="F242" s="160" t="n"/>
      <c r="G242" s="160" t="n"/>
      <c r="H242" s="8" t="n"/>
      <c r="I242" s="89" t="n"/>
      <c r="J242" s="346" t="n"/>
      <c r="K242" s="160" t="n"/>
      <c r="L242" s="160" t="n"/>
      <c r="M242" s="8" t="n"/>
      <c r="N242" s="160" t="n"/>
    </row>
    <row r="243" ht="14.45" customHeight="1">
      <c r="A243" s="41" t="inlineStr">
        <is>
          <t>TOTAL DIRECT PERSONNEL COSTS AND PURCHASE COSTS (A+C)</t>
        </is>
      </c>
      <c r="B243" s="347" t="n"/>
      <c r="C243" s="224" t="n"/>
      <c r="D243" s="224">
        <f>'BE1'!D243+'BE2'!D243+'BE3'!D243+'BE4'!D243</f>
        <v/>
      </c>
      <c r="E243" s="347" t="n"/>
      <c r="F243" s="224" t="n"/>
      <c r="G243" s="224" t="n"/>
      <c r="H243" s="8" t="n"/>
      <c r="I243" s="348">
        <f>SUM(I214:I221,I225:I235)</f>
        <v/>
      </c>
      <c r="J243" s="347" t="n"/>
      <c r="K243" s="224" t="n"/>
      <c r="L243" s="224">
        <f>SUM(L214:L221,L225:L235)</f>
        <v/>
      </c>
      <c r="M243" s="8" t="n"/>
      <c r="N243" s="224">
        <f>SUM(N214:N221,N225:N235)</f>
        <v/>
      </c>
    </row>
    <row r="244" ht="14.45" customHeight="1">
      <c r="A244" s="41" t="inlineStr">
        <is>
          <t>TOTAL DIRECT COSTS  (A+B+C+D)</t>
        </is>
      </c>
      <c r="B244" s="347" t="n"/>
      <c r="C244" s="224" t="n"/>
      <c r="D244" s="224">
        <f>'BE1'!D244+'BE2'!D244+'BE3'!D244+'BE4'!D244</f>
        <v/>
      </c>
      <c r="E244" s="347" t="n"/>
      <c r="F244" s="224" t="n"/>
      <c r="G244" s="224" t="n"/>
      <c r="H244" s="8" t="n"/>
      <c r="I244" s="348">
        <f>SUM(I214:I241)</f>
        <v/>
      </c>
      <c r="J244" s="347" t="n"/>
      <c r="K244" s="224" t="n"/>
      <c r="L244" s="224">
        <f>SUM(L214:L241)</f>
        <v/>
      </c>
      <c r="M244" s="8" t="n"/>
      <c r="N244" s="224">
        <f>SUM(N214:N241)</f>
        <v/>
      </c>
    </row>
    <row r="245" ht="6.95" customHeight="1">
      <c r="A245" s="8" t="n"/>
      <c r="B245" s="349" t="n"/>
      <c r="C245" s="134" t="n"/>
      <c r="D245" s="134" t="n"/>
      <c r="E245" s="349" t="n"/>
      <c r="F245" s="134" t="n"/>
      <c r="G245" s="134" t="n"/>
      <c r="H245" s="8" t="n"/>
      <c r="I245" s="8" t="n"/>
      <c r="J245" s="349" t="n"/>
      <c r="K245" s="134" t="n"/>
      <c r="L245" s="134" t="n"/>
      <c r="M245" s="8" t="n"/>
      <c r="N245" s="134" t="n"/>
    </row>
    <row r="246" ht="14.45" customHeight="1">
      <c r="A246" s="11" t="inlineStr">
        <is>
          <t>E. INDIRECT COSTS (25% * (A+C))</t>
        </is>
      </c>
      <c r="B246" s="347" t="n"/>
      <c r="C246" s="224" t="n"/>
      <c r="D246" s="224">
        <f>'BE1'!D246+'BE2'!D246+'BE3'!D246+'BE4'!D246</f>
        <v/>
      </c>
      <c r="E246" s="347" t="n"/>
      <c r="F246" s="224" t="n"/>
      <c r="G246" s="224" t="n"/>
      <c r="H246" s="8" t="n"/>
      <c r="I246" s="348">
        <f>+I243*0.25</f>
        <v/>
      </c>
      <c r="J246" s="347" t="n"/>
      <c r="K246" s="224" t="n"/>
      <c r="L246" s="224">
        <f>+L243*0.25</f>
        <v/>
      </c>
      <c r="M246" s="8" t="n"/>
      <c r="N246" s="224">
        <f>+N243*0.25</f>
        <v/>
      </c>
    </row>
    <row r="247" ht="6.95" customHeight="1">
      <c r="A247" s="8" t="n"/>
      <c r="B247" s="349" t="n"/>
      <c r="C247" s="134" t="n"/>
      <c r="D247" s="134" t="n"/>
      <c r="E247" s="349" t="n"/>
      <c r="F247" s="134" t="n"/>
      <c r="G247" s="134" t="n"/>
      <c r="H247" s="8" t="n"/>
      <c r="I247" s="8" t="n"/>
      <c r="J247" s="349" t="n"/>
      <c r="K247" s="134" t="n"/>
      <c r="L247" s="134" t="n"/>
      <c r="M247" s="8" t="n"/>
      <c r="N247" s="134" t="n"/>
    </row>
    <row r="248" ht="14.45" customHeight="1">
      <c r="A248" s="11" t="inlineStr">
        <is>
          <t>F. TOTAL COSTS (A+B+C+D+E)</t>
        </is>
      </c>
      <c r="B248" s="347" t="n"/>
      <c r="C248" s="224" t="n"/>
      <c r="D248" s="224">
        <f>'BE1'!D248+'BE2'!D248+'BE3'!D248+'BE4'!D248</f>
        <v/>
      </c>
      <c r="E248" s="347" t="n"/>
      <c r="F248" s="224" t="n"/>
      <c r="G248" s="224" t="n"/>
      <c r="H248" s="8" t="n"/>
      <c r="I248" s="348">
        <f>I244+I246</f>
        <v/>
      </c>
      <c r="J248" s="347" t="n"/>
      <c r="K248" s="224" t="n"/>
      <c r="L248" s="224">
        <f>L244+L246</f>
        <v/>
      </c>
      <c r="M248" s="8" t="n"/>
      <c r="N248" s="224">
        <f>N244+N246</f>
        <v/>
      </c>
    </row>
    <row r="249" ht="6.95" customHeight="1">
      <c r="A249" s="8" t="n"/>
      <c r="B249" s="8" t="n"/>
      <c r="C249" s="8" t="n"/>
      <c r="D249" s="8" t="n"/>
      <c r="E249" s="8" t="n"/>
      <c r="F249" s="8" t="n"/>
      <c r="G249" s="8" t="n"/>
      <c r="H249" s="8" t="n"/>
      <c r="I249" s="8" t="n"/>
      <c r="J249" s="8" t="n"/>
      <c r="K249" s="8" t="n"/>
      <c r="L249" s="8" t="n"/>
      <c r="M249" s="8" t="n"/>
      <c r="N249" s="8" t="n"/>
    </row>
    <row r="250" ht="14.45" customHeight="1">
      <c r="A250" s="209" t="n"/>
      <c r="B250" s="207" t="n"/>
      <c r="C250" s="209" t="n"/>
      <c r="D250" s="208" t="n"/>
      <c r="E250" s="207" t="n"/>
      <c r="F250" s="209" t="n"/>
      <c r="G250" s="208" t="n"/>
      <c r="H250" s="208" t="n"/>
      <c r="I250" s="208" t="n"/>
      <c r="J250" s="208" t="n"/>
      <c r="K250" s="208" t="n"/>
      <c r="L250" s="208" t="n"/>
      <c r="M250" s="209" t="n"/>
      <c r="N250" s="210" t="n"/>
    </row>
    <row r="251" ht="21" customHeight="1">
      <c r="A251" s="301" t="inlineStr">
        <is>
          <t>SUM OF ALL WORK PACKAGES FOR ALL BENEFICIARIES</t>
        </is>
      </c>
      <c r="B251" s="337" t="n"/>
      <c r="C251" s="337" t="n"/>
      <c r="D251" s="337" t="n"/>
      <c r="E251" s="337" t="n"/>
      <c r="F251" s="337" t="n"/>
      <c r="G251" s="337" t="n"/>
      <c r="H251" s="337" t="n"/>
      <c r="I251" s="337" t="n"/>
      <c r="J251" s="337" t="n"/>
      <c r="K251" s="337" t="n"/>
      <c r="L251" s="337" t="n"/>
      <c r="M251" s="337" t="n"/>
      <c r="N251" s="338" t="n"/>
    </row>
    <row r="252" ht="6.95" customHeight="1">
      <c r="A252" s="8" t="n"/>
      <c r="B252" s="8" t="n"/>
      <c r="C252" s="8" t="n"/>
      <c r="D252" s="8" t="n"/>
      <c r="E252" s="8" t="n"/>
      <c r="F252" s="8" t="n"/>
      <c r="G252" s="8" t="n"/>
      <c r="H252" s="8" t="n"/>
      <c r="I252" s="8" t="n"/>
      <c r="J252" s="8" t="n"/>
      <c r="K252" s="8" t="n"/>
      <c r="L252" s="8" t="n"/>
      <c r="M252" s="8" t="n"/>
      <c r="N252" s="8" t="n"/>
    </row>
    <row r="253" ht="14.45" customHeight="1">
      <c r="A253" s="11" t="inlineStr">
        <is>
          <t>A. DIRECT PERSONNEL COSTS</t>
        </is>
      </c>
      <c r="B253" s="4" t="n"/>
      <c r="C253" s="339" t="n"/>
      <c r="D253" s="340" t="n"/>
      <c r="E253" s="4" t="n"/>
      <c r="F253" s="339" t="n"/>
      <c r="G253" s="340" t="n"/>
      <c r="H253" s="8" t="n"/>
      <c r="I253" s="340" t="n"/>
      <c r="J253" s="340" t="n"/>
      <c r="K253" s="340" t="n"/>
      <c r="L253" s="340" t="n"/>
      <c r="M253" s="8" t="n"/>
      <c r="N253" s="340" t="n"/>
    </row>
    <row r="254" ht="14.45" customHeight="1">
      <c r="A254" s="7" t="inlineStr">
        <is>
          <t>A.1 Employees (or equivalent)</t>
        </is>
      </c>
      <c r="B254" s="89" t="n"/>
      <c r="C254" s="89" t="n"/>
      <c r="D254" s="89" t="n"/>
      <c r="E254" s="89" t="n"/>
      <c r="F254" s="89" t="n"/>
      <c r="G254" s="89" t="n"/>
      <c r="H254" s="8" t="n"/>
      <c r="I254" s="89" t="n"/>
      <c r="J254" s="89" t="n"/>
      <c r="K254" s="89" t="n"/>
      <c r="L254" s="89" t="n"/>
      <c r="M254" s="8" t="n"/>
      <c r="N254" s="89" t="n"/>
    </row>
    <row r="255" ht="14.45" customHeight="1">
      <c r="A255" s="36" t="inlineStr">
        <is>
          <t>SENIOR SCIENTISTS (or equivalent in the private sector)</t>
        </is>
      </c>
      <c r="B255" s="341">
        <f>B9+B50+B91+B132+B173+B214</f>
        <v/>
      </c>
      <c r="C255" s="350" t="n"/>
      <c r="D255" s="351">
        <f>D9+D50+D91+D132+D173+D214</f>
        <v/>
      </c>
      <c r="E255" s="342">
        <f>E9+E50+E91+E132+E173+E214</f>
        <v/>
      </c>
      <c r="F255" s="352" t="n"/>
      <c r="G255" s="353">
        <f>G9+G50+G91+G132+G173+G214</f>
        <v/>
      </c>
      <c r="H255" s="8" t="n"/>
      <c r="I255" s="343">
        <f>D255+G255</f>
        <v/>
      </c>
      <c r="J255" s="342">
        <f>E255+B255</f>
        <v/>
      </c>
      <c r="K255" s="353">
        <f>IF(J255&gt;0,L255/J255," ")</f>
        <v/>
      </c>
      <c r="L255" s="353">
        <f>G255+D255</f>
        <v/>
      </c>
      <c r="M255" s="8" t="n"/>
      <c r="N255" s="343">
        <f>D255+G255</f>
        <v/>
      </c>
    </row>
    <row r="256" ht="14.45" customHeight="1">
      <c r="A256" s="36" t="inlineStr">
        <is>
          <t>JUNIOR SCIENTISTS (or equivalent in the private sector)</t>
        </is>
      </c>
      <c r="B256" s="341">
        <f>B10+B51+B92+B133+B174+B215</f>
        <v/>
      </c>
      <c r="C256" s="350" t="n"/>
      <c r="D256" s="351">
        <f>D10+D51+D92+D133+D174+D215</f>
        <v/>
      </c>
      <c r="E256" s="342">
        <f>E10+E51+E92+E133+E174+E215</f>
        <v/>
      </c>
      <c r="F256" s="352" t="n"/>
      <c r="G256" s="353">
        <f>G10+G51+G92+G133+G174+G215</f>
        <v/>
      </c>
      <c r="H256" s="8" t="n"/>
      <c r="I256" s="343">
        <f>D256+G256</f>
        <v/>
      </c>
      <c r="J256" s="342">
        <f>E256+B256</f>
        <v/>
      </c>
      <c r="K256" s="353">
        <f>IF(J256&gt;0,L256/J256," ")</f>
        <v/>
      </c>
      <c r="L256" s="353">
        <f>G256+D256</f>
        <v/>
      </c>
      <c r="M256" s="8" t="n"/>
      <c r="N256" s="343">
        <f>D256+G256</f>
        <v/>
      </c>
    </row>
    <row r="257" ht="14.45" customHeight="1">
      <c r="A257" s="36" t="inlineStr">
        <is>
          <t>TECHNICAL PERSONNEL (or equivalent in the private sector)</t>
        </is>
      </c>
      <c r="B257" s="341">
        <f>B11+B52+B93+B134+B175+B216</f>
        <v/>
      </c>
      <c r="C257" s="350" t="n"/>
      <c r="D257" s="351">
        <f>D11+D52+D93+D134+D175+D216</f>
        <v/>
      </c>
      <c r="E257" s="342">
        <f>E11+E52+E93+E134+E175+E216</f>
        <v/>
      </c>
      <c r="F257" s="352" t="n"/>
      <c r="G257" s="353">
        <f>G11+G52+G93+G134+G175+G216</f>
        <v/>
      </c>
      <c r="H257" s="8" t="n"/>
      <c r="I257" s="343">
        <f>D257+G257</f>
        <v/>
      </c>
      <c r="J257" s="342">
        <f>E257+B257</f>
        <v/>
      </c>
      <c r="K257" s="353">
        <f>IF(J257&gt;0,L257/J257," ")</f>
        <v/>
      </c>
      <c r="L257" s="353">
        <f>G257+D257</f>
        <v/>
      </c>
      <c r="M257" s="8" t="n"/>
      <c r="N257" s="343">
        <f>D257+G257</f>
        <v/>
      </c>
    </row>
    <row r="258" ht="14.45" customHeight="1">
      <c r="A258" s="36" t="inlineStr">
        <is>
          <t>ADMINISTRATIVE PERSONNEL (or equivalent in the private sector)</t>
        </is>
      </c>
      <c r="B258" s="341">
        <f>B12+B53+B94+B135+B176+B217</f>
        <v/>
      </c>
      <c r="C258" s="350" t="n"/>
      <c r="D258" s="351">
        <f>D12+D53+D94+D135+D176+D217</f>
        <v/>
      </c>
      <c r="E258" s="342">
        <f>E12+E53+E94+E135+E176+E217</f>
        <v/>
      </c>
      <c r="F258" s="352" t="n"/>
      <c r="G258" s="353">
        <f>G12+G53+G94+G135+G176+G217</f>
        <v/>
      </c>
      <c r="H258" s="8" t="n"/>
      <c r="I258" s="343">
        <f>D258+G258</f>
        <v/>
      </c>
      <c r="J258" s="342">
        <f>E258+B258</f>
        <v/>
      </c>
      <c r="K258" s="353">
        <f>IF(J258&gt;0,L258/J258," ")</f>
        <v/>
      </c>
      <c r="L258" s="353">
        <f>G258+D258</f>
        <v/>
      </c>
      <c r="M258" s="8" t="n"/>
      <c r="N258" s="343">
        <f>D258+G258</f>
        <v/>
      </c>
    </row>
    <row r="259" ht="14.45" customHeight="1">
      <c r="A259" s="36" t="inlineStr">
        <is>
          <t>OTHERS</t>
        </is>
      </c>
      <c r="B259" s="341">
        <f>B13+B54+B95+B136+B177+B218</f>
        <v/>
      </c>
      <c r="C259" s="350" t="n"/>
      <c r="D259" s="351">
        <f>D13+D54+D95+D136+D177+D218</f>
        <v/>
      </c>
      <c r="E259" s="342">
        <f>E13+E54+E95+E136+E177+E218</f>
        <v/>
      </c>
      <c r="F259" s="352" t="n"/>
      <c r="G259" s="353">
        <f>G13+G54+G95+G136+G177+G218</f>
        <v/>
      </c>
      <c r="H259" s="8" t="n"/>
      <c r="I259" s="343">
        <f>D259+G259</f>
        <v/>
      </c>
      <c r="J259" s="342">
        <f>E259+B259</f>
        <v/>
      </c>
      <c r="K259" s="353">
        <f>IF(J259&gt;0,L259/J259," ")</f>
        <v/>
      </c>
      <c r="L259" s="353">
        <f>G259+D259</f>
        <v/>
      </c>
      <c r="M259" s="8" t="n"/>
      <c r="N259" s="343">
        <f>D259+G259</f>
        <v/>
      </c>
    </row>
    <row r="260" ht="14.45" customHeight="1">
      <c r="A260" s="7" t="inlineStr">
        <is>
          <t>A.2 Natural Persons under direct contract</t>
        </is>
      </c>
      <c r="B260" s="341">
        <f>B14+B55+B96+B137+B178+B219</f>
        <v/>
      </c>
      <c r="C260" s="350" t="n"/>
      <c r="D260" s="351">
        <f>D14+D55+D96+D137+D178+D219</f>
        <v/>
      </c>
      <c r="E260" s="342">
        <f>E14+E55+E96+E137+E178+E219</f>
        <v/>
      </c>
      <c r="F260" s="352" t="n"/>
      <c r="G260" s="353">
        <f>G14+G55+G96+G137+G178+G219</f>
        <v/>
      </c>
      <c r="H260" s="8" t="n"/>
      <c r="I260" s="343">
        <f>D260+G260</f>
        <v/>
      </c>
      <c r="J260" s="342">
        <f>E260+B260</f>
        <v/>
      </c>
      <c r="K260" s="353">
        <f>IF(J260&gt;0,L260/J260," ")</f>
        <v/>
      </c>
      <c r="L260" s="353">
        <f>G260+D260</f>
        <v/>
      </c>
      <c r="M260" s="8" t="n"/>
      <c r="N260" s="343">
        <f>D260+G260</f>
        <v/>
      </c>
    </row>
    <row r="261" ht="14.45" customHeight="1">
      <c r="A261" s="7" t="inlineStr">
        <is>
          <t>A.3 Seconded Persons</t>
        </is>
      </c>
      <c r="B261" s="341">
        <f>B15+B56+B97+B138+B179+B220</f>
        <v/>
      </c>
      <c r="C261" s="350" t="n"/>
      <c r="D261" s="351">
        <f>D15+D56+D97+D138+D179+D220</f>
        <v/>
      </c>
      <c r="E261" s="342">
        <f>E15+E56+E97+E138+E179+E220</f>
        <v/>
      </c>
      <c r="F261" s="352" t="n"/>
      <c r="G261" s="353">
        <f>G15+G56+G97+G138+G179+G220</f>
        <v/>
      </c>
      <c r="H261" s="8" t="n"/>
      <c r="I261" s="343">
        <f>D261+G261</f>
        <v/>
      </c>
      <c r="J261" s="342">
        <f>E261+B261</f>
        <v/>
      </c>
      <c r="K261" s="353">
        <f>IF(J261&gt;0,L261/J261," ")</f>
        <v/>
      </c>
      <c r="L261" s="353">
        <f>G261+D261</f>
        <v/>
      </c>
      <c r="M261" s="8" t="n"/>
      <c r="N261" s="343">
        <f>D261+G261</f>
        <v/>
      </c>
    </row>
    <row r="262" ht="14.45" customHeight="1">
      <c r="A262" s="7" t="inlineStr">
        <is>
          <t>A.4 SME owners and natural person beneficiaries</t>
        </is>
      </c>
      <c r="B262" s="341">
        <f>B16+B57+B98+B139+B180+B221</f>
        <v/>
      </c>
      <c r="C262" s="350" t="n"/>
      <c r="D262" s="351">
        <f>D16+D57+D98+D139+D180+D221</f>
        <v/>
      </c>
      <c r="E262" s="342">
        <f>E16+E57+E98+E139+E180+E221</f>
        <v/>
      </c>
      <c r="F262" s="352" t="n"/>
      <c r="G262" s="353">
        <f>G16+G57+G98+G139+G180+G221</f>
        <v/>
      </c>
      <c r="H262" s="8" t="n"/>
      <c r="I262" s="343">
        <f>D262+G262</f>
        <v/>
      </c>
      <c r="J262" s="342">
        <f>E262+B262</f>
        <v/>
      </c>
      <c r="K262" s="353">
        <f>IF(J262&gt;0,L262/J262," ")</f>
        <v/>
      </c>
      <c r="L262" s="353">
        <f>G262+D262</f>
        <v/>
      </c>
      <c r="M262" s="8" t="n"/>
      <c r="N262" s="343">
        <f>D262+G262</f>
        <v/>
      </c>
    </row>
    <row r="263" ht="14.45" customHeight="1">
      <c r="A263" s="11" t="inlineStr">
        <is>
          <t>B. DIRECT SUBCONTRACTING COSTS</t>
        </is>
      </c>
      <c r="B263" s="344" t="n"/>
      <c r="C263" s="339" t="n"/>
      <c r="D263" s="340" t="n"/>
      <c r="E263" s="344" t="n"/>
      <c r="F263" s="339" t="n"/>
      <c r="G263" s="340" t="n"/>
      <c r="H263" s="8" t="n"/>
      <c r="I263" s="340" t="n"/>
      <c r="J263" s="345" t="n"/>
      <c r="K263" s="340" t="n"/>
      <c r="L263" s="340" t="n"/>
      <c r="M263" s="8" t="n"/>
      <c r="N263" s="340" t="n"/>
    </row>
    <row r="264" ht="14.45" customHeight="1">
      <c r="A264" s="9" t="n"/>
      <c r="B264" s="341">
        <f>B18+B59+B100+B141+B182+B223</f>
        <v/>
      </c>
      <c r="C264" s="350" t="n"/>
      <c r="D264" s="351">
        <f>D18+D59+D100+D141+D182+D223</f>
        <v/>
      </c>
      <c r="E264" s="342">
        <f>E18+E59+E100+E141+E182+E223</f>
        <v/>
      </c>
      <c r="F264" s="352" t="n"/>
      <c r="G264" s="353">
        <f>G18+G59+G100+G141+G182+G223</f>
        <v/>
      </c>
      <c r="H264" s="8" t="n"/>
      <c r="I264" s="343">
        <f>D264+G264</f>
        <v/>
      </c>
      <c r="J264" s="342">
        <f>E264+B264</f>
        <v/>
      </c>
      <c r="K264" s="353">
        <f>IF(J264&gt;0,L264/J264," ")</f>
        <v/>
      </c>
      <c r="L264" s="353">
        <f>G264+D264</f>
        <v/>
      </c>
      <c r="M264" s="8" t="n"/>
      <c r="N264" s="343">
        <f>D264+G264</f>
        <v/>
      </c>
    </row>
    <row r="265" ht="14.45" customHeight="1">
      <c r="A265" s="11" t="inlineStr">
        <is>
          <t>C. DIRECT PURCHASE COSTS</t>
        </is>
      </c>
      <c r="B265" s="344" t="n"/>
      <c r="C265" s="339" t="n"/>
      <c r="D265" s="340" t="n"/>
      <c r="E265" s="344" t="n"/>
      <c r="F265" s="339" t="n"/>
      <c r="G265" s="340" t="n"/>
      <c r="H265" s="8" t="n"/>
      <c r="I265" s="340" t="n"/>
      <c r="J265" s="345" t="n"/>
      <c r="K265" s="340" t="n"/>
      <c r="L265" s="340" t="n"/>
      <c r="M265" s="8" t="n"/>
      <c r="N265" s="340" t="n"/>
    </row>
    <row r="266" ht="14.45" customHeight="1">
      <c r="A266" s="39" t="inlineStr">
        <is>
          <t>C.1 Travel and subsistence</t>
        </is>
      </c>
      <c r="B266" s="341">
        <f>B20+B61+B102+B143+B184+B225</f>
        <v/>
      </c>
      <c r="C266" s="350" t="n"/>
      <c r="D266" s="351">
        <f>D20+D61+D102+D143+D184+D225</f>
        <v/>
      </c>
      <c r="E266" s="342">
        <f>E20+E61+E102+E143+E184+E225</f>
        <v/>
      </c>
      <c r="F266" s="352" t="n"/>
      <c r="G266" s="353">
        <f>G20+G61+G102+G143+G184+G225</f>
        <v/>
      </c>
      <c r="H266" s="8" t="n"/>
      <c r="I266" s="343">
        <f>D266+G266</f>
        <v/>
      </c>
      <c r="J266" s="342">
        <f>E266+B266</f>
        <v/>
      </c>
      <c r="K266" s="353">
        <f>IF(J266&gt;0,L266/J266," ")</f>
        <v/>
      </c>
      <c r="L266" s="353">
        <f>G266+D266</f>
        <v/>
      </c>
      <c r="M266" s="8" t="n"/>
      <c r="N266" s="343">
        <f>D266+G266</f>
        <v/>
      </c>
    </row>
    <row r="267" ht="14.45" customHeight="1">
      <c r="A267" s="7" t="inlineStr">
        <is>
          <t>C.2 Equipment (complete 'Depreciation cost' sheet)</t>
        </is>
      </c>
      <c r="B267" s="346" t="n"/>
      <c r="C267" s="89" t="n"/>
      <c r="D267" s="89" t="n"/>
      <c r="E267" s="346" t="n"/>
      <c r="F267" s="89" t="n"/>
      <c r="G267" s="89" t="n"/>
      <c r="H267" s="8" t="n"/>
      <c r="I267" s="89" t="n"/>
      <c r="J267" s="346" t="n"/>
      <c r="K267" s="89" t="n"/>
      <c r="L267" s="89" t="n"/>
      <c r="M267" s="8" t="n"/>
      <c r="N267" s="89" t="n"/>
    </row>
    <row r="268" ht="14.45" customHeight="1">
      <c r="A268" s="37" t="inlineStr">
        <is>
          <t>Equipment</t>
        </is>
      </c>
      <c r="B268" s="341">
        <f>B22+B63+B104+B145+B186+B227</f>
        <v/>
      </c>
      <c r="C268" s="350" t="n"/>
      <c r="D268" s="351">
        <f>D22+D63+D104+D145+D186+D227</f>
        <v/>
      </c>
      <c r="E268" s="342">
        <f>E22+E63+E104+E145+E186+E227</f>
        <v/>
      </c>
      <c r="F268" s="352" t="n"/>
      <c r="G268" s="353">
        <f>G22+G63+G104+G145+G186+G227</f>
        <v/>
      </c>
      <c r="H268" s="8" t="n"/>
      <c r="I268" s="343">
        <f>D268+G268</f>
        <v/>
      </c>
      <c r="J268" s="342">
        <f>E268+B268</f>
        <v/>
      </c>
      <c r="K268" s="353">
        <f>IF(J268&gt;0,L268/J268," ")</f>
        <v/>
      </c>
      <c r="L268" s="353">
        <f>G268+D268</f>
        <v/>
      </c>
      <c r="M268" s="8" t="n"/>
      <c r="N268" s="343">
        <f>D268+G268</f>
        <v/>
      </c>
    </row>
    <row r="269" ht="14.45" customHeight="1">
      <c r="A269" s="37" t="inlineStr">
        <is>
          <t>Infrastructure</t>
        </is>
      </c>
      <c r="B269" s="341">
        <f>B23+B64+B105+B146+B187+B228</f>
        <v/>
      </c>
      <c r="C269" s="350" t="n"/>
      <c r="D269" s="351">
        <f>D23+D64+D105+D146+D187+D228</f>
        <v/>
      </c>
      <c r="E269" s="342">
        <f>E23+E64+E105+E146+E187+E228</f>
        <v/>
      </c>
      <c r="F269" s="352" t="n"/>
      <c r="G269" s="353">
        <f>G23+G64+G105+G146+G187+G228</f>
        <v/>
      </c>
      <c r="H269" s="8" t="n"/>
      <c r="I269" s="343">
        <f>D269+G269</f>
        <v/>
      </c>
      <c r="J269" s="342">
        <f>E269+B269</f>
        <v/>
      </c>
      <c r="K269" s="353">
        <f>IF(J269&gt;0,L269/J269," ")</f>
        <v/>
      </c>
      <c r="L269" s="353">
        <f>G269+D269</f>
        <v/>
      </c>
      <c r="M269" s="8" t="n"/>
      <c r="N269" s="343">
        <f>D269+G269</f>
        <v/>
      </c>
    </row>
    <row r="270" ht="14.45" customHeight="1">
      <c r="A270" s="37" t="inlineStr">
        <is>
          <t>Other assets</t>
        </is>
      </c>
      <c r="B270" s="341">
        <f>B24+B65+B106+B147+B188+B229</f>
        <v/>
      </c>
      <c r="C270" s="350" t="n"/>
      <c r="D270" s="351">
        <f>D24+D65+D106+D147+D188+D229</f>
        <v/>
      </c>
      <c r="E270" s="342">
        <f>E24+E65+E106+E147+E188+E229</f>
        <v/>
      </c>
      <c r="F270" s="352" t="n"/>
      <c r="G270" s="353">
        <f>G24+G65+G106+G147+G188+G229</f>
        <v/>
      </c>
      <c r="H270" s="8" t="n"/>
      <c r="I270" s="343">
        <f>D270+G270</f>
        <v/>
      </c>
      <c r="J270" s="342">
        <f>E270+B270</f>
        <v/>
      </c>
      <c r="K270" s="353">
        <f>IF(J270&gt;0,L270/J270," ")</f>
        <v/>
      </c>
      <c r="L270" s="353">
        <f>G270+D270</f>
        <v/>
      </c>
      <c r="M270" s="8" t="n"/>
      <c r="N270" s="343">
        <f>D270+G270</f>
        <v/>
      </c>
    </row>
    <row r="271" ht="14.45" customHeight="1">
      <c r="A271" s="7" t="inlineStr">
        <is>
          <t>C.3 Other goods, works and services</t>
        </is>
      </c>
      <c r="B271" s="346" t="n"/>
      <c r="C271" s="89" t="n"/>
      <c r="D271" s="89" t="n"/>
      <c r="E271" s="346" t="n"/>
      <c r="F271" s="89" t="n"/>
      <c r="G271" s="89" t="n"/>
      <c r="H271" s="8" t="n"/>
      <c r="I271" s="89" t="n"/>
      <c r="J271" s="346" t="n"/>
      <c r="K271" s="89" t="n"/>
      <c r="L271" s="89" t="n"/>
      <c r="M271" s="8" t="n"/>
      <c r="N271" s="89" t="n"/>
    </row>
    <row r="272" ht="14.45" customHeight="1">
      <c r="A272" s="37" t="inlineStr">
        <is>
          <t>Consumables</t>
        </is>
      </c>
      <c r="B272" s="341">
        <f>B26+B67+B108+B149+B190+B231</f>
        <v/>
      </c>
      <c r="C272" s="350" t="n"/>
      <c r="D272" s="351">
        <f>D26+D67+D108+D149+D190+D231</f>
        <v/>
      </c>
      <c r="E272" s="342">
        <f>E26+E67+E108+E149+E190+E231</f>
        <v/>
      </c>
      <c r="F272" s="352" t="n"/>
      <c r="G272" s="353">
        <f>G26+G67+G108+G149+G190+G231</f>
        <v/>
      </c>
      <c r="H272" s="8" t="n"/>
      <c r="I272" s="343">
        <f>D272+G272</f>
        <v/>
      </c>
      <c r="J272" s="342">
        <f>E272+B272</f>
        <v/>
      </c>
      <c r="K272" s="353">
        <f>IF(J272&gt;0,L272/J272," ")</f>
        <v/>
      </c>
      <c r="L272" s="353">
        <f>G272+D272</f>
        <v/>
      </c>
      <c r="M272" s="8" t="n"/>
      <c r="N272" s="343">
        <f>D272+G272</f>
        <v/>
      </c>
    </row>
    <row r="273" ht="14.45" customHeight="1">
      <c r="A273" s="37" t="inlineStr">
        <is>
          <t>Services for meetings, seminars</t>
        </is>
      </c>
      <c r="B273" s="341">
        <f>B27+B68+B109+B150+B191+B232</f>
        <v/>
      </c>
      <c r="C273" s="350" t="n"/>
      <c r="D273" s="351">
        <f>D27+D68+D109+D150+D191+D232</f>
        <v/>
      </c>
      <c r="E273" s="342">
        <f>E27+E68+E109+E150+E191+E232</f>
        <v/>
      </c>
      <c r="F273" s="352" t="n"/>
      <c r="G273" s="353">
        <f>G27+G68+G109+G150+G191+G232</f>
        <v/>
      </c>
      <c r="H273" s="8" t="n"/>
      <c r="I273" s="343">
        <f>D273+G273</f>
        <v/>
      </c>
      <c r="J273" s="342">
        <f>E273+B273</f>
        <v/>
      </c>
      <c r="K273" s="353">
        <f>IF(J273&gt;0,L273/J273," ")</f>
        <v/>
      </c>
      <c r="L273" s="353">
        <f>G273+D273</f>
        <v/>
      </c>
      <c r="M273" s="8" t="n"/>
      <c r="N273" s="343">
        <f>D273+G273</f>
        <v/>
      </c>
    </row>
    <row r="274" ht="14.45" customHeight="1">
      <c r="A274" s="37" t="inlineStr">
        <is>
          <t>Services for dissemination activities (including website)</t>
        </is>
      </c>
      <c r="B274" s="341">
        <f>B28+B69+B110+B151+B192+B233</f>
        <v/>
      </c>
      <c r="C274" s="350" t="n"/>
      <c r="D274" s="351">
        <f>D28+D69+D110+D151+D192+D233</f>
        <v/>
      </c>
      <c r="E274" s="342">
        <f>E28+E69+E110+E151+E192+E233</f>
        <v/>
      </c>
      <c r="F274" s="352" t="n"/>
      <c r="G274" s="353">
        <f>G28+G69+G110+G151+G192+G233</f>
        <v/>
      </c>
      <c r="H274" s="8" t="n"/>
      <c r="I274" s="343">
        <f>D274+G274</f>
        <v/>
      </c>
      <c r="J274" s="342">
        <f>E274+B274</f>
        <v/>
      </c>
      <c r="K274" s="353">
        <f>IF(J274&gt;0,L274/J274," ")</f>
        <v/>
      </c>
      <c r="L274" s="353">
        <f>G274+D274</f>
        <v/>
      </c>
      <c r="M274" s="8" t="n"/>
      <c r="N274" s="343">
        <f>D274+G274</f>
        <v/>
      </c>
    </row>
    <row r="275" ht="14.45" customHeight="1">
      <c r="A275" s="37" t="inlineStr">
        <is>
          <t>Publication fees</t>
        </is>
      </c>
      <c r="B275" s="341">
        <f>B29+B70+B111+B152+B193+B234</f>
        <v/>
      </c>
      <c r="C275" s="350" t="n"/>
      <c r="D275" s="351">
        <f>D29+D70+D111+D152+D193+D234</f>
        <v/>
      </c>
      <c r="E275" s="342">
        <f>E29+E70+E111+E152+E193+E234</f>
        <v/>
      </c>
      <c r="F275" s="352" t="n"/>
      <c r="G275" s="353">
        <f>G29+G70+G111+G152+G193+G234</f>
        <v/>
      </c>
      <c r="H275" s="8" t="n"/>
      <c r="I275" s="343">
        <f>D275+G275</f>
        <v/>
      </c>
      <c r="J275" s="342">
        <f>E275+B275</f>
        <v/>
      </c>
      <c r="K275" s="353">
        <f>IF(J275&gt;0,L275/J275," ")</f>
        <v/>
      </c>
      <c r="L275" s="353">
        <f>G275+D275</f>
        <v/>
      </c>
      <c r="M275" s="8" t="n"/>
      <c r="N275" s="343">
        <f>D275+G275</f>
        <v/>
      </c>
    </row>
    <row r="276" ht="14.45" customHeight="1">
      <c r="A276" s="37" t="inlineStr">
        <is>
          <t>Other (shipment,insurance, translation, etc.)</t>
        </is>
      </c>
      <c r="B276" s="341">
        <f>B30+B71+B112+B153+B194+B235</f>
        <v/>
      </c>
      <c r="C276" s="350" t="n"/>
      <c r="D276" s="351">
        <f>D30+D71+D112+D153+D194+D235</f>
        <v/>
      </c>
      <c r="E276" s="342">
        <f>E30+E71+E112+E153+E194+E235</f>
        <v/>
      </c>
      <c r="F276" s="352" t="n"/>
      <c r="G276" s="353">
        <f>G30+G71+G112+G153+G194+G235</f>
        <v/>
      </c>
      <c r="H276" s="8" t="n"/>
      <c r="I276" s="343">
        <f>D276+G276</f>
        <v/>
      </c>
      <c r="J276" s="342">
        <f>E276+B276</f>
        <v/>
      </c>
      <c r="K276" s="353">
        <f>IF(J276&gt;0,L276/J276," ")</f>
        <v/>
      </c>
      <c r="L276" s="353">
        <f>G276+D276</f>
        <v/>
      </c>
      <c r="M276" s="8" t="n"/>
      <c r="N276" s="343">
        <f>D276+G276</f>
        <v/>
      </c>
    </row>
    <row r="277" ht="14.45" customHeight="1">
      <c r="A277" s="6" t="inlineStr">
        <is>
          <t>D. OTHER COST CATEGORIES</t>
        </is>
      </c>
      <c r="B277" s="344" t="n"/>
      <c r="C277" s="339" t="n"/>
      <c r="D277" s="340" t="n"/>
      <c r="E277" s="344" t="n"/>
      <c r="F277" s="339" t="n"/>
      <c r="G277" s="340" t="n"/>
      <c r="H277" s="8" t="n"/>
      <c r="I277" s="340" t="n"/>
      <c r="J277" s="345" t="n"/>
      <c r="K277" s="340" t="n"/>
      <c r="L277" s="340" t="n"/>
      <c r="M277" s="8" t="n"/>
      <c r="N277" s="340" t="n"/>
    </row>
    <row r="278" ht="14.45" customHeight="1">
      <c r="A278" s="40" t="inlineStr">
        <is>
          <t>D.1 Financial support to third parties (if applicable in the topic specific conditions)</t>
        </is>
      </c>
      <c r="B278" s="341">
        <f>B32+B73+B114+B155+B196+B237</f>
        <v/>
      </c>
      <c r="C278" s="350" t="n"/>
      <c r="D278" s="351">
        <f>D32+D73+D114+D155+D196+D237</f>
        <v/>
      </c>
      <c r="E278" s="342">
        <f>E32+E73+E114+E155+E196+E237</f>
        <v/>
      </c>
      <c r="F278" s="352" t="n"/>
      <c r="G278" s="353">
        <f>G32+G73+G114+G155+G196+G237</f>
        <v/>
      </c>
      <c r="H278" s="8" t="n"/>
      <c r="I278" s="343">
        <f>D278+G278</f>
        <v/>
      </c>
      <c r="J278" s="342">
        <f>E278+B278</f>
        <v/>
      </c>
      <c r="K278" s="353">
        <f>IF(J278&gt;0,L278/J278," ")</f>
        <v/>
      </c>
      <c r="L278" s="353">
        <f>G278+D278</f>
        <v/>
      </c>
      <c r="M278" s="8" t="n"/>
      <c r="N278" s="343">
        <f>D278+G278</f>
        <v/>
      </c>
    </row>
    <row r="279" ht="14.45" customHeight="1">
      <c r="A279" s="39" t="inlineStr">
        <is>
          <t>D.2 Internally invoiced goods and services</t>
        </is>
      </c>
      <c r="B279" s="341">
        <f>B33+B74+B115+B156+B197+B238</f>
        <v/>
      </c>
      <c r="C279" s="350" t="n"/>
      <c r="D279" s="351">
        <f>D33+D74+D115+D156+D197+D238</f>
        <v/>
      </c>
      <c r="E279" s="342">
        <f>E33+E74+E115+E156+E197+E238</f>
        <v/>
      </c>
      <c r="F279" s="352" t="n"/>
      <c r="G279" s="353">
        <f>G33+G74+G115+G156+G197+G238</f>
        <v/>
      </c>
      <c r="H279" s="8" t="n"/>
      <c r="I279" s="343">
        <f>D279+G279</f>
        <v/>
      </c>
      <c r="J279" s="342">
        <f>E279+B279</f>
        <v/>
      </c>
      <c r="K279" s="353">
        <f>IF(J279&gt;0,L279/J279," ")</f>
        <v/>
      </c>
      <c r="L279" s="353">
        <f>G279+D279</f>
        <v/>
      </c>
      <c r="M279" s="8" t="n"/>
      <c r="N279" s="343">
        <f>D279+G279</f>
        <v/>
      </c>
    </row>
    <row r="280" ht="14.45" customHeight="1">
      <c r="A280" s="39" t="inlineStr">
        <is>
          <t>D.3 Transnational access to research infrastructure unit costs (if required in the topic specific conditions)</t>
        </is>
      </c>
      <c r="B280" s="341">
        <f>B34+B75+B116+B157+B198+B239</f>
        <v/>
      </c>
      <c r="C280" s="350" t="n"/>
      <c r="D280" s="351">
        <f>D34+D75+D116+D157+D198+D239</f>
        <v/>
      </c>
      <c r="E280" s="342">
        <f>E34+E75+E116+E157+E198+E239</f>
        <v/>
      </c>
      <c r="F280" s="352" t="n"/>
      <c r="G280" s="353">
        <f>G34+G75+G116+G157+G198+G239</f>
        <v/>
      </c>
      <c r="H280" s="8" t="n"/>
      <c r="I280" s="343">
        <f>D280+G280</f>
        <v/>
      </c>
      <c r="J280" s="342">
        <f>E280+B280</f>
        <v/>
      </c>
      <c r="K280" s="353">
        <f>IF(J280&gt;0,L280/J280," ")</f>
        <v/>
      </c>
      <c r="L280" s="353">
        <f>G280+D280</f>
        <v/>
      </c>
      <c r="M280" s="8" t="n"/>
      <c r="N280" s="343">
        <f>D280+G280</f>
        <v/>
      </c>
    </row>
    <row r="281" ht="14.45" customHeight="1">
      <c r="A281" s="39" t="inlineStr">
        <is>
          <t>D.4 Virtual access to research infrastructure unit costs (if required in the topic specific conditions)</t>
        </is>
      </c>
      <c r="B281" s="341">
        <f>B35+B76+B117+B158+B199+B240</f>
        <v/>
      </c>
      <c r="C281" s="350" t="n"/>
      <c r="D281" s="351">
        <f>D35+D76+D117+D158+D199+D240</f>
        <v/>
      </c>
      <c r="E281" s="342">
        <f>E35+E76+E117+E158+E199+E240</f>
        <v/>
      </c>
      <c r="F281" s="352" t="n"/>
      <c r="G281" s="353">
        <f>G35+G76+G117+G158+G199+G240</f>
        <v/>
      </c>
      <c r="H281" s="8" t="n"/>
      <c r="I281" s="343">
        <f>D281+G281</f>
        <v/>
      </c>
      <c r="J281" s="342">
        <f>E281+B281</f>
        <v/>
      </c>
      <c r="K281" s="353">
        <f>IF(J281&gt;0,L281/J281," ")</f>
        <v/>
      </c>
      <c r="L281" s="353">
        <f>G281+D281</f>
        <v/>
      </c>
      <c r="M281" s="8" t="n"/>
      <c r="N281" s="343">
        <f>D281+G281</f>
        <v/>
      </c>
    </row>
    <row r="282" ht="14.45" customHeight="1">
      <c r="A282" s="39" t="inlineStr">
        <is>
          <t>D.5 PCP/PPI procurement costs (if mentioned as eligible in the topic specific conditions)</t>
        </is>
      </c>
      <c r="B282" s="341">
        <f>B36+B77+B118+B159+B200+B241</f>
        <v/>
      </c>
      <c r="C282" s="350" t="n"/>
      <c r="D282" s="351">
        <f>D36+D77+D118+D159+D200+D241</f>
        <v/>
      </c>
      <c r="E282" s="342">
        <f>E36+E77+E118+E159+E200+E241</f>
        <v/>
      </c>
      <c r="F282" s="352" t="n"/>
      <c r="G282" s="353">
        <f>G36+G77+G118+G159+G200+G241</f>
        <v/>
      </c>
      <c r="H282" s="8" t="n"/>
      <c r="I282" s="343">
        <f>D282+G282</f>
        <v/>
      </c>
      <c r="J282" s="342">
        <f>E282+B282</f>
        <v/>
      </c>
      <c r="K282" s="353">
        <f>IF(J282&gt;0,L282/J282," ")</f>
        <v/>
      </c>
      <c r="L282" s="353">
        <f>G282+D282</f>
        <v/>
      </c>
      <c r="M282" s="8" t="n"/>
      <c r="N282" s="343">
        <f>D282+G282</f>
        <v/>
      </c>
    </row>
    <row r="283" ht="14.45" customHeight="1">
      <c r="A283" s="16" t="n"/>
      <c r="B283" s="346" t="n"/>
      <c r="C283" s="89" t="n"/>
      <c r="D283" s="89" t="n"/>
      <c r="E283" s="346" t="n"/>
      <c r="F283" s="89" t="n"/>
      <c r="G283" s="89" t="n"/>
      <c r="H283" s="8" t="n"/>
      <c r="I283" s="89" t="n"/>
      <c r="J283" s="346" t="n"/>
      <c r="K283" s="89" t="n"/>
      <c r="L283" s="89" t="n"/>
      <c r="M283" s="8" t="n"/>
      <c r="N283" s="89" t="n"/>
    </row>
    <row r="284" ht="14.45" customHeight="1">
      <c r="A284" s="41" t="inlineStr">
        <is>
          <t>TOTAL DIRECT PERSONNEL COSTS AND PURCHASE COSTS (A+C)</t>
        </is>
      </c>
      <c r="B284" s="347" t="n"/>
      <c r="C284" s="214" t="n"/>
      <c r="D284" s="348">
        <f>D38+D79+D120+D161+D202+D243</f>
        <v/>
      </c>
      <c r="E284" s="347" t="n"/>
      <c r="F284" s="214" t="n"/>
      <c r="G284" s="348">
        <f>G38+G79+G120+G161+G202+G243</f>
        <v/>
      </c>
      <c r="H284" s="8" t="n"/>
      <c r="I284" s="348">
        <f>SUM(I255:I262,I266:I276)</f>
        <v/>
      </c>
      <c r="J284" s="347" t="n"/>
      <c r="K284" s="348" t="n"/>
      <c r="L284" s="348">
        <f>SUM(L255:L262,L266:L276)</f>
        <v/>
      </c>
      <c r="M284" s="8" t="n"/>
      <c r="N284" s="348">
        <f>SUM(N255:N262,N266:N276)</f>
        <v/>
      </c>
    </row>
    <row r="285" ht="14.45" customHeight="1">
      <c r="A285" s="41" t="inlineStr">
        <is>
          <t>TOTAL DIRECT COSTS  (A+B+C+D)</t>
        </is>
      </c>
      <c r="B285" s="347" t="n"/>
      <c r="C285" s="214" t="n"/>
      <c r="D285" s="348">
        <f>D39+D80+D121+D162+D203+D244</f>
        <v/>
      </c>
      <c r="E285" s="347" t="n"/>
      <c r="F285" s="214" t="n"/>
      <c r="G285" s="348">
        <f>G39+G80+G121+G162+G203+G244</f>
        <v/>
      </c>
      <c r="H285" s="8" t="n"/>
      <c r="I285" s="348">
        <f>SUM(I255:I282)</f>
        <v/>
      </c>
      <c r="J285" s="347" t="n"/>
      <c r="K285" s="348" t="n"/>
      <c r="L285" s="348">
        <f>SUM(L255:L282)</f>
        <v/>
      </c>
      <c r="M285" s="8" t="n"/>
      <c r="N285" s="348">
        <f>SUM(N255:N282)</f>
        <v/>
      </c>
    </row>
    <row r="286" ht="6.95" customHeight="1">
      <c r="A286" s="8" t="n"/>
      <c r="B286" s="349" t="n"/>
      <c r="C286" s="8" t="n"/>
      <c r="D286" s="8" t="n"/>
      <c r="E286" s="349" t="n"/>
      <c r="F286" s="8" t="n"/>
      <c r="G286" s="8" t="n"/>
      <c r="H286" s="8" t="n"/>
      <c r="I286" s="8" t="n"/>
      <c r="J286" s="349" t="n"/>
      <c r="K286" s="8" t="n"/>
      <c r="L286" s="8" t="n"/>
      <c r="M286" s="8" t="n"/>
      <c r="N286" s="8" t="n"/>
    </row>
    <row r="287" ht="14.45" customHeight="1">
      <c r="A287" s="11" t="inlineStr">
        <is>
          <t>E. INDIRECT COSTS (25% * (A+C))</t>
        </is>
      </c>
      <c r="B287" s="347" t="n"/>
      <c r="C287" s="214" t="n"/>
      <c r="D287" s="348">
        <f>D41+D82+D123+D164+D205+D246</f>
        <v/>
      </c>
      <c r="E287" s="347" t="n"/>
      <c r="F287" s="214" t="n"/>
      <c r="G287" s="348">
        <f>G41+G82+G123+G164+G205+G246</f>
        <v/>
      </c>
      <c r="H287" s="8" t="n"/>
      <c r="I287" s="348">
        <f>+I284*0.25</f>
        <v/>
      </c>
      <c r="J287" s="347" t="n"/>
      <c r="K287" s="348" t="n"/>
      <c r="L287" s="348">
        <f>+L284*0.25</f>
        <v/>
      </c>
      <c r="M287" s="8" t="n"/>
      <c r="N287" s="348">
        <f>+N284*0.25</f>
        <v/>
      </c>
    </row>
    <row r="288" ht="6.95" customHeight="1">
      <c r="A288" s="8" t="n"/>
      <c r="B288" s="349" t="n"/>
      <c r="C288" s="8" t="n"/>
      <c r="D288" s="8" t="n"/>
      <c r="E288" s="349" t="n"/>
      <c r="F288" s="8" t="n"/>
      <c r="G288" s="8" t="n"/>
      <c r="H288" s="8" t="n"/>
      <c r="I288" s="8" t="n"/>
      <c r="J288" s="349" t="n"/>
      <c r="K288" s="8" t="n"/>
      <c r="L288" s="8" t="n"/>
      <c r="M288" s="8" t="n"/>
      <c r="N288" s="8" t="n"/>
    </row>
    <row r="289" ht="14.45" customHeight="1">
      <c r="A289" s="11" t="inlineStr">
        <is>
          <t>F. TOTAL COSTS (A+B+C+D+E)</t>
        </is>
      </c>
      <c r="B289" s="347" t="n"/>
      <c r="C289" s="214" t="n"/>
      <c r="D289" s="348">
        <f>D43+D84+D125+D166+D207+D248</f>
        <v/>
      </c>
      <c r="E289" s="347" t="n"/>
      <c r="F289" s="214" t="n"/>
      <c r="G289" s="348">
        <f>G43+G84+G125+G166+G207+G248</f>
        <v/>
      </c>
      <c r="H289" s="8" t="n"/>
      <c r="I289" s="348">
        <f>I285+I287</f>
        <v/>
      </c>
      <c r="J289" s="347" t="n"/>
      <c r="K289" s="348" t="n"/>
      <c r="L289" s="348">
        <f>L285+L287</f>
        <v/>
      </c>
      <c r="M289" s="8" t="n"/>
      <c r="N289" s="348">
        <f>N285+N287</f>
        <v/>
      </c>
    </row>
    <row r="290" ht="6.95" customHeight="1">
      <c r="A290" s="209" t="n"/>
      <c r="B290" s="207" t="n"/>
      <c r="C290" s="209" t="n"/>
      <c r="D290" s="208" t="n"/>
      <c r="E290" s="207" t="n"/>
      <c r="F290" s="209" t="n"/>
      <c r="G290" s="208" t="n"/>
      <c r="H290" s="208" t="n"/>
      <c r="I290" s="208" t="n"/>
      <c r="J290" s="208" t="n"/>
      <c r="K290" s="208" t="n"/>
      <c r="L290" s="208" t="n"/>
      <c r="M290" s="209" t="n"/>
      <c r="N290" s="210" t="n"/>
    </row>
    <row r="291" ht="14.45" customHeight="1"/>
    <row r="292" ht="21" customHeight="1"/>
    <row r="293" ht="6.95" customHeight="1"/>
    <row r="294" ht="14.45" customHeight="1"/>
    <row r="295" ht="14.45" customHeight="1"/>
    <row r="296" ht="14.45" customHeight="1"/>
    <row r="297" ht="14.45" customHeight="1"/>
    <row r="298" ht="14.45" customHeight="1"/>
    <row r="299" ht="14.45" customHeight="1"/>
    <row r="300" ht="14.45" customHeight="1"/>
    <row r="301" ht="14.45" customHeight="1"/>
    <row r="302" ht="14.45" customHeight="1"/>
    <row r="303" ht="14.45" customHeight="1"/>
    <row r="304" ht="14.45" customHeight="1"/>
    <row r="305" ht="14.45" customHeight="1"/>
    <row r="306" ht="14.45" customHeight="1"/>
    <row r="307" ht="14.45" customHeight="1"/>
    <row r="308" ht="14.45" customHeight="1"/>
    <row r="309" ht="14.45" customHeight="1"/>
    <row r="310" ht="14.45" customHeight="1"/>
    <row r="311" ht="14.45" customHeight="1"/>
    <row r="312" ht="14.45" customHeight="1"/>
    <row r="313" ht="14.45" customHeight="1"/>
    <row r="314" ht="14.45" customHeight="1"/>
    <row r="315" ht="14.45" customHeight="1"/>
    <row r="316" ht="14.45" customHeight="1"/>
    <row r="317" ht="14.45" customHeight="1"/>
    <row r="318" ht="14.45" customHeight="1"/>
    <row r="319" ht="14.45" customHeight="1"/>
    <row r="320" ht="14.45" customHeight="1"/>
    <row r="321" ht="14.45" customHeight="1"/>
    <row r="322" ht="14.45" customHeight="1"/>
    <row r="323" ht="14.45" customHeight="1"/>
    <row r="324" ht="14.45" customHeight="1"/>
    <row r="325" ht="14.45" customHeight="1"/>
    <row r="326" ht="14.45" customHeight="1"/>
    <row r="327" ht="6.95" customHeight="1"/>
    <row r="328" ht="14.45" customHeight="1"/>
    <row r="329" ht="6.95" customHeight="1"/>
    <row r="330" ht="14.45" customHeight="1"/>
    <row r="331" ht="6.95" customHeight="1"/>
    <row r="332" ht="14.45" customHeight="1"/>
    <row r="333" ht="21" customHeight="1"/>
    <row r="334" ht="6.95" customHeight="1"/>
    <row r="335" ht="14.45" customHeight="1"/>
    <row r="336" ht="14.45" customHeight="1"/>
    <row r="337" ht="14.45" customHeight="1"/>
    <row r="338" ht="14.45" customHeight="1"/>
    <row r="339" ht="14.45" customHeight="1"/>
    <row r="340" ht="14.45" customHeight="1"/>
    <row r="341" ht="14.45" customHeight="1"/>
    <row r="342" ht="14.45" customHeight="1"/>
    <row r="343" ht="14.45" customHeight="1"/>
    <row r="344" ht="14.45" customHeight="1"/>
    <row r="345" ht="14.45" customHeight="1"/>
    <row r="346" ht="14.45" customHeight="1"/>
    <row r="347" ht="14.45" customHeight="1"/>
    <row r="348" ht="14.45" customHeight="1"/>
    <row r="349" ht="14.45" customHeight="1"/>
    <row r="350" ht="14.45" customHeight="1"/>
    <row r="351" ht="14.45" customHeight="1"/>
    <row r="352" ht="14.45" customHeight="1"/>
    <row r="353" ht="14.45" customHeight="1"/>
    <row r="354" ht="14.45" customHeight="1"/>
    <row r="355" ht="14.45" customHeight="1"/>
    <row r="356" ht="14.45" customHeight="1"/>
    <row r="357" ht="14.45" customHeight="1"/>
    <row r="358" ht="14.45" customHeight="1"/>
    <row r="359" ht="14.45" customHeight="1"/>
    <row r="360" ht="14.45" customHeight="1"/>
    <row r="361" ht="14.45" customHeight="1"/>
    <row r="362" ht="14.45" customHeight="1"/>
    <row r="363" ht="14.45" customHeight="1"/>
    <row r="364" ht="14.45" customHeight="1"/>
    <row r="365" ht="14.45" customHeight="1"/>
    <row r="366" ht="14.45" customHeight="1"/>
    <row r="367" ht="14.45" customHeight="1"/>
    <row r="368" ht="6.95" customHeight="1"/>
    <row r="369" ht="14.45" customHeight="1"/>
    <row r="370" ht="6.95" customHeight="1"/>
    <row r="371" ht="14.45" customHeight="1"/>
    <row r="372" ht="6.95" customHeight="1"/>
    <row r="373" ht="14.45" customHeight="1"/>
    <row r="374" ht="21" customHeight="1"/>
    <row r="375" ht="6.95" customHeight="1"/>
    <row r="376" ht="14.45" customHeight="1"/>
    <row r="377" ht="14.45" customHeight="1"/>
    <row r="378" ht="14.45" customHeight="1"/>
    <row r="379" ht="14.45" customHeight="1"/>
    <row r="380" ht="14.45" customHeight="1"/>
    <row r="381" ht="14.45" customHeight="1"/>
    <row r="382" ht="14.45" customHeight="1"/>
    <row r="383" ht="14.45" customHeight="1"/>
    <row r="384" ht="14.45" customHeight="1"/>
    <row r="385" ht="14.45" customHeight="1"/>
    <row r="386" ht="14.45" customHeight="1"/>
    <row r="387" ht="14.45" customHeight="1"/>
    <row r="388" ht="14.45" customHeight="1"/>
    <row r="389" ht="14.45" customHeight="1"/>
    <row r="390" ht="14.45" customHeight="1"/>
    <row r="391" ht="14.45" customHeight="1"/>
    <row r="392" ht="14.45" customHeight="1"/>
    <row r="393" ht="14.45" customHeight="1"/>
    <row r="394" ht="14.45" customHeight="1"/>
    <row r="395" ht="14.45" customHeight="1"/>
    <row r="396" ht="14.45" customHeight="1"/>
    <row r="397" ht="14.45" customHeight="1"/>
    <row r="398" ht="14.45" customHeight="1"/>
    <row r="399" ht="14.45" customHeight="1"/>
    <row r="400" ht="14.45" customHeight="1"/>
    <row r="401" ht="14.45" customHeight="1"/>
    <row r="402" ht="14.45" customHeight="1"/>
    <row r="403" ht="14.45" customHeight="1"/>
    <row r="404" ht="14.45" customHeight="1"/>
    <row r="405" ht="14.45" customHeight="1"/>
    <row r="406" ht="14.45" customHeight="1"/>
    <row r="407" ht="14.45" customHeight="1"/>
    <row r="408" ht="14.45" customHeight="1"/>
    <row r="409" ht="6.95" customHeight="1"/>
    <row r="410" ht="14.45" customHeight="1"/>
    <row r="411" ht="6.95" customHeight="1"/>
    <row r="412" ht="14.45" customHeight="1"/>
    <row r="413" ht="6.95" customHeight="1"/>
    <row r="414" ht="14.45" customHeight="1"/>
    <row r="415" ht="21" customHeight="1"/>
    <row r="416" ht="6.95" customHeight="1"/>
    <row r="417" ht="14.45" customHeight="1"/>
    <row r="418" ht="14.45" customHeight="1"/>
    <row r="419" ht="14.45" customHeight="1"/>
    <row r="420" ht="14.45" customHeight="1"/>
    <row r="421" ht="14.45" customHeight="1"/>
    <row r="422" ht="14.45" customHeight="1"/>
    <row r="423" ht="14.45" customHeight="1"/>
    <row r="424" ht="14.45" customHeight="1"/>
    <row r="425" ht="14.45" customHeight="1"/>
    <row r="426" ht="14.45" customHeight="1"/>
    <row r="427" ht="14.45" customHeight="1"/>
    <row r="428" ht="14.45" customHeight="1"/>
    <row r="429" ht="14.45" customHeight="1"/>
    <row r="430" ht="14.45" customHeight="1"/>
    <row r="431" ht="14.45" customHeight="1"/>
    <row r="432" ht="14.45" customHeight="1"/>
    <row r="433" ht="14.45" customHeight="1"/>
    <row r="434" ht="14.45" customHeight="1"/>
    <row r="435" ht="14.45" customHeight="1"/>
    <row r="436" ht="14.45" customHeight="1"/>
    <row r="437" ht="14.45" customHeight="1"/>
    <row r="438" ht="14.45" customHeight="1"/>
    <row r="439" ht="14.45" customHeight="1"/>
    <row r="440" ht="14.45" customHeight="1"/>
    <row r="441" ht="14.45" customHeight="1"/>
    <row r="442" ht="14.45" customHeight="1"/>
    <row r="443" ht="14.45" customHeight="1"/>
    <row r="444" ht="14.45" customHeight="1"/>
    <row r="445" ht="14.45" customHeight="1"/>
    <row r="446" ht="14.45" customHeight="1"/>
    <row r="447" ht="14.45" customHeight="1"/>
    <row r="448" ht="14.45" customHeight="1"/>
    <row r="449" ht="14.45" customHeight="1"/>
    <row r="450" ht="6.95" customHeight="1"/>
    <row r="451" ht="14.45" customHeight="1"/>
    <row r="452" ht="6.95" customHeight="1"/>
    <row r="453" ht="14.45" customHeight="1"/>
    <row r="454" ht="6.95" customHeight="1"/>
    <row r="455" ht="14.45" customHeight="1"/>
    <row r="456" ht="21" customHeight="1"/>
    <row r="457" ht="6.95" customHeight="1"/>
    <row r="458" ht="14.45" customHeight="1"/>
    <row r="459" ht="14.45" customHeight="1"/>
    <row r="460" ht="14.45" customHeight="1"/>
    <row r="461" ht="14.45" customHeight="1"/>
    <row r="462" ht="14.45" customHeight="1"/>
    <row r="463" ht="14.45" customHeight="1"/>
    <row r="464" ht="14.45" customHeight="1"/>
    <row r="465" ht="14.45" customHeight="1"/>
    <row r="466" ht="14.45" customHeight="1"/>
    <row r="467" ht="14.45" customHeight="1"/>
    <row r="468" ht="14.45" customHeight="1"/>
    <row r="469" ht="14.45" customHeight="1"/>
    <row r="470" ht="14.45" customHeight="1"/>
    <row r="471" ht="14.45" customHeight="1"/>
    <row r="472" ht="14.45" customHeight="1"/>
    <row r="473" ht="14.45" customHeight="1"/>
    <row r="474" ht="14.45" customHeight="1"/>
    <row r="475" ht="14.45" customHeight="1"/>
    <row r="476" ht="14.45" customHeight="1"/>
    <row r="477" ht="14.45" customHeight="1"/>
    <row r="478" ht="14.45" customHeight="1"/>
    <row r="479" ht="14.45" customHeight="1"/>
    <row r="480" ht="14.45" customHeight="1"/>
    <row r="481" ht="14.45" customHeight="1"/>
    <row r="482" ht="14.45" customHeight="1"/>
    <row r="483" ht="14.45" customHeight="1"/>
    <row r="484" ht="14.45" customHeight="1"/>
    <row r="485" ht="14.45" customHeight="1"/>
    <row r="486" ht="14.45" customHeight="1"/>
    <row r="487" ht="14.45" customHeight="1"/>
    <row r="488" ht="14.45" customHeight="1"/>
    <row r="489" ht="14.45" customHeight="1"/>
    <row r="490" ht="14.45" customHeight="1"/>
    <row r="491" ht="6.95" customHeight="1"/>
    <row r="492" ht="14.45" customHeight="1"/>
    <row r="493" ht="6.95" customHeight="1"/>
    <row r="494" ht="14.45" customHeight="1"/>
    <row r="495" ht="6.95" customHeight="1"/>
    <row r="496" ht="14.45" customHeight="1"/>
    <row r="497" ht="21" customHeight="1"/>
    <row r="498" ht="6.95" customHeight="1"/>
    <row r="499" ht="14.45" customHeight="1"/>
    <row r="500" ht="14.45" customHeight="1"/>
    <row r="501" ht="14.45" customHeight="1"/>
    <row r="502" ht="14.45" customHeight="1"/>
    <row r="503" ht="14.45" customHeight="1"/>
    <row r="504" ht="14.45" customHeight="1"/>
    <row r="505" ht="14.45" customHeight="1"/>
    <row r="506" ht="14.45" customHeight="1"/>
    <row r="507" ht="14.45" customHeight="1"/>
    <row r="508" ht="14.45" customHeight="1"/>
    <row r="509" ht="14.45" customHeight="1"/>
    <row r="510" ht="14.45" customHeight="1"/>
    <row r="511" ht="14.45" customHeight="1"/>
    <row r="512" ht="14.45" customHeight="1"/>
    <row r="513" ht="14.45" customHeight="1"/>
    <row r="514" ht="14.45" customHeight="1"/>
    <row r="515" ht="14.45" customHeight="1"/>
    <row r="516" ht="14.45" customHeight="1"/>
    <row r="517" ht="14.45" customHeight="1"/>
    <row r="518" ht="14.45" customHeight="1"/>
    <row r="519" ht="14.45" customHeight="1"/>
    <row r="520" ht="14.45" customHeight="1"/>
    <row r="521" ht="14.45" customHeight="1"/>
    <row r="522" ht="14.45" customHeight="1"/>
    <row r="523" ht="14.45" customHeight="1"/>
    <row r="524" ht="14.45" customHeight="1"/>
    <row r="525" ht="14.45" customHeight="1"/>
    <row r="526" ht="14.45" customHeight="1"/>
    <row r="527" ht="14.45" customHeight="1"/>
    <row r="528" ht="14.45" customHeight="1"/>
    <row r="529" ht="14.45" customHeight="1"/>
    <row r="530" ht="14.45" customHeight="1"/>
    <row r="531" ht="14.45" customHeight="1"/>
    <row r="532" ht="6.95" customHeight="1"/>
    <row r="533" ht="14.45" customHeight="1"/>
    <row r="534" ht="6.95" customHeight="1"/>
    <row r="535" ht="14.45" customHeight="1"/>
    <row r="536" ht="6.95" customHeight="1"/>
    <row r="537" ht="14.45" customHeight="1"/>
    <row r="538" ht="21" customHeight="1"/>
    <row r="539" ht="6.95" customHeight="1"/>
    <row r="540" ht="14.45" customHeight="1"/>
    <row r="541" ht="14.45" customHeight="1"/>
    <row r="542" ht="14.45" customHeight="1"/>
    <row r="543" ht="14.45" customHeight="1"/>
    <row r="544" ht="14.45" customHeight="1"/>
    <row r="545" ht="14.45" customHeight="1"/>
    <row r="546" ht="14.45" customHeight="1"/>
    <row r="547" ht="14.45" customHeight="1"/>
    <row r="548" ht="14.45" customHeight="1"/>
    <row r="549" ht="14.45" customHeight="1"/>
    <row r="550" ht="14.45" customHeight="1"/>
    <row r="551" ht="14.45" customHeight="1"/>
    <row r="552" ht="14.45" customHeight="1"/>
    <row r="553" ht="14.45" customHeight="1"/>
    <row r="554" ht="14.45" customHeight="1"/>
    <row r="555" ht="14.45" customHeight="1"/>
    <row r="556" ht="14.45" customHeight="1"/>
    <row r="557" ht="14.45" customHeight="1"/>
    <row r="558" ht="14.45" customHeight="1"/>
    <row r="559" ht="14.45" customHeight="1"/>
    <row r="560" ht="14.45" customHeight="1"/>
    <row r="561" ht="14.45" customHeight="1"/>
    <row r="562" ht="14.45" customHeight="1"/>
    <row r="563" ht="14.45" customHeight="1"/>
    <row r="564" ht="14.45" customHeight="1"/>
    <row r="565" ht="14.45" customHeight="1"/>
    <row r="566" ht="14.45" customHeight="1"/>
    <row r="567" ht="14.45" customHeight="1"/>
    <row r="568" ht="14.45" customHeight="1"/>
    <row r="569" ht="14.45" customHeight="1"/>
    <row r="570" ht="14.45" customHeight="1"/>
    <row r="571" ht="14.45" customHeight="1"/>
    <row r="572" ht="14.45" customHeight="1"/>
    <row r="573" ht="6.95" customHeight="1"/>
    <row r="574" ht="14.45" customHeight="1"/>
    <row r="575" ht="6.95" customHeight="1"/>
    <row r="576" ht="14.45" customHeight="1"/>
    <row r="577" ht="6.95" customHeight="1"/>
    <row r="578" ht="14.45" customHeight="1"/>
    <row r="579" ht="21" customHeight="1"/>
    <row r="580" ht="6.95" customHeight="1"/>
    <row r="581" ht="14.45" customHeight="1"/>
    <row r="582" ht="14.45" customHeight="1"/>
    <row r="583" ht="14.45" customHeight="1"/>
    <row r="584" ht="14.45" customHeight="1"/>
    <row r="585" ht="14.45" customHeight="1"/>
    <row r="586" ht="14.45" customHeight="1"/>
    <row r="587" ht="14.45" customHeight="1"/>
    <row r="588" ht="14.45" customHeight="1"/>
    <row r="589" ht="14.45" customHeight="1"/>
    <row r="590" ht="14.45" customHeight="1"/>
    <row r="591" ht="14.45" customHeight="1"/>
    <row r="592" ht="14.45" customHeight="1"/>
    <row r="593" ht="14.45" customHeight="1"/>
    <row r="594" ht="14.45" customHeight="1"/>
    <row r="595" ht="14.45" customHeight="1"/>
    <row r="596" ht="14.45" customHeight="1"/>
    <row r="597" ht="14.45" customHeight="1"/>
    <row r="598" ht="14.45" customHeight="1"/>
    <row r="599" ht="14.45" customHeight="1"/>
    <row r="600" ht="14.45" customHeight="1"/>
    <row r="601" ht="14.45" customHeight="1"/>
    <row r="602" ht="14.45" customHeight="1"/>
    <row r="603" ht="14.45" customHeight="1"/>
    <row r="604" ht="14.45" customHeight="1"/>
    <row r="605" ht="14.45" customHeight="1"/>
    <row r="606" ht="14.45" customHeight="1"/>
    <row r="607" ht="14.45" customHeight="1"/>
    <row r="608" ht="14.45" customHeight="1"/>
    <row r="609" ht="14.45" customHeight="1"/>
    <row r="610" ht="14.45" customHeight="1"/>
    <row r="611" ht="14.45" customHeight="1"/>
    <row r="612" ht="14.45" customHeight="1"/>
    <row r="613" ht="14.45" customHeight="1"/>
    <row r="614" ht="6.95" customHeight="1"/>
    <row r="615" ht="14.45" customHeight="1"/>
    <row r="616" ht="6.95" customHeight="1"/>
    <row r="617" ht="14.45" customHeight="1"/>
    <row r="618" ht="6.95" customHeight="1"/>
    <row r="619" ht="14.45" customHeight="1"/>
    <row r="620" ht="21" customHeight="1"/>
    <row r="621" ht="6.95" customHeight="1"/>
    <row r="622" ht="14.45" customHeight="1"/>
    <row r="623" ht="14.45" customHeight="1"/>
    <row r="624" ht="14.45" customHeight="1"/>
    <row r="625" ht="14.45" customHeight="1"/>
    <row r="626" ht="14.45" customHeight="1"/>
    <row r="627" ht="14.45" customHeight="1"/>
    <row r="628" ht="14.45" customHeight="1"/>
    <row r="629" ht="14.45" customHeight="1"/>
    <row r="630" ht="14.45" customHeight="1"/>
    <row r="631" ht="14.45" customHeight="1"/>
    <row r="632" ht="14.45" customHeight="1"/>
    <row r="633" ht="14.45" customHeight="1"/>
    <row r="634" ht="14.45" customHeight="1"/>
    <row r="635" ht="14.45" customHeight="1"/>
    <row r="636" ht="14.45" customHeight="1"/>
    <row r="637" ht="14.45" customHeight="1"/>
    <row r="638" ht="14.45" customHeight="1"/>
    <row r="639" ht="14.45" customHeight="1"/>
    <row r="640" ht="14.45" customHeight="1"/>
    <row r="641" ht="14.45" customHeight="1"/>
    <row r="642" ht="14.45" customHeight="1"/>
    <row r="643" ht="14.45" customHeight="1"/>
    <row r="644" ht="14.45" customHeight="1"/>
    <row r="645" ht="14.45" customHeight="1"/>
    <row r="646" ht="14.45" customHeight="1"/>
    <row r="647" ht="14.45" customHeight="1"/>
    <row r="648" ht="14.45" customHeight="1"/>
    <row r="649" ht="14.45" customHeight="1"/>
    <row r="650" ht="14.45" customHeight="1"/>
    <row r="651" ht="14.45" customHeight="1"/>
    <row r="652" ht="14.45" customHeight="1"/>
    <row r="653" ht="14.45" customHeight="1"/>
    <row r="654" ht="14.45" customHeight="1"/>
    <row r="655" ht="6.95" customHeight="1"/>
    <row r="656" ht="14.45" customHeight="1"/>
    <row r="657" ht="6.95" customHeight="1"/>
    <row r="658" ht="14.45" customHeight="1"/>
    <row r="659" ht="6.95" customHeight="1"/>
  </sheetData>
  <sheetProtection selectLockedCells="1" selectUnlockedCells="1" algorithmName="SHA-512" sheet="1" objects="1" insertRows="1" insertHyperlinks="1" autoFilter="1" scenarios="1" formatColumns="1" deleteColumns="1" insertColumns="1" pivotTables="1" deleteRows="1" formatCells="1" saltValue="4/D3VFeYYXmXtreml4RLpw==" formatRows="1" sort="1" spinCount="100000" hashValue="mUsEviYBYYy9KA1oIbXrPlNeOOEhBFVan+Oxc18eMYCA4EiLX43e9lYLLmPW4tVhP/vcAm/mxaZxUazW2Lu0ag=="/>
  <mergeCells count="11">
    <mergeCell ref="E2:G2"/>
    <mergeCell ref="A87:N87"/>
    <mergeCell ref="J2:K2"/>
    <mergeCell ref="A210:N210"/>
    <mergeCell ref="A251:N251"/>
    <mergeCell ref="A128:N128"/>
    <mergeCell ref="A5:N5"/>
    <mergeCell ref="A46:N46"/>
    <mergeCell ref="A169:N169"/>
    <mergeCell ref="B2:D2"/>
    <mergeCell ref="A1:N1"/>
  </mergeCells>
  <pageMargins left="0.25" right="0.25" top="0.75" bottom="0.75" header="0.3" footer="0.3"/>
  <pageSetup orientation="landscape" paperSize="9" scale="92" fitToHeight="0"/>
</worksheet>
</file>

<file path=xl/worksheets/sheet10.xml><?xml version="1.0" encoding="utf-8"?>
<worksheet xmlns="http://schemas.openxmlformats.org/spreadsheetml/2006/main">
  <sheetPr codeName="Sheet111">
    <tabColor rgb="FFCCFF66"/>
    <outlinePr summaryBelow="1" summaryRight="1"/>
    <pageSetUpPr fitToPage="1"/>
  </sheetPr>
  <dimension ref="A1:K524"/>
  <sheetViews>
    <sheetView zoomScale="80" zoomScaleNormal="80" workbookViewId="0">
      <pane xSplit="1" topLeftCell="B1" activePane="topRight" state="frozen"/>
      <selection pane="topRight" activeCell="B9" sqref="B9"/>
    </sheetView>
  </sheetViews>
  <sheetFormatPr baseColWidth="8" defaultColWidth="9.28515625" defaultRowHeight="14.45"/>
  <cols>
    <col width="111.7109375" customWidth="1" style="59" min="1" max="1"/>
    <col width="8.7109375" customWidth="1" style="2" min="2" max="2"/>
    <col width="15.28515625" customWidth="1" style="112" min="3" max="3"/>
    <col width="16.28515625" bestFit="1" customWidth="1" style="2" min="4" max="4"/>
    <col width="8.7109375" customWidth="1" style="2" min="5" max="5"/>
    <col width="15.28515625" customWidth="1" style="112" min="6" max="6"/>
    <col width="16" customWidth="1" style="2" min="7" max="7"/>
    <col width="1.7109375" customWidth="1" style="1" min="8" max="8"/>
    <col width="19.5703125" bestFit="1" customWidth="1" style="171" min="9" max="9"/>
    <col width="9.28515625" customWidth="1" style="1" min="10" max="16384"/>
  </cols>
  <sheetData>
    <row r="1" ht="24" customFormat="1" customHeight="1" s="86" thickBot="1">
      <c r="A1" s="54" t="inlineStr">
        <is>
          <t>BENEFICIARY x - CALCULATION SHEET</t>
        </is>
      </c>
      <c r="B1" s="33" t="n"/>
      <c r="C1" s="108" t="inlineStr">
        <is>
          <t>View Summary</t>
        </is>
      </c>
      <c r="D1" s="34" t="n"/>
      <c r="E1" s="305" t="inlineStr">
        <is>
          <t>Affiliated Entity n</t>
        </is>
      </c>
      <c r="F1" s="314" t="n"/>
      <c r="G1" s="315" t="n"/>
      <c r="H1" s="32" t="n"/>
      <c r="I1" s="170" t="n"/>
    </row>
    <row r="2" ht="18.75" customFormat="1" customHeight="1" s="86">
      <c r="A2" s="56" t="n"/>
      <c r="B2" s="273" t="n"/>
      <c r="C2" s="314" t="n"/>
      <c r="D2" s="315" t="n"/>
      <c r="E2" s="304" t="n"/>
      <c r="F2" s="314" t="n"/>
      <c r="G2" s="315" t="n"/>
      <c r="H2" s="32" t="n"/>
      <c r="I2" s="57" t="n"/>
    </row>
    <row r="3" ht="18.6" customFormat="1" customHeight="1" s="86">
      <c r="A3" s="131" t="inlineStr">
        <is>
          <t>COST CATEGORY</t>
        </is>
      </c>
      <c r="B3" s="107" t="inlineStr">
        <is>
          <t>ITEMS</t>
        </is>
      </c>
      <c r="C3" s="109" t="inlineStr">
        <is>
          <t>COST PER ITEM</t>
        </is>
      </c>
      <c r="D3" s="107" t="inlineStr">
        <is>
          <t>BE TOTAL COSTS</t>
        </is>
      </c>
      <c r="E3" s="58" t="inlineStr">
        <is>
          <t>ITEMS</t>
        </is>
      </c>
      <c r="F3" s="113" t="inlineStr">
        <is>
          <t>COST PER ITEM</t>
        </is>
      </c>
      <c r="G3" s="58" t="inlineStr">
        <is>
          <t>AE TOTAL COSTS</t>
        </is>
      </c>
      <c r="H3" s="87" t="n"/>
      <c r="I3" s="57" t="inlineStr">
        <is>
          <t>BE+AE TOTAL COSTS</t>
        </is>
      </c>
    </row>
    <row r="4" customFormat="1" s="86">
      <c r="A4" s="190" t="n"/>
      <c r="B4" s="185" t="n"/>
      <c r="C4" s="186" t="n"/>
      <c r="D4" s="187" t="n"/>
      <c r="E4" s="185" t="n"/>
      <c r="F4" s="186" t="n"/>
      <c r="G4" s="187" t="n"/>
      <c r="H4" s="188" t="n"/>
      <c r="I4" s="189" t="n"/>
    </row>
    <row r="5" ht="21.4" customFormat="1" customHeight="1" s="86">
      <c r="A5" s="272" t="inlineStr">
        <is>
          <t>WORK PACKAGE</t>
        </is>
      </c>
      <c r="B5" s="314" t="n"/>
      <c r="C5" s="314" t="n"/>
      <c r="D5" s="314" t="n"/>
      <c r="E5" s="314" t="n"/>
      <c r="F5" s="314" t="n"/>
      <c r="G5" s="314" t="n"/>
      <c r="H5" s="314" t="n"/>
      <c r="I5" s="315" t="n"/>
    </row>
    <row r="6" ht="6.95" customFormat="1" customHeight="1" s="86">
      <c r="A6" s="182" t="n"/>
      <c r="B6" s="191" t="n"/>
      <c r="C6" s="192" t="n"/>
      <c r="D6" s="191" t="n"/>
      <c r="E6" s="191" t="n"/>
      <c r="F6" s="192" t="n"/>
      <c r="G6" s="191" t="n"/>
      <c r="H6" s="191" t="n"/>
      <c r="I6" s="174" t="n"/>
    </row>
    <row r="7" ht="15" customFormat="1" customHeight="1" s="86">
      <c r="A7" s="29" t="inlineStr">
        <is>
          <t>A. DIRECT PERSONNEL COSTS</t>
        </is>
      </c>
      <c r="B7" s="30" t="n"/>
      <c r="C7" s="110" t="n"/>
      <c r="D7" s="354" t="n"/>
      <c r="E7" s="30" t="n"/>
      <c r="F7" s="110" t="n"/>
      <c r="G7" s="354" t="n"/>
      <c r="H7" s="32" t="n"/>
      <c r="I7" s="354" t="n"/>
    </row>
    <row r="8" ht="15" customFormat="1" customHeight="1" s="86">
      <c r="A8" s="28" t="inlineStr">
        <is>
          <t>A.1 Employees (or equivalent)</t>
        </is>
      </c>
      <c r="B8" s="89" t="n"/>
      <c r="C8" s="111" t="n"/>
      <c r="D8" s="355" t="n"/>
      <c r="E8" s="89" t="n"/>
      <c r="F8" s="111" t="n"/>
      <c r="G8" s="355" t="n"/>
      <c r="H8" s="32" t="n"/>
      <c r="I8" s="356" t="n"/>
    </row>
    <row r="9" ht="15" customFormat="1" customHeight="1" s="86">
      <c r="A9" s="48" t="inlineStr">
        <is>
          <t>SENIOR SCIENTISTS (or equivalent in the private sector)</t>
        </is>
      </c>
      <c r="B9" s="357" t="n"/>
      <c r="C9" s="248" t="n"/>
      <c r="D9" s="232">
        <f>B9*C9</f>
        <v/>
      </c>
      <c r="E9" s="357" t="n"/>
      <c r="F9" s="248" t="n"/>
      <c r="G9" s="233">
        <f>E9*F9</f>
        <v/>
      </c>
      <c r="H9" s="32" t="n"/>
      <c r="I9" s="234">
        <f>D9+G9</f>
        <v/>
      </c>
    </row>
    <row r="10" ht="15" customFormat="1" customHeight="1" s="86">
      <c r="A10" s="48" t="inlineStr">
        <is>
          <t>JUNIOR SCIENTISTS (or equivalent in the private sector)</t>
        </is>
      </c>
      <c r="B10" s="357" t="n"/>
      <c r="C10" s="248" t="n"/>
      <c r="D10" s="232">
        <f>B10*C10</f>
        <v/>
      </c>
      <c r="E10" s="357" t="n"/>
      <c r="F10" s="248" t="n"/>
      <c r="G10" s="233">
        <f>E10*F10</f>
        <v/>
      </c>
      <c r="H10" s="32" t="n"/>
      <c r="I10" s="234">
        <f>D10+G10</f>
        <v/>
      </c>
    </row>
    <row r="11" ht="15" customFormat="1" customHeight="1" s="86">
      <c r="A11" s="48" t="inlineStr">
        <is>
          <t>TECHNICAL PERSONNEL (or equivalent in the private sector)</t>
        </is>
      </c>
      <c r="B11" s="357" t="n"/>
      <c r="C11" s="248" t="n"/>
      <c r="D11" s="232">
        <f>B11*C11</f>
        <v/>
      </c>
      <c r="E11" s="357" t="n"/>
      <c r="F11" s="248" t="n"/>
      <c r="G11" s="233">
        <f>E11*F11</f>
        <v/>
      </c>
      <c r="H11" s="32" t="n"/>
      <c r="I11" s="234">
        <f>D11+G11</f>
        <v/>
      </c>
    </row>
    <row r="12" ht="15" customFormat="1" customHeight="1" s="86">
      <c r="A12" s="48" t="inlineStr">
        <is>
          <t>ADMINISTRATIVE PERSONNEL (or equivalent in the private sector)</t>
        </is>
      </c>
      <c r="B12" s="357" t="n"/>
      <c r="C12" s="248" t="n"/>
      <c r="D12" s="232">
        <f>B12*C12</f>
        <v/>
      </c>
      <c r="E12" s="357" t="n"/>
      <c r="F12" s="248" t="n"/>
      <c r="G12" s="233">
        <f>E12*F12</f>
        <v/>
      </c>
      <c r="H12" s="32" t="n"/>
      <c r="I12" s="234">
        <f>D12+G12</f>
        <v/>
      </c>
    </row>
    <row r="13" ht="15" customFormat="1" customHeight="1" s="86">
      <c r="A13" s="48" t="inlineStr">
        <is>
          <t>OTHERS</t>
        </is>
      </c>
      <c r="B13" s="357" t="n"/>
      <c r="C13" s="248" t="n"/>
      <c r="D13" s="232">
        <f>B13*C13</f>
        <v/>
      </c>
      <c r="E13" s="357" t="n"/>
      <c r="F13" s="248" t="n"/>
      <c r="G13" s="233">
        <f>E13*F13</f>
        <v/>
      </c>
      <c r="H13" s="32" t="n"/>
      <c r="I13" s="234">
        <f>D13+G13</f>
        <v/>
      </c>
    </row>
    <row r="14" ht="15" customFormat="1" customHeight="1" s="86">
      <c r="A14" s="28" t="inlineStr">
        <is>
          <t>A.2 Natural Persons under direct contract</t>
        </is>
      </c>
      <c r="B14" s="357" t="n"/>
      <c r="C14" s="248" t="n"/>
      <c r="D14" s="232">
        <f>B14*C14</f>
        <v/>
      </c>
      <c r="E14" s="357" t="n"/>
      <c r="F14" s="248" t="n"/>
      <c r="G14" s="233">
        <f>E14*F14</f>
        <v/>
      </c>
      <c r="H14" s="32" t="n"/>
      <c r="I14" s="234">
        <f>D14+G14</f>
        <v/>
      </c>
    </row>
    <row r="15" ht="15" customFormat="1" customHeight="1" s="86">
      <c r="A15" s="28" t="inlineStr">
        <is>
          <t>A.3 Seconded Persons</t>
        </is>
      </c>
      <c r="B15" s="357" t="n"/>
      <c r="C15" s="248" t="n"/>
      <c r="D15" s="232">
        <f>B15*C15</f>
        <v/>
      </c>
      <c r="E15" s="357" t="n"/>
      <c r="F15" s="248" t="n"/>
      <c r="G15" s="233">
        <f>E15*F15</f>
        <v/>
      </c>
      <c r="H15" s="32" t="n"/>
      <c r="I15" s="234">
        <f>D15+G15</f>
        <v/>
      </c>
    </row>
    <row r="16" ht="15" customFormat="1" customHeight="1" s="86">
      <c r="A16" s="28" t="inlineStr">
        <is>
          <t>A.4 SME owners and natural person beneficiaries</t>
        </is>
      </c>
      <c r="B16" s="357" t="n"/>
      <c r="C16" s="256">
        <f>ROUND(8745.4*VLOOKUP('BE list'!E4,CountryList!A2:B178,2,FALSE),2)</f>
        <v/>
      </c>
      <c r="D16" s="232">
        <f>B16*C16</f>
        <v/>
      </c>
      <c r="E16" s="357" t="n"/>
      <c r="F16" s="257" t="n"/>
      <c r="G16" s="233">
        <f>E16*F16</f>
        <v/>
      </c>
      <c r="H16" s="32" t="n"/>
      <c r="I16" s="234">
        <f>D16+G16</f>
        <v/>
      </c>
    </row>
    <row r="17" ht="15" customFormat="1" customHeight="1" s="86">
      <c r="A17" s="29" t="inlineStr">
        <is>
          <t>B. DIRECT SUBCONTRACTING COSTS</t>
        </is>
      </c>
      <c r="B17" s="358" t="n"/>
      <c r="C17" s="110" t="n"/>
      <c r="D17" s="359" t="n"/>
      <c r="E17" s="358" t="n"/>
      <c r="F17" s="110" t="n"/>
      <c r="G17" s="360" t="n"/>
      <c r="H17" s="32" t="n"/>
      <c r="I17" s="360" t="n"/>
    </row>
    <row r="18" ht="15" customFormat="1" customHeight="1" s="86">
      <c r="A18" s="53" t="n"/>
      <c r="B18" s="357" t="n"/>
      <c r="C18" s="248" t="n"/>
      <c r="D18" s="361">
        <f>B18*C18</f>
        <v/>
      </c>
      <c r="E18" s="357" t="n"/>
      <c r="F18" s="248" t="n"/>
      <c r="G18" s="362">
        <f>E18*F18</f>
        <v/>
      </c>
      <c r="H18" s="32" t="n"/>
      <c r="I18" s="363">
        <f>D18+G18</f>
        <v/>
      </c>
    </row>
    <row r="19" ht="15" customFormat="1" customHeight="1" s="86">
      <c r="A19" s="29" t="inlineStr">
        <is>
          <t>C. DIRECT PURCHASE COSTS</t>
        </is>
      </c>
      <c r="B19" s="358" t="n"/>
      <c r="C19" s="110" t="n"/>
      <c r="D19" s="359" t="n"/>
      <c r="E19" s="358" t="n"/>
      <c r="F19" s="110" t="n"/>
      <c r="G19" s="360" t="n"/>
      <c r="H19" s="32" t="n"/>
      <c r="I19" s="360" t="n"/>
    </row>
    <row r="20" ht="15" customFormat="1" customHeight="1" s="86">
      <c r="A20" s="28" t="inlineStr">
        <is>
          <t>C.1 Travel and subsistence</t>
        </is>
      </c>
      <c r="B20" s="357" t="n"/>
      <c r="C20" s="248" t="n"/>
      <c r="D20" s="361">
        <f>B20*C20</f>
        <v/>
      </c>
      <c r="E20" s="357" t="n"/>
      <c r="F20" s="248" t="n"/>
      <c r="G20" s="362">
        <f>E20*F20</f>
        <v/>
      </c>
      <c r="H20" s="32" t="n"/>
      <c r="I20" s="363">
        <f>D20+G20</f>
        <v/>
      </c>
    </row>
    <row r="21" ht="15" customFormat="1" customHeight="1" s="86">
      <c r="A21" s="28" t="inlineStr">
        <is>
          <t>C.2 Equipment (complete 'Depreciation costs' sheet)</t>
        </is>
      </c>
      <c r="B21" s="346" t="n"/>
      <c r="C21" s="111" t="n"/>
      <c r="D21" s="364" t="n"/>
      <c r="E21" s="346" t="n"/>
      <c r="F21" s="111" t="n"/>
      <c r="G21" s="365" t="n"/>
      <c r="H21" s="32" t="n"/>
      <c r="I21" s="366" t="n"/>
    </row>
    <row r="22" customFormat="1" s="86">
      <c r="A22" s="49" t="inlineStr">
        <is>
          <t>Equipment</t>
        </is>
      </c>
      <c r="B22" s="357" t="n"/>
      <c r="C22" s="248" t="n"/>
      <c r="D22" s="361">
        <f>B22*C22</f>
        <v/>
      </c>
      <c r="E22" s="357" t="n"/>
      <c r="F22" s="248" t="n"/>
      <c r="G22" s="362">
        <f>E22*F22</f>
        <v/>
      </c>
      <c r="H22" s="32" t="n"/>
      <c r="I22" s="363">
        <f>D22+G22</f>
        <v/>
      </c>
    </row>
    <row r="23" ht="15" customFormat="1" customHeight="1" s="86">
      <c r="A23" s="49" t="inlineStr">
        <is>
          <t>Infrastructure</t>
        </is>
      </c>
      <c r="B23" s="357" t="n"/>
      <c r="C23" s="248" t="n"/>
      <c r="D23" s="361">
        <f>B23*C23</f>
        <v/>
      </c>
      <c r="E23" s="357" t="n"/>
      <c r="F23" s="248" t="n"/>
      <c r="G23" s="362">
        <f>E23*F23</f>
        <v/>
      </c>
      <c r="H23" s="32" t="n"/>
      <c r="I23" s="363">
        <f>D23+G23</f>
        <v/>
      </c>
    </row>
    <row r="24" ht="15" customFormat="1" customHeight="1" s="86">
      <c r="A24" s="49" t="inlineStr">
        <is>
          <t>Other assets</t>
        </is>
      </c>
      <c r="B24" s="357" t="n"/>
      <c r="C24" s="248" t="n"/>
      <c r="D24" s="361">
        <f>B24*C24</f>
        <v/>
      </c>
      <c r="E24" s="357" t="n"/>
      <c r="F24" s="248" t="n"/>
      <c r="G24" s="362">
        <f>E24*F24</f>
        <v/>
      </c>
      <c r="H24" s="32" t="n"/>
      <c r="I24" s="363">
        <f>D24+G24</f>
        <v/>
      </c>
    </row>
    <row r="25" ht="15" customFormat="1" customHeight="1" s="86">
      <c r="A25" s="28" t="inlineStr">
        <is>
          <t>C.3 Other goods, works and services</t>
        </is>
      </c>
      <c r="B25" s="346" t="n"/>
      <c r="C25" s="111" t="n"/>
      <c r="D25" s="364" t="n"/>
      <c r="E25" s="346" t="n"/>
      <c r="F25" s="111" t="n"/>
      <c r="G25" s="365" t="n"/>
      <c r="H25" s="32" t="n"/>
      <c r="I25" s="366" t="n"/>
    </row>
    <row r="26" ht="15" customFormat="1" customHeight="1" s="86">
      <c r="A26" s="49" t="inlineStr">
        <is>
          <t>Consumables</t>
        </is>
      </c>
      <c r="B26" s="357" t="n"/>
      <c r="C26" s="248" t="n"/>
      <c r="D26" s="361">
        <f>B26*C26</f>
        <v/>
      </c>
      <c r="E26" s="357" t="n"/>
      <c r="F26" s="248" t="n"/>
      <c r="G26" s="362">
        <f>E26*F26</f>
        <v/>
      </c>
      <c r="H26" s="32" t="n"/>
      <c r="I26" s="363">
        <f>D26+G26</f>
        <v/>
      </c>
    </row>
    <row r="27" ht="15" customFormat="1" customHeight="1" s="86">
      <c r="A27" s="49" t="inlineStr">
        <is>
          <t>Services for meetings, seminars</t>
        </is>
      </c>
      <c r="B27" s="357" t="n"/>
      <c r="C27" s="248" t="n"/>
      <c r="D27" s="361">
        <f>B27*C27</f>
        <v/>
      </c>
      <c r="E27" s="357" t="n"/>
      <c r="F27" s="248" t="n"/>
      <c r="G27" s="362">
        <f>E27*F27</f>
        <v/>
      </c>
      <c r="H27" s="32" t="n"/>
      <c r="I27" s="363">
        <f>D27+G27</f>
        <v/>
      </c>
    </row>
    <row r="28" ht="15" customFormat="1" customHeight="1" s="86">
      <c r="A28" s="49" t="inlineStr">
        <is>
          <t>Services for dissemination activities (including website)</t>
        </is>
      </c>
      <c r="B28" s="357" t="n"/>
      <c r="C28" s="248" t="n"/>
      <c r="D28" s="361">
        <f>B28*C28</f>
        <v/>
      </c>
      <c r="E28" s="357" t="n"/>
      <c r="F28" s="248" t="n"/>
      <c r="G28" s="362">
        <f>E28*F28</f>
        <v/>
      </c>
      <c r="H28" s="32" t="n"/>
      <c r="I28" s="363">
        <f>D28+G28</f>
        <v/>
      </c>
    </row>
    <row r="29" ht="15" customFormat="1" customHeight="1" s="86">
      <c r="A29" s="49" t="inlineStr">
        <is>
          <t>Publication fees</t>
        </is>
      </c>
      <c r="B29" s="357" t="n"/>
      <c r="C29" s="248" t="n"/>
      <c r="D29" s="361">
        <f>B29*C29</f>
        <v/>
      </c>
      <c r="E29" s="357" t="n"/>
      <c r="F29" s="248" t="n"/>
      <c r="G29" s="362">
        <f>E29*F29</f>
        <v/>
      </c>
      <c r="H29" s="32" t="n"/>
      <c r="I29" s="363">
        <f>D29+G29</f>
        <v/>
      </c>
    </row>
    <row r="30" ht="15" customFormat="1" customHeight="1" s="86">
      <c r="A30" s="49" t="inlineStr">
        <is>
          <t>Other (shipment, insurance, translation, etc.)</t>
        </is>
      </c>
      <c r="B30" s="357" t="n"/>
      <c r="C30" s="248" t="n"/>
      <c r="D30" s="361">
        <f>B30*C30</f>
        <v/>
      </c>
      <c r="E30" s="357" t="n"/>
      <c r="F30" s="248" t="n"/>
      <c r="G30" s="362">
        <f>E30*F30</f>
        <v/>
      </c>
      <c r="H30" s="32" t="n"/>
      <c r="I30" s="363">
        <f>D30+G30</f>
        <v/>
      </c>
    </row>
    <row r="31" customFormat="1" s="86">
      <c r="A31" s="29" t="inlineStr">
        <is>
          <t>D. OTHER COST CATEGORIES</t>
        </is>
      </c>
      <c r="B31" s="358" t="n"/>
      <c r="C31" s="110" t="n"/>
      <c r="D31" s="359" t="n"/>
      <c r="E31" s="358" t="n"/>
      <c r="F31" s="110" t="n"/>
      <c r="G31" s="360" t="n"/>
      <c r="H31" s="32" t="n"/>
      <c r="I31" s="360" t="n"/>
    </row>
    <row r="32" ht="15" customFormat="1" customHeight="1" s="86">
      <c r="A32" s="50" t="inlineStr">
        <is>
          <t>D.1 Financial support to third parties (if applicable in the topic specific conditions)</t>
        </is>
      </c>
      <c r="B32" s="357" t="n"/>
      <c r="C32" s="248" t="n"/>
      <c r="D32" s="361">
        <f>B32*C32</f>
        <v/>
      </c>
      <c r="E32" s="357" t="n"/>
      <c r="F32" s="248" t="n"/>
      <c r="G32" s="362">
        <f>E32*F32</f>
        <v/>
      </c>
      <c r="H32" s="32" t="n"/>
      <c r="I32" s="363">
        <f>D32+G32</f>
        <v/>
      </c>
    </row>
    <row r="33" ht="15" customFormat="1" customHeight="1" s="86">
      <c r="A33" s="50" t="inlineStr">
        <is>
          <t>D.2 Internally invoiced goods and services</t>
        </is>
      </c>
      <c r="B33" s="357" t="n"/>
      <c r="C33" s="248" t="n"/>
      <c r="D33" s="361">
        <f>B33*C33</f>
        <v/>
      </c>
      <c r="E33" s="357" t="n"/>
      <c r="F33" s="248" t="n"/>
      <c r="G33" s="362">
        <f>E33*F33</f>
        <v/>
      </c>
      <c r="H33" s="32" t="n"/>
      <c r="I33" s="363">
        <f>D33+G33</f>
        <v/>
      </c>
    </row>
    <row r="34" ht="15" customFormat="1" customHeight="1" s="86">
      <c r="A34" s="50" t="inlineStr">
        <is>
          <t>D.3 Transnational access to research infrastructure unit costs (if mentioned as eligible in the topic specific conditions)</t>
        </is>
      </c>
      <c r="B34" s="357" t="n"/>
      <c r="C34" s="248" t="n"/>
      <c r="D34" s="361">
        <f>B34*C34</f>
        <v/>
      </c>
      <c r="E34" s="357" t="n"/>
      <c r="F34" s="248" t="n"/>
      <c r="G34" s="362">
        <f>E34*F34</f>
        <v/>
      </c>
      <c r="H34" s="32" t="n"/>
      <c r="I34" s="363">
        <f>D34+G34</f>
        <v/>
      </c>
    </row>
    <row r="35" ht="15" customFormat="1" customHeight="1" s="86">
      <c r="A35" s="50" t="inlineStr">
        <is>
          <t>D.4 Virtual access to research infrastructure unit costs (if mentioned as eligible in the topic specific conditions)</t>
        </is>
      </c>
      <c r="B35" s="357" t="n"/>
      <c r="C35" s="248" t="n"/>
      <c r="D35" s="361">
        <f>B35*C35</f>
        <v/>
      </c>
      <c r="E35" s="357" t="n"/>
      <c r="F35" s="248" t="n"/>
      <c r="G35" s="362">
        <f>E35*F35</f>
        <v/>
      </c>
      <c r="H35" s="32" t="n"/>
      <c r="I35" s="363">
        <f>D35+G35</f>
        <v/>
      </c>
    </row>
    <row r="36" ht="15" customFormat="1" customHeight="1" s="86">
      <c r="A36" s="50" t="inlineStr">
        <is>
          <t>D.5 PCP/PPI procurement costs (if mentioned as eligible in the topic specific conditions)</t>
        </is>
      </c>
      <c r="B36" s="357" t="n"/>
      <c r="C36" s="248" t="n"/>
      <c r="D36" s="361">
        <f>B36*C36</f>
        <v/>
      </c>
      <c r="E36" s="357" t="n"/>
      <c r="F36" s="248" t="n"/>
      <c r="G36" s="362">
        <f>E36*F36</f>
        <v/>
      </c>
      <c r="H36" s="32" t="n"/>
      <c r="I36" s="363">
        <f>D36+G36</f>
        <v/>
      </c>
    </row>
    <row r="37" ht="15" customFormat="1" customHeight="1" s="86">
      <c r="A37" s="50" t="n"/>
      <c r="B37" s="346" t="n"/>
      <c r="C37" s="111" t="n"/>
      <c r="D37" s="365" t="n"/>
      <c r="E37" s="367" t="n"/>
      <c r="F37" s="114" t="n"/>
      <c r="G37" s="365" t="n"/>
      <c r="H37" s="38" t="n"/>
      <c r="I37" s="368" t="n"/>
    </row>
    <row r="38" ht="15" customFormat="1" customHeight="1" s="86">
      <c r="A38" s="52" t="inlineStr">
        <is>
          <t>TOTAL DIRECT PERSONNEL COSTS AND PURCHASE COSTS (A+C)</t>
        </is>
      </c>
      <c r="B38" s="369" t="n"/>
      <c r="C38" s="230" t="n"/>
      <c r="D38" s="360">
        <f>SUM(D9:D16,D20:D30)</f>
        <v/>
      </c>
      <c r="E38" s="370" t="n"/>
      <c r="F38" s="115" t="n"/>
      <c r="G38" s="360">
        <f>SUM(G9:G16,G20:G30)</f>
        <v/>
      </c>
      <c r="H38" s="38" t="n"/>
      <c r="I38" s="371">
        <f>D38+G38</f>
        <v/>
      </c>
    </row>
    <row r="39" customFormat="1" s="86">
      <c r="A39" s="52" t="inlineStr">
        <is>
          <t>TOTAL DIRECT COSTS  (A+B+C+D)</t>
        </is>
      </c>
      <c r="B39" s="369" t="n"/>
      <c r="C39" s="230" t="n"/>
      <c r="D39" s="360">
        <f>SUM(D9:D36)</f>
        <v/>
      </c>
      <c r="E39" s="370" t="n"/>
      <c r="F39" s="115" t="n"/>
      <c r="G39" s="360">
        <f>SUM(G9:G36)</f>
        <v/>
      </c>
      <c r="H39" s="38" t="n"/>
      <c r="I39" s="371">
        <f>D39+G39</f>
        <v/>
      </c>
    </row>
    <row r="40" ht="6.95" customFormat="1" customHeight="1" s="86">
      <c r="A40" s="180" t="n"/>
      <c r="B40" s="372" t="n"/>
      <c r="C40" s="176" t="n"/>
      <c r="D40" s="373" t="n"/>
      <c r="E40" s="374" t="n"/>
      <c r="F40" s="178" t="n"/>
      <c r="G40" s="373" t="n"/>
      <c r="H40" s="38" t="n"/>
      <c r="I40" s="375" t="n"/>
    </row>
    <row r="41" ht="15" customFormat="1" customHeight="1" s="86">
      <c r="A41" s="29" t="inlineStr">
        <is>
          <t>E. INDIRECT COSTS (25% * (A+C))</t>
        </is>
      </c>
      <c r="B41" s="358" t="n"/>
      <c r="C41" s="110" t="n"/>
      <c r="D41" s="360">
        <f>D38*0.25</f>
        <v/>
      </c>
      <c r="E41" s="376" t="n"/>
      <c r="F41" s="116" t="n"/>
      <c r="G41" s="360">
        <f>G38*0.25</f>
        <v/>
      </c>
      <c r="H41" s="38" t="n"/>
      <c r="I41" s="371">
        <f>I38*0.25</f>
        <v/>
      </c>
    </row>
    <row r="42" ht="6.95" customFormat="1" customHeight="1" s="86">
      <c r="A42" s="32" t="n"/>
      <c r="B42" s="372" t="n"/>
      <c r="C42" s="176" t="n"/>
      <c r="D42" s="377" t="n"/>
      <c r="E42" s="374" t="n"/>
      <c r="F42" s="178" t="n"/>
      <c r="G42" s="377" t="n"/>
      <c r="H42" s="38" t="n"/>
      <c r="I42" s="375" t="n"/>
    </row>
    <row r="43" ht="15" customFormat="1" customHeight="1" s="86">
      <c r="A43" s="29" t="inlineStr">
        <is>
          <t>F. TOTAL COSTS (A+B+C+D+E)</t>
        </is>
      </c>
      <c r="B43" s="369" t="n"/>
      <c r="C43" s="230" t="n"/>
      <c r="D43" s="360">
        <f>D39+D41</f>
        <v/>
      </c>
      <c r="E43" s="370" t="n"/>
      <c r="F43" s="115" t="n"/>
      <c r="G43" s="360">
        <f>G39+G41</f>
        <v/>
      </c>
      <c r="H43" s="38" t="n"/>
      <c r="I43" s="371">
        <f>I39+I41</f>
        <v/>
      </c>
    </row>
    <row r="44" ht="6.95" customFormat="1" customHeight="1" s="86">
      <c r="A44" s="182" t="n"/>
      <c r="B44" s="183" t="n"/>
      <c r="C44" s="184" t="n"/>
      <c r="D44" s="183" t="n"/>
      <c r="E44" s="183" t="n"/>
      <c r="F44" s="184" t="n"/>
      <c r="G44" s="183" t="n"/>
      <c r="H44" s="32" t="n"/>
      <c r="I44" s="170" t="n"/>
    </row>
    <row r="45" customFormat="1" s="86">
      <c r="A45" s="190" t="n"/>
      <c r="B45" s="185" t="n"/>
      <c r="C45" s="186" t="n"/>
      <c r="D45" s="187" t="n"/>
      <c r="E45" s="185" t="n"/>
      <c r="F45" s="186" t="n"/>
      <c r="G45" s="187" t="n"/>
      <c r="H45" s="188" t="n"/>
      <c r="I45" s="189" t="n"/>
    </row>
    <row r="46" ht="21.4" customFormat="1" customHeight="1" s="86">
      <c r="A46" s="272" t="inlineStr">
        <is>
          <t>SUMMARY</t>
        </is>
      </c>
      <c r="B46" s="314" t="n"/>
      <c r="C46" s="314" t="n"/>
      <c r="D46" s="314" t="n"/>
      <c r="E46" s="314" t="n"/>
      <c r="F46" s="314" t="n"/>
      <c r="G46" s="314" t="n"/>
      <c r="H46" s="314" t="n"/>
      <c r="I46" s="315" t="n"/>
    </row>
    <row r="47" ht="6.95" customFormat="1" customHeight="1" s="86">
      <c r="A47" s="56" t="n"/>
      <c r="B47" s="174" t="n"/>
      <c r="C47" s="175" t="n"/>
      <c r="D47" s="174" t="n"/>
      <c r="E47" s="174" t="n"/>
      <c r="F47" s="175" t="n"/>
      <c r="G47" s="174" t="n"/>
      <c r="H47" s="174" t="n"/>
      <c r="I47" s="174" t="n"/>
    </row>
    <row r="48" ht="15" customFormat="1" customHeight="1" s="86">
      <c r="A48" s="29" t="inlineStr">
        <is>
          <t>A. DIRECT PERSONNEL COSTS</t>
        </is>
      </c>
      <c r="B48" s="30" t="n"/>
      <c r="C48" s="110" t="n"/>
      <c r="D48" s="354" t="n"/>
      <c r="E48" s="30" t="n"/>
      <c r="F48" s="110" t="n"/>
      <c r="G48" s="354" t="n"/>
      <c r="H48" s="32" t="n"/>
      <c r="I48" s="354" t="n"/>
    </row>
    <row r="49" ht="15" customFormat="1" customHeight="1" s="86">
      <c r="A49" s="28" t="inlineStr">
        <is>
          <t>A.1 Employees (or equivalent)</t>
        </is>
      </c>
      <c r="B49" s="89" t="n"/>
      <c r="C49" s="111" t="n"/>
      <c r="D49" s="355" t="n"/>
      <c r="E49" s="89" t="n"/>
      <c r="F49" s="111" t="n"/>
      <c r="G49" s="355" t="n"/>
      <c r="H49" s="32" t="n"/>
      <c r="I49" s="356" t="n"/>
    </row>
    <row r="50" ht="15" customFormat="1" customHeight="1" s="86">
      <c r="A50" s="48" t="inlineStr">
        <is>
          <t>SENIOR SCIENTISTS (or equivalent in the private sector)</t>
        </is>
      </c>
      <c r="B50" s="378">
        <f>#REF!+#REF!+#REF!+#REF!+#REF!+#REF!+#REF!+#REF!+#REF!+#REF!+#REF!+#REF!+#REF!+#REF!+#REF!+#REF!+#REF!+#REF!+#REF!+B9</f>
        <v/>
      </c>
      <c r="C50" s="249">
        <f>IF(B50&gt;0,D50/B50," ")</f>
        <v/>
      </c>
      <c r="D50" s="361">
        <f>#REF!+#REF!+#REF!+#REF!+#REF!+#REF!+#REF!+#REF!+#REF!+#REF!+#REF!+#REF!+#REF!+#REF!+#REF!+#REF!+#REF!+#REF!+#REF!+D9</f>
        <v/>
      </c>
      <c r="E50" s="379">
        <f>#REF!+#REF!+#REF!+#REF!+#REF!+#REF!+#REF!+#REF!+#REF!+#REF!+#REF!+#REF!+#REF!+#REF!+#REF!+#REF!+#REF!+#REF!+#REF!+E9</f>
        <v/>
      </c>
      <c r="F50" s="252">
        <f>IF(E50&gt;0,G50/E50," ")</f>
        <v/>
      </c>
      <c r="G50" s="362">
        <f>#REF!+#REF!+#REF!+#REF!+#REF!+#REF!+#REF!+#REF!+#REF!+#REF!+#REF!+#REF!+#REF!+#REF!+#REF!+#REF!+#REF!+#REF!+#REF!+G9</f>
        <v/>
      </c>
      <c r="H50" s="32" t="n"/>
      <c r="I50" s="363">
        <f>D50+G50</f>
        <v/>
      </c>
    </row>
    <row r="51" ht="15" customFormat="1" customHeight="1" s="86">
      <c r="A51" s="48" t="inlineStr">
        <is>
          <t>JUNIOR SCIENTISTS (or equivalent in the private sector)</t>
        </is>
      </c>
      <c r="B51" s="378">
        <f>#REF!+#REF!+#REF!+#REF!+#REF!+#REF!+#REF!+#REF!+#REF!+#REF!+#REF!+#REF!+#REF!+#REF!+#REF!+#REF!+#REF!+#REF!+#REF!+B10</f>
        <v/>
      </c>
      <c r="C51" s="249">
        <f>IF(B51&gt;0,D51/B51," ")</f>
        <v/>
      </c>
      <c r="D51" s="361">
        <f>#REF!+#REF!+#REF!+#REF!+#REF!+#REF!+#REF!+#REF!+#REF!+#REF!+#REF!+#REF!+#REF!+#REF!+#REF!+#REF!+#REF!+#REF!+#REF!+D10</f>
        <v/>
      </c>
      <c r="E51" s="379">
        <f>#REF!+#REF!+#REF!+#REF!+#REF!+#REF!+#REF!+#REF!+#REF!+#REF!+#REF!+#REF!+#REF!+#REF!+#REF!+#REF!+#REF!+#REF!+#REF!+E10</f>
        <v/>
      </c>
      <c r="F51" s="252">
        <f>IF(E51&gt;0,G51/E51," ")</f>
        <v/>
      </c>
      <c r="G51" s="362">
        <f>#REF!+#REF!+#REF!+#REF!+#REF!+#REF!+#REF!+#REF!+#REF!+#REF!+#REF!+#REF!+#REF!+#REF!+#REF!+#REF!+#REF!+#REF!+#REF!+G10</f>
        <v/>
      </c>
      <c r="H51" s="32" t="n"/>
      <c r="I51" s="363">
        <f>D51+G51</f>
        <v/>
      </c>
    </row>
    <row r="52" ht="15" customFormat="1" customHeight="1" s="86">
      <c r="A52" s="48" t="inlineStr">
        <is>
          <t>TECHNICAL PERSONNEL (or equivalent in the private sector)</t>
        </is>
      </c>
      <c r="B52" s="378">
        <f>#REF!+#REF!+#REF!+#REF!+#REF!+#REF!+#REF!+#REF!+#REF!+#REF!+#REF!+#REF!+#REF!+#REF!+#REF!+#REF!+#REF!+#REF!+#REF!+B11</f>
        <v/>
      </c>
      <c r="C52" s="249">
        <f>IF(B52&gt;0,D52/B52," ")</f>
        <v/>
      </c>
      <c r="D52" s="361">
        <f>#REF!+#REF!+#REF!+#REF!+#REF!+#REF!+#REF!+#REF!+#REF!+#REF!+#REF!+#REF!+#REF!+#REF!+#REF!+#REF!+#REF!+#REF!+#REF!+D11</f>
        <v/>
      </c>
      <c r="E52" s="379">
        <f>#REF!+#REF!+#REF!+#REF!+#REF!+#REF!+#REF!+#REF!+#REF!+#REF!+#REF!+#REF!+#REF!+#REF!+#REF!+#REF!+#REF!+#REF!+#REF!+E11</f>
        <v/>
      </c>
      <c r="F52" s="252">
        <f>IF(E52&gt;0,G52/E52," ")</f>
        <v/>
      </c>
      <c r="G52" s="362">
        <f>#REF!+#REF!+#REF!+#REF!+#REF!+#REF!+#REF!+#REF!+#REF!+#REF!+#REF!+#REF!+#REF!+#REF!+#REF!+#REF!+#REF!+#REF!+#REF!+G11</f>
        <v/>
      </c>
      <c r="H52" s="32" t="n"/>
      <c r="I52" s="363">
        <f>D52+G52</f>
        <v/>
      </c>
    </row>
    <row r="53" ht="15" customFormat="1" customHeight="1" s="86">
      <c r="A53" s="48" t="inlineStr">
        <is>
          <t>ADMINISTRATIVE PERSONNEL (or equivalent in the private sector)</t>
        </is>
      </c>
      <c r="B53" s="378">
        <f>#REF!+#REF!+#REF!+#REF!+#REF!+#REF!+#REF!+#REF!+#REF!+#REF!+#REF!+#REF!+#REF!+#REF!+#REF!+#REF!+#REF!+#REF!+#REF!+B12</f>
        <v/>
      </c>
      <c r="C53" s="249">
        <f>IF(B53&gt;0,D53/B53," ")</f>
        <v/>
      </c>
      <c r="D53" s="361">
        <f>#REF!+#REF!+#REF!+#REF!+#REF!+#REF!+#REF!+#REF!+#REF!+#REF!+#REF!+#REF!+#REF!+#REF!+#REF!+#REF!+#REF!+#REF!+#REF!+D12</f>
        <v/>
      </c>
      <c r="E53" s="379">
        <f>#REF!+#REF!+#REF!+#REF!+#REF!+#REF!+#REF!+#REF!+#REF!+#REF!+#REF!+#REF!+#REF!+#REF!+#REF!+#REF!+#REF!+#REF!+#REF!+E12</f>
        <v/>
      </c>
      <c r="F53" s="252">
        <f>IF(E53&gt;0,G53/E53," ")</f>
        <v/>
      </c>
      <c r="G53" s="362">
        <f>#REF!+#REF!+#REF!+#REF!+#REF!+#REF!+#REF!+#REF!+#REF!+#REF!+#REF!+#REF!+#REF!+#REF!+#REF!+#REF!+#REF!+#REF!+#REF!+G12</f>
        <v/>
      </c>
      <c r="H53" s="32" t="n"/>
      <c r="I53" s="363">
        <f>D53+G53</f>
        <v/>
      </c>
    </row>
    <row r="54" ht="15" customFormat="1" customHeight="1" s="86">
      <c r="A54" s="48" t="inlineStr">
        <is>
          <t>OTHERS</t>
        </is>
      </c>
      <c r="B54" s="378">
        <f>#REF!+#REF!+#REF!+#REF!+#REF!+#REF!+#REF!+#REF!+#REF!+#REF!+#REF!+#REF!+#REF!+#REF!+#REF!+#REF!+#REF!+#REF!+#REF!+B13</f>
        <v/>
      </c>
      <c r="C54" s="249">
        <f>IF(B54&gt;0,D54/B54," ")</f>
        <v/>
      </c>
      <c r="D54" s="361">
        <f>#REF!+#REF!+#REF!+#REF!+#REF!+#REF!+#REF!+#REF!+#REF!+#REF!+#REF!+#REF!+#REF!+#REF!+#REF!+#REF!+#REF!+#REF!+#REF!+D13</f>
        <v/>
      </c>
      <c r="E54" s="379">
        <f>#REF!+#REF!+#REF!+#REF!+#REF!+#REF!+#REF!+#REF!+#REF!+#REF!+#REF!+#REF!+#REF!+#REF!+#REF!+#REF!+#REF!+#REF!+#REF!+E13</f>
        <v/>
      </c>
      <c r="F54" s="252">
        <f>IF(E54&gt;0,G54/E54," ")</f>
        <v/>
      </c>
      <c r="G54" s="362">
        <f>#REF!+#REF!+#REF!+#REF!+#REF!+#REF!+#REF!+#REF!+#REF!+#REF!+#REF!+#REF!+#REF!+#REF!+#REF!+#REF!+#REF!+#REF!+#REF!+G13</f>
        <v/>
      </c>
      <c r="H54" s="32" t="n"/>
      <c r="I54" s="363">
        <f>D54+G54</f>
        <v/>
      </c>
    </row>
    <row r="55" ht="15" customFormat="1" customHeight="1" s="86">
      <c r="A55" s="28" t="inlineStr">
        <is>
          <t>A.2 Natural Persons under direct contract</t>
        </is>
      </c>
      <c r="B55" s="378">
        <f>#REF!+#REF!+#REF!+#REF!+#REF!+#REF!+#REF!+#REF!+#REF!+#REF!+#REF!+#REF!+#REF!+#REF!+#REF!+#REF!+#REF!+#REF!+#REF!+B14</f>
        <v/>
      </c>
      <c r="C55" s="249">
        <f>IF(B55&gt;0,D55/B55," ")</f>
        <v/>
      </c>
      <c r="D55" s="361">
        <f>#REF!+#REF!+#REF!+#REF!+#REF!+#REF!+#REF!+#REF!+#REF!+#REF!+#REF!+#REF!+#REF!+#REF!+#REF!+#REF!+#REF!+#REF!+#REF!+D14</f>
        <v/>
      </c>
      <c r="E55" s="379">
        <f>#REF!+#REF!+#REF!+#REF!+#REF!+#REF!+#REF!+#REF!+#REF!+#REF!+#REF!+#REF!+#REF!+#REF!+#REF!+#REF!+#REF!+#REF!+#REF!+E14</f>
        <v/>
      </c>
      <c r="F55" s="252">
        <f>IF(E55&gt;0,G55/E55," ")</f>
        <v/>
      </c>
      <c r="G55" s="362">
        <f>#REF!+#REF!+#REF!+#REF!+#REF!+#REF!+#REF!+#REF!+#REF!+#REF!+#REF!+#REF!+#REF!+#REF!+#REF!+#REF!+#REF!+#REF!+#REF!+G14</f>
        <v/>
      </c>
      <c r="H55" s="32" t="n"/>
      <c r="I55" s="363">
        <f>D55+G55</f>
        <v/>
      </c>
    </row>
    <row r="56" ht="15" customFormat="1" customHeight="1" s="86">
      <c r="A56" s="28" t="inlineStr">
        <is>
          <t>A.3 Seconded Persons</t>
        </is>
      </c>
      <c r="B56" s="378">
        <f>#REF!+#REF!+#REF!+#REF!+#REF!+#REF!+#REF!+#REF!+#REF!+#REF!+#REF!+#REF!+#REF!+#REF!+#REF!+#REF!+#REF!+#REF!+#REF!+B15</f>
        <v/>
      </c>
      <c r="C56" s="249">
        <f>IF(B56&gt;0,D56/B56," ")</f>
        <v/>
      </c>
      <c r="D56" s="361">
        <f>#REF!+#REF!+#REF!+#REF!+#REF!+#REF!+#REF!+#REF!+#REF!+#REF!+#REF!+#REF!+#REF!+#REF!+#REF!+#REF!+#REF!+#REF!+#REF!+D15</f>
        <v/>
      </c>
      <c r="E56" s="379">
        <f>#REF!+#REF!+#REF!+#REF!+#REF!+#REF!+#REF!+#REF!+#REF!+#REF!+#REF!+#REF!+#REF!+#REF!+#REF!+#REF!+#REF!+#REF!+#REF!+E15</f>
        <v/>
      </c>
      <c r="F56" s="252">
        <f>IF(E56&gt;0,G56/E56," ")</f>
        <v/>
      </c>
      <c r="G56" s="362">
        <f>#REF!+#REF!+#REF!+#REF!+#REF!+#REF!+#REF!+#REF!+#REF!+#REF!+#REF!+#REF!+#REF!+#REF!+#REF!+#REF!+#REF!+#REF!+#REF!+G15</f>
        <v/>
      </c>
      <c r="H56" s="32" t="n"/>
      <c r="I56" s="363">
        <f>D56+G56</f>
        <v/>
      </c>
    </row>
    <row r="57" ht="15" customFormat="1" customHeight="1" s="86">
      <c r="A57" s="28" t="inlineStr">
        <is>
          <t>A.4 SME owners and natural person beneficiaries</t>
        </is>
      </c>
      <c r="B57" s="378">
        <f>#REF!+#REF!+#REF!+#REF!+#REF!+#REF!+#REF!+#REF!+#REF!+#REF!+#REF!+#REF!+#REF!+#REF!+#REF!+#REF!+#REF!+#REF!+#REF!+B16</f>
        <v/>
      </c>
      <c r="C57" s="249">
        <f>IF(B57&gt;0,D57/B57," ")</f>
        <v/>
      </c>
      <c r="D57" s="361">
        <f>#REF!+#REF!+#REF!+#REF!+#REF!+#REF!+#REF!+#REF!+#REF!+#REF!+#REF!+#REF!+#REF!+#REF!+#REF!+#REF!+#REF!+#REF!+#REF!+D16</f>
        <v/>
      </c>
      <c r="E57" s="379">
        <f>#REF!+#REF!+#REF!+#REF!+#REF!+#REF!+#REF!+#REF!+#REF!+#REF!+#REF!+#REF!+#REF!+#REF!+#REF!+#REF!+#REF!+#REF!+#REF!+E16</f>
        <v/>
      </c>
      <c r="F57" s="252">
        <f>IF(E57&gt;0,G57/E57," ")</f>
        <v/>
      </c>
      <c r="G57" s="362">
        <f>#REF!+#REF!+#REF!+#REF!+#REF!+#REF!+#REF!+#REF!+#REF!+#REF!+#REF!+#REF!+#REF!+#REF!+#REF!+#REF!+#REF!+#REF!+#REF!+G16</f>
        <v/>
      </c>
      <c r="H57" s="32" t="n"/>
      <c r="I57" s="363">
        <f>D57+G57</f>
        <v/>
      </c>
    </row>
    <row r="58" ht="15" customFormat="1" customHeight="1" s="86">
      <c r="A58" s="29" t="inlineStr">
        <is>
          <t>B. DIRECT SUBCONTRACTING COSTS</t>
        </is>
      </c>
      <c r="B58" s="380" t="n"/>
      <c r="C58" s="250" t="n"/>
      <c r="D58" s="359" t="n"/>
      <c r="E58" s="358" t="n"/>
      <c r="F58" s="110" t="n"/>
      <c r="G58" s="360" t="n"/>
      <c r="H58" s="32" t="n"/>
      <c r="I58" s="360" t="n"/>
    </row>
    <row r="59" ht="15" customFormat="1" customHeight="1" s="86">
      <c r="A59" s="28" t="n"/>
      <c r="B59" s="378">
        <f>#REF!+#REF!+#REF!+#REF!+#REF!+#REF!+#REF!+#REF!+#REF!+#REF!+#REF!+#REF!+#REF!+#REF!+#REF!+#REF!+#REF!+#REF!+#REF!+B18</f>
        <v/>
      </c>
      <c r="C59" s="249">
        <f>IF(B59&gt;0,D59/B59," ")</f>
        <v/>
      </c>
      <c r="D59" s="361">
        <f>#REF!+#REF!+#REF!+#REF!+#REF!+#REF!+#REF!+#REF!+#REF!+#REF!+#REF!+#REF!+#REF!+#REF!+#REF!+#REF!+#REF!+#REF!+#REF!+#REF!</f>
        <v/>
      </c>
      <c r="E59" s="379">
        <f>#REF!+#REF!+#REF!+#REF!+#REF!+#REF!+#REF!+#REF!+#REF!+#REF!+#REF!+#REF!+#REF!+#REF!+#REF!+#REF!+#REF!+#REF!+#REF!+#REF!</f>
        <v/>
      </c>
      <c r="F59" s="252">
        <f>IF(E59&gt;0,G59/E59," ")</f>
        <v/>
      </c>
      <c r="G59" s="362">
        <f>#REF!+#REF!+#REF!+#REF!+#REF!+#REF!+#REF!+#REF!+#REF!+#REF!+#REF!+#REF!+#REF!+#REF!+#REF!+#REF!+#REF!+#REF!+#REF!+#REF!</f>
        <v/>
      </c>
      <c r="H59" s="32" t="n"/>
      <c r="I59" s="363">
        <f>D59+G59</f>
        <v/>
      </c>
    </row>
    <row r="60" ht="15" customFormat="1" customHeight="1" s="86">
      <c r="A60" s="29" t="inlineStr">
        <is>
          <t>C. DIRECT PURCHASE COSTS</t>
        </is>
      </c>
      <c r="B60" s="380" t="n"/>
      <c r="C60" s="250" t="n"/>
      <c r="D60" s="359" t="n"/>
      <c r="E60" s="358" t="n"/>
      <c r="F60" s="110" t="n"/>
      <c r="G60" s="360" t="n"/>
      <c r="H60" s="32" t="n"/>
      <c r="I60" s="360" t="n"/>
    </row>
    <row r="61" ht="15" customFormat="1" customHeight="1" s="86">
      <c r="A61" s="28" t="inlineStr">
        <is>
          <t>C.1 Travel and subsistence</t>
        </is>
      </c>
      <c r="B61" s="378">
        <f>#REF!+#REF!+#REF!+#REF!+#REF!+#REF!+#REF!+#REF!+#REF!+#REF!+#REF!+#REF!+#REF!+#REF!+#REF!+#REF!+#REF!+#REF!+#REF!+B20</f>
        <v/>
      </c>
      <c r="C61" s="249">
        <f>IF(B61&gt;0,D61/B61," ")</f>
        <v/>
      </c>
      <c r="D61" s="361">
        <f>#REF!+#REF!+#REF!+#REF!+#REF!+#REF!+#REF!+#REF!+#REF!+#REF!+#REF!+#REF!+#REF!+#REF!+#REF!+#REF!+#REF!+#REF!+#REF!+#REF!</f>
        <v/>
      </c>
      <c r="E61" s="379">
        <f>#REF!+#REF!+#REF!+#REF!+#REF!+#REF!+#REF!+#REF!+#REF!+#REF!+#REF!+#REF!+#REF!+#REF!+#REF!+#REF!+#REF!+#REF!+#REF!+#REF!</f>
        <v/>
      </c>
      <c r="F61" s="252">
        <f>IF(E61&gt;0,G61/E61," ")</f>
        <v/>
      </c>
      <c r="G61" s="362">
        <f>#REF!+#REF!+#REF!+#REF!+#REF!+#REF!+#REF!+#REF!+#REF!+#REF!+#REF!+#REF!+#REF!+#REF!+#REF!+#REF!+#REF!+#REF!+#REF!+#REF!</f>
        <v/>
      </c>
      <c r="H61" s="32" t="n"/>
      <c r="I61" s="363">
        <f>D61+G61</f>
        <v/>
      </c>
    </row>
    <row r="62" ht="15" customFormat="1" customHeight="1" s="86">
      <c r="A62" s="28" t="inlineStr">
        <is>
          <t>C.2 Equipment (complete 'Depreciation costs' sheet)</t>
        </is>
      </c>
      <c r="B62" s="381" t="n"/>
      <c r="C62" s="251" t="n"/>
      <c r="D62" s="364" t="n"/>
      <c r="E62" s="346" t="n"/>
      <c r="F62" s="111" t="n"/>
      <c r="G62" s="365" t="n"/>
      <c r="H62" s="32" t="n"/>
      <c r="I62" s="366" t="n"/>
    </row>
    <row r="63" customFormat="1" s="86">
      <c r="A63" s="49" t="inlineStr">
        <is>
          <t>Equipment</t>
        </is>
      </c>
      <c r="B63" s="378">
        <f>#REF!+#REF!+#REF!+#REF!+#REF!+#REF!+#REF!+#REF!+#REF!+#REF!+#REF!+#REF!+#REF!+#REF!+#REF!+#REF!+#REF!+#REF!+#REF!+B22</f>
        <v/>
      </c>
      <c r="C63" s="249">
        <f>IF(B63&gt;0,D63/B63," ")</f>
        <v/>
      </c>
      <c r="D63" s="361">
        <f>#REF!+#REF!+#REF!+#REF!+#REF!+#REF!+#REF!+#REF!+#REF!+#REF!+#REF!+#REF!+#REF!+#REF!+#REF!+#REF!+#REF!+#REF!+#REF!+D41</f>
        <v/>
      </c>
      <c r="E63" s="379">
        <f>#REF!+#REF!+#REF!+#REF!+#REF!+#REF!+#REF!+#REF!+#REF!+#REF!+#REF!+#REF!+#REF!+#REF!+#REF!+#REF!+#REF!+#REF!+#REF!+E41</f>
        <v/>
      </c>
      <c r="F63" s="252">
        <f>IF(E63&gt;0,G63/E63," ")</f>
        <v/>
      </c>
      <c r="G63" s="362">
        <f>#REF!+#REF!+#REF!+#REF!+#REF!+#REF!+#REF!+#REF!+#REF!+#REF!+#REF!+#REF!+#REF!+#REF!+#REF!+#REF!+#REF!+#REF!+#REF!+G41</f>
        <v/>
      </c>
      <c r="H63" s="32" t="n"/>
      <c r="I63" s="363">
        <f>D63+G63</f>
        <v/>
      </c>
    </row>
    <row r="64" ht="15" customFormat="1" customHeight="1" s="86">
      <c r="A64" s="49" t="inlineStr">
        <is>
          <t>Infrastructure</t>
        </is>
      </c>
      <c r="B64" s="378">
        <f>#REF!+#REF!+#REF!+#REF!+#REF!+#REF!+#REF!+#REF!+#REF!+#REF!+#REF!+#REF!+#REF!+#REF!+#REF!+#REF!+#REF!+#REF!+#REF!+B23</f>
        <v/>
      </c>
      <c r="C64" s="249">
        <f>IF(B64&gt;0,D64/B64," ")</f>
        <v/>
      </c>
      <c r="D64" s="361">
        <f>#REF!+#REF!+#REF!+#REF!+#REF!+#REF!+#REF!+#REF!+#REF!+#REF!+#REF!+#REF!+#REF!+#REF!+#REF!+#REF!+#REF!+#REF!+#REF!+#REF!</f>
        <v/>
      </c>
      <c r="E64" s="379">
        <f>#REF!+#REF!+#REF!+#REF!+#REF!+#REF!+#REF!+#REF!+#REF!+#REF!+#REF!+#REF!+#REF!+#REF!+#REF!+#REF!+#REF!+#REF!+#REF!+#REF!</f>
        <v/>
      </c>
      <c r="F64" s="252">
        <f>IF(E64&gt;0,G64/E64," ")</f>
        <v/>
      </c>
      <c r="G64" s="362">
        <f>#REF!+#REF!+#REF!+#REF!+#REF!+#REF!+#REF!+#REF!+#REF!+#REF!+#REF!+#REF!+#REF!+#REF!+#REF!+#REF!+#REF!+#REF!+#REF!+#REF!</f>
        <v/>
      </c>
      <c r="H64" s="32" t="n"/>
      <c r="I64" s="363">
        <f>D64+G64</f>
        <v/>
      </c>
    </row>
    <row r="65" ht="15" customFormat="1" customHeight="1" s="86">
      <c r="A65" s="49" t="inlineStr">
        <is>
          <t>Other assets</t>
        </is>
      </c>
      <c r="B65" s="378">
        <f>#REF!+#REF!+#REF!+#REF!+#REF!+#REF!+#REF!+#REF!+#REF!+#REF!+#REF!+#REF!+#REF!+#REF!+#REF!+#REF!+#REF!+#REF!+#REF!+B24</f>
        <v/>
      </c>
      <c r="C65" s="249">
        <f>IF(B65&gt;0,D65/B65," ")</f>
        <v/>
      </c>
      <c r="D65" s="361">
        <f>#REF!+#REF!+#REF!+#REF!+#REF!+#REF!+#REF!+#REF!+#REF!+#REF!+#REF!+#REF!+#REF!+#REF!+#REF!+#REF!+#REF!+#REF!+#REF!+#REF!</f>
        <v/>
      </c>
      <c r="E65" s="379">
        <f>#REF!+#REF!+#REF!+#REF!+#REF!+#REF!+#REF!+#REF!+#REF!+#REF!+#REF!+#REF!+#REF!+#REF!+#REF!+#REF!+#REF!+#REF!+#REF!+#REF!</f>
        <v/>
      </c>
      <c r="F65" s="252">
        <f>IF(E65&gt;0,G65/E65," ")</f>
        <v/>
      </c>
      <c r="G65" s="362">
        <f>#REF!+#REF!+#REF!+#REF!+#REF!+#REF!+#REF!+#REF!+#REF!+#REF!+#REF!+#REF!+#REF!+#REF!+#REF!+#REF!+#REF!+#REF!+#REF!+#REF!</f>
        <v/>
      </c>
      <c r="H65" s="32" t="n"/>
      <c r="I65" s="363">
        <f>D65+G65</f>
        <v/>
      </c>
    </row>
    <row r="66" ht="15" customFormat="1" customHeight="1" s="86">
      <c r="A66" s="28" t="inlineStr">
        <is>
          <t>C.3 Other goods, works and services</t>
        </is>
      </c>
      <c r="B66" s="381" t="n"/>
      <c r="C66" s="251" t="n"/>
      <c r="D66" s="364" t="n"/>
      <c r="E66" s="346" t="n"/>
      <c r="F66" s="111" t="n"/>
      <c r="G66" s="365" t="n"/>
      <c r="H66" s="32" t="n"/>
      <c r="I66" s="366" t="n"/>
    </row>
    <row r="67" ht="15" customFormat="1" customHeight="1" s="86">
      <c r="A67" s="49" t="inlineStr">
        <is>
          <t>Consumables</t>
        </is>
      </c>
      <c r="B67" s="378">
        <f>#REF!+#REF!+#REF!+#REF!+#REF!+#REF!+#REF!+#REF!+#REF!+#REF!+#REF!+#REF!+#REF!+#REF!+#REF!+#REF!+#REF!+#REF!+#REF!+#REF!</f>
        <v/>
      </c>
      <c r="C67" s="249">
        <f>IF(B67&gt;0,D67/B67," ")</f>
        <v/>
      </c>
      <c r="D67" s="361">
        <f>#REF!+#REF!+#REF!+#REF!+#REF!+#REF!+#REF!+#REF!+#REF!+#REF!+#REF!+#REF!+#REF!+#REF!+#REF!+#REF!+#REF!+#REF!+#REF!+#REF!</f>
        <v/>
      </c>
      <c r="E67" s="379">
        <f>#REF!+#REF!+#REF!+#REF!+#REF!+#REF!+#REF!+#REF!+#REF!+#REF!+#REF!+#REF!+#REF!+#REF!+#REF!+#REF!+#REF!+#REF!+#REF!+#REF!</f>
        <v/>
      </c>
      <c r="F67" s="252">
        <f>IF(E67&gt;0,G67/E67," ")</f>
        <v/>
      </c>
      <c r="G67" s="362">
        <f>#REF!+#REF!+#REF!+#REF!+#REF!+#REF!+#REF!+#REF!+#REF!+#REF!+#REF!+#REF!+#REF!+#REF!+#REF!+#REF!+#REF!+#REF!+#REF!+#REF!</f>
        <v/>
      </c>
      <c r="H67" s="32" t="n"/>
      <c r="I67" s="363">
        <f>D67+G67</f>
        <v/>
      </c>
    </row>
    <row r="68" ht="15" customFormat="1" customHeight="1" s="86">
      <c r="A68" s="49" t="inlineStr">
        <is>
          <t>Services for meetings, seminars</t>
        </is>
      </c>
      <c r="B68" s="378">
        <f>#REF!+#REF!+#REF!+#REF!+#REF!+#REF!+#REF!+#REF!+#REF!+#REF!+#REF!+#REF!+#REF!+#REF!+#REF!+#REF!+#REF!+#REF!+#REF!+#REF!</f>
        <v/>
      </c>
      <c r="C68" s="249">
        <f>IF(B68&gt;0,D68/B68," ")</f>
        <v/>
      </c>
      <c r="D68" s="361">
        <f>#REF!+#REF!+#REF!+#REF!+#REF!+#REF!+#REF!+#REF!+#REF!+#REF!+#REF!+#REF!+#REF!+#REF!+#REF!+#REF!+#REF!+#REF!+#REF!+#REF!</f>
        <v/>
      </c>
      <c r="E68" s="379">
        <f>#REF!+#REF!+#REF!+#REF!+#REF!+#REF!+#REF!+#REF!+#REF!+#REF!+#REF!+#REF!+#REF!+#REF!+#REF!+#REF!+#REF!+#REF!+#REF!+#REF!</f>
        <v/>
      </c>
      <c r="F68" s="252">
        <f>IF(E68&gt;0,G68/E68," ")</f>
        <v/>
      </c>
      <c r="G68" s="362">
        <f>#REF!+#REF!+#REF!+#REF!+#REF!+#REF!+#REF!+#REF!+#REF!+#REF!+#REF!+#REF!+#REF!+#REF!+#REF!+#REF!+#REF!+#REF!+#REF!+#REF!</f>
        <v/>
      </c>
      <c r="H68" s="32" t="n"/>
      <c r="I68" s="363">
        <f>D68+G68</f>
        <v/>
      </c>
    </row>
    <row r="69" ht="15" customFormat="1" customHeight="1" s="86">
      <c r="A69" s="49" t="inlineStr">
        <is>
          <t>Services for dissemination activities (including website)</t>
        </is>
      </c>
      <c r="B69" s="378">
        <f>#REF!+#REF!+#REF!+#REF!+#REF!+#REF!+#REF!+#REF!+#REF!+#REF!+#REF!+#REF!+#REF!+#REF!+#REF!+#REF!+#REF!+#REF!+#REF!+#REF!</f>
        <v/>
      </c>
      <c r="C69" s="249">
        <f>IF(B69&gt;0,D69/B69," ")</f>
        <v/>
      </c>
      <c r="D69" s="361">
        <f>#REF!+#REF!+#REF!+#REF!+#REF!+#REF!+#REF!+#REF!+#REF!+#REF!+#REF!+#REF!+#REF!+#REF!+#REF!+#REF!+#REF!+#REF!+#REF!+#REF!</f>
        <v/>
      </c>
      <c r="E69" s="379">
        <f>#REF!+#REF!+#REF!+#REF!+#REF!+#REF!+#REF!+#REF!+#REF!+#REF!+#REF!+#REF!+#REF!+#REF!+#REF!+#REF!+#REF!+#REF!+#REF!+#REF!</f>
        <v/>
      </c>
      <c r="F69" s="252">
        <f>IF(E69&gt;0,G69/E69," ")</f>
        <v/>
      </c>
      <c r="G69" s="362">
        <f>#REF!+#REF!+#REF!+#REF!+#REF!+#REF!+#REF!+#REF!+#REF!+#REF!+#REF!+#REF!+#REF!+#REF!+#REF!+#REF!+#REF!+#REF!+#REF!+#REF!</f>
        <v/>
      </c>
      <c r="H69" s="32" t="n"/>
      <c r="I69" s="363">
        <f>D69+G69</f>
        <v/>
      </c>
    </row>
    <row r="70" ht="15" customFormat="1" customHeight="1" s="86">
      <c r="A70" s="49" t="inlineStr">
        <is>
          <t>Publication fees</t>
        </is>
      </c>
      <c r="B70" s="378">
        <f>#REF!+#REF!+#REF!+#REF!+#REF!+#REF!+#REF!+#REF!+#REF!+#REF!+#REF!+#REF!+#REF!+#REF!+#REF!+#REF!+#REF!+#REF!+#REF!+#REF!</f>
        <v/>
      </c>
      <c r="C70" s="249">
        <f>IF(B70&gt;0,D70/B70," ")</f>
        <v/>
      </c>
      <c r="D70" s="361">
        <f>#REF!+#REF!+#REF!+#REF!+#REF!+#REF!+#REF!+#REF!+#REF!+#REF!+#REF!+#REF!+#REF!+#REF!+#REF!+#REF!+#REF!+#REF!+#REF!+#REF!</f>
        <v/>
      </c>
      <c r="E70" s="379">
        <f>#REF!+#REF!+#REF!+#REF!+#REF!+#REF!+#REF!+#REF!+#REF!+#REF!+#REF!+#REF!+#REF!+#REF!+#REF!+#REF!+#REF!+#REF!+#REF!+#REF!</f>
        <v/>
      </c>
      <c r="F70" s="252">
        <f>IF(E70&gt;0,G70/E70," ")</f>
        <v/>
      </c>
      <c r="G70" s="362">
        <f>#REF!+#REF!+#REF!+#REF!+#REF!+#REF!+#REF!+#REF!+#REF!+#REF!+#REF!+#REF!+#REF!+#REF!+#REF!+#REF!+#REF!+#REF!+#REF!+#REF!</f>
        <v/>
      </c>
      <c r="H70" s="32" t="n"/>
      <c r="I70" s="363">
        <f>D70+G70</f>
        <v/>
      </c>
    </row>
    <row r="71" ht="15" customFormat="1" customHeight="1" s="86">
      <c r="A71" s="49" t="inlineStr">
        <is>
          <t>Other (shipment, insurance, translation, etc.)</t>
        </is>
      </c>
      <c r="B71" s="378">
        <f>#REF!+#REF!+#REF!+#REF!+#REF!+#REF!+#REF!+#REF!+#REF!+#REF!+#REF!+#REF!+#REF!+#REF!+#REF!+#REF!+#REF!+#REF!+#REF!+#REF!</f>
        <v/>
      </c>
      <c r="C71" s="249">
        <f>IF(B71&gt;0,D71/B71," ")</f>
        <v/>
      </c>
      <c r="D71" s="361">
        <f>#REF!+#REF!+#REF!+#REF!+#REF!+#REF!+#REF!+#REF!+#REF!+#REF!+#REF!+#REF!+#REF!+#REF!+#REF!+#REF!+#REF!+#REF!+#REF!+#REF!</f>
        <v/>
      </c>
      <c r="E71" s="379">
        <f>#REF!+#REF!+#REF!+#REF!+#REF!+#REF!+#REF!+#REF!+#REF!+#REF!+#REF!+#REF!+#REF!+#REF!+#REF!+#REF!+#REF!+#REF!+#REF!+#REF!</f>
        <v/>
      </c>
      <c r="F71" s="252">
        <f>IF(E71&gt;0,G71/E71," ")</f>
        <v/>
      </c>
      <c r="G71" s="362">
        <f>#REF!+#REF!+#REF!+#REF!+#REF!+#REF!+#REF!+#REF!+#REF!+#REF!+#REF!+#REF!+#REF!+#REF!+#REF!+#REF!+#REF!+#REF!+#REF!+#REF!</f>
        <v/>
      </c>
      <c r="H71" s="32" t="n"/>
      <c r="I71" s="363">
        <f>D71+G71</f>
        <v/>
      </c>
    </row>
    <row r="72" ht="15" customFormat="1" customHeight="1" s="86">
      <c r="A72" s="29" t="inlineStr">
        <is>
          <t>D. OTHER COST CATEGORIES</t>
        </is>
      </c>
      <c r="B72" s="380" t="n"/>
      <c r="C72" s="250" t="n"/>
      <c r="D72" s="359" t="n"/>
      <c r="E72" s="358" t="n"/>
      <c r="F72" s="110" t="n"/>
      <c r="G72" s="360" t="n"/>
      <c r="H72" s="32" t="n"/>
      <c r="I72" s="360" t="n"/>
    </row>
    <row r="73" ht="15" customFormat="1" customHeight="1" s="86">
      <c r="A73" s="50" t="inlineStr">
        <is>
          <t>D.1 Financial support to third parties (if applicable in the topic specific conditions)</t>
        </is>
      </c>
      <c r="B73" s="378">
        <f>#REF!+#REF!+#REF!+#REF!+#REF!+#REF!+#REF!+#REF!+#REF!+#REF!+#REF!+#REF!+#REF!+#REF!+#REF!+#REF!+#REF!+#REF!+#REF!+#REF!</f>
        <v/>
      </c>
      <c r="C73" s="249">
        <f>IF(B73&gt;0,D73/B73," ")</f>
        <v/>
      </c>
      <c r="D73" s="361">
        <f>#REF!+#REF!+#REF!+#REF!+#REF!+#REF!+#REF!+#REF!+#REF!+#REF!+#REF!+#REF!+#REF!+#REF!+#REF!+#REF!+#REF!+#REF!+#REF!+#REF!</f>
        <v/>
      </c>
      <c r="E73" s="379">
        <f>#REF!+#REF!+#REF!+#REF!+#REF!+#REF!+#REF!+#REF!+#REF!+#REF!+#REF!+#REF!+#REF!+#REF!+#REF!+#REF!+#REF!+#REF!+#REF!+#REF!</f>
        <v/>
      </c>
      <c r="F73" s="252">
        <f>IF(E73&gt;0,G73/E73," ")</f>
        <v/>
      </c>
      <c r="G73" s="362">
        <f>#REF!+#REF!+#REF!+#REF!+#REF!+#REF!+#REF!+#REF!+#REF!+#REF!+#REF!+#REF!+#REF!+#REF!+#REF!+#REF!+#REF!+#REF!+#REF!+#REF!</f>
        <v/>
      </c>
      <c r="H73" s="32" t="n"/>
      <c r="I73" s="363">
        <f>D73+G73</f>
        <v/>
      </c>
    </row>
    <row r="74" ht="15" customFormat="1" customHeight="1" s="86">
      <c r="A74" s="50" t="inlineStr">
        <is>
          <t>D.2 Internally invoiced goods and services</t>
        </is>
      </c>
      <c r="B74" s="378">
        <f>#REF!+#REF!+#REF!+#REF!+#REF!+#REF!+#REF!+#REF!+#REF!+#REF!+#REF!+#REF!+#REF!+#REF!+#REF!+#REF!+#REF!+#REF!+#REF!+#REF!</f>
        <v/>
      </c>
      <c r="C74" s="249">
        <f>IF(B74&gt;0,D74/B74," ")</f>
        <v/>
      </c>
      <c r="D74" s="361">
        <f>#REF!+#REF!+#REF!+#REF!+#REF!+#REF!+#REF!+#REF!+#REF!+#REF!+#REF!+#REF!+#REF!+#REF!+#REF!+#REF!+#REF!+#REF!+#REF!+#REF!</f>
        <v/>
      </c>
      <c r="E74" s="379">
        <f>#REF!+#REF!+#REF!+#REF!+#REF!+#REF!+#REF!+#REF!+#REF!+#REF!+#REF!+#REF!+#REF!+#REF!+#REF!+#REF!+#REF!+#REF!+#REF!+#REF!</f>
        <v/>
      </c>
      <c r="F74" s="252">
        <f>IF(E74&gt;0,G74/E74," ")</f>
        <v/>
      </c>
      <c r="G74" s="362">
        <f>#REF!+#REF!+#REF!+#REF!+#REF!+#REF!+#REF!+#REF!+#REF!+#REF!+#REF!+#REF!+#REF!+#REF!+#REF!+#REF!+#REF!+#REF!+#REF!+#REF!</f>
        <v/>
      </c>
      <c r="H74" s="32" t="n"/>
      <c r="I74" s="363">
        <f>D74+G74</f>
        <v/>
      </c>
    </row>
    <row r="75" ht="15" customFormat="1" customHeight="1" s="86">
      <c r="A75" s="50" t="inlineStr">
        <is>
          <t>D.3 Transnational access to research infrastructure unit costs (if mentioned as eligible in the topic specific conditions)</t>
        </is>
      </c>
      <c r="B75" s="378">
        <f>#REF!+#REF!+#REF!+#REF!+#REF!+#REF!+#REF!+#REF!+#REF!+#REF!+#REF!+#REF!+#REF!+#REF!+#REF!+#REF!+#REF!+#REF!+#REF!+#REF!</f>
        <v/>
      </c>
      <c r="C75" s="249">
        <f>IF(B75&gt;0,D75/B75," ")</f>
        <v/>
      </c>
      <c r="D75" s="361">
        <f>#REF!+#REF!+#REF!+#REF!+#REF!+#REF!+#REF!+#REF!+#REF!+#REF!+#REF!+#REF!+#REF!+#REF!+#REF!+#REF!+#REF!+#REF!+#REF!+#REF!</f>
        <v/>
      </c>
      <c r="E75" s="379">
        <f>#REF!+#REF!+#REF!+#REF!+#REF!+#REF!+#REF!+#REF!+#REF!+#REF!+#REF!+#REF!+#REF!+#REF!+#REF!+#REF!+#REF!+#REF!+#REF!+#REF!</f>
        <v/>
      </c>
      <c r="F75" s="252">
        <f>IF(E75&gt;0,G75/E75," ")</f>
        <v/>
      </c>
      <c r="G75" s="362">
        <f>#REF!+#REF!+#REF!+#REF!+#REF!+#REF!+#REF!+#REF!+#REF!+#REF!+#REF!+#REF!+#REF!+#REF!+#REF!+#REF!+#REF!+#REF!+#REF!+#REF!</f>
        <v/>
      </c>
      <c r="H75" s="32" t="n"/>
      <c r="I75" s="363">
        <f>D75+G75</f>
        <v/>
      </c>
    </row>
    <row r="76" ht="15" customFormat="1" customHeight="1" s="86">
      <c r="A76" s="50" t="inlineStr">
        <is>
          <t>D.4 Virtual access to research infrastructure unit costs (if mentioned as eligible in the topic specific conditions)</t>
        </is>
      </c>
      <c r="B76" s="378">
        <f>#REF!+#REF!+#REF!+#REF!+#REF!+#REF!+#REF!+#REF!+#REF!+#REF!+#REF!+#REF!+#REF!+#REF!+#REF!+#REF!+#REF!+#REF!+#REF!+#REF!</f>
        <v/>
      </c>
      <c r="C76" s="249">
        <f>IF(B76&gt;0,D76/B76," ")</f>
        <v/>
      </c>
      <c r="D76" s="361">
        <f>#REF!+#REF!+#REF!+#REF!+#REF!+#REF!+#REF!+#REF!+#REF!+#REF!+#REF!+#REF!+#REF!+#REF!+#REF!+#REF!+#REF!+#REF!+#REF!+#REF!</f>
        <v/>
      </c>
      <c r="E76" s="379">
        <f>#REF!+#REF!+#REF!+#REF!+#REF!+#REF!+#REF!+#REF!+#REF!+#REF!+#REF!+#REF!+#REF!+#REF!+#REF!+#REF!+#REF!+#REF!+#REF!+#REF!</f>
        <v/>
      </c>
      <c r="F76" s="252">
        <f>IF(E76&gt;0,G76/E76," ")</f>
        <v/>
      </c>
      <c r="G76" s="362">
        <f>#REF!+#REF!+#REF!+#REF!+#REF!+#REF!+#REF!+#REF!+#REF!+#REF!+#REF!+#REF!+#REF!+#REF!+#REF!+#REF!+#REF!+#REF!+#REF!+#REF!</f>
        <v/>
      </c>
      <c r="H76" s="32" t="n"/>
      <c r="I76" s="363">
        <f>D76+G76</f>
        <v/>
      </c>
    </row>
    <row r="77" ht="15" customFormat="1" customHeight="1" s="86">
      <c r="A77" s="50" t="inlineStr">
        <is>
          <t>D.5 PCP/PPI procurement costs (if mentioned as eligible in the topic specific conditions)</t>
        </is>
      </c>
      <c r="B77" s="378">
        <f>#REF!+#REF!+#REF!+#REF!+#REF!+#REF!+#REF!+#REF!+#REF!+#REF!+#REF!+#REF!+#REF!+#REF!+#REF!+#REF!+#REF!+#REF!+#REF!+#REF!</f>
        <v/>
      </c>
      <c r="C77" s="249">
        <f>IF(B77&gt;0,D77/B77," ")</f>
        <v/>
      </c>
      <c r="D77" s="361">
        <f>#REF!+#REF!+#REF!+#REF!+#REF!+#REF!+#REF!+#REF!+#REF!+#REF!+#REF!+#REF!+#REF!+#REF!+#REF!+#REF!+#REF!+#REF!+#REF!+#REF!</f>
        <v/>
      </c>
      <c r="E77" s="379">
        <f>#REF!+#REF!+#REF!+#REF!+#REF!+#REF!+#REF!+#REF!+#REF!+#REF!+#REF!+#REF!+#REF!+#REF!+#REF!+#REF!+#REF!+#REF!+#REF!+#REF!</f>
        <v/>
      </c>
      <c r="F77" s="252">
        <f>IF(E77&gt;0,G77/E77," ")</f>
        <v/>
      </c>
      <c r="G77" s="362">
        <f>#REF!+#REF!+#REF!+#REF!+#REF!+#REF!+#REF!+#REF!+#REF!+#REF!+#REF!+#REF!+#REF!+#REF!+#REF!+#REF!+#REF!+#REF!+#REF!+#REF!</f>
        <v/>
      </c>
      <c r="H77" s="32" t="n"/>
      <c r="I77" s="363">
        <f>D77+G77</f>
        <v/>
      </c>
    </row>
    <row r="78" ht="15" customFormat="1" customHeight="1" s="86">
      <c r="A78" s="51" t="n"/>
      <c r="B78" s="346" t="n"/>
      <c r="C78" s="111" t="n"/>
      <c r="D78" s="365" t="n"/>
      <c r="E78" s="367" t="n"/>
      <c r="F78" s="114" t="n"/>
      <c r="G78" s="365" t="n"/>
      <c r="H78" s="38" t="n"/>
      <c r="I78" s="368" t="n"/>
    </row>
    <row r="79" ht="15" customFormat="1" customHeight="1" s="86">
      <c r="A79" s="52" t="inlineStr">
        <is>
          <t>TOTAL DIRECT PERSONNEL COSTS AND PURCHASE COSTS (A+C)</t>
        </is>
      </c>
      <c r="B79" s="369" t="n"/>
      <c r="C79" s="230" t="n"/>
      <c r="D79" s="382">
        <f>#REF!+#REF!+#REF!+#REF!+#REF!+#REF!+#REF!+#REF!+#REF!+#REF!+#REF!+#REF!+#REF!+#REF!+#REF!+#REF!+#REF!+#REF!+#REF!+#REF!</f>
        <v/>
      </c>
      <c r="E79" s="369" t="n"/>
      <c r="F79" s="230" t="n"/>
      <c r="G79" s="382">
        <f>#REF!+#REF!+#REF!+#REF!+#REF!+#REF!+#REF!+#REF!+#REF!+#REF!+#REF!+#REF!+#REF!+#REF!+#REF!+#REF!+#REF!+#REF!+#REF!+#REF!</f>
        <v/>
      </c>
      <c r="H79" s="32" t="n"/>
      <c r="I79" s="371">
        <f>D79+G79</f>
        <v/>
      </c>
    </row>
    <row r="80" customFormat="1" s="86">
      <c r="A80" s="52" t="inlineStr">
        <is>
          <t>TOTAL DIRECT COSTS  (A+B+C+D)</t>
        </is>
      </c>
      <c r="B80" s="369" t="n"/>
      <c r="C80" s="230" t="n"/>
      <c r="D80" s="382">
        <f>#REF!+#REF!+#REF!+#REF!+#REF!+#REF!+#REF!+#REF!+#REF!+#REF!+#REF!+#REF!+#REF!+#REF!+#REF!+#REF!+#REF!+#REF!+#REF!+#REF!</f>
        <v/>
      </c>
      <c r="E80" s="369" t="n"/>
      <c r="F80" s="230" t="n"/>
      <c r="G80" s="382">
        <f>#REF!+#REF!+#REF!+#REF!+#REF!+#REF!+#REF!+#REF!+#REF!+#REF!+#REF!+#REF!+#REF!+#REF!+#REF!+#REF!+#REF!+#REF!+#REF!+#REF!</f>
        <v/>
      </c>
      <c r="H80" s="32" t="n"/>
      <c r="I80" s="371">
        <f>D80+G80</f>
        <v/>
      </c>
    </row>
    <row r="81" ht="6.95" customFormat="1" customHeight="1" s="86">
      <c r="A81" s="182" t="n"/>
      <c r="B81" s="383" t="n"/>
      <c r="C81" s="192" t="n"/>
      <c r="D81" s="191" t="n"/>
      <c r="E81" s="383" t="n"/>
      <c r="F81" s="192" t="n"/>
      <c r="G81" s="191" t="n"/>
      <c r="H81" s="191" t="n"/>
      <c r="I81" s="174" t="n"/>
    </row>
    <row r="82" ht="15" customFormat="1" customHeight="1" s="86">
      <c r="A82" s="29" t="inlineStr">
        <is>
          <t>E. INDIRECT COSTS (25% * (A+C))</t>
        </is>
      </c>
      <c r="B82" s="369" t="n"/>
      <c r="C82" s="230" t="n"/>
      <c r="D82" s="382">
        <f>#REF!+#REF!+#REF!+#REF!+#REF!+#REF!+#REF!+#REF!+#REF!+#REF!+#REF!+#REF!+#REF!+#REF!+#REF!+#REF!+#REF!+#REF!+#REF!+#REF!</f>
        <v/>
      </c>
      <c r="E82" s="369" t="n"/>
      <c r="F82" s="230" t="n"/>
      <c r="G82" s="382">
        <f>#REF!+#REF!+#REF!+#REF!+#REF!+#REF!+#REF!+#REF!+#REF!+#REF!+#REF!+#REF!+#REF!+#REF!+#REF!+#REF!+#REF!+#REF!+#REF!+#REF!</f>
        <v/>
      </c>
      <c r="H82" s="32" t="n"/>
      <c r="I82" s="371">
        <f>D82+G82</f>
        <v/>
      </c>
    </row>
    <row r="83" ht="6.95" customFormat="1" customHeight="1" s="86">
      <c r="A83" s="182" t="n"/>
      <c r="B83" s="383" t="n"/>
      <c r="C83" s="192" t="n"/>
      <c r="D83" s="191" t="n"/>
      <c r="E83" s="383" t="n"/>
      <c r="F83" s="192" t="n"/>
      <c r="G83" s="191" t="n"/>
      <c r="H83" s="191" t="n"/>
      <c r="I83" s="174" t="n"/>
    </row>
    <row r="84" ht="15" customFormat="1" customHeight="1" s="86">
      <c r="A84" s="29" t="inlineStr">
        <is>
          <t>F. TOTAL COSTS (A+B+C+D+E)</t>
        </is>
      </c>
      <c r="B84" s="369" t="n"/>
      <c r="C84" s="230" t="n"/>
      <c r="D84" s="382">
        <f>#REF!+#REF!+#REF!+#REF!+#REF!+#REF!+#REF!+#REF!+#REF!+#REF!+#REF!+#REF!+#REF!+#REF!+#REF!+#REF!+#REF!+#REF!+D1+#REF!</f>
        <v/>
      </c>
      <c r="E84" s="369" t="n"/>
      <c r="F84" s="230" t="n"/>
      <c r="G84" s="382">
        <f>#REF!+#REF!+#REF!+#REF!+#REF!+#REF!+#REF!+#REF!+#REF!+#REF!+#REF!+#REF!+#REF!+#REF!+#REF!+#REF!+#REF!+#REF!+G1+#REF!</f>
        <v/>
      </c>
      <c r="H84" s="32" t="n"/>
      <c r="I84" s="371">
        <f>D84+G84</f>
        <v/>
      </c>
    </row>
    <row r="85" ht="6.95" customFormat="1" customHeight="1" s="86">
      <c r="A85" s="182" t="n"/>
      <c r="B85" s="191" t="n"/>
      <c r="C85" s="192" t="n"/>
      <c r="D85" s="191" t="n"/>
      <c r="E85" s="191" t="n"/>
      <c r="F85" s="192" t="n"/>
      <c r="G85" s="191" t="n"/>
      <c r="H85" s="191" t="n"/>
      <c r="I85" s="174" t="n"/>
    </row>
    <row r="86" customFormat="1" s="86">
      <c r="A86" s="190" t="n"/>
      <c r="B86" s="185" t="n"/>
      <c r="C86" s="186" t="n"/>
      <c r="D86" s="187" t="n"/>
      <c r="E86" s="185" t="n"/>
      <c r="F86" s="186" t="n"/>
      <c r="G86" s="187" t="n"/>
      <c r="H86" s="188" t="n"/>
      <c r="I86" s="189" t="n"/>
    </row>
    <row r="87" ht="15" customFormat="1" customHeight="1" s="59">
      <c r="B87" s="2" t="n"/>
      <c r="C87" s="112" t="n"/>
      <c r="D87" s="2" t="n"/>
      <c r="E87" s="2" t="n"/>
      <c r="F87" s="112" t="n"/>
      <c r="G87" s="2" t="n"/>
      <c r="H87" s="1" t="n"/>
      <c r="I87" s="171" t="n"/>
    </row>
    <row r="88" ht="15" customFormat="1" customHeight="1" s="59">
      <c r="B88" s="2" t="n"/>
      <c r="C88" s="112" t="n"/>
      <c r="D88" s="2" t="n"/>
      <c r="E88" s="2" t="n"/>
      <c r="F88" s="112" t="n"/>
      <c r="G88" s="2" t="n"/>
      <c r="H88" s="1" t="n"/>
      <c r="I88" s="171" t="n"/>
    </row>
    <row r="89" customFormat="1" s="59">
      <c r="B89" s="2" t="n"/>
      <c r="C89" s="112" t="n"/>
      <c r="D89" s="2" t="n"/>
      <c r="E89" s="2" t="n"/>
      <c r="F89" s="112" t="n"/>
      <c r="G89" s="2" t="n"/>
      <c r="H89" s="1" t="n"/>
      <c r="I89" s="171" t="n"/>
    </row>
    <row r="90" customFormat="1" s="59">
      <c r="B90" s="2" t="n"/>
      <c r="C90" s="112" t="n"/>
      <c r="D90" s="2" t="n"/>
      <c r="E90" s="2" t="n"/>
      <c r="F90" s="112" t="n"/>
      <c r="G90" s="2" t="n"/>
      <c r="H90" s="1" t="n"/>
      <c r="I90" s="171" t="n"/>
    </row>
    <row r="91" customFormat="1" s="59">
      <c r="B91" s="2" t="n"/>
      <c r="C91" s="112" t="n"/>
      <c r="D91" s="2" t="n"/>
      <c r="E91" s="2" t="n"/>
      <c r="F91" s="112" t="n"/>
      <c r="G91" s="2" t="n"/>
      <c r="H91" s="1" t="n"/>
      <c r="I91" s="171" t="n"/>
    </row>
    <row r="92" customFormat="1" s="59">
      <c r="B92" s="2" t="n"/>
      <c r="C92" s="112" t="n"/>
      <c r="D92" s="2" t="n"/>
      <c r="E92" s="2" t="n"/>
      <c r="F92" s="112" t="n"/>
      <c r="G92" s="2" t="n"/>
      <c r="H92" s="1" t="n"/>
      <c r="I92" s="171" t="n"/>
    </row>
    <row r="93" customFormat="1" s="59">
      <c r="B93" s="2" t="n"/>
      <c r="C93" s="112" t="n"/>
      <c r="D93" s="2" t="n"/>
      <c r="E93" s="2" t="n"/>
      <c r="F93" s="112" t="n"/>
      <c r="G93" s="2" t="n"/>
      <c r="H93" s="1" t="n"/>
      <c r="I93" s="171" t="n"/>
    </row>
    <row r="94" customFormat="1" s="59">
      <c r="B94" s="2" t="n"/>
      <c r="C94" s="112" t="n"/>
      <c r="D94" s="2" t="n"/>
      <c r="E94" s="2" t="n"/>
      <c r="F94" s="112" t="n"/>
      <c r="G94" s="2" t="n"/>
      <c r="H94" s="1" t="n"/>
      <c r="I94" s="171" t="n"/>
    </row>
    <row r="95" customFormat="1" s="59">
      <c r="B95" s="2" t="n"/>
      <c r="C95" s="112" t="n"/>
      <c r="D95" s="2" t="n"/>
      <c r="E95" s="2" t="n"/>
      <c r="F95" s="112" t="n"/>
      <c r="G95" s="2" t="n"/>
      <c r="H95" s="1" t="n"/>
      <c r="I95" s="171" t="n"/>
    </row>
    <row r="96" customFormat="1" s="59">
      <c r="B96" s="2" t="n"/>
      <c r="C96" s="112" t="n"/>
      <c r="D96" s="2" t="n"/>
      <c r="E96" s="2" t="n"/>
      <c r="F96" s="112" t="n"/>
      <c r="G96" s="2" t="n"/>
      <c r="H96" s="1" t="n"/>
      <c r="I96" s="171" t="n"/>
    </row>
    <row r="97" customFormat="1" s="59">
      <c r="B97" s="2" t="n"/>
      <c r="C97" s="112" t="n"/>
      <c r="D97" s="2" t="n"/>
      <c r="E97" s="2" t="n"/>
      <c r="F97" s="112" t="n"/>
      <c r="G97" s="2" t="n"/>
      <c r="H97" s="1" t="n"/>
      <c r="I97" s="171" t="n"/>
    </row>
    <row r="98" customFormat="1" s="59">
      <c r="B98" s="2" t="n"/>
      <c r="C98" s="112" t="n"/>
      <c r="D98" s="2" t="n"/>
      <c r="E98" s="2" t="n"/>
      <c r="F98" s="112" t="n"/>
      <c r="G98" s="2" t="n"/>
      <c r="H98" s="1" t="n"/>
      <c r="I98" s="171" t="n"/>
    </row>
    <row r="99" customFormat="1" s="59">
      <c r="B99" s="2" t="n"/>
      <c r="C99" s="112" t="n"/>
      <c r="D99" s="2" t="n"/>
      <c r="E99" s="2" t="n"/>
      <c r="F99" s="112" t="n"/>
      <c r="G99" s="2" t="n"/>
      <c r="H99" s="1" t="n"/>
      <c r="I99" s="171" t="n"/>
    </row>
    <row r="100" customFormat="1" s="59">
      <c r="B100" s="2" t="n"/>
      <c r="C100" s="112" t="n"/>
      <c r="D100" s="2" t="n"/>
      <c r="E100" s="2" t="n"/>
      <c r="F100" s="112" t="n"/>
      <c r="G100" s="2" t="n"/>
      <c r="H100" s="1" t="n"/>
      <c r="I100" s="171" t="n"/>
    </row>
    <row r="101" customFormat="1" s="59">
      <c r="B101" s="2" t="n"/>
      <c r="C101" s="112" t="n"/>
      <c r="D101" s="2" t="n"/>
      <c r="E101" s="2" t="n"/>
      <c r="F101" s="112" t="n"/>
      <c r="G101" s="2" t="n"/>
      <c r="H101" s="1" t="n"/>
      <c r="I101" s="171" t="n"/>
    </row>
    <row r="102" customFormat="1" s="59">
      <c r="B102" s="2" t="n"/>
      <c r="C102" s="112" t="n"/>
      <c r="D102" s="2" t="n"/>
      <c r="E102" s="2" t="n"/>
      <c r="F102" s="112" t="n"/>
      <c r="G102" s="2" t="n"/>
      <c r="H102" s="1" t="n"/>
      <c r="I102" s="171" t="n"/>
    </row>
    <row r="103" customFormat="1" s="59">
      <c r="B103" s="2" t="n"/>
      <c r="C103" s="112" t="n"/>
      <c r="D103" s="2" t="n"/>
      <c r="E103" s="2" t="n"/>
      <c r="F103" s="112" t="n"/>
      <c r="G103" s="2" t="n"/>
      <c r="H103" s="1" t="n"/>
      <c r="I103" s="171" t="n"/>
    </row>
    <row r="104" customFormat="1" s="59">
      <c r="B104" s="2" t="n"/>
      <c r="C104" s="112" t="n"/>
      <c r="D104" s="2" t="n"/>
      <c r="E104" s="2" t="n"/>
      <c r="F104" s="112" t="n"/>
      <c r="G104" s="2" t="n"/>
      <c r="H104" s="1" t="n"/>
      <c r="I104" s="171" t="n"/>
    </row>
    <row r="105" customFormat="1" s="59">
      <c r="B105" s="2" t="n"/>
      <c r="C105" s="112" t="n"/>
      <c r="D105" s="2" t="n"/>
      <c r="E105" s="2" t="n"/>
      <c r="F105" s="112" t="n"/>
      <c r="G105" s="2" t="n"/>
      <c r="H105" s="1" t="n"/>
      <c r="I105" s="171" t="n"/>
    </row>
    <row r="106" customFormat="1" s="59">
      <c r="B106" s="2" t="n"/>
      <c r="C106" s="112" t="n"/>
      <c r="D106" s="2" t="n"/>
      <c r="E106" s="2" t="n"/>
      <c r="F106" s="112" t="n"/>
      <c r="G106" s="2" t="n"/>
      <c r="H106" s="1" t="n"/>
      <c r="I106" s="171" t="n"/>
    </row>
    <row r="107" customFormat="1" s="59">
      <c r="B107" s="2" t="n"/>
      <c r="C107" s="112" t="n"/>
      <c r="D107" s="2" t="n"/>
      <c r="E107" s="2" t="n"/>
      <c r="F107" s="112" t="n"/>
      <c r="G107" s="2" t="n"/>
      <c r="H107" s="1" t="n"/>
      <c r="I107" s="171" t="n"/>
    </row>
    <row r="108" customFormat="1" s="59">
      <c r="B108" s="2" t="n"/>
      <c r="C108" s="112" t="n"/>
      <c r="D108" s="2" t="n"/>
      <c r="E108" s="2" t="n"/>
      <c r="F108" s="112" t="n"/>
      <c r="G108" s="2" t="n"/>
      <c r="H108" s="1" t="n"/>
      <c r="I108" s="171" t="n"/>
    </row>
    <row r="109" customFormat="1" s="59">
      <c r="B109" s="2" t="n"/>
      <c r="C109" s="112" t="n"/>
      <c r="D109" s="2" t="n"/>
      <c r="E109" s="2" t="n"/>
      <c r="F109" s="112" t="n"/>
      <c r="G109" s="2" t="n"/>
      <c r="H109" s="1" t="n"/>
      <c r="I109" s="171" t="n"/>
    </row>
    <row r="110" customFormat="1" s="59">
      <c r="B110" s="2" t="n"/>
      <c r="C110" s="112" t="n"/>
      <c r="D110" s="2" t="n"/>
      <c r="E110" s="2" t="n"/>
      <c r="F110" s="112" t="n"/>
      <c r="G110" s="2" t="n"/>
      <c r="H110" s="1" t="n"/>
      <c r="I110" s="171" t="n"/>
    </row>
    <row r="111" customFormat="1" s="59">
      <c r="B111" s="2" t="n"/>
      <c r="C111" s="112" t="n"/>
      <c r="D111" s="2" t="n"/>
      <c r="E111" s="2" t="n"/>
      <c r="F111" s="112" t="n"/>
      <c r="G111" s="2" t="n"/>
      <c r="H111" s="1" t="n"/>
      <c r="I111" s="171" t="n"/>
    </row>
    <row r="112" customFormat="1" s="59">
      <c r="B112" s="2" t="n"/>
      <c r="C112" s="112" t="n"/>
      <c r="D112" s="2" t="n"/>
      <c r="E112" s="2" t="n"/>
      <c r="F112" s="112" t="n"/>
      <c r="G112" s="2" t="n"/>
      <c r="H112" s="1" t="n"/>
      <c r="I112" s="171" t="n"/>
    </row>
    <row r="113" customFormat="1" s="59">
      <c r="B113" s="2" t="n"/>
      <c r="C113" s="112" t="n"/>
      <c r="D113" s="2" t="n"/>
      <c r="E113" s="2" t="n"/>
      <c r="F113" s="112" t="n"/>
      <c r="G113" s="2" t="n"/>
      <c r="H113" s="1" t="n"/>
      <c r="I113" s="171" t="n"/>
    </row>
    <row r="114" customFormat="1" s="59">
      <c r="B114" s="2" t="n"/>
      <c r="C114" s="112" t="n"/>
      <c r="D114" s="2" t="n"/>
      <c r="E114" s="2" t="n"/>
      <c r="F114" s="112" t="n"/>
      <c r="G114" s="2" t="n"/>
      <c r="H114" s="1" t="n"/>
      <c r="I114" s="171" t="n"/>
    </row>
    <row r="115" customFormat="1" s="59">
      <c r="B115" s="2" t="n"/>
      <c r="C115" s="112" t="n"/>
      <c r="D115" s="2" t="n"/>
      <c r="E115" s="2" t="n"/>
      <c r="F115" s="112" t="n"/>
      <c r="G115" s="2" t="n"/>
      <c r="H115" s="1" t="n"/>
      <c r="I115" s="171" t="n"/>
    </row>
    <row r="116" customFormat="1" s="59">
      <c r="B116" s="2" t="n"/>
      <c r="C116" s="112" t="n"/>
      <c r="D116" s="2" t="n"/>
      <c r="E116" s="2" t="n"/>
      <c r="F116" s="112" t="n"/>
      <c r="G116" s="2" t="n"/>
      <c r="H116" s="1" t="n"/>
      <c r="I116" s="171" t="n"/>
    </row>
    <row r="117" customFormat="1" s="59">
      <c r="B117" s="2" t="n"/>
      <c r="C117" s="112" t="n"/>
      <c r="D117" s="2" t="n"/>
      <c r="E117" s="2" t="n"/>
      <c r="F117" s="112" t="n"/>
      <c r="G117" s="2" t="n"/>
      <c r="H117" s="1" t="n"/>
      <c r="I117" s="171" t="n"/>
    </row>
    <row r="118" customFormat="1" s="59">
      <c r="B118" s="2" t="n"/>
      <c r="C118" s="112" t="n"/>
      <c r="D118" s="2" t="n"/>
      <c r="E118" s="2" t="n"/>
      <c r="F118" s="112" t="n"/>
      <c r="G118" s="2" t="n"/>
      <c r="H118" s="1" t="n"/>
      <c r="I118" s="171" t="n"/>
    </row>
    <row r="119" customFormat="1" s="59">
      <c r="B119" s="2" t="n"/>
      <c r="C119" s="112" t="n"/>
      <c r="D119" s="2" t="n"/>
      <c r="E119" s="2" t="n"/>
      <c r="F119" s="112" t="n"/>
      <c r="G119" s="2" t="n"/>
      <c r="H119" s="1" t="n"/>
      <c r="I119" s="171" t="n"/>
    </row>
    <row r="120" customFormat="1" s="59">
      <c r="B120" s="2" t="n"/>
      <c r="C120" s="112" t="n"/>
      <c r="D120" s="2" t="n"/>
      <c r="E120" s="2" t="n"/>
      <c r="F120" s="112" t="n"/>
      <c r="G120" s="2" t="n"/>
      <c r="H120" s="1" t="n"/>
      <c r="I120" s="171" t="n"/>
    </row>
    <row r="121" customFormat="1" s="59">
      <c r="B121" s="2" t="n"/>
      <c r="C121" s="112" t="n"/>
      <c r="D121" s="2" t="n"/>
      <c r="E121" s="2" t="n"/>
      <c r="F121" s="112" t="n"/>
      <c r="G121" s="2" t="n"/>
      <c r="H121" s="1" t="n"/>
      <c r="I121" s="171" t="n"/>
    </row>
    <row r="122" customFormat="1" s="59">
      <c r="B122" s="2" t="n"/>
      <c r="C122" s="112" t="n"/>
      <c r="D122" s="2" t="n"/>
      <c r="E122" s="2" t="n"/>
      <c r="F122" s="112" t="n"/>
      <c r="G122" s="2" t="n"/>
      <c r="H122" s="1" t="n"/>
      <c r="I122" s="171" t="n"/>
    </row>
    <row r="123" customFormat="1" s="59">
      <c r="B123" s="2" t="n"/>
      <c r="C123" s="112" t="n"/>
      <c r="D123" s="2" t="n"/>
      <c r="E123" s="2" t="n"/>
      <c r="F123" s="112" t="n"/>
      <c r="G123" s="2" t="n"/>
      <c r="H123" s="1" t="n"/>
      <c r="I123" s="171" t="n"/>
    </row>
    <row r="124" customFormat="1" s="59">
      <c r="B124" s="2" t="n"/>
      <c r="C124" s="112" t="n"/>
      <c r="D124" s="2" t="n"/>
      <c r="E124" s="2" t="n"/>
      <c r="F124" s="112" t="n"/>
      <c r="G124" s="2" t="n"/>
      <c r="H124" s="1" t="n"/>
      <c r="I124" s="171" t="n"/>
    </row>
    <row r="125" customFormat="1" s="59">
      <c r="B125" s="2" t="n"/>
      <c r="C125" s="112" t="n"/>
      <c r="D125" s="2" t="n"/>
      <c r="E125" s="2" t="n"/>
      <c r="F125" s="112" t="n"/>
      <c r="G125" s="2" t="n"/>
      <c r="H125" s="1" t="n"/>
      <c r="I125" s="171" t="n"/>
    </row>
    <row r="126" ht="15" customFormat="1" customHeight="1" s="59">
      <c r="B126" s="2" t="n"/>
      <c r="C126" s="112" t="n"/>
      <c r="D126" s="2" t="n"/>
      <c r="E126" s="2" t="n"/>
      <c r="F126" s="112" t="n"/>
      <c r="G126" s="2" t="n"/>
      <c r="H126" s="1" t="n"/>
      <c r="I126" s="171" t="n"/>
    </row>
    <row r="127" ht="15" customFormat="1" customHeight="1" s="59">
      <c r="B127" s="2" t="n"/>
      <c r="C127" s="112" t="n"/>
      <c r="D127" s="2" t="n"/>
      <c r="E127" s="2" t="n"/>
      <c r="F127" s="112" t="n"/>
      <c r="G127" s="2" t="n"/>
      <c r="H127" s="1" t="n"/>
      <c r="I127" s="171" t="n"/>
    </row>
    <row r="128" ht="15" customFormat="1" customHeight="1" s="59">
      <c r="B128" s="2" t="n"/>
      <c r="C128" s="112" t="n"/>
      <c r="D128" s="2" t="n"/>
      <c r="E128" s="2" t="n"/>
      <c r="F128" s="112" t="n"/>
      <c r="G128" s="2" t="n"/>
      <c r="H128" s="1" t="n"/>
      <c r="I128" s="171" t="n"/>
    </row>
    <row r="129" ht="15" customFormat="1" customHeight="1" s="59">
      <c r="B129" s="2" t="n"/>
      <c r="C129" s="112" t="n"/>
      <c r="D129" s="2" t="n"/>
      <c r="E129" s="2" t="n"/>
      <c r="F129" s="112" t="n"/>
      <c r="G129" s="2" t="n"/>
      <c r="H129" s="1" t="n"/>
      <c r="I129" s="171" t="n"/>
    </row>
    <row r="130" ht="15" customFormat="1" customHeight="1" s="59">
      <c r="B130" s="2" t="n"/>
      <c r="C130" s="112" t="n"/>
      <c r="D130" s="2" t="n"/>
      <c r="E130" s="2" t="n"/>
      <c r="F130" s="112" t="n"/>
      <c r="G130" s="2" t="n"/>
      <c r="H130" s="1" t="n"/>
      <c r="I130" s="171" t="n"/>
    </row>
    <row r="131" ht="15" customFormat="1" customHeight="1" s="59">
      <c r="B131" s="2" t="n"/>
      <c r="C131" s="112" t="n"/>
      <c r="D131" s="2" t="n"/>
      <c r="E131" s="2" t="n"/>
      <c r="F131" s="112" t="n"/>
      <c r="G131" s="2" t="n"/>
      <c r="H131" s="1" t="n"/>
      <c r="I131" s="171" t="n"/>
    </row>
    <row r="132" ht="15" customFormat="1" customHeight="1" s="59">
      <c r="B132" s="2" t="n"/>
      <c r="C132" s="112" t="n"/>
      <c r="D132" s="2" t="n"/>
      <c r="E132" s="2" t="n"/>
      <c r="F132" s="112" t="n"/>
      <c r="G132" s="2" t="n"/>
      <c r="H132" s="1" t="n"/>
      <c r="I132" s="171" t="n"/>
    </row>
    <row r="133" ht="15" customFormat="1" customHeight="1" s="59">
      <c r="B133" s="2" t="n"/>
      <c r="C133" s="112" t="n"/>
      <c r="D133" s="2" t="n"/>
      <c r="E133" s="2" t="n"/>
      <c r="F133" s="112" t="n"/>
      <c r="G133" s="2" t="n"/>
      <c r="H133" s="1" t="n"/>
      <c r="I133" s="171" t="n"/>
    </row>
    <row r="134" ht="15" customFormat="1" customHeight="1" s="59">
      <c r="B134" s="2" t="n"/>
      <c r="C134" s="112" t="n"/>
      <c r="D134" s="2" t="n"/>
      <c r="E134" s="2" t="n"/>
      <c r="F134" s="112" t="n"/>
      <c r="G134" s="2" t="n"/>
      <c r="H134" s="1" t="n"/>
      <c r="I134" s="171" t="n"/>
    </row>
    <row r="135" ht="15" customFormat="1" customHeight="1" s="59">
      <c r="B135" s="2" t="n"/>
      <c r="C135" s="112" t="n"/>
      <c r="D135" s="2" t="n"/>
      <c r="E135" s="2" t="n"/>
      <c r="F135" s="112" t="n"/>
      <c r="G135" s="2" t="n"/>
      <c r="H135" s="1" t="n"/>
      <c r="I135" s="171" t="n"/>
    </row>
    <row r="136" ht="15" customFormat="1" customHeight="1" s="59">
      <c r="B136" s="2" t="n"/>
      <c r="C136" s="112" t="n"/>
      <c r="D136" s="2" t="n"/>
      <c r="E136" s="2" t="n"/>
      <c r="F136" s="112" t="n"/>
      <c r="G136" s="2" t="n"/>
      <c r="H136" s="1" t="n"/>
      <c r="I136" s="171" t="n"/>
    </row>
    <row r="137" ht="15" customFormat="1" customHeight="1" s="59">
      <c r="B137" s="2" t="n"/>
      <c r="C137" s="112" t="n"/>
      <c r="D137" s="2" t="n"/>
      <c r="E137" s="2" t="n"/>
      <c r="F137" s="112" t="n"/>
      <c r="G137" s="2" t="n"/>
      <c r="H137" s="1" t="n"/>
      <c r="I137" s="171" t="n"/>
    </row>
    <row r="138" ht="15" customFormat="1" customHeight="1" s="59">
      <c r="B138" s="2" t="n"/>
      <c r="C138" s="112" t="n"/>
      <c r="D138" s="2" t="n"/>
      <c r="E138" s="2" t="n"/>
      <c r="F138" s="112" t="n"/>
      <c r="G138" s="2" t="n"/>
      <c r="H138" s="1" t="n"/>
      <c r="I138" s="171" t="n"/>
    </row>
    <row r="139" ht="15" customFormat="1" customHeight="1" s="59">
      <c r="B139" s="2" t="n"/>
      <c r="C139" s="112" t="n"/>
      <c r="D139" s="2" t="n"/>
      <c r="E139" s="2" t="n"/>
      <c r="F139" s="112" t="n"/>
      <c r="G139" s="2" t="n"/>
      <c r="H139" s="1" t="n"/>
      <c r="I139" s="171" t="n"/>
    </row>
    <row r="140" ht="15" customFormat="1" customHeight="1" s="59">
      <c r="B140" s="2" t="n"/>
      <c r="C140" s="112" t="n"/>
      <c r="D140" s="2" t="n"/>
      <c r="E140" s="2" t="n"/>
      <c r="F140" s="112" t="n"/>
      <c r="G140" s="2" t="n"/>
      <c r="H140" s="1" t="n"/>
      <c r="I140" s="171" t="n"/>
    </row>
    <row r="141" ht="15" customFormat="1" customHeight="1" s="59">
      <c r="B141" s="2" t="n"/>
      <c r="C141" s="112" t="n"/>
      <c r="D141" s="2" t="n"/>
      <c r="E141" s="2" t="n"/>
      <c r="F141" s="112" t="n"/>
      <c r="G141" s="2" t="n"/>
      <c r="H141" s="1" t="n"/>
      <c r="I141" s="171" t="n"/>
    </row>
    <row r="142" ht="15" customFormat="1" customHeight="1" s="59">
      <c r="B142" s="2" t="n"/>
      <c r="C142" s="112" t="n"/>
      <c r="D142" s="2" t="n"/>
      <c r="E142" s="2" t="n"/>
      <c r="F142" s="112" t="n"/>
      <c r="G142" s="2" t="n"/>
      <c r="H142" s="1" t="n"/>
      <c r="I142" s="171" t="n"/>
    </row>
    <row r="143" ht="15" customFormat="1" customHeight="1" s="59">
      <c r="B143" s="2" t="n"/>
      <c r="C143" s="112" t="n"/>
      <c r="D143" s="2" t="n"/>
      <c r="E143" s="2" t="n"/>
      <c r="F143" s="112" t="n"/>
      <c r="G143" s="2" t="n"/>
      <c r="H143" s="1" t="n"/>
      <c r="I143" s="171" t="n"/>
    </row>
    <row r="144" ht="15" customFormat="1" customHeight="1" s="59">
      <c r="B144" s="2" t="n"/>
      <c r="C144" s="112" t="n"/>
      <c r="D144" s="2" t="n"/>
      <c r="E144" s="2" t="n"/>
      <c r="F144" s="112" t="n"/>
      <c r="G144" s="2" t="n"/>
      <c r="H144" s="1" t="n"/>
      <c r="I144" s="171" t="n"/>
    </row>
    <row r="145" ht="15" customFormat="1" customHeight="1" s="59">
      <c r="B145" s="2" t="n"/>
      <c r="C145" s="112" t="n"/>
      <c r="D145" s="2" t="n"/>
      <c r="E145" s="2" t="n"/>
      <c r="F145" s="112" t="n"/>
      <c r="G145" s="2" t="n"/>
      <c r="H145" s="1" t="n"/>
      <c r="I145" s="171" t="n"/>
    </row>
    <row r="146" ht="15" customFormat="1" customHeight="1" s="59">
      <c r="B146" s="2" t="n"/>
      <c r="C146" s="112" t="n"/>
      <c r="D146" s="2" t="n"/>
      <c r="E146" s="2" t="n"/>
      <c r="F146" s="112" t="n"/>
      <c r="G146" s="2" t="n"/>
      <c r="H146" s="1" t="n"/>
      <c r="I146" s="171" t="n"/>
    </row>
    <row r="147" ht="15" customFormat="1" customHeight="1" s="59">
      <c r="B147" s="2" t="n"/>
      <c r="C147" s="112" t="n"/>
      <c r="D147" s="2" t="n"/>
      <c r="E147" s="2" t="n"/>
      <c r="F147" s="112" t="n"/>
      <c r="G147" s="2" t="n"/>
      <c r="H147" s="1" t="n"/>
      <c r="I147" s="171" t="n"/>
    </row>
    <row r="148" ht="15" customFormat="1" customHeight="1" s="59">
      <c r="B148" s="2" t="n"/>
      <c r="C148" s="112" t="n"/>
      <c r="D148" s="2" t="n"/>
      <c r="E148" s="2" t="n"/>
      <c r="F148" s="112" t="n"/>
      <c r="G148" s="2" t="n"/>
      <c r="H148" s="1" t="n"/>
      <c r="I148" s="171" t="n"/>
    </row>
    <row r="149" ht="15" customFormat="1" customHeight="1" s="59">
      <c r="B149" s="2" t="n"/>
      <c r="C149" s="112" t="n"/>
      <c r="D149" s="2" t="n"/>
      <c r="E149" s="2" t="n"/>
      <c r="F149" s="112" t="n"/>
      <c r="G149" s="2" t="n"/>
      <c r="H149" s="1" t="n"/>
      <c r="I149" s="171" t="n"/>
    </row>
    <row r="150" ht="15" customFormat="1" customHeight="1" s="59">
      <c r="B150" s="2" t="n"/>
      <c r="C150" s="112" t="n"/>
      <c r="D150" s="2" t="n"/>
      <c r="E150" s="2" t="n"/>
      <c r="F150" s="112" t="n"/>
      <c r="G150" s="2" t="n"/>
      <c r="H150" s="1" t="n"/>
      <c r="I150" s="171" t="n"/>
    </row>
    <row r="151" ht="15" customFormat="1" customHeight="1" s="59">
      <c r="B151" s="2" t="n"/>
      <c r="C151" s="112" t="n"/>
      <c r="D151" s="2" t="n"/>
      <c r="E151" s="2" t="n"/>
      <c r="F151" s="112" t="n"/>
      <c r="G151" s="2" t="n"/>
      <c r="H151" s="1" t="n"/>
      <c r="I151" s="171" t="n"/>
    </row>
    <row r="152" ht="15" customFormat="1" customHeight="1" s="59">
      <c r="B152" s="2" t="n"/>
      <c r="C152" s="112" t="n"/>
      <c r="D152" s="2" t="n"/>
      <c r="E152" s="2" t="n"/>
      <c r="F152" s="112" t="n"/>
      <c r="G152" s="2" t="n"/>
      <c r="H152" s="1" t="n"/>
      <c r="I152" s="171" t="n"/>
    </row>
    <row r="153" ht="15" customFormat="1" customHeight="1" s="59">
      <c r="B153" s="2" t="n"/>
      <c r="C153" s="112" t="n"/>
      <c r="D153" s="2" t="n"/>
      <c r="E153" s="2" t="n"/>
      <c r="F153" s="112" t="n"/>
      <c r="G153" s="2" t="n"/>
      <c r="H153" s="1" t="n"/>
      <c r="I153" s="171" t="n"/>
    </row>
    <row r="154" ht="15" customFormat="1" customHeight="1" s="59">
      <c r="B154" s="2" t="n"/>
      <c r="C154" s="112" t="n"/>
      <c r="D154" s="2" t="n"/>
      <c r="E154" s="2" t="n"/>
      <c r="F154" s="112" t="n"/>
      <c r="G154" s="2" t="n"/>
      <c r="H154" s="1" t="n"/>
      <c r="I154" s="171" t="n"/>
    </row>
    <row r="155" ht="15" customFormat="1" customHeight="1" s="59">
      <c r="B155" s="2" t="n"/>
      <c r="C155" s="112" t="n"/>
      <c r="D155" s="2" t="n"/>
      <c r="E155" s="2" t="n"/>
      <c r="F155" s="112" t="n"/>
      <c r="G155" s="2" t="n"/>
      <c r="H155" s="1" t="n"/>
      <c r="I155" s="171" t="n"/>
    </row>
    <row r="156" ht="15" customFormat="1" customHeight="1" s="59">
      <c r="B156" s="2" t="n"/>
      <c r="C156" s="112" t="n"/>
      <c r="D156" s="2" t="n"/>
      <c r="E156" s="2" t="n"/>
      <c r="F156" s="112" t="n"/>
      <c r="G156" s="2" t="n"/>
      <c r="H156" s="1" t="n"/>
      <c r="I156" s="171" t="n"/>
    </row>
    <row r="157" ht="15" customFormat="1" customHeight="1" s="59">
      <c r="B157" s="2" t="n"/>
      <c r="C157" s="112" t="n"/>
      <c r="D157" s="2" t="n"/>
      <c r="E157" s="2" t="n"/>
      <c r="F157" s="112" t="n"/>
      <c r="G157" s="2" t="n"/>
      <c r="H157" s="1" t="n"/>
      <c r="I157" s="171" t="n"/>
    </row>
    <row r="158" ht="15" customFormat="1" customHeight="1" s="59">
      <c r="B158" s="2" t="n"/>
      <c r="C158" s="112" t="n"/>
      <c r="D158" s="2" t="n"/>
      <c r="E158" s="2" t="n"/>
      <c r="F158" s="112" t="n"/>
      <c r="G158" s="2" t="n"/>
      <c r="H158" s="1" t="n"/>
      <c r="I158" s="171" t="n"/>
    </row>
    <row r="159" ht="15" customFormat="1" customHeight="1" s="59">
      <c r="B159" s="2" t="n"/>
      <c r="C159" s="112" t="n"/>
      <c r="D159" s="2" t="n"/>
      <c r="E159" s="2" t="n"/>
      <c r="F159" s="112" t="n"/>
      <c r="G159" s="2" t="n"/>
      <c r="H159" s="1" t="n"/>
      <c r="I159" s="171" t="n"/>
    </row>
    <row r="160" ht="15" customFormat="1" customHeight="1" s="59">
      <c r="B160" s="2" t="n"/>
      <c r="C160" s="112" t="n"/>
      <c r="D160" s="2" t="n"/>
      <c r="E160" s="2" t="n"/>
      <c r="F160" s="112" t="n"/>
      <c r="G160" s="2" t="n"/>
      <c r="H160" s="1" t="n"/>
      <c r="I160" s="171" t="n"/>
    </row>
    <row r="161" ht="15" customFormat="1" customHeight="1" s="59">
      <c r="B161" s="2" t="n"/>
      <c r="C161" s="112" t="n"/>
      <c r="D161" s="2" t="n"/>
      <c r="E161" s="2" t="n"/>
      <c r="F161" s="112" t="n"/>
      <c r="G161" s="2" t="n"/>
      <c r="H161" s="1" t="n"/>
      <c r="I161" s="171" t="n"/>
    </row>
    <row r="162" ht="15" customFormat="1" customHeight="1" s="59">
      <c r="B162" s="2" t="n"/>
      <c r="C162" s="112" t="n"/>
      <c r="D162" s="2" t="n"/>
      <c r="E162" s="2" t="n"/>
      <c r="F162" s="112" t="n"/>
      <c r="G162" s="2" t="n"/>
      <c r="H162" s="1" t="n"/>
      <c r="I162" s="171" t="n"/>
    </row>
    <row r="163" ht="15" customHeight="1"/>
    <row r="164" ht="15" customHeight="1"/>
    <row r="165" ht="15" customHeight="1"/>
    <row r="166" ht="15" customHeight="1"/>
    <row r="167" ht="15" customFormat="1" customHeight="1" s="59">
      <c r="B167" s="2" t="n"/>
      <c r="C167" s="112" t="n"/>
      <c r="D167" s="2" t="n"/>
      <c r="E167" s="2" t="n"/>
      <c r="F167" s="112" t="n"/>
      <c r="G167" s="2" t="n"/>
      <c r="H167" s="1" t="n"/>
      <c r="I167" s="171" t="n"/>
    </row>
    <row r="168" ht="15" customFormat="1" customHeight="1" s="59">
      <c r="B168" s="2" t="n"/>
      <c r="C168" s="112" t="n"/>
      <c r="D168" s="2" t="n"/>
      <c r="E168" s="2" t="n"/>
      <c r="F168" s="112" t="n"/>
      <c r="G168" s="2" t="n"/>
      <c r="H168" s="1" t="n"/>
      <c r="I168" s="171" t="n"/>
    </row>
    <row r="169" ht="15" customFormat="1" customHeight="1" s="59">
      <c r="B169" s="2" t="n"/>
      <c r="C169" s="112" t="n"/>
      <c r="D169" s="2" t="n"/>
      <c r="E169" s="2" t="n"/>
      <c r="F169" s="112" t="n"/>
      <c r="G169" s="2" t="n"/>
      <c r="H169" s="1" t="n"/>
      <c r="I169" s="171" t="n"/>
    </row>
    <row r="170" ht="15" customFormat="1" customHeight="1" s="59">
      <c r="B170" s="2" t="n"/>
      <c r="C170" s="112" t="n"/>
      <c r="D170" s="2" t="n"/>
      <c r="E170" s="2" t="n"/>
      <c r="F170" s="112" t="n"/>
      <c r="G170" s="2" t="n"/>
      <c r="H170" s="1" t="n"/>
      <c r="I170" s="171" t="n"/>
    </row>
    <row r="171" ht="15" customFormat="1" customHeight="1" s="59">
      <c r="B171" s="2" t="n"/>
      <c r="C171" s="112" t="n"/>
      <c r="D171" s="2" t="n"/>
      <c r="E171" s="2" t="n"/>
      <c r="F171" s="112" t="n"/>
      <c r="G171" s="2" t="n"/>
      <c r="H171" s="1" t="n"/>
      <c r="I171" s="171" t="n"/>
    </row>
    <row r="172" ht="15" customFormat="1" customHeight="1" s="59">
      <c r="B172" s="2" t="n"/>
      <c r="C172" s="112" t="n"/>
      <c r="D172" s="2" t="n"/>
      <c r="E172" s="2" t="n"/>
      <c r="F172" s="112" t="n"/>
      <c r="G172" s="2" t="n"/>
      <c r="H172" s="1" t="n"/>
      <c r="I172" s="171" t="n"/>
    </row>
    <row r="173" ht="15" customFormat="1" customHeight="1" s="59">
      <c r="B173" s="2" t="n"/>
      <c r="C173" s="112" t="n"/>
      <c r="D173" s="2" t="n"/>
      <c r="E173" s="2" t="n"/>
      <c r="F173" s="112" t="n"/>
      <c r="G173" s="2" t="n"/>
      <c r="H173" s="1" t="n"/>
      <c r="I173" s="171" t="n"/>
    </row>
    <row r="174" ht="15" customFormat="1" customHeight="1" s="59">
      <c r="B174" s="2" t="n"/>
      <c r="C174" s="112" t="n"/>
      <c r="D174" s="2" t="n"/>
      <c r="E174" s="2" t="n"/>
      <c r="F174" s="112" t="n"/>
      <c r="G174" s="2" t="n"/>
      <c r="H174" s="1" t="n"/>
      <c r="I174" s="171" t="n"/>
    </row>
    <row r="175" ht="15" customFormat="1" customHeight="1" s="59">
      <c r="B175" s="2" t="n"/>
      <c r="C175" s="112" t="n"/>
      <c r="D175" s="2" t="n"/>
      <c r="E175" s="2" t="n"/>
      <c r="F175" s="112" t="n"/>
      <c r="G175" s="2" t="n"/>
      <c r="H175" s="1" t="n"/>
      <c r="I175" s="171" t="n"/>
    </row>
    <row r="176" ht="15" customFormat="1" customHeight="1" s="59">
      <c r="B176" s="2" t="n"/>
      <c r="C176" s="112" t="n"/>
      <c r="D176" s="2" t="n"/>
      <c r="E176" s="2" t="n"/>
      <c r="F176" s="112" t="n"/>
      <c r="G176" s="2" t="n"/>
      <c r="H176" s="1" t="n"/>
      <c r="I176" s="171" t="n"/>
    </row>
    <row r="177" ht="15" customFormat="1" customHeight="1" s="59">
      <c r="B177" s="2" t="n"/>
      <c r="C177" s="112" t="n"/>
      <c r="D177" s="2" t="n"/>
      <c r="E177" s="2" t="n"/>
      <c r="F177" s="112" t="n"/>
      <c r="G177" s="2" t="n"/>
      <c r="H177" s="1" t="n"/>
      <c r="I177" s="171" t="n"/>
    </row>
    <row r="178" ht="15" customFormat="1" customHeight="1" s="59">
      <c r="B178" s="2" t="n"/>
      <c r="C178" s="112" t="n"/>
      <c r="D178" s="2" t="n"/>
      <c r="E178" s="2" t="n"/>
      <c r="F178" s="112" t="n"/>
      <c r="G178" s="2" t="n"/>
      <c r="H178" s="1" t="n"/>
      <c r="I178" s="171" t="n"/>
    </row>
    <row r="179" ht="15" customFormat="1" customHeight="1" s="59">
      <c r="B179" s="2" t="n"/>
      <c r="C179" s="112" t="n"/>
      <c r="D179" s="2" t="n"/>
      <c r="E179" s="2" t="n"/>
      <c r="F179" s="112" t="n"/>
      <c r="G179" s="2" t="n"/>
      <c r="H179" s="1" t="n"/>
      <c r="I179" s="171" t="n"/>
    </row>
    <row r="180" ht="15" customFormat="1" customHeight="1" s="59">
      <c r="B180" s="2" t="n"/>
      <c r="C180" s="112" t="n"/>
      <c r="D180" s="2" t="n"/>
      <c r="E180" s="2" t="n"/>
      <c r="F180" s="112" t="n"/>
      <c r="G180" s="2" t="n"/>
      <c r="H180" s="1" t="n"/>
      <c r="I180" s="171" t="n"/>
    </row>
    <row r="181" ht="15" customFormat="1" customHeight="1" s="59">
      <c r="B181" s="2" t="n"/>
      <c r="C181" s="112" t="n"/>
      <c r="D181" s="2" t="n"/>
      <c r="E181" s="2" t="n"/>
      <c r="F181" s="112" t="n"/>
      <c r="G181" s="2" t="n"/>
      <c r="H181" s="1" t="n"/>
      <c r="I181" s="171" t="n"/>
    </row>
    <row r="182" ht="15" customFormat="1" customHeight="1" s="59">
      <c r="B182" s="2" t="n"/>
      <c r="C182" s="112" t="n"/>
      <c r="D182" s="2" t="n"/>
      <c r="E182" s="2" t="n"/>
      <c r="F182" s="112" t="n"/>
      <c r="G182" s="2" t="n"/>
      <c r="H182" s="1" t="n"/>
      <c r="I182" s="171" t="n"/>
    </row>
    <row r="183" ht="15" customFormat="1" customHeight="1" s="59">
      <c r="B183" s="2" t="n"/>
      <c r="C183" s="112" t="n"/>
      <c r="D183" s="2" t="n"/>
      <c r="E183" s="2" t="n"/>
      <c r="F183" s="112" t="n"/>
      <c r="G183" s="2" t="n"/>
      <c r="H183" s="1" t="n"/>
      <c r="I183" s="171" t="n"/>
    </row>
    <row r="184" ht="15" customFormat="1" customHeight="1" s="59">
      <c r="B184" s="2" t="n"/>
      <c r="C184" s="112" t="n"/>
      <c r="D184" s="2" t="n"/>
      <c r="E184" s="2" t="n"/>
      <c r="F184" s="112" t="n"/>
      <c r="G184" s="2" t="n"/>
      <c r="H184" s="1" t="n"/>
      <c r="I184" s="171" t="n"/>
    </row>
    <row r="185" ht="15" customFormat="1" customHeight="1" s="59">
      <c r="B185" s="2" t="n"/>
      <c r="C185" s="112" t="n"/>
      <c r="D185" s="2" t="n"/>
      <c r="E185" s="2" t="n"/>
      <c r="F185" s="112" t="n"/>
      <c r="G185" s="2" t="n"/>
      <c r="H185" s="1" t="n"/>
      <c r="I185" s="171" t="n"/>
    </row>
    <row r="186" ht="15" customFormat="1" customHeight="1" s="59">
      <c r="B186" s="2" t="n"/>
      <c r="C186" s="112" t="n"/>
      <c r="D186" s="2" t="n"/>
      <c r="E186" s="2" t="n"/>
      <c r="F186" s="112" t="n"/>
      <c r="G186" s="2" t="n"/>
      <c r="H186" s="1" t="n"/>
      <c r="I186" s="171" t="n"/>
    </row>
    <row r="187" ht="15" customFormat="1" customHeight="1" s="59">
      <c r="B187" s="2" t="n"/>
      <c r="C187" s="112" t="n"/>
      <c r="D187" s="2" t="n"/>
      <c r="E187" s="2" t="n"/>
      <c r="F187" s="112" t="n"/>
      <c r="G187" s="2" t="n"/>
      <c r="H187" s="1" t="n"/>
      <c r="I187" s="171" t="n"/>
    </row>
    <row r="188" ht="15" customFormat="1" customHeight="1" s="59">
      <c r="B188" s="2" t="n"/>
      <c r="C188" s="112" t="n"/>
      <c r="D188" s="2" t="n"/>
      <c r="E188" s="2" t="n"/>
      <c r="F188" s="112" t="n"/>
      <c r="G188" s="2" t="n"/>
      <c r="H188" s="1" t="n"/>
      <c r="I188" s="171" t="n"/>
    </row>
    <row r="189" ht="15" customFormat="1" customHeight="1" s="59">
      <c r="B189" s="2" t="n"/>
      <c r="C189" s="112" t="n"/>
      <c r="D189" s="2" t="n"/>
      <c r="E189" s="2" t="n"/>
      <c r="F189" s="112" t="n"/>
      <c r="G189" s="2" t="n"/>
      <c r="H189" s="1" t="n"/>
      <c r="I189" s="171" t="n"/>
    </row>
    <row r="190" ht="15" customFormat="1" customHeight="1" s="59">
      <c r="B190" s="2" t="n"/>
      <c r="C190" s="112" t="n"/>
      <c r="D190" s="2" t="n"/>
      <c r="E190" s="2" t="n"/>
      <c r="F190" s="112" t="n"/>
      <c r="G190" s="2" t="n"/>
      <c r="H190" s="1" t="n"/>
      <c r="I190" s="171" t="n"/>
    </row>
    <row r="191" ht="15" customFormat="1" customHeight="1" s="59">
      <c r="B191" s="2" t="n"/>
      <c r="C191" s="112" t="n"/>
      <c r="D191" s="2" t="n"/>
      <c r="E191" s="2" t="n"/>
      <c r="F191" s="112" t="n"/>
      <c r="G191" s="2" t="n"/>
      <c r="H191" s="1" t="n"/>
      <c r="I191" s="171" t="n"/>
    </row>
    <row r="192" ht="15" customFormat="1" customHeight="1" s="59">
      <c r="B192" s="2" t="n"/>
      <c r="C192" s="112" t="n"/>
      <c r="D192" s="2" t="n"/>
      <c r="E192" s="2" t="n"/>
      <c r="F192" s="112" t="n"/>
      <c r="G192" s="2" t="n"/>
      <c r="H192" s="1" t="n"/>
      <c r="I192" s="171" t="n"/>
    </row>
    <row r="193" ht="15" customFormat="1" customHeight="1" s="59">
      <c r="B193" s="2" t="n"/>
      <c r="C193" s="112" t="n"/>
      <c r="D193" s="2" t="n"/>
      <c r="E193" s="2" t="n"/>
      <c r="F193" s="112" t="n"/>
      <c r="G193" s="2" t="n"/>
      <c r="H193" s="1" t="n"/>
      <c r="I193" s="171" t="n"/>
    </row>
    <row r="194" ht="15" customFormat="1" customHeight="1" s="59">
      <c r="B194" s="2" t="n"/>
      <c r="C194" s="112" t="n"/>
      <c r="D194" s="2" t="n"/>
      <c r="E194" s="2" t="n"/>
      <c r="F194" s="112" t="n"/>
      <c r="G194" s="2" t="n"/>
      <c r="H194" s="1" t="n"/>
      <c r="I194" s="171" t="n"/>
    </row>
    <row r="195" ht="15" customFormat="1" customHeight="1" s="59">
      <c r="B195" s="2" t="n"/>
      <c r="C195" s="112" t="n"/>
      <c r="D195" s="2" t="n"/>
      <c r="E195" s="2" t="n"/>
      <c r="F195" s="112" t="n"/>
      <c r="G195" s="2" t="n"/>
      <c r="H195" s="1" t="n"/>
      <c r="I195" s="171" t="n"/>
    </row>
    <row r="196" ht="15" customFormat="1" customHeight="1" s="59">
      <c r="B196" s="2" t="n"/>
      <c r="C196" s="112" t="n"/>
      <c r="D196" s="2" t="n"/>
      <c r="E196" s="2" t="n"/>
      <c r="F196" s="112" t="n"/>
      <c r="G196" s="2" t="n"/>
      <c r="H196" s="1" t="n"/>
      <c r="I196" s="171" t="n"/>
    </row>
    <row r="197" ht="15" customFormat="1" customHeight="1" s="59">
      <c r="B197" s="2" t="n"/>
      <c r="C197" s="112" t="n"/>
      <c r="D197" s="2" t="n"/>
      <c r="E197" s="2" t="n"/>
      <c r="F197" s="112" t="n"/>
      <c r="G197" s="2" t="n"/>
      <c r="H197" s="1" t="n"/>
      <c r="I197" s="171" t="n"/>
    </row>
    <row r="198" ht="15" customFormat="1" customHeight="1" s="59">
      <c r="B198" s="2" t="n"/>
      <c r="C198" s="112" t="n"/>
      <c r="D198" s="2" t="n"/>
      <c r="E198" s="2" t="n"/>
      <c r="F198" s="112" t="n"/>
      <c r="G198" s="2" t="n"/>
      <c r="H198" s="1" t="n"/>
      <c r="I198" s="171" t="n"/>
    </row>
    <row r="199" ht="15" customFormat="1" customHeight="1" s="59">
      <c r="B199" s="2" t="n"/>
      <c r="C199" s="112" t="n"/>
      <c r="D199" s="2" t="n"/>
      <c r="E199" s="2" t="n"/>
      <c r="F199" s="112" t="n"/>
      <c r="G199" s="2" t="n"/>
      <c r="H199" s="1" t="n"/>
      <c r="I199" s="171" t="n"/>
    </row>
    <row r="200" ht="15" customFormat="1" customHeight="1" s="59">
      <c r="B200" s="2" t="n"/>
      <c r="C200" s="112" t="n"/>
      <c r="D200" s="2" t="n"/>
      <c r="E200" s="2" t="n"/>
      <c r="F200" s="112" t="n"/>
      <c r="G200" s="2" t="n"/>
      <c r="H200" s="1" t="n"/>
      <c r="I200" s="171" t="n"/>
    </row>
    <row r="201" ht="15" customFormat="1" customHeight="1" s="59">
      <c r="B201" s="2" t="n"/>
      <c r="C201" s="112" t="n"/>
      <c r="D201" s="2" t="n"/>
      <c r="E201" s="2" t="n"/>
      <c r="F201" s="112" t="n"/>
      <c r="G201" s="2" t="n"/>
      <c r="H201" s="1" t="n"/>
      <c r="I201" s="171" t="n"/>
    </row>
    <row r="202" ht="15" customFormat="1" customHeight="1" s="59">
      <c r="B202" s="2" t="n"/>
      <c r="C202" s="112" t="n"/>
      <c r="D202" s="2" t="n"/>
      <c r="E202" s="2" t="n"/>
      <c r="F202" s="112" t="n"/>
      <c r="G202" s="2" t="n"/>
      <c r="H202" s="1" t="n"/>
      <c r="I202" s="171" t="n"/>
    </row>
    <row r="203" ht="15" customFormat="1" customHeight="1" s="59">
      <c r="B203" s="2" t="n"/>
      <c r="C203" s="112" t="n"/>
      <c r="D203" s="2" t="n"/>
      <c r="E203" s="2" t="n"/>
      <c r="F203" s="112" t="n"/>
      <c r="G203" s="2" t="n"/>
      <c r="H203" s="1" t="n"/>
      <c r="I203" s="171" t="n"/>
    </row>
    <row r="204" ht="15" customFormat="1" customHeight="1" s="59">
      <c r="B204" s="2" t="n"/>
      <c r="C204" s="112" t="n"/>
      <c r="D204" s="2" t="n"/>
      <c r="E204" s="2" t="n"/>
      <c r="F204" s="112" t="n"/>
      <c r="G204" s="2" t="n"/>
      <c r="H204" s="1" t="n"/>
      <c r="I204" s="171" t="n"/>
    </row>
    <row r="205" ht="15" customFormat="1" customHeight="1" s="59">
      <c r="B205" s="2" t="n"/>
      <c r="C205" s="112" t="n"/>
      <c r="D205" s="2" t="n"/>
      <c r="E205" s="2" t="n"/>
      <c r="F205" s="112" t="n"/>
      <c r="G205" s="2" t="n"/>
      <c r="H205" s="1" t="n"/>
      <c r="I205" s="171" t="n"/>
    </row>
    <row r="206" ht="15" customFormat="1" customHeight="1" s="59">
      <c r="B206" s="2" t="n"/>
      <c r="C206" s="112" t="n"/>
      <c r="D206" s="2" t="n"/>
      <c r="E206" s="2" t="n"/>
      <c r="F206" s="112" t="n"/>
      <c r="G206" s="2" t="n"/>
      <c r="H206" s="1" t="n"/>
      <c r="I206" s="171" t="n"/>
    </row>
    <row r="207" ht="15" customFormat="1" customHeight="1" s="59">
      <c r="B207" s="2" t="n"/>
      <c r="C207" s="112" t="n"/>
      <c r="D207" s="2" t="n"/>
      <c r="E207" s="2" t="n"/>
      <c r="F207" s="112" t="n"/>
      <c r="G207" s="2" t="n"/>
      <c r="H207" s="1" t="n"/>
      <c r="I207" s="171" t="n"/>
    </row>
    <row r="208" ht="15" customFormat="1" customHeight="1" s="59">
      <c r="B208" s="2" t="n"/>
      <c r="C208" s="112" t="n"/>
      <c r="D208" s="2" t="n"/>
      <c r="E208" s="2" t="n"/>
      <c r="F208" s="112" t="n"/>
      <c r="G208" s="2" t="n"/>
      <c r="H208" s="1" t="n"/>
      <c r="I208" s="171" t="n"/>
    </row>
    <row r="209" ht="15" customFormat="1" customHeight="1" s="59">
      <c r="B209" s="2" t="n"/>
      <c r="C209" s="112" t="n"/>
      <c r="D209" s="2" t="n"/>
      <c r="E209" s="2" t="n"/>
      <c r="F209" s="112" t="n"/>
      <c r="G209" s="2" t="n"/>
      <c r="H209" s="1" t="n"/>
      <c r="I209" s="171" t="n"/>
    </row>
    <row r="210" ht="15" customFormat="1" customHeight="1" s="59">
      <c r="B210" s="2" t="n"/>
      <c r="C210" s="112" t="n"/>
      <c r="D210" s="2" t="n"/>
      <c r="E210" s="2" t="n"/>
      <c r="F210" s="112" t="n"/>
      <c r="G210" s="2" t="n"/>
      <c r="H210" s="1" t="n"/>
      <c r="I210" s="171" t="n"/>
    </row>
    <row r="211" ht="15" customFormat="1" customHeight="1" s="59">
      <c r="B211" s="2" t="n"/>
      <c r="C211" s="112" t="n"/>
      <c r="D211" s="2" t="n"/>
      <c r="E211" s="2" t="n"/>
      <c r="F211" s="112" t="n"/>
      <c r="G211" s="2" t="n"/>
      <c r="H211" s="1" t="n"/>
      <c r="I211" s="171" t="n"/>
    </row>
    <row r="212" ht="15" customFormat="1" customHeight="1" s="59">
      <c r="B212" s="2" t="n"/>
      <c r="C212" s="112" t="n"/>
      <c r="D212" s="2" t="n"/>
      <c r="E212" s="2" t="n"/>
      <c r="F212" s="112" t="n"/>
      <c r="G212" s="2" t="n"/>
      <c r="H212" s="1" t="n"/>
      <c r="I212" s="171" t="n"/>
    </row>
    <row r="213" ht="15" customFormat="1" customHeight="1" s="59">
      <c r="B213" s="2" t="n"/>
      <c r="C213" s="112" t="n"/>
      <c r="D213" s="2" t="n"/>
      <c r="E213" s="2" t="n"/>
      <c r="F213" s="112" t="n"/>
      <c r="G213" s="2" t="n"/>
      <c r="H213" s="1" t="n"/>
      <c r="I213" s="171" t="n"/>
    </row>
    <row r="214" ht="15" customFormat="1" customHeight="1" s="59">
      <c r="B214" s="2" t="n"/>
      <c r="C214" s="112" t="n"/>
      <c r="D214" s="2" t="n"/>
      <c r="E214" s="2" t="n"/>
      <c r="F214" s="112" t="n"/>
      <c r="G214" s="2" t="n"/>
      <c r="H214" s="1" t="n"/>
      <c r="I214" s="171" t="n"/>
    </row>
    <row r="215" ht="15" customFormat="1" customHeight="1" s="59">
      <c r="B215" s="2" t="n"/>
      <c r="C215" s="112" t="n"/>
      <c r="D215" s="2" t="n"/>
      <c r="E215" s="2" t="n"/>
      <c r="F215" s="112" t="n"/>
      <c r="G215" s="2" t="n"/>
      <c r="H215" s="1" t="n"/>
      <c r="I215" s="171" t="n"/>
    </row>
    <row r="216" ht="15" customFormat="1" customHeight="1" s="59">
      <c r="B216" s="2" t="n"/>
      <c r="C216" s="112" t="n"/>
      <c r="D216" s="2" t="n"/>
      <c r="E216" s="2" t="n"/>
      <c r="F216" s="112" t="n"/>
      <c r="G216" s="2" t="n"/>
      <c r="H216" s="1" t="n"/>
      <c r="I216" s="171" t="n"/>
    </row>
    <row r="217" ht="15" customFormat="1" customHeight="1" s="59">
      <c r="B217" s="2" t="n"/>
      <c r="C217" s="112" t="n"/>
      <c r="D217" s="2" t="n"/>
      <c r="E217" s="2" t="n"/>
      <c r="F217" s="112" t="n"/>
      <c r="G217" s="2" t="n"/>
      <c r="H217" s="1" t="n"/>
      <c r="I217" s="171" t="n"/>
    </row>
    <row r="218" ht="15" customFormat="1" customHeight="1" s="59">
      <c r="B218" s="2" t="n"/>
      <c r="C218" s="112" t="n"/>
      <c r="D218" s="2" t="n"/>
      <c r="E218" s="2" t="n"/>
      <c r="F218" s="112" t="n"/>
      <c r="G218" s="2" t="n"/>
      <c r="H218" s="1" t="n"/>
      <c r="I218" s="171" t="n"/>
    </row>
    <row r="219" ht="15" customFormat="1" customHeight="1" s="59">
      <c r="B219" s="2" t="n"/>
      <c r="C219" s="112" t="n"/>
      <c r="D219" s="2" t="n"/>
      <c r="E219" s="2" t="n"/>
      <c r="F219" s="112" t="n"/>
      <c r="G219" s="2" t="n"/>
      <c r="H219" s="1" t="n"/>
      <c r="I219" s="171" t="n"/>
    </row>
    <row r="220" ht="15" customFormat="1" customHeight="1" s="59">
      <c r="B220" s="2" t="n"/>
      <c r="C220" s="112" t="n"/>
      <c r="D220" s="2" t="n"/>
      <c r="E220" s="2" t="n"/>
      <c r="F220" s="112" t="n"/>
      <c r="G220" s="2" t="n"/>
      <c r="H220" s="1" t="n"/>
      <c r="I220" s="171" t="n"/>
    </row>
    <row r="221" ht="15" customFormat="1" customHeight="1" s="59">
      <c r="B221" s="2" t="n"/>
      <c r="C221" s="112" t="n"/>
      <c r="D221" s="2" t="n"/>
      <c r="E221" s="2" t="n"/>
      <c r="F221" s="112" t="n"/>
      <c r="G221" s="2" t="n"/>
      <c r="H221" s="1" t="n"/>
      <c r="I221" s="171" t="n"/>
    </row>
    <row r="222" ht="15" customFormat="1" customHeight="1" s="59">
      <c r="B222" s="2" t="n"/>
      <c r="C222" s="112" t="n"/>
      <c r="D222" s="2" t="n"/>
      <c r="E222" s="2" t="n"/>
      <c r="F222" s="112" t="n"/>
      <c r="G222" s="2" t="n"/>
      <c r="H222" s="1" t="n"/>
      <c r="I222" s="171" t="n"/>
    </row>
    <row r="223" ht="15" customFormat="1" customHeight="1" s="59">
      <c r="B223" s="2" t="n"/>
      <c r="C223" s="112" t="n"/>
      <c r="D223" s="2" t="n"/>
      <c r="E223" s="2" t="n"/>
      <c r="F223" s="112" t="n"/>
      <c r="G223" s="2" t="n"/>
      <c r="H223" s="1" t="n"/>
      <c r="I223" s="171" t="n"/>
    </row>
    <row r="224" ht="15" customFormat="1" customHeight="1" s="59">
      <c r="B224" s="2" t="n"/>
      <c r="C224" s="112" t="n"/>
      <c r="D224" s="2" t="n"/>
      <c r="E224" s="2" t="n"/>
      <c r="F224" s="112" t="n"/>
      <c r="G224" s="2" t="n"/>
      <c r="H224" s="1" t="n"/>
      <c r="I224" s="171" t="n"/>
    </row>
    <row r="225" ht="15" customFormat="1" customHeight="1" s="59">
      <c r="B225" s="2" t="n"/>
      <c r="C225" s="112" t="n"/>
      <c r="D225" s="2" t="n"/>
      <c r="E225" s="2" t="n"/>
      <c r="F225" s="112" t="n"/>
      <c r="G225" s="2" t="n"/>
      <c r="H225" s="1" t="n"/>
      <c r="I225" s="171" t="n"/>
    </row>
    <row r="226" ht="15" customFormat="1" customHeight="1" s="59">
      <c r="B226" s="2" t="n"/>
      <c r="C226" s="112" t="n"/>
      <c r="D226" s="2" t="n"/>
      <c r="E226" s="2" t="n"/>
      <c r="F226" s="112" t="n"/>
      <c r="G226" s="2" t="n"/>
      <c r="H226" s="1" t="n"/>
      <c r="I226" s="171" t="n"/>
    </row>
    <row r="227" ht="15" customFormat="1" customHeight="1" s="59">
      <c r="B227" s="2" t="n"/>
      <c r="C227" s="112" t="n"/>
      <c r="D227" s="2" t="n"/>
      <c r="E227" s="2" t="n"/>
      <c r="F227" s="112" t="n"/>
      <c r="G227" s="2" t="n"/>
      <c r="H227" s="1" t="n"/>
      <c r="I227" s="171" t="n"/>
    </row>
    <row r="228" ht="15" customFormat="1" customHeight="1" s="59">
      <c r="B228" s="2" t="n"/>
      <c r="C228" s="112" t="n"/>
      <c r="D228" s="2" t="n"/>
      <c r="E228" s="2" t="n"/>
      <c r="F228" s="112" t="n"/>
      <c r="G228" s="2" t="n"/>
      <c r="H228" s="1" t="n"/>
      <c r="I228" s="171" t="n"/>
    </row>
    <row r="229" ht="15" customFormat="1" customHeight="1" s="59">
      <c r="B229" s="2" t="n"/>
      <c r="C229" s="112" t="n"/>
      <c r="D229" s="2" t="n"/>
      <c r="E229" s="2" t="n"/>
      <c r="F229" s="112" t="n"/>
      <c r="G229" s="2" t="n"/>
      <c r="H229" s="1" t="n"/>
      <c r="I229" s="171" t="n"/>
    </row>
    <row r="230" ht="15" customFormat="1" customHeight="1" s="59">
      <c r="B230" s="2" t="n"/>
      <c r="C230" s="112" t="n"/>
      <c r="D230" s="2" t="n"/>
      <c r="E230" s="2" t="n"/>
      <c r="F230" s="112" t="n"/>
      <c r="G230" s="2" t="n"/>
      <c r="H230" s="1" t="n"/>
      <c r="I230" s="171" t="n"/>
    </row>
    <row r="231" ht="15" customFormat="1" customHeight="1" s="59">
      <c r="B231" s="2" t="n"/>
      <c r="C231" s="112" t="n"/>
      <c r="D231" s="2" t="n"/>
      <c r="E231" s="2" t="n"/>
      <c r="F231" s="112" t="n"/>
      <c r="G231" s="2" t="n"/>
      <c r="H231" s="1" t="n"/>
      <c r="I231" s="171" t="n"/>
    </row>
    <row r="232" ht="15" customFormat="1" customHeight="1" s="59">
      <c r="B232" s="2" t="n"/>
      <c r="C232" s="112" t="n"/>
      <c r="D232" s="2" t="n"/>
      <c r="E232" s="2" t="n"/>
      <c r="F232" s="112" t="n"/>
      <c r="G232" s="2" t="n"/>
      <c r="H232" s="1" t="n"/>
      <c r="I232" s="171" t="n"/>
    </row>
    <row r="233" ht="15" customFormat="1" customHeight="1" s="59">
      <c r="B233" s="2" t="n"/>
      <c r="C233" s="112" t="n"/>
      <c r="D233" s="2" t="n"/>
      <c r="E233" s="2" t="n"/>
      <c r="F233" s="112" t="n"/>
      <c r="G233" s="2" t="n"/>
      <c r="H233" s="1" t="n"/>
      <c r="I233" s="171" t="n"/>
    </row>
    <row r="234" ht="15" customFormat="1" customHeight="1" s="59">
      <c r="B234" s="2" t="n"/>
      <c r="C234" s="112" t="n"/>
      <c r="D234" s="2" t="n"/>
      <c r="E234" s="2" t="n"/>
      <c r="F234" s="112" t="n"/>
      <c r="G234" s="2" t="n"/>
      <c r="H234" s="1" t="n"/>
      <c r="I234" s="171" t="n"/>
    </row>
    <row r="235" ht="15" customFormat="1" customHeight="1" s="59">
      <c r="B235" s="2" t="n"/>
      <c r="C235" s="112" t="n"/>
      <c r="D235" s="2" t="n"/>
      <c r="E235" s="2" t="n"/>
      <c r="F235" s="112" t="n"/>
      <c r="G235" s="2" t="n"/>
      <c r="H235" s="1" t="n"/>
      <c r="I235" s="171" t="n"/>
    </row>
    <row r="236" ht="15" customFormat="1" customHeight="1" s="59">
      <c r="B236" s="2" t="n"/>
      <c r="C236" s="112" t="n"/>
      <c r="D236" s="2" t="n"/>
      <c r="E236" s="2" t="n"/>
      <c r="F236" s="112" t="n"/>
      <c r="G236" s="2" t="n"/>
      <c r="H236" s="1" t="n"/>
      <c r="I236" s="171" t="n"/>
    </row>
    <row r="237" ht="15" customFormat="1" customHeight="1" s="59">
      <c r="B237" s="2" t="n"/>
      <c r="C237" s="112" t="n"/>
      <c r="D237" s="2" t="n"/>
      <c r="E237" s="2" t="n"/>
      <c r="F237" s="112" t="n"/>
      <c r="G237" s="2" t="n"/>
      <c r="H237" s="1" t="n"/>
      <c r="I237" s="171" t="n"/>
    </row>
    <row r="238" ht="15" customFormat="1" customHeight="1" s="59">
      <c r="B238" s="2" t="n"/>
      <c r="C238" s="112" t="n"/>
      <c r="D238" s="2" t="n"/>
      <c r="E238" s="2" t="n"/>
      <c r="F238" s="112" t="n"/>
      <c r="G238" s="2" t="n"/>
      <c r="H238" s="1" t="n"/>
      <c r="I238" s="171" t="n"/>
    </row>
    <row r="239" ht="15" customFormat="1" customHeight="1" s="59">
      <c r="B239" s="2" t="n"/>
      <c r="C239" s="112" t="n"/>
      <c r="D239" s="2" t="n"/>
      <c r="E239" s="2" t="n"/>
      <c r="F239" s="112" t="n"/>
      <c r="G239" s="2" t="n"/>
      <c r="H239" s="1" t="n"/>
      <c r="I239" s="171" t="n"/>
    </row>
    <row r="240" ht="15" customFormat="1" customHeight="1" s="59">
      <c r="B240" s="2" t="n"/>
      <c r="C240" s="112" t="n"/>
      <c r="D240" s="2" t="n"/>
      <c r="E240" s="2" t="n"/>
      <c r="F240" s="112" t="n"/>
      <c r="G240" s="2" t="n"/>
      <c r="H240" s="1" t="n"/>
      <c r="I240" s="171" t="n"/>
    </row>
    <row r="241" ht="15" customFormat="1" customHeight="1" s="59">
      <c r="B241" s="2" t="n"/>
      <c r="C241" s="112" t="n"/>
      <c r="D241" s="2" t="n"/>
      <c r="E241" s="2" t="n"/>
      <c r="F241" s="112" t="n"/>
      <c r="G241" s="2" t="n"/>
      <c r="H241" s="1" t="n"/>
      <c r="I241" s="171" t="n"/>
    </row>
    <row r="242" ht="15" customFormat="1" customHeight="1" s="59">
      <c r="B242" s="2" t="n"/>
      <c r="C242" s="112" t="n"/>
      <c r="D242" s="2" t="n"/>
      <c r="E242" s="2" t="n"/>
      <c r="F242" s="112" t="n"/>
      <c r="G242" s="2" t="n"/>
      <c r="H242" s="1" t="n"/>
      <c r="I242" s="171" t="n"/>
    </row>
    <row r="243" ht="15" customFormat="1" customHeight="1" s="59">
      <c r="B243" s="2" t="n"/>
      <c r="C243" s="112" t="n"/>
      <c r="D243" s="2" t="n"/>
      <c r="E243" s="2" t="n"/>
      <c r="F243" s="112" t="n"/>
      <c r="G243" s="2" t="n"/>
      <c r="H243" s="1" t="n"/>
      <c r="I243" s="171" t="n"/>
    </row>
    <row r="244" ht="15" customFormat="1" customHeight="1" s="59">
      <c r="B244" s="2" t="n"/>
      <c r="C244" s="112" t="n"/>
      <c r="D244" s="2" t="n"/>
      <c r="E244" s="2" t="n"/>
      <c r="F244" s="112" t="n"/>
      <c r="G244" s="2" t="n"/>
      <c r="H244" s="1" t="n"/>
      <c r="I244" s="171" t="n"/>
    </row>
    <row r="245" ht="15" customFormat="1" customHeight="1" s="59">
      <c r="B245" s="2" t="n"/>
      <c r="C245" s="112" t="n"/>
      <c r="D245" s="2" t="n"/>
      <c r="E245" s="2" t="n"/>
      <c r="F245" s="112" t="n"/>
      <c r="G245" s="2" t="n"/>
      <c r="H245" s="1" t="n"/>
      <c r="I245" s="171" t="n"/>
    </row>
    <row r="246" ht="15" customFormat="1" customHeight="1" s="59">
      <c r="B246" s="2" t="n"/>
      <c r="C246" s="112" t="n"/>
      <c r="D246" s="2" t="n"/>
      <c r="E246" s="2" t="n"/>
      <c r="F246" s="112" t="n"/>
      <c r="G246" s="2" t="n"/>
      <c r="H246" s="1" t="n"/>
      <c r="I246" s="171" t="n"/>
    </row>
    <row r="247" ht="15" customFormat="1" customHeight="1" s="59">
      <c r="B247" s="2" t="n"/>
      <c r="C247" s="112" t="n"/>
      <c r="D247" s="2" t="n"/>
      <c r="E247" s="2" t="n"/>
      <c r="F247" s="112" t="n"/>
      <c r="G247" s="2" t="n"/>
      <c r="H247" s="1" t="n"/>
      <c r="I247" s="171" t="n"/>
    </row>
    <row r="248" ht="15" customFormat="1" customHeight="1" s="59">
      <c r="B248" s="2" t="n"/>
      <c r="C248" s="112" t="n"/>
      <c r="D248" s="2" t="n"/>
      <c r="E248" s="2" t="n"/>
      <c r="F248" s="112" t="n"/>
      <c r="G248" s="2" t="n"/>
      <c r="H248" s="1" t="n"/>
      <c r="I248" s="171" t="n"/>
    </row>
    <row r="249" ht="15" customFormat="1" customHeight="1" s="59">
      <c r="B249" s="2" t="n"/>
      <c r="C249" s="112" t="n"/>
      <c r="D249" s="2" t="n"/>
      <c r="E249" s="2" t="n"/>
      <c r="F249" s="112" t="n"/>
      <c r="G249" s="2" t="n"/>
      <c r="H249" s="1" t="n"/>
      <c r="I249" s="171" t="n"/>
    </row>
    <row r="250" ht="15" customFormat="1" customHeight="1" s="59">
      <c r="B250" s="2" t="n"/>
      <c r="C250" s="112" t="n"/>
      <c r="D250" s="2" t="n"/>
      <c r="E250" s="2" t="n"/>
      <c r="F250" s="112" t="n"/>
      <c r="G250" s="2" t="n"/>
      <c r="H250" s="1" t="n"/>
      <c r="I250" s="171" t="n"/>
    </row>
    <row r="251" ht="15" customFormat="1" customHeight="1" s="59">
      <c r="B251" s="2" t="n"/>
      <c r="C251" s="112" t="n"/>
      <c r="D251" s="2" t="n"/>
      <c r="E251" s="2" t="n"/>
      <c r="F251" s="112" t="n"/>
      <c r="G251" s="2" t="n"/>
      <c r="H251" s="1" t="n"/>
      <c r="I251" s="171" t="n"/>
    </row>
    <row r="252" ht="15" customFormat="1" customHeight="1" s="59">
      <c r="B252" s="2" t="n"/>
      <c r="C252" s="112" t="n"/>
      <c r="D252" s="2" t="n"/>
      <c r="E252" s="2" t="n"/>
      <c r="F252" s="112" t="n"/>
      <c r="G252" s="2" t="n"/>
      <c r="H252" s="1" t="n"/>
      <c r="I252" s="171" t="n"/>
    </row>
    <row r="253" ht="15" customFormat="1" customHeight="1" s="59">
      <c r="B253" s="2" t="n"/>
      <c r="C253" s="112" t="n"/>
      <c r="D253" s="2" t="n"/>
      <c r="E253" s="2" t="n"/>
      <c r="F253" s="112" t="n"/>
      <c r="G253" s="2" t="n"/>
      <c r="H253" s="1" t="n"/>
      <c r="I253" s="171" t="n"/>
    </row>
    <row r="254" ht="15" customFormat="1" customHeight="1" s="59">
      <c r="B254" s="2" t="n"/>
      <c r="C254" s="112" t="n"/>
      <c r="D254" s="2" t="n"/>
      <c r="E254" s="2" t="n"/>
      <c r="F254" s="112" t="n"/>
      <c r="G254" s="2" t="n"/>
      <c r="H254" s="1" t="n"/>
      <c r="I254" s="171" t="n"/>
    </row>
    <row r="255" ht="15" customFormat="1" customHeight="1" s="59">
      <c r="B255" s="2" t="n"/>
      <c r="C255" s="112" t="n"/>
      <c r="D255" s="2" t="n"/>
      <c r="E255" s="2" t="n"/>
      <c r="F255" s="112" t="n"/>
      <c r="G255" s="2" t="n"/>
      <c r="H255" s="1" t="n"/>
      <c r="I255" s="171" t="n"/>
    </row>
    <row r="256" ht="15" customFormat="1" customHeight="1" s="59">
      <c r="B256" s="2" t="n"/>
      <c r="C256" s="112" t="n"/>
      <c r="D256" s="2" t="n"/>
      <c r="E256" s="2" t="n"/>
      <c r="F256" s="112" t="n"/>
      <c r="G256" s="2" t="n"/>
      <c r="H256" s="1" t="n"/>
      <c r="I256" s="171" t="n"/>
    </row>
    <row r="257" ht="15" customFormat="1" customHeight="1" s="59">
      <c r="B257" s="2" t="n"/>
      <c r="C257" s="112" t="n"/>
      <c r="D257" s="2" t="n"/>
      <c r="E257" s="2" t="n"/>
      <c r="F257" s="112" t="n"/>
      <c r="G257" s="2" t="n"/>
      <c r="H257" s="1" t="n"/>
      <c r="I257" s="171" t="n"/>
    </row>
    <row r="258" ht="15" customFormat="1" customHeight="1" s="59">
      <c r="B258" s="2" t="n"/>
      <c r="C258" s="112" t="n"/>
      <c r="D258" s="2" t="n"/>
      <c r="E258" s="2" t="n"/>
      <c r="F258" s="112" t="n"/>
      <c r="G258" s="2" t="n"/>
      <c r="H258" s="1" t="n"/>
      <c r="I258" s="171" t="n"/>
    </row>
    <row r="259" ht="15" customFormat="1" customHeight="1" s="59">
      <c r="B259" s="2" t="n"/>
      <c r="C259" s="112" t="n"/>
      <c r="D259" s="2" t="n"/>
      <c r="E259" s="2" t="n"/>
      <c r="F259" s="112" t="n"/>
      <c r="G259" s="2" t="n"/>
      <c r="H259" s="1" t="n"/>
      <c r="I259" s="171" t="n"/>
    </row>
    <row r="260" ht="15" customFormat="1" customHeight="1" s="59">
      <c r="B260" s="2" t="n"/>
      <c r="C260" s="112" t="n"/>
      <c r="D260" s="2" t="n"/>
      <c r="E260" s="2" t="n"/>
      <c r="F260" s="112" t="n"/>
      <c r="G260" s="2" t="n"/>
      <c r="H260" s="1" t="n"/>
      <c r="I260" s="171" t="n"/>
    </row>
    <row r="261" ht="15" customFormat="1" customHeight="1" s="59">
      <c r="B261" s="2" t="n"/>
      <c r="C261" s="112" t="n"/>
      <c r="D261" s="2" t="n"/>
      <c r="E261" s="2" t="n"/>
      <c r="F261" s="112" t="n"/>
      <c r="G261" s="2" t="n"/>
      <c r="H261" s="1" t="n"/>
      <c r="I261" s="171" t="n"/>
    </row>
    <row r="262" ht="15" customFormat="1" customHeight="1" s="59">
      <c r="B262" s="2" t="n"/>
      <c r="C262" s="112" t="n"/>
      <c r="D262" s="2" t="n"/>
      <c r="E262" s="2" t="n"/>
      <c r="F262" s="112" t="n"/>
      <c r="G262" s="2" t="n"/>
      <c r="H262" s="1" t="n"/>
      <c r="I262" s="171" t="n"/>
    </row>
    <row r="263" ht="15" customFormat="1" customHeight="1" s="59">
      <c r="B263" s="2" t="n"/>
      <c r="C263" s="112" t="n"/>
      <c r="D263" s="2" t="n"/>
      <c r="E263" s="2" t="n"/>
      <c r="F263" s="112" t="n"/>
      <c r="G263" s="2" t="n"/>
      <c r="H263" s="1" t="n"/>
      <c r="I263" s="171" t="n"/>
    </row>
    <row r="264" ht="15" customFormat="1" customHeight="1" s="59">
      <c r="B264" s="2" t="n"/>
      <c r="C264" s="112" t="n"/>
      <c r="D264" s="2" t="n"/>
      <c r="E264" s="2" t="n"/>
      <c r="F264" s="112" t="n"/>
      <c r="G264" s="2" t="n"/>
      <c r="H264" s="1" t="n"/>
      <c r="I264" s="171" t="n"/>
    </row>
    <row r="265" ht="15" customFormat="1" customHeight="1" s="59">
      <c r="B265" s="2" t="n"/>
      <c r="C265" s="112" t="n"/>
      <c r="D265" s="2" t="n"/>
      <c r="E265" s="2" t="n"/>
      <c r="F265" s="112" t="n"/>
      <c r="G265" s="2" t="n"/>
      <c r="H265" s="1" t="n"/>
      <c r="I265" s="171" t="n"/>
    </row>
    <row r="266" ht="15" customFormat="1" customHeight="1" s="59">
      <c r="B266" s="2" t="n"/>
      <c r="C266" s="112" t="n"/>
      <c r="D266" s="2" t="n"/>
      <c r="E266" s="2" t="n"/>
      <c r="F266" s="112" t="n"/>
      <c r="G266" s="2" t="n"/>
      <c r="H266" s="1" t="n"/>
      <c r="I266" s="171" t="n"/>
    </row>
    <row r="267" ht="15" customFormat="1" customHeight="1" s="59">
      <c r="B267" s="2" t="n"/>
      <c r="C267" s="112" t="n"/>
      <c r="D267" s="2" t="n"/>
      <c r="E267" s="2" t="n"/>
      <c r="F267" s="112" t="n"/>
      <c r="G267" s="2" t="n"/>
      <c r="H267" s="1" t="n"/>
      <c r="I267" s="171" t="n"/>
    </row>
    <row r="268" ht="15" customFormat="1" customHeight="1" s="59">
      <c r="B268" s="2" t="n"/>
      <c r="C268" s="112" t="n"/>
      <c r="D268" s="2" t="n"/>
      <c r="E268" s="2" t="n"/>
      <c r="F268" s="112" t="n"/>
      <c r="G268" s="2" t="n"/>
      <c r="H268" s="1" t="n"/>
      <c r="I268" s="171" t="n"/>
    </row>
    <row r="269" ht="15" customFormat="1" customHeight="1" s="59">
      <c r="B269" s="2" t="n"/>
      <c r="C269" s="112" t="n"/>
      <c r="D269" s="2" t="n"/>
      <c r="E269" s="2" t="n"/>
      <c r="F269" s="112" t="n"/>
      <c r="G269" s="2" t="n"/>
      <c r="H269" s="1" t="n"/>
      <c r="I269" s="171" t="n"/>
    </row>
    <row r="270" ht="15" customFormat="1" customHeight="1" s="59">
      <c r="B270" s="2" t="n"/>
      <c r="C270" s="112" t="n"/>
      <c r="D270" s="2" t="n"/>
      <c r="E270" s="2" t="n"/>
      <c r="F270" s="112" t="n"/>
      <c r="G270" s="2" t="n"/>
      <c r="H270" s="1" t="n"/>
      <c r="I270" s="171" t="n"/>
    </row>
    <row r="271" ht="15" customFormat="1" customHeight="1" s="59">
      <c r="B271" s="2" t="n"/>
      <c r="C271" s="112" t="n"/>
      <c r="D271" s="2" t="n"/>
      <c r="E271" s="2" t="n"/>
      <c r="F271" s="112" t="n"/>
      <c r="G271" s="2" t="n"/>
      <c r="H271" s="1" t="n"/>
      <c r="I271" s="171" t="n"/>
    </row>
    <row r="272" ht="15" customFormat="1" customHeight="1" s="59">
      <c r="B272" s="2" t="n"/>
      <c r="C272" s="112" t="n"/>
      <c r="D272" s="2" t="n"/>
      <c r="E272" s="2" t="n"/>
      <c r="F272" s="112" t="n"/>
      <c r="G272" s="2" t="n"/>
      <c r="H272" s="1" t="n"/>
      <c r="I272" s="171" t="n"/>
    </row>
    <row r="273" ht="15" customFormat="1" customHeight="1" s="59">
      <c r="B273" s="2" t="n"/>
      <c r="C273" s="112" t="n"/>
      <c r="D273" s="2" t="n"/>
      <c r="E273" s="2" t="n"/>
      <c r="F273" s="112" t="n"/>
      <c r="G273" s="2" t="n"/>
      <c r="H273" s="1" t="n"/>
      <c r="I273" s="171" t="n"/>
    </row>
    <row r="274" ht="15" customFormat="1" customHeight="1" s="59">
      <c r="B274" s="2" t="n"/>
      <c r="C274" s="112" t="n"/>
      <c r="D274" s="2" t="n"/>
      <c r="E274" s="2" t="n"/>
      <c r="F274" s="112" t="n"/>
      <c r="G274" s="2" t="n"/>
      <c r="H274" s="1" t="n"/>
      <c r="I274" s="171" t="n"/>
    </row>
    <row r="275" ht="15" customFormat="1" customHeight="1" s="59">
      <c r="B275" s="2" t="n"/>
      <c r="C275" s="112" t="n"/>
      <c r="D275" s="2" t="n"/>
      <c r="E275" s="2" t="n"/>
      <c r="F275" s="112" t="n"/>
      <c r="G275" s="2" t="n"/>
      <c r="H275" s="1" t="n"/>
      <c r="I275" s="171" t="n"/>
    </row>
    <row r="276" ht="15" customFormat="1" customHeight="1" s="59">
      <c r="B276" s="2" t="n"/>
      <c r="C276" s="112" t="n"/>
      <c r="D276" s="2" t="n"/>
      <c r="E276" s="2" t="n"/>
      <c r="F276" s="112" t="n"/>
      <c r="G276" s="2" t="n"/>
      <c r="H276" s="1" t="n"/>
      <c r="I276" s="171" t="n"/>
    </row>
    <row r="277" ht="15" customFormat="1" customHeight="1" s="59">
      <c r="B277" s="2" t="n"/>
      <c r="C277" s="112" t="n"/>
      <c r="D277" s="2" t="n"/>
      <c r="E277" s="2" t="n"/>
      <c r="F277" s="112" t="n"/>
      <c r="G277" s="2" t="n"/>
      <c r="H277" s="1" t="n"/>
      <c r="I277" s="171" t="n"/>
    </row>
    <row r="278" ht="15" customFormat="1" customHeight="1" s="59">
      <c r="B278" s="2" t="n"/>
      <c r="C278" s="112" t="n"/>
      <c r="D278" s="2" t="n"/>
      <c r="E278" s="2" t="n"/>
      <c r="F278" s="112" t="n"/>
      <c r="G278" s="2" t="n"/>
      <c r="H278" s="1" t="n"/>
      <c r="I278" s="171" t="n"/>
    </row>
    <row r="279" ht="15" customFormat="1" customHeight="1" s="59">
      <c r="B279" s="2" t="n"/>
      <c r="C279" s="112" t="n"/>
      <c r="D279" s="2" t="n"/>
      <c r="E279" s="2" t="n"/>
      <c r="F279" s="112" t="n"/>
      <c r="G279" s="2" t="n"/>
      <c r="H279" s="1" t="n"/>
      <c r="I279" s="171" t="n"/>
    </row>
    <row r="280" ht="15" customFormat="1" customHeight="1" s="59">
      <c r="B280" s="2" t="n"/>
      <c r="C280" s="112" t="n"/>
      <c r="D280" s="2" t="n"/>
      <c r="E280" s="2" t="n"/>
      <c r="F280" s="112" t="n"/>
      <c r="G280" s="2" t="n"/>
      <c r="H280" s="1" t="n"/>
      <c r="I280" s="171" t="n"/>
    </row>
    <row r="281" ht="15" customFormat="1" customHeight="1" s="59">
      <c r="B281" s="2" t="n"/>
      <c r="C281" s="112" t="n"/>
      <c r="D281" s="2" t="n"/>
      <c r="E281" s="2" t="n"/>
      <c r="F281" s="112" t="n"/>
      <c r="G281" s="2" t="n"/>
      <c r="H281" s="1" t="n"/>
      <c r="I281" s="171" t="n"/>
    </row>
    <row r="282" ht="15" customFormat="1" customHeight="1" s="59">
      <c r="B282" s="2" t="n"/>
      <c r="C282" s="112" t="n"/>
      <c r="D282" s="2" t="n"/>
      <c r="E282" s="2" t="n"/>
      <c r="F282" s="112" t="n"/>
      <c r="G282" s="2" t="n"/>
      <c r="H282" s="1" t="n"/>
      <c r="I282" s="171" t="n"/>
    </row>
    <row r="283" ht="15" customFormat="1" customHeight="1" s="59">
      <c r="B283" s="2" t="n"/>
      <c r="C283" s="112" t="n"/>
      <c r="D283" s="2" t="n"/>
      <c r="E283" s="2" t="n"/>
      <c r="F283" s="112" t="n"/>
      <c r="G283" s="2" t="n"/>
      <c r="H283" s="1" t="n"/>
      <c r="I283" s="171" t="n"/>
    </row>
    <row r="284" ht="15" customFormat="1" customHeight="1" s="59">
      <c r="B284" s="2" t="n"/>
      <c r="C284" s="112" t="n"/>
      <c r="D284" s="2" t="n"/>
      <c r="E284" s="2" t="n"/>
      <c r="F284" s="112" t="n"/>
      <c r="G284" s="2" t="n"/>
      <c r="H284" s="1" t="n"/>
      <c r="I284" s="171" t="n"/>
    </row>
    <row r="285" ht="15" customFormat="1" customHeight="1" s="59">
      <c r="B285" s="2" t="n"/>
      <c r="C285" s="112" t="n"/>
      <c r="D285" s="2" t="n"/>
      <c r="E285" s="2" t="n"/>
      <c r="F285" s="112" t="n"/>
      <c r="G285" s="2" t="n"/>
      <c r="H285" s="1" t="n"/>
      <c r="I285" s="171" t="n"/>
    </row>
    <row r="286" ht="15" customFormat="1" customHeight="1" s="59">
      <c r="B286" s="2" t="n"/>
      <c r="C286" s="112" t="n"/>
      <c r="D286" s="2" t="n"/>
      <c r="E286" s="2" t="n"/>
      <c r="F286" s="112" t="n"/>
      <c r="G286" s="2" t="n"/>
      <c r="H286" s="1" t="n"/>
      <c r="I286" s="171" t="n"/>
    </row>
    <row r="287" ht="15" customFormat="1" customHeight="1" s="59">
      <c r="B287" s="2" t="n"/>
      <c r="C287" s="112" t="n"/>
      <c r="D287" s="2" t="n"/>
      <c r="E287" s="2" t="n"/>
      <c r="F287" s="112" t="n"/>
      <c r="G287" s="2" t="n"/>
      <c r="H287" s="1" t="n"/>
      <c r="I287" s="171" t="n"/>
    </row>
    <row r="288" ht="15" customFormat="1" customHeight="1" s="59">
      <c r="B288" s="2" t="n"/>
      <c r="C288" s="112" t="n"/>
      <c r="D288" s="2" t="n"/>
      <c r="E288" s="2" t="n"/>
      <c r="F288" s="112" t="n"/>
      <c r="G288" s="2" t="n"/>
      <c r="H288" s="1" t="n"/>
      <c r="I288" s="171" t="n"/>
    </row>
    <row r="289" ht="15" customFormat="1" customHeight="1" s="59">
      <c r="B289" s="2" t="n"/>
      <c r="C289" s="112" t="n"/>
      <c r="D289" s="2" t="n"/>
      <c r="E289" s="2" t="n"/>
      <c r="F289" s="112" t="n"/>
      <c r="G289" s="2" t="n"/>
      <c r="H289" s="1" t="n"/>
      <c r="I289" s="171" t="n"/>
    </row>
    <row r="290" ht="15" customFormat="1" customHeight="1" s="59">
      <c r="B290" s="2" t="n"/>
      <c r="C290" s="112" t="n"/>
      <c r="D290" s="2" t="n"/>
      <c r="E290" s="2" t="n"/>
      <c r="F290" s="112" t="n"/>
      <c r="G290" s="2" t="n"/>
      <c r="H290" s="1" t="n"/>
      <c r="I290" s="171" t="n"/>
    </row>
    <row r="291" ht="15" customFormat="1" customHeight="1" s="59">
      <c r="B291" s="2" t="n"/>
      <c r="C291" s="112" t="n"/>
      <c r="D291" s="2" t="n"/>
      <c r="E291" s="2" t="n"/>
      <c r="F291" s="112" t="n"/>
      <c r="G291" s="2" t="n"/>
      <c r="H291" s="1" t="n"/>
      <c r="I291" s="171" t="n"/>
    </row>
    <row r="292" ht="15" customFormat="1" customHeight="1" s="59">
      <c r="B292" s="2" t="n"/>
      <c r="C292" s="112" t="n"/>
      <c r="D292" s="2" t="n"/>
      <c r="E292" s="2" t="n"/>
      <c r="F292" s="112" t="n"/>
      <c r="G292" s="2" t="n"/>
      <c r="H292" s="1" t="n"/>
      <c r="I292" s="171" t="n"/>
    </row>
    <row r="293" ht="15" customFormat="1" customHeight="1" s="59">
      <c r="B293" s="2" t="n"/>
      <c r="C293" s="112" t="n"/>
      <c r="D293" s="2" t="n"/>
      <c r="E293" s="2" t="n"/>
      <c r="F293" s="112" t="n"/>
      <c r="G293" s="2" t="n"/>
      <c r="H293" s="1" t="n"/>
      <c r="I293" s="171" t="n"/>
    </row>
    <row r="294" ht="15" customFormat="1" customHeight="1" s="59">
      <c r="B294" s="2" t="n"/>
      <c r="C294" s="112" t="n"/>
      <c r="D294" s="2" t="n"/>
      <c r="E294" s="2" t="n"/>
      <c r="F294" s="112" t="n"/>
      <c r="G294" s="2" t="n"/>
      <c r="H294" s="1" t="n"/>
      <c r="I294" s="171" t="n"/>
    </row>
    <row r="295" ht="15" customFormat="1" customHeight="1" s="59">
      <c r="B295" s="2" t="n"/>
      <c r="C295" s="112" t="n"/>
      <c r="D295" s="2" t="n"/>
      <c r="E295" s="2" t="n"/>
      <c r="F295" s="112" t="n"/>
      <c r="G295" s="2" t="n"/>
      <c r="H295" s="1" t="n"/>
      <c r="I295" s="171" t="n"/>
    </row>
    <row r="296" ht="15" customFormat="1" customHeight="1" s="59">
      <c r="B296" s="2" t="n"/>
      <c r="C296" s="112" t="n"/>
      <c r="D296" s="2" t="n"/>
      <c r="E296" s="2" t="n"/>
      <c r="F296" s="112" t="n"/>
      <c r="G296" s="2" t="n"/>
      <c r="H296" s="1" t="n"/>
      <c r="I296" s="171" t="n"/>
    </row>
    <row r="297" ht="15" customFormat="1" customHeight="1" s="59">
      <c r="B297" s="2" t="n"/>
      <c r="C297" s="112" t="n"/>
      <c r="D297" s="2" t="n"/>
      <c r="E297" s="2" t="n"/>
      <c r="F297" s="112" t="n"/>
      <c r="G297" s="2" t="n"/>
      <c r="H297" s="1" t="n"/>
      <c r="I297" s="171" t="n"/>
    </row>
    <row r="298" ht="15" customFormat="1" customHeight="1" s="59">
      <c r="B298" s="2" t="n"/>
      <c r="C298" s="112" t="n"/>
      <c r="D298" s="2" t="n"/>
      <c r="E298" s="2" t="n"/>
      <c r="F298" s="112" t="n"/>
      <c r="G298" s="2" t="n"/>
      <c r="H298" s="1" t="n"/>
      <c r="I298" s="171" t="n"/>
    </row>
    <row r="299" ht="15" customFormat="1" customHeight="1" s="59">
      <c r="B299" s="2" t="n"/>
      <c r="C299" s="112" t="n"/>
      <c r="D299" s="2" t="n"/>
      <c r="E299" s="2" t="n"/>
      <c r="F299" s="112" t="n"/>
      <c r="G299" s="2" t="n"/>
      <c r="H299" s="1" t="n"/>
      <c r="I299" s="171" t="n"/>
    </row>
    <row r="300" ht="15" customFormat="1" customHeight="1" s="59">
      <c r="B300" s="2" t="n"/>
      <c r="C300" s="112" t="n"/>
      <c r="D300" s="2" t="n"/>
      <c r="E300" s="2" t="n"/>
      <c r="F300" s="112" t="n"/>
      <c r="G300" s="2" t="n"/>
      <c r="H300" s="1" t="n"/>
      <c r="I300" s="171" t="n"/>
    </row>
    <row r="301" ht="15" customFormat="1" customHeight="1" s="59">
      <c r="B301" s="2" t="n"/>
      <c r="C301" s="112" t="n"/>
      <c r="D301" s="2" t="n"/>
      <c r="E301" s="2" t="n"/>
      <c r="F301" s="112" t="n"/>
      <c r="G301" s="2" t="n"/>
      <c r="H301" s="1" t="n"/>
      <c r="I301" s="171" t="n"/>
    </row>
    <row r="302" ht="15" customFormat="1" customHeight="1" s="59">
      <c r="B302" s="2" t="n"/>
      <c r="C302" s="112" t="n"/>
      <c r="D302" s="2" t="n"/>
      <c r="E302" s="2" t="n"/>
      <c r="F302" s="112" t="n"/>
      <c r="G302" s="2" t="n"/>
      <c r="H302" s="1" t="n"/>
      <c r="I302" s="171" t="n"/>
    </row>
    <row r="303" ht="15" customFormat="1" customHeight="1" s="59">
      <c r="B303" s="2" t="n"/>
      <c r="C303" s="112" t="n"/>
      <c r="D303" s="2" t="n"/>
      <c r="E303" s="2" t="n"/>
      <c r="F303" s="112" t="n"/>
      <c r="G303" s="2" t="n"/>
      <c r="H303" s="1" t="n"/>
      <c r="I303" s="171" t="n"/>
    </row>
    <row r="304" ht="15" customFormat="1" customHeight="1" s="59">
      <c r="B304" s="2" t="n"/>
      <c r="C304" s="112" t="n"/>
      <c r="D304" s="2" t="n"/>
      <c r="E304" s="2" t="n"/>
      <c r="F304" s="112" t="n"/>
      <c r="G304" s="2" t="n"/>
      <c r="H304" s="1" t="n"/>
      <c r="I304" s="171" t="n"/>
    </row>
    <row r="305" ht="15" customFormat="1" customHeight="1" s="59">
      <c r="B305" s="2" t="n"/>
      <c r="C305" s="112" t="n"/>
      <c r="D305" s="2" t="n"/>
      <c r="E305" s="2" t="n"/>
      <c r="F305" s="112" t="n"/>
      <c r="G305" s="2" t="n"/>
      <c r="H305" s="1" t="n"/>
      <c r="I305" s="171" t="n"/>
    </row>
    <row r="306" ht="15" customFormat="1" customHeight="1" s="59">
      <c r="B306" s="2" t="n"/>
      <c r="C306" s="112" t="n"/>
      <c r="D306" s="2" t="n"/>
      <c r="E306" s="2" t="n"/>
      <c r="F306" s="112" t="n"/>
      <c r="G306" s="2" t="n"/>
      <c r="H306" s="1" t="n"/>
      <c r="I306" s="171" t="n"/>
    </row>
    <row r="307" ht="15" customFormat="1" customHeight="1" s="59">
      <c r="B307" s="2" t="n"/>
      <c r="C307" s="112" t="n"/>
      <c r="D307" s="2" t="n"/>
      <c r="E307" s="2" t="n"/>
      <c r="F307" s="112" t="n"/>
      <c r="G307" s="2" t="n"/>
      <c r="H307" s="1" t="n"/>
      <c r="I307" s="171" t="n"/>
    </row>
    <row r="308" ht="15" customFormat="1" customHeight="1" s="59">
      <c r="B308" s="2" t="n"/>
      <c r="C308" s="112" t="n"/>
      <c r="D308" s="2" t="n"/>
      <c r="E308" s="2" t="n"/>
      <c r="F308" s="112" t="n"/>
      <c r="G308" s="2" t="n"/>
      <c r="H308" s="1" t="n"/>
      <c r="I308" s="171" t="n"/>
    </row>
    <row r="309" ht="15" customFormat="1" customHeight="1" s="59">
      <c r="B309" s="2" t="n"/>
      <c r="C309" s="112" t="n"/>
      <c r="D309" s="2" t="n"/>
      <c r="E309" s="2" t="n"/>
      <c r="F309" s="112" t="n"/>
      <c r="G309" s="2" t="n"/>
      <c r="H309" s="1" t="n"/>
      <c r="I309" s="171" t="n"/>
    </row>
    <row r="310" ht="15" customFormat="1" customHeight="1" s="59">
      <c r="B310" s="2" t="n"/>
      <c r="C310" s="112" t="n"/>
      <c r="D310" s="2" t="n"/>
      <c r="E310" s="2" t="n"/>
      <c r="F310" s="112" t="n"/>
      <c r="G310" s="2" t="n"/>
      <c r="H310" s="1" t="n"/>
      <c r="I310" s="171" t="n"/>
    </row>
    <row r="311" ht="15" customFormat="1" customHeight="1" s="59">
      <c r="B311" s="2" t="n"/>
      <c r="C311" s="112" t="n"/>
      <c r="D311" s="2" t="n"/>
      <c r="E311" s="2" t="n"/>
      <c r="F311" s="112" t="n"/>
      <c r="G311" s="2" t="n"/>
      <c r="H311" s="1" t="n"/>
      <c r="I311" s="171" t="n"/>
    </row>
    <row r="312" ht="15" customFormat="1" customHeight="1" s="59">
      <c r="B312" s="2" t="n"/>
      <c r="C312" s="112" t="n"/>
      <c r="D312" s="2" t="n"/>
      <c r="E312" s="2" t="n"/>
      <c r="F312" s="112" t="n"/>
      <c r="G312" s="2" t="n"/>
      <c r="H312" s="1" t="n"/>
      <c r="I312" s="171" t="n"/>
    </row>
    <row r="313" ht="15" customFormat="1" customHeight="1" s="59">
      <c r="B313" s="2" t="n"/>
      <c r="C313" s="112" t="n"/>
      <c r="D313" s="2" t="n"/>
      <c r="E313" s="2" t="n"/>
      <c r="F313" s="112" t="n"/>
      <c r="G313" s="2" t="n"/>
      <c r="H313" s="1" t="n"/>
      <c r="I313" s="171" t="n"/>
    </row>
    <row r="314" ht="15" customFormat="1" customHeight="1" s="59">
      <c r="B314" s="2" t="n"/>
      <c r="C314" s="112" t="n"/>
      <c r="D314" s="2" t="n"/>
      <c r="E314" s="2" t="n"/>
      <c r="F314" s="112" t="n"/>
      <c r="G314" s="2" t="n"/>
      <c r="H314" s="1" t="n"/>
      <c r="I314" s="171" t="n"/>
    </row>
    <row r="315" ht="15" customFormat="1" customHeight="1" s="59">
      <c r="B315" s="2" t="n"/>
      <c r="C315" s="112" t="n"/>
      <c r="D315" s="2" t="n"/>
      <c r="E315" s="2" t="n"/>
      <c r="F315" s="112" t="n"/>
      <c r="G315" s="2" t="n"/>
      <c r="H315" s="1" t="n"/>
      <c r="I315" s="171" t="n"/>
    </row>
    <row r="316" ht="15" customFormat="1" customHeight="1" s="59">
      <c r="B316" s="2" t="n"/>
      <c r="C316" s="112" t="n"/>
      <c r="D316" s="2" t="n"/>
      <c r="E316" s="2" t="n"/>
      <c r="F316" s="112" t="n"/>
      <c r="G316" s="2" t="n"/>
      <c r="H316" s="1" t="n"/>
      <c r="I316" s="171" t="n"/>
    </row>
    <row r="317" ht="15" customFormat="1" customHeight="1" s="59">
      <c r="B317" s="2" t="n"/>
      <c r="C317" s="112" t="n"/>
      <c r="D317" s="2" t="n"/>
      <c r="E317" s="2" t="n"/>
      <c r="F317" s="112" t="n"/>
      <c r="G317" s="2" t="n"/>
      <c r="H317" s="1" t="n"/>
      <c r="I317" s="171" t="n"/>
    </row>
    <row r="318" ht="15" customFormat="1" customHeight="1" s="59">
      <c r="B318" s="2" t="n"/>
      <c r="C318" s="112" t="n"/>
      <c r="D318" s="2" t="n"/>
      <c r="E318" s="2" t="n"/>
      <c r="F318" s="112" t="n"/>
      <c r="G318" s="2" t="n"/>
      <c r="H318" s="1" t="n"/>
      <c r="I318" s="171" t="n"/>
    </row>
    <row r="319" ht="15" customFormat="1" customHeight="1" s="59">
      <c r="B319" s="2" t="n"/>
      <c r="C319" s="112" t="n"/>
      <c r="D319" s="2" t="n"/>
      <c r="E319" s="2" t="n"/>
      <c r="F319" s="112" t="n"/>
      <c r="G319" s="2" t="n"/>
      <c r="H319" s="1" t="n"/>
      <c r="I319" s="171" t="n"/>
    </row>
    <row r="320" ht="15" customFormat="1" customHeight="1" s="59">
      <c r="B320" s="2" t="n"/>
      <c r="C320" s="112" t="n"/>
      <c r="D320" s="2" t="n"/>
      <c r="E320" s="2" t="n"/>
      <c r="F320" s="112" t="n"/>
      <c r="G320" s="2" t="n"/>
      <c r="H320" s="1" t="n"/>
      <c r="I320" s="171" t="n"/>
    </row>
    <row r="321" ht="15" customFormat="1" customHeight="1" s="59">
      <c r="B321" s="2" t="n"/>
      <c r="C321" s="112" t="n"/>
      <c r="D321" s="2" t="n"/>
      <c r="E321" s="2" t="n"/>
      <c r="F321" s="112" t="n"/>
      <c r="G321" s="2" t="n"/>
      <c r="H321" s="1" t="n"/>
      <c r="I321" s="171" t="n"/>
    </row>
    <row r="322" ht="15" customFormat="1" customHeight="1" s="59">
      <c r="B322" s="2" t="n"/>
      <c r="C322" s="112" t="n"/>
      <c r="D322" s="2" t="n"/>
      <c r="E322" s="2" t="n"/>
      <c r="F322" s="112" t="n"/>
      <c r="G322" s="2" t="n"/>
      <c r="H322" s="1" t="n"/>
      <c r="I322" s="171" t="n"/>
    </row>
    <row r="323" ht="15" customFormat="1" customHeight="1" s="59">
      <c r="B323" s="2" t="n"/>
      <c r="C323" s="112" t="n"/>
      <c r="D323" s="2" t="n"/>
      <c r="E323" s="2" t="n"/>
      <c r="F323" s="112" t="n"/>
      <c r="G323" s="2" t="n"/>
      <c r="H323" s="1" t="n"/>
      <c r="I323" s="171" t="n"/>
    </row>
    <row r="324" ht="15" customFormat="1" customHeight="1" s="59">
      <c r="B324" s="2" t="n"/>
      <c r="C324" s="112" t="n"/>
      <c r="D324" s="2" t="n"/>
      <c r="E324" s="2" t="n"/>
      <c r="F324" s="112" t="n"/>
      <c r="G324" s="2" t="n"/>
      <c r="H324" s="1" t="n"/>
      <c r="I324" s="171" t="n"/>
    </row>
    <row r="325" ht="15" customFormat="1" customHeight="1" s="59">
      <c r="B325" s="2" t="n"/>
      <c r="C325" s="112" t="n"/>
      <c r="D325" s="2" t="n"/>
      <c r="E325" s="2" t="n"/>
      <c r="F325" s="112" t="n"/>
      <c r="G325" s="2" t="n"/>
      <c r="H325" s="1" t="n"/>
      <c r="I325" s="171" t="n"/>
    </row>
    <row r="326" ht="15" customFormat="1" customHeight="1" s="59">
      <c r="B326" s="2" t="n"/>
      <c r="C326" s="112" t="n"/>
      <c r="D326" s="2" t="n"/>
      <c r="E326" s="2" t="n"/>
      <c r="F326" s="112" t="n"/>
      <c r="G326" s="2" t="n"/>
      <c r="H326" s="1" t="n"/>
      <c r="I326" s="171" t="n"/>
    </row>
    <row r="327" ht="15" customFormat="1" customHeight="1" s="59">
      <c r="B327" s="2" t="n"/>
      <c r="C327" s="112" t="n"/>
      <c r="D327" s="2" t="n"/>
      <c r="E327" s="2" t="n"/>
      <c r="F327" s="112" t="n"/>
      <c r="G327" s="2" t="n"/>
      <c r="H327" s="1" t="n"/>
      <c r="I327" s="171" t="n"/>
    </row>
    <row r="328" ht="15" customFormat="1" customHeight="1" s="59">
      <c r="B328" s="2" t="n"/>
      <c r="C328" s="112" t="n"/>
      <c r="D328" s="2" t="n"/>
      <c r="E328" s="2" t="n"/>
      <c r="F328" s="112" t="n"/>
      <c r="G328" s="2" t="n"/>
      <c r="H328" s="1" t="n"/>
      <c r="I328" s="171" t="n"/>
    </row>
    <row r="329" ht="15" customFormat="1" customHeight="1" s="59">
      <c r="B329" s="2" t="n"/>
      <c r="C329" s="112" t="n"/>
      <c r="D329" s="2" t="n"/>
      <c r="E329" s="2" t="n"/>
      <c r="F329" s="112" t="n"/>
      <c r="G329" s="2" t="n"/>
      <c r="H329" s="1" t="n"/>
      <c r="I329" s="171" t="n"/>
    </row>
    <row r="330" ht="15" customFormat="1" customHeight="1" s="59">
      <c r="B330" s="2" t="n"/>
      <c r="C330" s="112" t="n"/>
      <c r="D330" s="2" t="n"/>
      <c r="E330" s="2" t="n"/>
      <c r="F330" s="112" t="n"/>
      <c r="G330" s="2" t="n"/>
      <c r="H330" s="1" t="n"/>
      <c r="I330" s="171" t="n"/>
    </row>
    <row r="331" ht="15" customFormat="1" customHeight="1" s="59">
      <c r="B331" s="2" t="n"/>
      <c r="C331" s="112" t="n"/>
      <c r="D331" s="2" t="n"/>
      <c r="E331" s="2" t="n"/>
      <c r="F331" s="112" t="n"/>
      <c r="G331" s="2" t="n"/>
      <c r="H331" s="1" t="n"/>
      <c r="I331" s="171" t="n"/>
    </row>
    <row r="332" ht="15" customFormat="1" customHeight="1" s="59">
      <c r="B332" s="2" t="n"/>
      <c r="C332" s="112" t="n"/>
      <c r="D332" s="2" t="n"/>
      <c r="E332" s="2" t="n"/>
      <c r="F332" s="112" t="n"/>
      <c r="G332" s="2" t="n"/>
      <c r="H332" s="1" t="n"/>
      <c r="I332" s="171" t="n"/>
    </row>
    <row r="333" ht="15" customFormat="1" customHeight="1" s="59">
      <c r="B333" s="2" t="n"/>
      <c r="C333" s="112" t="n"/>
      <c r="D333" s="2" t="n"/>
      <c r="E333" s="2" t="n"/>
      <c r="F333" s="112" t="n"/>
      <c r="G333" s="2" t="n"/>
      <c r="H333" s="1" t="n"/>
      <c r="I333" s="171" t="n"/>
    </row>
    <row r="334" ht="15" customFormat="1" customHeight="1" s="59">
      <c r="B334" s="2" t="n"/>
      <c r="C334" s="112" t="n"/>
      <c r="D334" s="2" t="n"/>
      <c r="E334" s="2" t="n"/>
      <c r="F334" s="112" t="n"/>
      <c r="G334" s="2" t="n"/>
      <c r="H334" s="1" t="n"/>
      <c r="I334" s="171" t="n"/>
    </row>
    <row r="335" ht="15" customFormat="1" customHeight="1" s="59">
      <c r="B335" s="2" t="n"/>
      <c r="C335" s="112" t="n"/>
      <c r="D335" s="2" t="n"/>
      <c r="E335" s="2" t="n"/>
      <c r="F335" s="112" t="n"/>
      <c r="G335" s="2" t="n"/>
      <c r="H335" s="1" t="n"/>
      <c r="I335" s="171" t="n"/>
    </row>
    <row r="336" ht="15" customFormat="1" customHeight="1" s="59">
      <c r="B336" s="2" t="n"/>
      <c r="C336" s="112" t="n"/>
      <c r="D336" s="2" t="n"/>
      <c r="E336" s="2" t="n"/>
      <c r="F336" s="112" t="n"/>
      <c r="G336" s="2" t="n"/>
      <c r="H336" s="1" t="n"/>
      <c r="I336" s="171" t="n"/>
    </row>
    <row r="337" ht="15" customFormat="1" customHeight="1" s="59">
      <c r="B337" s="2" t="n"/>
      <c r="C337" s="112" t="n"/>
      <c r="D337" s="2" t="n"/>
      <c r="E337" s="2" t="n"/>
      <c r="F337" s="112" t="n"/>
      <c r="G337" s="2" t="n"/>
      <c r="H337" s="1" t="n"/>
      <c r="I337" s="171" t="n"/>
    </row>
    <row r="338" ht="15" customFormat="1" customHeight="1" s="59">
      <c r="B338" s="2" t="n"/>
      <c r="C338" s="112" t="n"/>
      <c r="D338" s="2" t="n"/>
      <c r="E338" s="2" t="n"/>
      <c r="F338" s="112" t="n"/>
      <c r="G338" s="2" t="n"/>
      <c r="H338" s="1" t="n"/>
      <c r="I338" s="171" t="n"/>
    </row>
    <row r="339" ht="15" customFormat="1" customHeight="1" s="59">
      <c r="B339" s="2" t="n"/>
      <c r="C339" s="112" t="n"/>
      <c r="D339" s="2" t="n"/>
      <c r="E339" s="2" t="n"/>
      <c r="F339" s="112" t="n"/>
      <c r="G339" s="2" t="n"/>
      <c r="H339" s="1" t="n"/>
      <c r="I339" s="171" t="n"/>
    </row>
    <row r="340" ht="15" customFormat="1" customHeight="1" s="59">
      <c r="B340" s="2" t="n"/>
      <c r="C340" s="112" t="n"/>
      <c r="D340" s="2" t="n"/>
      <c r="E340" s="2" t="n"/>
      <c r="F340" s="112" t="n"/>
      <c r="G340" s="2" t="n"/>
      <c r="H340" s="1" t="n"/>
      <c r="I340" s="171" t="n"/>
    </row>
    <row r="341" ht="15" customFormat="1" customHeight="1" s="59">
      <c r="B341" s="2" t="n"/>
      <c r="C341" s="112" t="n"/>
      <c r="D341" s="2" t="n"/>
      <c r="E341" s="2" t="n"/>
      <c r="F341" s="112" t="n"/>
      <c r="G341" s="2" t="n"/>
      <c r="H341" s="1" t="n"/>
      <c r="I341" s="171" t="n"/>
    </row>
    <row r="342" ht="15" customFormat="1" customHeight="1" s="59">
      <c r="B342" s="2" t="n"/>
      <c r="C342" s="112" t="n"/>
      <c r="D342" s="2" t="n"/>
      <c r="E342" s="2" t="n"/>
      <c r="F342" s="112" t="n"/>
      <c r="G342" s="2" t="n"/>
      <c r="H342" s="1" t="n"/>
      <c r="I342" s="171" t="n"/>
    </row>
    <row r="343" ht="15" customFormat="1" customHeight="1" s="59">
      <c r="B343" s="2" t="n"/>
      <c r="C343" s="112" t="n"/>
      <c r="D343" s="2" t="n"/>
      <c r="E343" s="2" t="n"/>
      <c r="F343" s="112" t="n"/>
      <c r="G343" s="2" t="n"/>
      <c r="H343" s="1" t="n"/>
      <c r="I343" s="171" t="n"/>
    </row>
    <row r="344" ht="15" customFormat="1" customHeight="1" s="59">
      <c r="B344" s="2" t="n"/>
      <c r="C344" s="112" t="n"/>
      <c r="D344" s="2" t="n"/>
      <c r="E344" s="2" t="n"/>
      <c r="F344" s="112" t="n"/>
      <c r="G344" s="2" t="n"/>
      <c r="H344" s="1" t="n"/>
      <c r="I344" s="171" t="n"/>
    </row>
    <row r="345" ht="15" customFormat="1" customHeight="1" s="59">
      <c r="B345" s="2" t="n"/>
      <c r="C345" s="112" t="n"/>
      <c r="D345" s="2" t="n"/>
      <c r="E345" s="2" t="n"/>
      <c r="F345" s="112" t="n"/>
      <c r="G345" s="2" t="n"/>
      <c r="H345" s="1" t="n"/>
      <c r="I345" s="171" t="n"/>
    </row>
    <row r="346" ht="15" customFormat="1" customHeight="1" s="59">
      <c r="B346" s="2" t="n"/>
      <c r="C346" s="112" t="n"/>
      <c r="D346" s="2" t="n"/>
      <c r="E346" s="2" t="n"/>
      <c r="F346" s="112" t="n"/>
      <c r="G346" s="2" t="n"/>
      <c r="H346" s="1" t="n"/>
      <c r="I346" s="171" t="n"/>
    </row>
    <row r="347" ht="15" customFormat="1" customHeight="1" s="59">
      <c r="B347" s="2" t="n"/>
      <c r="C347" s="112" t="n"/>
      <c r="D347" s="2" t="n"/>
      <c r="E347" s="2" t="n"/>
      <c r="F347" s="112" t="n"/>
      <c r="G347" s="2" t="n"/>
      <c r="H347" s="1" t="n"/>
      <c r="I347" s="171" t="n"/>
    </row>
    <row r="348" ht="15" customFormat="1" customHeight="1" s="59">
      <c r="B348" s="2" t="n"/>
      <c r="C348" s="112" t="n"/>
      <c r="D348" s="2" t="n"/>
      <c r="E348" s="2" t="n"/>
      <c r="F348" s="112" t="n"/>
      <c r="G348" s="2" t="n"/>
      <c r="H348" s="1" t="n"/>
      <c r="I348" s="171" t="n"/>
    </row>
    <row r="349" ht="15" customFormat="1" customHeight="1" s="59">
      <c r="B349" s="2" t="n"/>
      <c r="C349" s="112" t="n"/>
      <c r="D349" s="2" t="n"/>
      <c r="E349" s="2" t="n"/>
      <c r="F349" s="112" t="n"/>
      <c r="G349" s="2" t="n"/>
      <c r="H349" s="1" t="n"/>
      <c r="I349" s="171" t="n"/>
    </row>
    <row r="350" ht="15" customFormat="1" customHeight="1" s="59">
      <c r="B350" s="2" t="n"/>
      <c r="C350" s="112" t="n"/>
      <c r="D350" s="2" t="n"/>
      <c r="E350" s="2" t="n"/>
      <c r="F350" s="112" t="n"/>
      <c r="G350" s="2" t="n"/>
      <c r="H350" s="1" t="n"/>
      <c r="I350" s="171" t="n"/>
    </row>
    <row r="351" ht="15" customFormat="1" customHeight="1" s="59">
      <c r="B351" s="2" t="n"/>
      <c r="C351" s="112" t="n"/>
      <c r="D351" s="2" t="n"/>
      <c r="E351" s="2" t="n"/>
      <c r="F351" s="112" t="n"/>
      <c r="G351" s="2" t="n"/>
      <c r="H351" s="1" t="n"/>
      <c r="I351" s="171" t="n"/>
    </row>
    <row r="352" ht="15" customFormat="1" customHeight="1" s="59">
      <c r="B352" s="2" t="n"/>
      <c r="C352" s="112" t="n"/>
      <c r="D352" s="2" t="n"/>
      <c r="E352" s="2" t="n"/>
      <c r="F352" s="112" t="n"/>
      <c r="G352" s="2" t="n"/>
      <c r="H352" s="1" t="n"/>
      <c r="I352" s="171" t="n"/>
    </row>
    <row r="353" ht="15" customFormat="1" customHeight="1" s="59">
      <c r="B353" s="2" t="n"/>
      <c r="C353" s="112" t="n"/>
      <c r="D353" s="2" t="n"/>
      <c r="E353" s="2" t="n"/>
      <c r="F353" s="112" t="n"/>
      <c r="G353" s="2" t="n"/>
      <c r="H353" s="1" t="n"/>
      <c r="I353" s="171" t="n"/>
    </row>
    <row r="354" ht="15" customFormat="1" customHeight="1" s="59">
      <c r="B354" s="2" t="n"/>
      <c r="C354" s="112" t="n"/>
      <c r="D354" s="2" t="n"/>
      <c r="E354" s="2" t="n"/>
      <c r="F354" s="112" t="n"/>
      <c r="G354" s="2" t="n"/>
      <c r="H354" s="1" t="n"/>
      <c r="I354" s="171" t="n"/>
    </row>
    <row r="355" ht="15" customFormat="1" customHeight="1" s="59">
      <c r="B355" s="2" t="n"/>
      <c r="C355" s="112" t="n"/>
      <c r="D355" s="2" t="n"/>
      <c r="E355" s="2" t="n"/>
      <c r="F355" s="112" t="n"/>
      <c r="G355" s="2" t="n"/>
      <c r="H355" s="1" t="n"/>
      <c r="I355" s="171" t="n"/>
    </row>
    <row r="356" ht="15" customFormat="1" customHeight="1" s="59">
      <c r="B356" s="2" t="n"/>
      <c r="C356" s="112" t="n"/>
      <c r="D356" s="2" t="n"/>
      <c r="E356" s="2" t="n"/>
      <c r="F356" s="112" t="n"/>
      <c r="G356" s="2" t="n"/>
      <c r="H356" s="1" t="n"/>
      <c r="I356" s="171" t="n"/>
    </row>
    <row r="357" ht="15" customFormat="1" customHeight="1" s="59">
      <c r="B357" s="2" t="n"/>
      <c r="C357" s="112" t="n"/>
      <c r="D357" s="2" t="n"/>
      <c r="E357" s="2" t="n"/>
      <c r="F357" s="112" t="n"/>
      <c r="G357" s="2" t="n"/>
      <c r="H357" s="1" t="n"/>
      <c r="I357" s="171" t="n"/>
    </row>
    <row r="358" ht="15" customFormat="1" customHeight="1" s="59">
      <c r="B358" s="2" t="n"/>
      <c r="C358" s="112" t="n"/>
      <c r="D358" s="2" t="n"/>
      <c r="E358" s="2" t="n"/>
      <c r="F358" s="112" t="n"/>
      <c r="G358" s="2" t="n"/>
      <c r="H358" s="1" t="n"/>
      <c r="I358" s="171" t="n"/>
    </row>
    <row r="359" ht="15" customFormat="1" customHeight="1" s="59">
      <c r="B359" s="2" t="n"/>
      <c r="C359" s="112" t="n"/>
      <c r="D359" s="2" t="n"/>
      <c r="E359" s="2" t="n"/>
      <c r="F359" s="112" t="n"/>
      <c r="G359" s="2" t="n"/>
      <c r="H359" s="1" t="n"/>
      <c r="I359" s="171" t="n"/>
    </row>
    <row r="360" ht="15" customFormat="1" customHeight="1" s="59">
      <c r="B360" s="2" t="n"/>
      <c r="C360" s="112" t="n"/>
      <c r="D360" s="2" t="n"/>
      <c r="E360" s="2" t="n"/>
      <c r="F360" s="112" t="n"/>
      <c r="G360" s="2" t="n"/>
      <c r="H360" s="1" t="n"/>
      <c r="I360" s="171" t="n"/>
    </row>
    <row r="361" ht="15" customFormat="1" customHeight="1" s="59">
      <c r="B361" s="2" t="n"/>
      <c r="C361" s="112" t="n"/>
      <c r="D361" s="2" t="n"/>
      <c r="E361" s="2" t="n"/>
      <c r="F361" s="112" t="n"/>
      <c r="G361" s="2" t="n"/>
      <c r="H361" s="1" t="n"/>
      <c r="I361" s="171" t="n"/>
    </row>
    <row r="362" ht="15" customFormat="1" customHeight="1" s="59">
      <c r="B362" s="2" t="n"/>
      <c r="C362" s="112" t="n"/>
      <c r="D362" s="2" t="n"/>
      <c r="E362" s="2" t="n"/>
      <c r="F362" s="112" t="n"/>
      <c r="G362" s="2" t="n"/>
      <c r="H362" s="1" t="n"/>
      <c r="I362" s="171" t="n"/>
    </row>
    <row r="363" ht="15" customFormat="1" customHeight="1" s="59">
      <c r="B363" s="2" t="n"/>
      <c r="C363" s="112" t="n"/>
      <c r="D363" s="2" t="n"/>
      <c r="E363" s="2" t="n"/>
      <c r="F363" s="112" t="n"/>
      <c r="G363" s="2" t="n"/>
      <c r="H363" s="1" t="n"/>
      <c r="I363" s="171" t="n"/>
    </row>
    <row r="364" ht="15" customFormat="1" customHeight="1" s="59">
      <c r="B364" s="2" t="n"/>
      <c r="C364" s="112" t="n"/>
      <c r="D364" s="2" t="n"/>
      <c r="E364" s="2" t="n"/>
      <c r="F364" s="112" t="n"/>
      <c r="G364" s="2" t="n"/>
      <c r="H364" s="1" t="n"/>
      <c r="I364" s="171" t="n"/>
    </row>
    <row r="365" ht="15" customFormat="1" customHeight="1" s="59">
      <c r="B365" s="2" t="n"/>
      <c r="C365" s="112" t="n"/>
      <c r="D365" s="2" t="n"/>
      <c r="E365" s="2" t="n"/>
      <c r="F365" s="112" t="n"/>
      <c r="G365" s="2" t="n"/>
      <c r="H365" s="1" t="n"/>
      <c r="I365" s="171" t="n"/>
    </row>
    <row r="366" ht="15" customFormat="1" customHeight="1" s="59">
      <c r="B366" s="2" t="n"/>
      <c r="C366" s="112" t="n"/>
      <c r="D366" s="2" t="n"/>
      <c r="E366" s="2" t="n"/>
      <c r="F366" s="112" t="n"/>
      <c r="G366" s="2" t="n"/>
      <c r="H366" s="1" t="n"/>
      <c r="I366" s="171" t="n"/>
    </row>
    <row r="367" ht="15" customFormat="1" customHeight="1" s="59">
      <c r="B367" s="2" t="n"/>
      <c r="C367" s="112" t="n"/>
      <c r="D367" s="2" t="n"/>
      <c r="E367" s="2" t="n"/>
      <c r="F367" s="112" t="n"/>
      <c r="G367" s="2" t="n"/>
      <c r="H367" s="1" t="n"/>
      <c r="I367" s="171" t="n"/>
    </row>
    <row r="368" ht="15" customFormat="1" customHeight="1" s="59">
      <c r="B368" s="2" t="n"/>
      <c r="C368" s="112" t="n"/>
      <c r="D368" s="2" t="n"/>
      <c r="E368" s="2" t="n"/>
      <c r="F368" s="112" t="n"/>
      <c r="G368" s="2" t="n"/>
      <c r="H368" s="1" t="n"/>
      <c r="I368" s="171" t="n"/>
    </row>
    <row r="369" ht="15" customFormat="1" customHeight="1" s="59">
      <c r="B369" s="2" t="n"/>
      <c r="C369" s="112" t="n"/>
      <c r="D369" s="2" t="n"/>
      <c r="E369" s="2" t="n"/>
      <c r="F369" s="112" t="n"/>
      <c r="G369" s="2" t="n"/>
      <c r="H369" s="1" t="n"/>
      <c r="I369" s="171" t="n"/>
    </row>
    <row r="370" ht="15" customFormat="1" customHeight="1" s="59">
      <c r="B370" s="2" t="n"/>
      <c r="C370" s="112" t="n"/>
      <c r="D370" s="2" t="n"/>
      <c r="E370" s="2" t="n"/>
      <c r="F370" s="112" t="n"/>
      <c r="G370" s="2" t="n"/>
      <c r="H370" s="1" t="n"/>
      <c r="I370" s="171" t="n"/>
    </row>
    <row r="371" ht="15" customFormat="1" customHeight="1" s="59">
      <c r="B371" s="2" t="n"/>
      <c r="C371" s="112" t="n"/>
      <c r="D371" s="2" t="n"/>
      <c r="E371" s="2" t="n"/>
      <c r="F371" s="112" t="n"/>
      <c r="G371" s="2" t="n"/>
      <c r="H371" s="1" t="n"/>
      <c r="I371" s="171" t="n"/>
    </row>
    <row r="372" ht="15" customFormat="1" customHeight="1" s="59">
      <c r="B372" s="2" t="n"/>
      <c r="C372" s="112" t="n"/>
      <c r="D372" s="2" t="n"/>
      <c r="E372" s="2" t="n"/>
      <c r="F372" s="112" t="n"/>
      <c r="G372" s="2" t="n"/>
      <c r="H372" s="1" t="n"/>
      <c r="I372" s="171" t="n"/>
    </row>
    <row r="373" ht="15" customFormat="1" customHeight="1" s="59">
      <c r="B373" s="2" t="n"/>
      <c r="C373" s="112" t="n"/>
      <c r="D373" s="2" t="n"/>
      <c r="E373" s="2" t="n"/>
      <c r="F373" s="112" t="n"/>
      <c r="G373" s="2" t="n"/>
      <c r="H373" s="1" t="n"/>
      <c r="I373" s="171" t="n"/>
    </row>
    <row r="374" ht="15" customFormat="1" customHeight="1" s="59">
      <c r="B374" s="2" t="n"/>
      <c r="C374" s="112" t="n"/>
      <c r="D374" s="2" t="n"/>
      <c r="E374" s="2" t="n"/>
      <c r="F374" s="112" t="n"/>
      <c r="G374" s="2" t="n"/>
      <c r="H374" s="1" t="n"/>
      <c r="I374" s="171" t="n"/>
    </row>
    <row r="375" ht="15" customFormat="1" customHeight="1" s="59">
      <c r="B375" s="2" t="n"/>
      <c r="C375" s="112" t="n"/>
      <c r="D375" s="2" t="n"/>
      <c r="E375" s="2" t="n"/>
      <c r="F375" s="112" t="n"/>
      <c r="G375" s="2" t="n"/>
      <c r="H375" s="1" t="n"/>
      <c r="I375" s="171" t="n"/>
    </row>
    <row r="376" ht="15" customFormat="1" customHeight="1" s="59">
      <c r="B376" s="2" t="n"/>
      <c r="C376" s="112" t="n"/>
      <c r="D376" s="2" t="n"/>
      <c r="E376" s="2" t="n"/>
      <c r="F376" s="112" t="n"/>
      <c r="G376" s="2" t="n"/>
      <c r="H376" s="1" t="n"/>
      <c r="I376" s="171" t="n"/>
    </row>
    <row r="377" ht="15" customFormat="1" customHeight="1" s="59">
      <c r="B377" s="2" t="n"/>
      <c r="C377" s="112" t="n"/>
      <c r="D377" s="2" t="n"/>
      <c r="E377" s="2" t="n"/>
      <c r="F377" s="112" t="n"/>
      <c r="G377" s="2" t="n"/>
      <c r="H377" s="1" t="n"/>
      <c r="I377" s="171" t="n"/>
    </row>
    <row r="378" ht="15" customFormat="1" customHeight="1" s="59">
      <c r="B378" s="2" t="n"/>
      <c r="C378" s="112" t="n"/>
      <c r="D378" s="2" t="n"/>
      <c r="E378" s="2" t="n"/>
      <c r="F378" s="112" t="n"/>
      <c r="G378" s="2" t="n"/>
      <c r="H378" s="1" t="n"/>
      <c r="I378" s="171" t="n"/>
    </row>
    <row r="379" ht="15" customFormat="1" customHeight="1" s="59">
      <c r="B379" s="2" t="n"/>
      <c r="C379" s="112" t="n"/>
      <c r="D379" s="2" t="n"/>
      <c r="E379" s="2" t="n"/>
      <c r="F379" s="112" t="n"/>
      <c r="G379" s="2" t="n"/>
      <c r="H379" s="1" t="n"/>
      <c r="I379" s="171" t="n"/>
    </row>
    <row r="380" ht="15" customFormat="1" customHeight="1" s="59">
      <c r="B380" s="2" t="n"/>
      <c r="C380" s="112" t="n"/>
      <c r="D380" s="2" t="n"/>
      <c r="E380" s="2" t="n"/>
      <c r="F380" s="112" t="n"/>
      <c r="G380" s="2" t="n"/>
      <c r="H380" s="1" t="n"/>
      <c r="I380" s="171" t="n"/>
    </row>
    <row r="381" ht="15" customFormat="1" customHeight="1" s="59">
      <c r="B381" s="2" t="n"/>
      <c r="C381" s="112" t="n"/>
      <c r="D381" s="2" t="n"/>
      <c r="E381" s="2" t="n"/>
      <c r="F381" s="112" t="n"/>
      <c r="G381" s="2" t="n"/>
      <c r="H381" s="1" t="n"/>
      <c r="I381" s="171" t="n"/>
    </row>
    <row r="382" ht="15" customFormat="1" customHeight="1" s="59">
      <c r="B382" s="2" t="n"/>
      <c r="C382" s="112" t="n"/>
      <c r="D382" s="2" t="n"/>
      <c r="E382" s="2" t="n"/>
      <c r="F382" s="112" t="n"/>
      <c r="G382" s="2" t="n"/>
      <c r="H382" s="1" t="n"/>
      <c r="I382" s="171" t="n"/>
    </row>
    <row r="383" ht="15" customFormat="1" customHeight="1" s="59">
      <c r="B383" s="2" t="n"/>
      <c r="C383" s="112" t="n"/>
      <c r="D383" s="2" t="n"/>
      <c r="E383" s="2" t="n"/>
      <c r="F383" s="112" t="n"/>
      <c r="G383" s="2" t="n"/>
      <c r="H383" s="1" t="n"/>
      <c r="I383" s="171" t="n"/>
    </row>
    <row r="384" ht="15" customFormat="1" customHeight="1" s="59">
      <c r="B384" s="2" t="n"/>
      <c r="C384" s="112" t="n"/>
      <c r="D384" s="2" t="n"/>
      <c r="E384" s="2" t="n"/>
      <c r="F384" s="112" t="n"/>
      <c r="G384" s="2" t="n"/>
      <c r="H384" s="1" t="n"/>
      <c r="I384" s="171" t="n"/>
    </row>
    <row r="385" ht="15" customFormat="1" customHeight="1" s="59">
      <c r="B385" s="2" t="n"/>
      <c r="C385" s="112" t="n"/>
      <c r="D385" s="2" t="n"/>
      <c r="E385" s="2" t="n"/>
      <c r="F385" s="112" t="n"/>
      <c r="G385" s="2" t="n"/>
      <c r="H385" s="1" t="n"/>
      <c r="I385" s="171" t="n"/>
    </row>
    <row r="386" ht="15" customFormat="1" customHeight="1" s="59">
      <c r="B386" s="2" t="n"/>
      <c r="C386" s="112" t="n"/>
      <c r="D386" s="2" t="n"/>
      <c r="E386" s="2" t="n"/>
      <c r="F386" s="112" t="n"/>
      <c r="G386" s="2" t="n"/>
      <c r="H386" s="1" t="n"/>
      <c r="I386" s="171" t="n"/>
    </row>
    <row r="387" ht="15" customFormat="1" customHeight="1" s="59">
      <c r="B387" s="2" t="n"/>
      <c r="C387" s="112" t="n"/>
      <c r="D387" s="2" t="n"/>
      <c r="E387" s="2" t="n"/>
      <c r="F387" s="112" t="n"/>
      <c r="G387" s="2" t="n"/>
      <c r="H387" s="1" t="n"/>
      <c r="I387" s="171" t="n"/>
    </row>
    <row r="388" ht="15" customFormat="1" customHeight="1" s="59">
      <c r="B388" s="2" t="n"/>
      <c r="C388" s="112" t="n"/>
      <c r="D388" s="2" t="n"/>
      <c r="E388" s="2" t="n"/>
      <c r="F388" s="112" t="n"/>
      <c r="G388" s="2" t="n"/>
      <c r="H388" s="1" t="n"/>
      <c r="I388" s="171" t="n"/>
    </row>
    <row r="389" ht="15" customFormat="1" customHeight="1" s="59">
      <c r="B389" s="2" t="n"/>
      <c r="C389" s="112" t="n"/>
      <c r="D389" s="2" t="n"/>
      <c r="E389" s="2" t="n"/>
      <c r="F389" s="112" t="n"/>
      <c r="G389" s="2" t="n"/>
      <c r="H389" s="1" t="n"/>
      <c r="I389" s="171" t="n"/>
    </row>
    <row r="390" ht="15" customFormat="1" customHeight="1" s="59">
      <c r="B390" s="2" t="n"/>
      <c r="C390" s="112" t="n"/>
      <c r="D390" s="2" t="n"/>
      <c r="E390" s="2" t="n"/>
      <c r="F390" s="112" t="n"/>
      <c r="G390" s="2" t="n"/>
      <c r="H390" s="1" t="n"/>
      <c r="I390" s="171" t="n"/>
    </row>
    <row r="391" ht="15" customFormat="1" customHeight="1" s="59">
      <c r="B391" s="2" t="n"/>
      <c r="C391" s="112" t="n"/>
      <c r="D391" s="2" t="n"/>
      <c r="E391" s="2" t="n"/>
      <c r="F391" s="112" t="n"/>
      <c r="G391" s="2" t="n"/>
      <c r="H391" s="1" t="n"/>
      <c r="I391" s="171" t="n"/>
    </row>
    <row r="392" ht="15" customFormat="1" customHeight="1" s="59">
      <c r="B392" s="2" t="n"/>
      <c r="C392" s="112" t="n"/>
      <c r="D392" s="2" t="n"/>
      <c r="E392" s="2" t="n"/>
      <c r="F392" s="112" t="n"/>
      <c r="G392" s="2" t="n"/>
      <c r="H392" s="1" t="n"/>
      <c r="I392" s="171" t="n"/>
    </row>
    <row r="393" ht="15" customFormat="1" customHeight="1" s="59">
      <c r="B393" s="2" t="n"/>
      <c r="C393" s="112" t="n"/>
      <c r="D393" s="2" t="n"/>
      <c r="E393" s="2" t="n"/>
      <c r="F393" s="112" t="n"/>
      <c r="G393" s="2" t="n"/>
      <c r="H393" s="1" t="n"/>
      <c r="I393" s="171" t="n"/>
    </row>
    <row r="394" ht="15" customFormat="1" customHeight="1" s="59">
      <c r="B394" s="2" t="n"/>
      <c r="C394" s="112" t="n"/>
      <c r="D394" s="2" t="n"/>
      <c r="E394" s="2" t="n"/>
      <c r="F394" s="112" t="n"/>
      <c r="G394" s="2" t="n"/>
      <c r="H394" s="1" t="n"/>
      <c r="I394" s="171" t="n"/>
    </row>
    <row r="395" ht="15" customFormat="1" customHeight="1" s="59">
      <c r="B395" s="2" t="n"/>
      <c r="C395" s="112" t="n"/>
      <c r="D395" s="2" t="n"/>
      <c r="E395" s="2" t="n"/>
      <c r="F395" s="112" t="n"/>
      <c r="G395" s="2" t="n"/>
      <c r="H395" s="1" t="n"/>
      <c r="I395" s="171" t="n"/>
    </row>
    <row r="396" ht="15" customFormat="1" customHeight="1" s="59">
      <c r="B396" s="2" t="n"/>
      <c r="C396" s="112" t="n"/>
      <c r="D396" s="2" t="n"/>
      <c r="E396" s="2" t="n"/>
      <c r="F396" s="112" t="n"/>
      <c r="G396" s="2" t="n"/>
      <c r="H396" s="1" t="n"/>
      <c r="I396" s="171" t="n"/>
    </row>
    <row r="397" ht="15" customFormat="1" customHeight="1" s="59">
      <c r="B397" s="2" t="n"/>
      <c r="C397" s="112" t="n"/>
      <c r="D397" s="2" t="n"/>
      <c r="E397" s="2" t="n"/>
      <c r="F397" s="112" t="n"/>
      <c r="G397" s="2" t="n"/>
      <c r="H397" s="1" t="n"/>
      <c r="I397" s="171" t="n"/>
    </row>
    <row r="398" ht="15" customFormat="1" customHeight="1" s="59">
      <c r="B398" s="2" t="n"/>
      <c r="C398" s="112" t="n"/>
      <c r="D398" s="2" t="n"/>
      <c r="E398" s="2" t="n"/>
      <c r="F398" s="112" t="n"/>
      <c r="G398" s="2" t="n"/>
      <c r="H398" s="1" t="n"/>
      <c r="I398" s="171" t="n"/>
    </row>
    <row r="399" ht="15" customFormat="1" customHeight="1" s="59">
      <c r="B399" s="2" t="n"/>
      <c r="C399" s="112" t="n"/>
      <c r="D399" s="2" t="n"/>
      <c r="E399" s="2" t="n"/>
      <c r="F399" s="112" t="n"/>
      <c r="G399" s="2" t="n"/>
      <c r="H399" s="1" t="n"/>
      <c r="I399" s="171" t="n"/>
    </row>
    <row r="400" ht="15" customFormat="1" customHeight="1" s="59">
      <c r="B400" s="2" t="n"/>
      <c r="C400" s="112" t="n"/>
      <c r="D400" s="2" t="n"/>
      <c r="E400" s="2" t="n"/>
      <c r="F400" s="112" t="n"/>
      <c r="G400" s="2" t="n"/>
      <c r="H400" s="1" t="n"/>
      <c r="I400" s="171" t="n"/>
    </row>
    <row r="401" ht="15" customFormat="1" customHeight="1" s="59">
      <c r="B401" s="2" t="n"/>
      <c r="C401" s="112" t="n"/>
      <c r="D401" s="2" t="n"/>
      <c r="E401" s="2" t="n"/>
      <c r="F401" s="112" t="n"/>
      <c r="G401" s="2" t="n"/>
      <c r="H401" s="1" t="n"/>
      <c r="I401" s="171" t="n"/>
    </row>
    <row r="402" ht="15" customFormat="1" customHeight="1" s="59">
      <c r="B402" s="2" t="n"/>
      <c r="C402" s="112" t="n"/>
      <c r="D402" s="2" t="n"/>
      <c r="E402" s="2" t="n"/>
      <c r="F402" s="112" t="n"/>
      <c r="G402" s="2" t="n"/>
      <c r="H402" s="1" t="n"/>
      <c r="I402" s="171" t="n"/>
    </row>
    <row r="403" ht="15" customFormat="1" customHeight="1" s="59">
      <c r="B403" s="2" t="n"/>
      <c r="C403" s="112" t="n"/>
      <c r="D403" s="2" t="n"/>
      <c r="E403" s="2" t="n"/>
      <c r="F403" s="112" t="n"/>
      <c r="G403" s="2" t="n"/>
      <c r="H403" s="1" t="n"/>
      <c r="I403" s="171" t="n"/>
    </row>
    <row r="404" ht="15" customFormat="1" customHeight="1" s="59">
      <c r="B404" s="2" t="n"/>
      <c r="C404" s="112" t="n"/>
      <c r="D404" s="2" t="n"/>
      <c r="E404" s="2" t="n"/>
      <c r="F404" s="112" t="n"/>
      <c r="G404" s="2" t="n"/>
      <c r="H404" s="1" t="n"/>
      <c r="I404" s="171" t="n"/>
    </row>
    <row r="405" ht="15" customFormat="1" customHeight="1" s="59">
      <c r="B405" s="2" t="n"/>
      <c r="C405" s="112" t="n"/>
      <c r="D405" s="2" t="n"/>
      <c r="E405" s="2" t="n"/>
      <c r="F405" s="112" t="n"/>
      <c r="G405" s="2" t="n"/>
      <c r="H405" s="1" t="n"/>
      <c r="I405" s="171" t="n"/>
    </row>
    <row r="406" ht="15" customFormat="1" customHeight="1" s="59">
      <c r="B406" s="2" t="n"/>
      <c r="C406" s="112" t="n"/>
      <c r="D406" s="2" t="n"/>
      <c r="E406" s="2" t="n"/>
      <c r="F406" s="112" t="n"/>
      <c r="G406" s="2" t="n"/>
      <c r="H406" s="1" t="n"/>
      <c r="I406" s="171" t="n"/>
    </row>
    <row r="407" ht="15" customFormat="1" customHeight="1" s="59">
      <c r="B407" s="2" t="n"/>
      <c r="C407" s="112" t="n"/>
      <c r="D407" s="2" t="n"/>
      <c r="E407" s="2" t="n"/>
      <c r="F407" s="112" t="n"/>
      <c r="G407" s="2" t="n"/>
      <c r="H407" s="1" t="n"/>
      <c r="I407" s="171" t="n"/>
    </row>
    <row r="408" ht="15" customFormat="1" customHeight="1" s="59">
      <c r="B408" s="2" t="n"/>
      <c r="C408" s="112" t="n"/>
      <c r="D408" s="2" t="n"/>
      <c r="E408" s="2" t="n"/>
      <c r="F408" s="112" t="n"/>
      <c r="G408" s="2" t="n"/>
      <c r="H408" s="1" t="n"/>
      <c r="I408" s="171" t="n"/>
    </row>
    <row r="409" ht="15" customFormat="1" customHeight="1" s="59">
      <c r="B409" s="2" t="n"/>
      <c r="C409" s="112" t="n"/>
      <c r="D409" s="2" t="n"/>
      <c r="E409" s="2" t="n"/>
      <c r="F409" s="112" t="n"/>
      <c r="G409" s="2" t="n"/>
      <c r="H409" s="1" t="n"/>
      <c r="I409" s="171" t="n"/>
    </row>
    <row r="410" ht="15" customFormat="1" customHeight="1" s="59">
      <c r="B410" s="2" t="n"/>
      <c r="C410" s="112" t="n"/>
      <c r="D410" s="2" t="n"/>
      <c r="E410" s="2" t="n"/>
      <c r="F410" s="112" t="n"/>
      <c r="G410" s="2" t="n"/>
      <c r="H410" s="1" t="n"/>
      <c r="I410" s="171" t="n"/>
    </row>
    <row r="411" ht="15" customFormat="1" customHeight="1" s="59">
      <c r="B411" s="2" t="n"/>
      <c r="C411" s="112" t="n"/>
      <c r="D411" s="2" t="n"/>
      <c r="E411" s="2" t="n"/>
      <c r="F411" s="112" t="n"/>
      <c r="G411" s="2" t="n"/>
      <c r="H411" s="1" t="n"/>
      <c r="I411" s="171" t="n"/>
    </row>
    <row r="412" ht="15" customFormat="1" customHeight="1" s="59">
      <c r="B412" s="2" t="n"/>
      <c r="C412" s="112" t="n"/>
      <c r="D412" s="2" t="n"/>
      <c r="E412" s="2" t="n"/>
      <c r="F412" s="112" t="n"/>
      <c r="G412" s="2" t="n"/>
      <c r="H412" s="1" t="n"/>
      <c r="I412" s="171" t="n"/>
    </row>
    <row r="413" ht="15" customFormat="1" customHeight="1" s="59">
      <c r="B413" s="2" t="n"/>
      <c r="C413" s="112" t="n"/>
      <c r="D413" s="2" t="n"/>
      <c r="E413" s="2" t="n"/>
      <c r="F413" s="112" t="n"/>
      <c r="G413" s="2" t="n"/>
      <c r="H413" s="1" t="n"/>
      <c r="I413" s="171" t="n"/>
    </row>
    <row r="414" ht="15" customFormat="1" customHeight="1" s="59">
      <c r="B414" s="2" t="n"/>
      <c r="C414" s="112" t="n"/>
      <c r="D414" s="2" t="n"/>
      <c r="E414" s="2" t="n"/>
      <c r="F414" s="112" t="n"/>
      <c r="G414" s="2" t="n"/>
      <c r="H414" s="1" t="n"/>
      <c r="I414" s="171" t="n"/>
    </row>
    <row r="415" ht="15" customFormat="1" customHeight="1" s="59">
      <c r="B415" s="2" t="n"/>
      <c r="C415" s="112" t="n"/>
      <c r="D415" s="2" t="n"/>
      <c r="E415" s="2" t="n"/>
      <c r="F415" s="112" t="n"/>
      <c r="G415" s="2" t="n"/>
      <c r="H415" s="1" t="n"/>
      <c r="I415" s="171" t="n"/>
    </row>
    <row r="416" ht="15" customFormat="1" customHeight="1" s="59">
      <c r="B416" s="2" t="n"/>
      <c r="C416" s="112" t="n"/>
      <c r="D416" s="2" t="n"/>
      <c r="E416" s="2" t="n"/>
      <c r="F416" s="112" t="n"/>
      <c r="G416" s="2" t="n"/>
      <c r="H416" s="1" t="n"/>
      <c r="I416" s="171" t="n"/>
    </row>
    <row r="417" ht="15" customFormat="1" customHeight="1" s="59">
      <c r="B417" s="2" t="n"/>
      <c r="C417" s="112" t="n"/>
      <c r="D417" s="2" t="n"/>
      <c r="E417" s="2" t="n"/>
      <c r="F417" s="112" t="n"/>
      <c r="G417" s="2" t="n"/>
      <c r="H417" s="1" t="n"/>
      <c r="I417" s="171" t="n"/>
    </row>
    <row r="418" ht="15" customFormat="1" customHeight="1" s="59">
      <c r="B418" s="2" t="n"/>
      <c r="C418" s="112" t="n"/>
      <c r="D418" s="2" t="n"/>
      <c r="E418" s="2" t="n"/>
      <c r="F418" s="112" t="n"/>
      <c r="G418" s="2" t="n"/>
      <c r="H418" s="1" t="n"/>
      <c r="I418" s="171" t="n"/>
    </row>
    <row r="419" ht="15" customFormat="1" customHeight="1" s="59">
      <c r="B419" s="2" t="n"/>
      <c r="C419" s="112" t="n"/>
      <c r="D419" s="2" t="n"/>
      <c r="E419" s="2" t="n"/>
      <c r="F419" s="112" t="n"/>
      <c r="G419" s="2" t="n"/>
      <c r="H419" s="1" t="n"/>
      <c r="I419" s="171" t="n"/>
    </row>
    <row r="420" ht="15" customFormat="1" customHeight="1" s="59">
      <c r="B420" s="2" t="n"/>
      <c r="C420" s="112" t="n"/>
      <c r="D420" s="2" t="n"/>
      <c r="E420" s="2" t="n"/>
      <c r="F420" s="112" t="n"/>
      <c r="G420" s="2" t="n"/>
      <c r="H420" s="1" t="n"/>
      <c r="I420" s="171" t="n"/>
    </row>
    <row r="421" ht="15" customFormat="1" customHeight="1" s="59">
      <c r="B421" s="2" t="n"/>
      <c r="C421" s="112" t="n"/>
      <c r="D421" s="2" t="n"/>
      <c r="E421" s="2" t="n"/>
      <c r="F421" s="112" t="n"/>
      <c r="G421" s="2" t="n"/>
      <c r="H421" s="1" t="n"/>
      <c r="I421" s="171" t="n"/>
    </row>
    <row r="422" ht="15" customFormat="1" customHeight="1" s="59">
      <c r="B422" s="2" t="n"/>
      <c r="C422" s="112" t="n"/>
      <c r="D422" s="2" t="n"/>
      <c r="E422" s="2" t="n"/>
      <c r="F422" s="112" t="n"/>
      <c r="G422" s="2" t="n"/>
      <c r="H422" s="1" t="n"/>
      <c r="I422" s="171" t="n"/>
    </row>
    <row r="423" ht="15" customFormat="1" customHeight="1" s="59">
      <c r="B423" s="2" t="n"/>
      <c r="C423" s="112" t="n"/>
      <c r="D423" s="2" t="n"/>
      <c r="E423" s="2" t="n"/>
      <c r="F423" s="112" t="n"/>
      <c r="G423" s="2" t="n"/>
      <c r="H423" s="1" t="n"/>
      <c r="I423" s="171" t="n"/>
    </row>
    <row r="424" ht="15" customFormat="1" customHeight="1" s="59">
      <c r="B424" s="2" t="n"/>
      <c r="C424" s="112" t="n"/>
      <c r="D424" s="2" t="n"/>
      <c r="E424" s="2" t="n"/>
      <c r="F424" s="112" t="n"/>
      <c r="G424" s="2" t="n"/>
      <c r="H424" s="1" t="n"/>
      <c r="I424" s="171" t="n"/>
    </row>
    <row r="425" ht="15" customFormat="1" customHeight="1" s="59">
      <c r="B425" s="2" t="n"/>
      <c r="C425" s="112" t="n"/>
      <c r="D425" s="2" t="n"/>
      <c r="E425" s="2" t="n"/>
      <c r="F425" s="112" t="n"/>
      <c r="G425" s="2" t="n"/>
      <c r="H425" s="1" t="n"/>
      <c r="I425" s="171" t="n"/>
    </row>
    <row r="426" ht="15" customFormat="1" customHeight="1" s="59">
      <c r="B426" s="2" t="n"/>
      <c r="C426" s="112" t="n"/>
      <c r="D426" s="2" t="n"/>
      <c r="E426" s="2" t="n"/>
      <c r="F426" s="112" t="n"/>
      <c r="G426" s="2" t="n"/>
      <c r="H426" s="1" t="n"/>
      <c r="I426" s="171" t="n"/>
    </row>
    <row r="427" ht="15" customFormat="1" customHeight="1" s="59">
      <c r="B427" s="2" t="n"/>
      <c r="C427" s="112" t="n"/>
      <c r="D427" s="2" t="n"/>
      <c r="E427" s="2" t="n"/>
      <c r="F427" s="112" t="n"/>
      <c r="G427" s="2" t="n"/>
      <c r="H427" s="1" t="n"/>
      <c r="I427" s="171" t="n"/>
    </row>
    <row r="428" ht="15" customFormat="1" customHeight="1" s="59">
      <c r="B428" s="2" t="n"/>
      <c r="C428" s="112" t="n"/>
      <c r="D428" s="2" t="n"/>
      <c r="E428" s="2" t="n"/>
      <c r="F428" s="112" t="n"/>
      <c r="G428" s="2" t="n"/>
      <c r="H428" s="1" t="n"/>
      <c r="I428" s="171" t="n"/>
    </row>
    <row r="429" ht="15" customFormat="1" customHeight="1" s="59">
      <c r="B429" s="2" t="n"/>
      <c r="C429" s="112" t="n"/>
      <c r="D429" s="2" t="n"/>
      <c r="E429" s="2" t="n"/>
      <c r="F429" s="112" t="n"/>
      <c r="G429" s="2" t="n"/>
      <c r="H429" s="1" t="n"/>
      <c r="I429" s="171" t="n"/>
    </row>
    <row r="430" ht="15" customFormat="1" customHeight="1" s="59">
      <c r="B430" s="2" t="n"/>
      <c r="C430" s="112" t="n"/>
      <c r="D430" s="2" t="n"/>
      <c r="E430" s="2" t="n"/>
      <c r="F430" s="112" t="n"/>
      <c r="G430" s="2" t="n"/>
      <c r="H430" s="1" t="n"/>
      <c r="I430" s="171" t="n"/>
    </row>
    <row r="431" ht="15" customFormat="1" customHeight="1" s="59">
      <c r="B431" s="2" t="n"/>
      <c r="C431" s="112" t="n"/>
      <c r="D431" s="2" t="n"/>
      <c r="E431" s="2" t="n"/>
      <c r="F431" s="112" t="n"/>
      <c r="G431" s="2" t="n"/>
      <c r="H431" s="1" t="n"/>
      <c r="I431" s="171" t="n"/>
    </row>
    <row r="432" ht="15" customFormat="1" customHeight="1" s="59">
      <c r="B432" s="2" t="n"/>
      <c r="C432" s="112" t="n"/>
      <c r="D432" s="2" t="n"/>
      <c r="E432" s="2" t="n"/>
      <c r="F432" s="112" t="n"/>
      <c r="G432" s="2" t="n"/>
      <c r="H432" s="1" t="n"/>
      <c r="I432" s="171" t="n"/>
    </row>
    <row r="433" ht="15" customFormat="1" customHeight="1" s="59">
      <c r="B433" s="2" t="n"/>
      <c r="C433" s="112" t="n"/>
      <c r="D433" s="2" t="n"/>
      <c r="E433" s="2" t="n"/>
      <c r="F433" s="112" t="n"/>
      <c r="G433" s="2" t="n"/>
      <c r="H433" s="1" t="n"/>
      <c r="I433" s="171" t="n"/>
    </row>
    <row r="434" ht="15" customFormat="1" customHeight="1" s="59">
      <c r="B434" s="2" t="n"/>
      <c r="C434" s="112" t="n"/>
      <c r="D434" s="2" t="n"/>
      <c r="E434" s="2" t="n"/>
      <c r="F434" s="112" t="n"/>
      <c r="G434" s="2" t="n"/>
      <c r="H434" s="1" t="n"/>
      <c r="I434" s="171" t="n"/>
    </row>
    <row r="435" ht="15" customFormat="1" customHeight="1" s="59">
      <c r="B435" s="2" t="n"/>
      <c r="C435" s="112" t="n"/>
      <c r="D435" s="2" t="n"/>
      <c r="E435" s="2" t="n"/>
      <c r="F435" s="112" t="n"/>
      <c r="G435" s="2" t="n"/>
      <c r="H435" s="1" t="n"/>
      <c r="I435" s="171" t="n"/>
    </row>
    <row r="436" ht="15" customFormat="1" customHeight="1" s="59">
      <c r="B436" s="2" t="n"/>
      <c r="C436" s="112" t="n"/>
      <c r="D436" s="2" t="n"/>
      <c r="E436" s="2" t="n"/>
      <c r="F436" s="112" t="n"/>
      <c r="G436" s="2" t="n"/>
      <c r="H436" s="1" t="n"/>
      <c r="I436" s="171" t="n"/>
    </row>
    <row r="437" ht="15" customFormat="1" customHeight="1" s="59">
      <c r="B437" s="2" t="n"/>
      <c r="C437" s="112" t="n"/>
      <c r="D437" s="2" t="n"/>
      <c r="E437" s="2" t="n"/>
      <c r="F437" s="112" t="n"/>
      <c r="G437" s="2" t="n"/>
      <c r="H437" s="1" t="n"/>
      <c r="I437" s="171" t="n"/>
    </row>
    <row r="438" ht="15" customFormat="1" customHeight="1" s="59">
      <c r="B438" s="2" t="n"/>
      <c r="C438" s="112" t="n"/>
      <c r="D438" s="2" t="n"/>
      <c r="E438" s="2" t="n"/>
      <c r="F438" s="112" t="n"/>
      <c r="G438" s="2" t="n"/>
      <c r="H438" s="1" t="n"/>
      <c r="I438" s="171" t="n"/>
    </row>
    <row r="439" ht="15" customFormat="1" customHeight="1" s="59">
      <c r="B439" s="2" t="n"/>
      <c r="C439" s="112" t="n"/>
      <c r="D439" s="2" t="n"/>
      <c r="E439" s="2" t="n"/>
      <c r="F439" s="112" t="n"/>
      <c r="G439" s="2" t="n"/>
      <c r="H439" s="1" t="n"/>
      <c r="I439" s="171" t="n"/>
    </row>
    <row r="440" ht="15" customFormat="1" customHeight="1" s="59">
      <c r="B440" s="2" t="n"/>
      <c r="C440" s="112" t="n"/>
      <c r="D440" s="2" t="n"/>
      <c r="E440" s="2" t="n"/>
      <c r="F440" s="112" t="n"/>
      <c r="G440" s="2" t="n"/>
      <c r="H440" s="1" t="n"/>
      <c r="I440" s="171" t="n"/>
    </row>
    <row r="441" ht="15" customFormat="1" customHeight="1" s="59">
      <c r="B441" s="2" t="n"/>
      <c r="C441" s="112" t="n"/>
      <c r="D441" s="2" t="n"/>
      <c r="E441" s="2" t="n"/>
      <c r="F441" s="112" t="n"/>
      <c r="G441" s="2" t="n"/>
      <c r="H441" s="1" t="n"/>
      <c r="I441" s="171" t="n"/>
    </row>
    <row r="442" ht="15" customFormat="1" customHeight="1" s="59">
      <c r="B442" s="2" t="n"/>
      <c r="C442" s="112" t="n"/>
      <c r="D442" s="2" t="n"/>
      <c r="E442" s="2" t="n"/>
      <c r="F442" s="112" t="n"/>
      <c r="G442" s="2" t="n"/>
      <c r="H442" s="1" t="n"/>
      <c r="I442" s="171" t="n"/>
    </row>
    <row r="443" ht="15" customFormat="1" customHeight="1" s="59">
      <c r="B443" s="2" t="n"/>
      <c r="C443" s="112" t="n"/>
      <c r="D443" s="2" t="n"/>
      <c r="E443" s="2" t="n"/>
      <c r="F443" s="112" t="n"/>
      <c r="G443" s="2" t="n"/>
      <c r="H443" s="1" t="n"/>
      <c r="I443" s="171" t="n"/>
    </row>
    <row r="444" ht="15" customHeight="1"/>
    <row r="445" ht="15" customHeight="1">
      <c r="K445" s="59" t="n"/>
    </row>
    <row r="446" ht="15" customHeight="1"/>
    <row r="447" ht="15" customFormat="1" customHeight="1" s="27">
      <c r="A447" s="59" t="n"/>
      <c r="B447" s="2" t="n"/>
      <c r="C447" s="112" t="n"/>
      <c r="D447" s="2" t="n"/>
      <c r="E447" s="2" t="n"/>
      <c r="F447" s="112" t="n"/>
      <c r="G447" s="2" t="n"/>
      <c r="H447" s="1" t="n"/>
      <c r="I447" s="171" t="n"/>
      <c r="K447" s="59" t="n"/>
    </row>
    <row r="448" ht="15" customFormat="1" customHeight="1" s="27">
      <c r="A448" s="59" t="n"/>
      <c r="B448" s="2" t="n"/>
      <c r="C448" s="112" t="n"/>
      <c r="D448" s="2" t="n"/>
      <c r="E448" s="2" t="n"/>
      <c r="F448" s="112" t="n"/>
      <c r="G448" s="2" t="n"/>
      <c r="H448" s="1" t="n"/>
      <c r="I448" s="171" t="n"/>
      <c r="K448" s="1" t="n"/>
    </row>
    <row r="449" ht="15" customHeight="1">
      <c r="K449" s="59" t="n"/>
    </row>
    <row r="450" ht="15" customHeight="1"/>
    <row r="451" ht="15" customHeight="1"/>
    <row r="452" ht="15" customHeight="1">
      <c r="K452" s="59" t="n"/>
    </row>
    <row r="453" ht="15" customHeight="1"/>
    <row r="454" ht="15" customHeight="1">
      <c r="K454" s="59" t="n"/>
    </row>
    <row r="455" ht="15" customHeight="1"/>
    <row r="456" ht="15" customHeight="1">
      <c r="K456" s="59" t="n"/>
    </row>
    <row r="457" ht="15" customHeight="1"/>
    <row r="458" ht="15" customHeight="1">
      <c r="K458" s="59" t="n"/>
    </row>
    <row r="459" ht="15" customHeight="1"/>
    <row r="460" ht="15" customHeight="1"/>
    <row r="461" ht="15" customHeight="1">
      <c r="K461" s="59" t="n"/>
    </row>
    <row r="462" ht="15" customHeight="1"/>
    <row r="463" ht="15" customHeight="1">
      <c r="K463" s="59" t="n"/>
    </row>
    <row r="464" ht="15" customHeight="1"/>
    <row r="465" ht="15" customHeight="1">
      <c r="K465" s="59" t="n"/>
    </row>
    <row r="466" ht="15" customHeight="1"/>
    <row r="467" ht="15" customHeight="1">
      <c r="K467" s="59" t="n"/>
    </row>
    <row r="468" ht="15" customHeight="1"/>
    <row r="469" ht="15" customHeight="1"/>
    <row r="470" ht="15" customHeight="1">
      <c r="K470" s="59" t="n"/>
    </row>
    <row r="471" ht="15" customHeight="1"/>
    <row r="472" ht="15" customHeight="1">
      <c r="K472" s="59" t="n"/>
    </row>
    <row r="473" ht="15" customHeight="1"/>
    <row r="474" ht="15" customHeight="1">
      <c r="K474" s="59" t="n"/>
    </row>
    <row r="475" ht="15" customHeight="1"/>
    <row r="476" ht="15" customHeight="1">
      <c r="K476" s="59" t="n"/>
    </row>
    <row r="477" ht="15" customHeight="1"/>
    <row r="478" ht="15" customHeight="1"/>
    <row r="479" ht="15" customHeight="1">
      <c r="K479" s="59" t="n"/>
    </row>
    <row r="480" ht="15" customHeight="1"/>
    <row r="481" ht="15" customHeight="1">
      <c r="K481" s="59" t="n"/>
    </row>
    <row r="482" ht="15" customHeight="1"/>
    <row r="483" ht="15" customHeight="1">
      <c r="K483" s="59" t="n"/>
    </row>
    <row r="484" ht="15" customHeight="1"/>
    <row r="485" ht="15" customHeight="1">
      <c r="K485" s="59" t="n"/>
    </row>
    <row r="486" ht="15" customHeight="1"/>
    <row r="487" ht="15" customHeight="1"/>
    <row r="488" ht="15" customHeight="1">
      <c r="K488" s="59" t="n"/>
    </row>
    <row r="489" ht="15" customHeight="1"/>
    <row r="490" ht="15" customHeight="1">
      <c r="K490" s="59" t="n"/>
    </row>
    <row r="491" ht="15" customHeight="1"/>
    <row r="492" ht="15" customHeight="1">
      <c r="K492" s="59" t="n"/>
    </row>
    <row r="493" ht="15" customHeight="1"/>
    <row r="494" ht="15" customHeight="1">
      <c r="K494" s="59" t="n"/>
    </row>
    <row r="495" ht="15" customHeight="1"/>
    <row r="496" ht="15" customHeight="1"/>
    <row r="497" ht="15" customHeight="1">
      <c r="K497" s="59" t="n"/>
    </row>
    <row r="498" ht="15" customHeight="1"/>
    <row r="499" ht="15" customHeight="1">
      <c r="K499" s="59" t="n"/>
    </row>
    <row r="500" ht="15" customHeight="1"/>
    <row r="501" ht="15" customHeight="1">
      <c r="K501" s="59" t="n"/>
    </row>
    <row r="502" ht="15" customHeight="1"/>
    <row r="503" ht="15" customHeight="1">
      <c r="K503" s="59" t="n"/>
    </row>
    <row r="504" ht="15" customHeight="1"/>
    <row r="505" ht="15" customHeight="1"/>
    <row r="506" ht="15" customHeight="1">
      <c r="K506" s="59" t="n"/>
    </row>
    <row r="507" ht="15" customHeight="1"/>
    <row r="508" ht="15" customHeight="1">
      <c r="K508" s="59" t="n"/>
    </row>
    <row r="509" ht="15" customHeight="1"/>
    <row r="510" ht="15" customHeight="1">
      <c r="K510" s="59" t="n"/>
    </row>
    <row r="511" ht="15" customHeight="1"/>
    <row r="512" ht="15" customHeight="1">
      <c r="K512" s="59" t="n"/>
    </row>
    <row r="513" ht="15" customHeight="1"/>
    <row r="514" ht="15" customHeight="1"/>
    <row r="515" ht="15" customHeight="1">
      <c r="K515" s="59" t="n"/>
    </row>
    <row r="516" ht="15" customHeight="1"/>
    <row r="517" ht="15" customHeight="1">
      <c r="K517" s="59" t="n"/>
    </row>
    <row r="518" ht="15" customHeight="1"/>
    <row r="519" ht="15" customHeight="1">
      <c r="K519" s="59" t="n"/>
    </row>
    <row r="520" ht="15" customHeight="1"/>
    <row r="521" ht="15" customHeight="1">
      <c r="K521" s="59" t="n"/>
    </row>
    <row r="522" ht="15" customHeight="1"/>
    <row r="523" ht="15" customHeight="1"/>
    <row r="524" ht="15" customHeight="1">
      <c r="K524" s="59" t="n"/>
    </row>
    <row r="525" ht="15" customHeight="1"/>
    <row r="526" ht="15" customHeight="1"/>
    <row r="527" ht="15" customHeight="1"/>
    <row r="528" ht="15" customHeight="1"/>
    <row r="529" ht="15" customHeight="1"/>
    <row r="530" ht="15" customHeight="1"/>
    <row r="531" ht="15" customHeight="1"/>
    <row r="532" ht="15" customHeight="1"/>
    <row r="533" ht="15" customHeight="1"/>
    <row r="534" ht="15" customHeight="1"/>
    <row r="535" ht="15" customHeight="1"/>
    <row r="536" ht="15" customHeight="1"/>
    <row r="537" ht="15" customHeight="1"/>
    <row r="538" ht="15" customHeight="1"/>
    <row r="539" ht="15" customHeight="1"/>
    <row r="540" ht="15" customHeight="1"/>
    <row r="541" ht="15" customHeight="1"/>
    <row r="542" ht="15" customHeight="1"/>
    <row r="543" ht="15" customHeight="1"/>
    <row r="544" ht="15" customHeight="1"/>
    <row r="545" ht="15" customHeight="1"/>
    <row r="546" ht="15" customHeight="1"/>
    <row r="547" ht="15" customHeight="1"/>
    <row r="548" ht="15" customHeight="1"/>
    <row r="549" ht="15" customHeight="1"/>
    <row r="550" ht="15" customHeight="1"/>
    <row r="551" ht="15" customHeight="1"/>
    <row r="552" ht="15" customHeight="1"/>
    <row r="553" ht="15" customHeight="1"/>
    <row r="554" ht="15" customHeight="1"/>
    <row r="555" ht="15" customHeight="1"/>
    <row r="556" ht="15" customHeight="1"/>
    <row r="557" ht="15" customHeight="1"/>
    <row r="558" ht="15" customHeight="1"/>
    <row r="559" ht="15" customHeight="1"/>
    <row r="560" ht="15" customHeight="1"/>
    <row r="561" ht="15" customHeight="1"/>
    <row r="562" ht="15" customHeight="1"/>
    <row r="563" ht="15" customHeight="1"/>
    <row r="564" ht="15" customHeight="1"/>
    <row r="565" ht="15" customHeight="1"/>
    <row r="566" ht="15" customHeight="1"/>
    <row r="567" ht="15" customHeight="1"/>
    <row r="568" ht="15" customHeight="1"/>
    <row r="569" ht="15" customHeight="1"/>
    <row r="570" ht="15" customHeight="1"/>
    <row r="571" ht="15" customHeight="1"/>
    <row r="572" ht="15" customHeight="1"/>
    <row r="573" ht="15" customHeight="1"/>
    <row r="574" ht="15" customHeight="1"/>
    <row r="575" ht="15" customHeight="1"/>
    <row r="576" ht="15" customHeight="1"/>
    <row r="577" ht="15" customHeight="1"/>
    <row r="578" ht="15" customHeight="1"/>
    <row r="579" ht="15" customHeight="1"/>
    <row r="580" ht="15" customHeight="1"/>
    <row r="581" ht="15" customHeight="1"/>
    <row r="582" ht="15" customHeight="1"/>
    <row r="583" ht="15" customHeight="1"/>
    <row r="584" ht="15" customHeight="1"/>
    <row r="585" ht="15" customHeight="1"/>
    <row r="586" ht="15" customHeight="1"/>
    <row r="587" ht="15" customHeight="1"/>
    <row r="588" ht="15" customHeight="1"/>
    <row r="589" ht="15" customHeight="1"/>
    <row r="590" ht="15" customHeight="1"/>
    <row r="591" ht="15" customHeight="1"/>
    <row r="592" ht="15" customHeight="1"/>
    <row r="593" ht="15" customHeight="1"/>
    <row r="594" ht="15" customHeight="1"/>
    <row r="595" ht="15" customHeight="1"/>
    <row r="596" ht="15" customHeight="1"/>
    <row r="597" ht="15" customHeight="1"/>
    <row r="598" ht="15" customHeight="1"/>
    <row r="599" ht="15" customHeight="1"/>
    <row r="600" ht="15" customHeight="1"/>
    <row r="601" ht="15" customHeight="1"/>
    <row r="602" ht="15" customHeight="1"/>
    <row r="603" ht="15" customHeight="1"/>
    <row r="604" ht="15" customHeight="1"/>
    <row r="605" ht="15" customHeight="1"/>
    <row r="606" ht="15" customHeight="1"/>
    <row r="607" ht="15" customHeight="1"/>
    <row r="608" ht="15" customHeight="1"/>
    <row r="609" ht="15" customHeight="1"/>
    <row r="610" ht="15" customHeight="1"/>
    <row r="611" ht="15" customHeight="1"/>
    <row r="612" ht="15" customHeight="1"/>
    <row r="613" ht="15" customHeight="1"/>
    <row r="614" ht="15" customHeight="1"/>
    <row r="615" ht="15" customHeight="1"/>
    <row r="616" ht="15" customHeight="1"/>
    <row r="617" ht="15" customHeight="1"/>
    <row r="618" ht="15" customHeight="1"/>
    <row r="619" ht="15" customHeight="1"/>
    <row r="620" ht="15" customHeight="1"/>
    <row r="621" ht="15" customHeight="1"/>
    <row r="622" ht="15" customHeight="1"/>
    <row r="623" ht="15" customHeight="1"/>
    <row r="624" ht="15" customHeight="1"/>
    <row r="625" ht="15" customHeight="1"/>
    <row r="626" ht="15" customHeight="1"/>
    <row r="627" ht="15" customHeight="1"/>
    <row r="628" ht="15" customHeight="1"/>
    <row r="629" ht="15" customHeight="1"/>
    <row r="630" ht="15" customHeight="1"/>
    <row r="631" ht="15" customHeight="1"/>
    <row r="632" ht="15" customHeight="1"/>
    <row r="633" ht="15" customHeight="1"/>
    <row r="634" ht="15" customHeight="1"/>
    <row r="635" ht="15" customHeight="1"/>
    <row r="636" ht="15" customHeight="1"/>
    <row r="637" ht="15" customHeight="1"/>
    <row r="638" ht="15" customHeight="1"/>
    <row r="639" ht="15" customHeight="1"/>
    <row r="640" ht="15" customHeight="1"/>
    <row r="641" ht="15" customHeight="1"/>
    <row r="642" ht="15" customHeight="1"/>
    <row r="643" ht="15" customHeight="1"/>
    <row r="644" ht="15" customHeight="1"/>
    <row r="645" ht="15" customHeight="1"/>
    <row r="646" ht="15" customHeight="1"/>
    <row r="647" ht="15" customHeight="1"/>
    <row r="648" ht="15" customHeight="1"/>
    <row r="649" ht="15" customHeight="1"/>
    <row r="650" ht="15" customHeight="1"/>
    <row r="651" ht="15" customHeight="1"/>
    <row r="652" ht="15" customHeight="1"/>
    <row r="653" ht="15" customHeight="1"/>
    <row r="654" ht="15" customHeight="1"/>
    <row r="655" ht="15" customHeight="1"/>
    <row r="656" ht="15" customHeight="1"/>
    <row r="657" ht="15" customHeight="1"/>
    <row r="658" ht="15" customHeight="1"/>
    <row r="659" ht="15" customHeight="1"/>
    <row r="660" ht="15" customHeight="1"/>
    <row r="661" ht="15" customHeight="1"/>
    <row r="662" ht="15" customHeight="1"/>
    <row r="663" ht="15" customHeight="1"/>
    <row r="664" ht="15" customHeight="1"/>
    <row r="665" ht="15" customHeight="1"/>
    <row r="666" ht="15" customHeight="1"/>
    <row r="667" ht="15" customHeight="1"/>
    <row r="668" ht="15" customHeight="1"/>
    <row r="669" ht="15" customHeight="1"/>
    <row r="670" ht="15" customHeight="1"/>
    <row r="671" ht="15" customHeight="1"/>
    <row r="672" ht="15" customHeight="1"/>
    <row r="673" ht="15" customHeight="1"/>
    <row r="674" ht="15" customHeight="1"/>
    <row r="675" ht="15" customHeight="1"/>
    <row r="676" ht="15" customHeight="1"/>
    <row r="677" ht="15" customHeight="1"/>
    <row r="678" ht="15" customHeight="1"/>
    <row r="679" ht="15" customHeight="1"/>
    <row r="680" ht="15" customHeight="1"/>
    <row r="681" ht="15" customHeight="1"/>
    <row r="682" ht="15" customHeight="1"/>
    <row r="683" ht="15" customHeight="1"/>
    <row r="684" ht="15" customHeight="1"/>
    <row r="685" ht="15" customHeight="1"/>
    <row r="686" ht="15" customHeight="1"/>
    <row r="687" ht="15" customHeight="1"/>
    <row r="688" ht="15" customHeight="1"/>
    <row r="689" ht="15" customHeight="1"/>
    <row r="690" ht="15" customHeight="1"/>
    <row r="691" ht="15" customHeight="1"/>
    <row r="692" ht="15" customHeight="1"/>
    <row r="693" ht="15" customHeight="1"/>
    <row r="694" ht="15" customHeight="1"/>
    <row r="695" ht="15" customHeight="1"/>
    <row r="696" ht="15" customHeight="1"/>
    <row r="697" ht="15" customHeight="1"/>
    <row r="698" ht="15" customHeight="1"/>
    <row r="699" ht="15" customHeight="1"/>
    <row r="700" ht="15" customHeight="1"/>
    <row r="701" ht="15" customHeight="1"/>
    <row r="702" ht="15" customHeight="1"/>
    <row r="703" ht="15" customHeight="1"/>
    <row r="704" ht="15" customHeight="1"/>
    <row r="705" ht="15" customHeight="1"/>
    <row r="706" ht="15" customHeight="1"/>
    <row r="707" ht="15" customHeight="1"/>
    <row r="708" ht="15" customHeight="1"/>
    <row r="709" ht="15" customHeight="1"/>
    <row r="710" ht="15" customHeight="1"/>
    <row r="711" ht="15" customHeight="1"/>
    <row r="712" ht="15" customHeight="1"/>
    <row r="713" ht="15" customHeight="1"/>
    <row r="714" ht="15" customHeight="1"/>
    <row r="715" ht="15" customHeight="1"/>
    <row r="716" ht="15" customHeight="1"/>
    <row r="717" ht="15" customHeight="1"/>
    <row r="718" ht="15" customHeight="1"/>
    <row r="719" ht="15" customHeight="1"/>
    <row r="720" ht="15" customHeight="1"/>
    <row r="721" ht="15" customHeight="1"/>
    <row r="722" ht="15" customHeight="1"/>
    <row r="723" ht="15" customHeight="1"/>
    <row r="724" ht="15" customHeight="1"/>
    <row r="725" ht="15" customHeight="1"/>
    <row r="726" ht="15" customHeight="1"/>
    <row r="727" ht="15" customHeight="1"/>
    <row r="728" ht="15" customHeight="1"/>
    <row r="729" ht="15" customHeight="1"/>
    <row r="730" ht="15" customHeight="1"/>
    <row r="731" ht="15" customHeight="1"/>
    <row r="732" ht="15" customHeight="1"/>
    <row r="733" ht="15" customHeight="1"/>
    <row r="734" ht="15" customHeight="1"/>
    <row r="735" ht="15" customHeight="1"/>
    <row r="736" ht="15" customHeight="1"/>
    <row r="737" ht="15" customHeight="1"/>
    <row r="738" ht="15" customHeight="1"/>
    <row r="739" ht="15" customHeight="1"/>
    <row r="740" ht="15" customHeight="1"/>
    <row r="741" ht="15" customHeight="1"/>
    <row r="742" ht="15" customHeight="1"/>
    <row r="743" ht="15" customHeight="1"/>
    <row r="744" ht="15" customHeight="1"/>
    <row r="745" ht="15" customHeight="1"/>
    <row r="746" ht="15" customHeight="1"/>
    <row r="747" ht="15" customHeight="1"/>
    <row r="748" ht="15" customHeight="1"/>
    <row r="749" ht="15" customHeight="1"/>
    <row r="750" ht="15" customHeight="1"/>
    <row r="751" ht="15" customHeight="1"/>
    <row r="752" ht="15" customHeight="1"/>
    <row r="753" ht="15" customHeight="1"/>
    <row r="754" ht="15" customHeight="1"/>
    <row r="755" ht="15" customHeight="1"/>
    <row r="756" ht="15" customHeight="1"/>
    <row r="757" ht="15" customHeight="1"/>
    <row r="758" ht="15" customHeight="1"/>
    <row r="759" ht="15" customHeight="1"/>
    <row r="760" ht="15" customHeight="1"/>
    <row r="761" ht="15" customHeight="1"/>
    <row r="762" ht="15" customHeight="1"/>
    <row r="763" ht="15" customHeight="1"/>
    <row r="764" ht="15" customHeight="1"/>
    <row r="765" ht="15" customHeight="1"/>
    <row r="766" ht="15" customHeight="1"/>
    <row r="767" ht="15" customHeight="1"/>
    <row r="768" ht="15" customHeight="1"/>
    <row r="769" ht="15" customHeight="1"/>
    <row r="770" ht="15" customHeight="1"/>
    <row r="771" ht="15" customHeight="1"/>
    <row r="772" ht="15" customHeight="1"/>
    <row r="773" ht="15" customHeight="1"/>
    <row r="774" ht="15" customHeight="1"/>
    <row r="775" ht="15" customHeight="1"/>
    <row r="776" ht="15" customHeight="1"/>
    <row r="777" ht="15" customHeight="1"/>
    <row r="778" ht="15" customHeight="1"/>
    <row r="779" ht="15" customHeight="1"/>
    <row r="780" ht="15" customHeight="1"/>
    <row r="781" ht="15" customHeight="1"/>
    <row r="782" ht="15" customHeight="1"/>
    <row r="783" ht="15" customHeight="1"/>
    <row r="784" ht="15" customHeight="1"/>
    <row r="785" ht="15" customHeight="1"/>
    <row r="786" ht="15" customHeight="1"/>
    <row r="787" ht="15" customHeight="1"/>
    <row r="788" ht="15" customHeight="1"/>
    <row r="789" ht="15" customHeight="1"/>
    <row r="790" ht="15" customHeight="1"/>
    <row r="791" ht="15" customHeight="1"/>
    <row r="792" ht="15" customHeight="1"/>
    <row r="793" ht="15" customHeight="1"/>
    <row r="794" ht="15" customHeight="1"/>
    <row r="795" ht="15" customHeight="1"/>
    <row r="796" ht="15" customHeight="1"/>
    <row r="797" ht="15" customHeight="1"/>
    <row r="798" ht="15" customHeight="1"/>
    <row r="799" ht="15" customHeight="1"/>
    <row r="800" ht="15" customHeight="1"/>
    <row r="801" ht="15" customHeight="1"/>
    <row r="802" ht="15" customHeight="1"/>
    <row r="803" ht="15" customHeight="1"/>
    <row r="804" ht="15" customHeight="1"/>
    <row r="805" ht="15" customHeight="1"/>
    <row r="806" ht="15" customHeight="1"/>
    <row r="807" ht="15" customHeight="1"/>
    <row r="808" ht="15" customHeight="1"/>
    <row r="809" ht="15" customHeight="1"/>
    <row r="810" ht="15" customHeight="1"/>
    <row r="811" ht="15" customHeight="1"/>
    <row r="812" ht="15" customHeight="1"/>
    <row r="813" ht="15" customHeight="1"/>
    <row r="814" ht="15" customHeight="1"/>
    <row r="815" ht="15" customHeight="1"/>
    <row r="816" ht="15" customHeight="1"/>
    <row r="817" ht="15" customHeight="1"/>
    <row r="818" ht="15" customHeight="1"/>
    <row r="819" ht="15" customHeight="1"/>
    <row r="820" ht="15" customHeight="1"/>
    <row r="821" ht="15" customHeight="1"/>
    <row r="822" ht="15" customHeight="1"/>
    <row r="823" ht="15" customHeight="1"/>
    <row r="824" ht="15" customHeight="1"/>
    <row r="825" ht="15" customHeight="1"/>
    <row r="826" ht="15" customHeight="1"/>
    <row r="827" ht="15" customHeight="1"/>
    <row r="828" ht="15" customHeight="1"/>
    <row r="829" ht="15" customHeight="1"/>
    <row r="830" ht="15" customHeight="1"/>
    <row r="831" ht="15" customHeight="1"/>
  </sheetData>
  <sheetProtection selectLockedCells="0" selectUnlockedCells="0" algorithmName="SHA-512" sheet="1" objects="1" insertRows="1" insertHyperlinks="1" autoFilter="1" scenarios="1" formatColumns="1" deleteColumns="1" insertColumns="1" pivotTables="1" deleteRows="1" formatCells="1" saltValue="zRKmp1O16w5eMhEa1V6uUA==" formatRows="1" sort="1" spinCount="100000" hashValue="b5l1P8eOssSLxKS+7g/qkmxpWFg6qouVYUqjO3M4dAN7MMDBVf0uNpq2jJbSK8ky6sKiASKf067J6yaQJruUyA=="/>
  <mergeCells count="5">
    <mergeCell ref="E2:G2"/>
    <mergeCell ref="A5:I5"/>
    <mergeCell ref="A46:I46"/>
    <mergeCell ref="B2:D2"/>
    <mergeCell ref="E1:G1"/>
  </mergeCells>
  <dataValidations count="1">
    <dataValidation sqref="B9:B16 B18 B20 B22 B23 B24 B26 B27 B28 B29 B30 B32 B33 B34 B35 B36 E9 E10 E11 E12 E13 E14 E15 E16 E18 E20 E22 E23 E24 E26 E27 E28 E29 E30 E32 E33 E34 E35 E36" showDropDown="0" showInputMessage="1" showErrorMessage="1" allowBlank="1" type="decimal" errorStyle="information" operator="greaterThanOrEqual">
      <formula1>0</formula1>
    </dataValidation>
  </dataValidations>
  <hyperlinks>
    <hyperlink ref="C1" location="'BE Template'!A84" tooltip="Go to &quot;Summary&quot; section" display="View Summary"/>
  </hyperlinks>
  <pageMargins left="0.2362204724409449" right="0.2362204724409449" top="0.7480314960629921" bottom="0.7480314960629921" header="0.3149606299212598" footer="0.3149606299212598"/>
  <pageSetup orientation="landscape" paperSize="8" scale="96" fitToHeight="0"/>
  <legacyDrawing xmlns:r="http://schemas.openxmlformats.org/officeDocument/2006/relationships" r:id="anysvml"/>
</worksheet>
</file>

<file path=xl/worksheets/sheet11.xml><?xml version="1.0" encoding="utf-8"?>
<worksheet xmlns="http://schemas.openxmlformats.org/spreadsheetml/2006/main">
  <sheetPr codeName="Sheet2">
    <tabColor rgb="FFCCFF66"/>
    <outlinePr summaryBelow="1" summaryRight="1"/>
    <pageSetUpPr/>
  </sheetPr>
  <dimension ref="A1:D289"/>
  <sheetViews>
    <sheetView tabSelected="1" zoomScale="80" zoomScaleNormal="80" workbookViewId="0">
      <pane xSplit="1" ySplit="3" topLeftCell="B4" activePane="bottomRight" state="frozenSplit"/>
      <selection pane="bottomRight" activeCell="B150" sqref="B150"/>
      <selection pane="bottomLeft" activeCell="A576" sqref="A576"/>
      <selection pane="topRight" activeCell="B1" sqref="B1"/>
    </sheetView>
  </sheetViews>
  <sheetFormatPr baseColWidth="8" defaultColWidth="8.7109375" defaultRowHeight="14.45"/>
  <cols>
    <col width="111.7109375" customWidth="1" min="1" max="1"/>
    <col width="8.7109375" customWidth="1" min="2" max="2"/>
    <col width="15.28515625" customWidth="1" min="3" max="3"/>
    <col width="16.28515625" bestFit="1" customWidth="1" min="4" max="4"/>
  </cols>
  <sheetData>
    <row r="1" ht="24" customHeight="1" thickBot="1">
      <c r="A1" s="54" t="inlineStr">
        <is>
          <t>Coordinator: BE1 - BUDGET SHEET</t>
        </is>
      </c>
      <c r="B1" s="33" t="n"/>
      <c r="C1" s="242" t="inlineStr">
        <is>
          <t>View Summary</t>
        </is>
      </c>
      <c r="D1" s="34" t="n"/>
    </row>
    <row r="2" ht="18.6" customHeight="1">
      <c r="A2" s="265" t="inlineStr">
        <is>
          <t>00000001-0001-0001-0001-000000000001</t>
        </is>
      </c>
      <c r="B2" s="273" t="inlineStr">
        <is>
          <t>SINTEF AS</t>
        </is>
      </c>
      <c r="C2" s="314" t="n"/>
      <c r="D2" s="315" t="n"/>
    </row>
    <row r="3" ht="18.6" customHeight="1">
      <c r="A3" s="131" t="inlineStr">
        <is>
          <t>COST CATEGORY</t>
        </is>
      </c>
      <c r="B3" s="107" t="inlineStr">
        <is>
          <t>ITEMS</t>
        </is>
      </c>
      <c r="C3" s="109" t="inlineStr">
        <is>
          <t>COST PER ITEM</t>
        </is>
      </c>
      <c r="D3" s="107" t="inlineStr">
        <is>
          <t>BE TOTAL COSTS</t>
        </is>
      </c>
    </row>
    <row r="4">
      <c r="A4" s="190" t="n"/>
      <c r="B4" s="185" t="n"/>
      <c r="C4" s="186" t="n"/>
      <c r="D4" s="187" t="n"/>
    </row>
    <row r="5" ht="21" customHeight="1">
      <c r="A5" s="272">
        <f>CONCATENATE("COSTS WORK PACKAGE 1:"," ","Management, IP and Innovation Management")</f>
        <v/>
      </c>
      <c r="B5" s="314" t="n"/>
      <c r="C5" s="314" t="n"/>
      <c r="D5" s="315" t="n"/>
    </row>
    <row r="6">
      <c r="A6" s="182" t="n"/>
      <c r="B6" s="191" t="n"/>
      <c r="C6" s="192" t="n"/>
      <c r="D6" s="191" t="n"/>
    </row>
    <row r="7">
      <c r="A7" s="29" t="inlineStr">
        <is>
          <t>A. DIRECT PERSONNEL COSTS</t>
        </is>
      </c>
      <c r="B7" s="30" t="n"/>
      <c r="C7" s="110" t="n"/>
      <c r="D7" s="354" t="n"/>
    </row>
    <row r="8">
      <c r="A8" s="28" t="inlineStr">
        <is>
          <t>A.1 Employees (or equivalent)</t>
        </is>
      </c>
      <c r="B8" s="89" t="n"/>
      <c r="C8" s="111" t="n"/>
      <c r="D8" s="355" t="n"/>
    </row>
    <row r="9">
      <c r="A9" s="48" t="inlineStr">
        <is>
          <t>SENIOR SCIENTISTS (or equivalent in the private sector)</t>
        </is>
      </c>
      <c r="B9" s="357" t="n">
        <v>10.5</v>
      </c>
      <c r="C9" s="248" t="n">
        <v>10000</v>
      </c>
      <c r="D9" s="232">
        <f>B9*C9</f>
        <v/>
      </c>
    </row>
    <row r="10">
      <c r="A10" s="48" t="inlineStr">
        <is>
          <t>JUNIOR SCIENTISTS (or equivalent in the private sector)</t>
        </is>
      </c>
      <c r="B10" s="357" t="n">
        <v>0</v>
      </c>
      <c r="C10" s="248" t="n">
        <v>0</v>
      </c>
      <c r="D10" s="232">
        <f>B10*C10</f>
        <v/>
      </c>
    </row>
    <row r="11">
      <c r="A11" s="48" t="inlineStr">
        <is>
          <t>TECHNICAL PERSONNEL (or equivalent in the private sector)</t>
        </is>
      </c>
      <c r="B11" s="357" t="n"/>
      <c r="C11" s="248" t="n"/>
      <c r="D11" s="232">
        <f>B11*C11</f>
        <v/>
      </c>
    </row>
    <row r="12">
      <c r="A12" s="48" t="inlineStr">
        <is>
          <t>ADMINISTRATIVE PERSONNEL (or equivalent in the private sector)</t>
        </is>
      </c>
      <c r="B12" s="357" t="n">
        <v>0</v>
      </c>
      <c r="C12" s="248" t="n">
        <v>0</v>
      </c>
      <c r="D12" s="232">
        <f>B12*C12</f>
        <v/>
      </c>
    </row>
    <row r="13">
      <c r="A13" s="48" t="inlineStr">
        <is>
          <t>OTHERS</t>
        </is>
      </c>
      <c r="B13" s="357" t="n"/>
      <c r="C13" s="248" t="n"/>
      <c r="D13" s="232">
        <f>B13*C13</f>
        <v/>
      </c>
    </row>
    <row r="14">
      <c r="A14" s="28" t="inlineStr">
        <is>
          <t>A.2 Natural Persons under direct contract</t>
        </is>
      </c>
      <c r="B14" s="357" t="n"/>
      <c r="C14" s="248" t="n"/>
      <c r="D14" s="232">
        <f>B14*C14</f>
        <v/>
      </c>
    </row>
    <row r="15">
      <c r="A15" s="28" t="inlineStr">
        <is>
          <t>A.3 Seconded Persons</t>
        </is>
      </c>
      <c r="B15" s="357" t="n"/>
      <c r="C15" s="248" t="n"/>
      <c r="D15" s="232">
        <f>B15*C15</f>
        <v/>
      </c>
    </row>
    <row r="16">
      <c r="A16" s="28" t="inlineStr">
        <is>
          <t>A.4 SME owners and natural person beneficiaries</t>
        </is>
      </c>
      <c r="B16" s="357" t="n"/>
      <c r="C16" s="256" t="n">
        <v>11858.7624</v>
      </c>
      <c r="D16" s="232">
        <f>B16*C16</f>
        <v/>
      </c>
    </row>
    <row r="17">
      <c r="A17" s="29" t="inlineStr">
        <is>
          <t>B. DIRECT SUBCONTRACTING COSTS</t>
        </is>
      </c>
      <c r="B17" s="358" t="n"/>
      <c r="C17" s="110" t="n"/>
      <c r="D17" s="359" t="n"/>
    </row>
    <row r="18">
      <c r="A18" s="53" t="n"/>
      <c r="B18" s="357" t="n"/>
      <c r="C18" s="248" t="n"/>
      <c r="D18" s="361">
        <f>B18*C18</f>
        <v/>
      </c>
    </row>
    <row r="19">
      <c r="A19" s="29" t="inlineStr">
        <is>
          <t>C. DIRECT PURCHASE COSTS</t>
        </is>
      </c>
      <c r="B19" s="358" t="n"/>
      <c r="C19" s="110" t="n"/>
      <c r="D19" s="359" t="n"/>
    </row>
    <row r="20">
      <c r="A20" s="28" t="inlineStr">
        <is>
          <t>C.1 Travel and subsistence</t>
        </is>
      </c>
      <c r="B20" s="357" t="n">
        <v>6</v>
      </c>
      <c r="C20" s="248" t="n">
        <v>1800</v>
      </c>
      <c r="D20" s="361">
        <f>B20*C20</f>
        <v/>
      </c>
    </row>
    <row r="21">
      <c r="A21" s="28" t="inlineStr">
        <is>
          <t>C.2 Equipment (complete 'Depreciation costs' sheet)</t>
        </is>
      </c>
      <c r="B21" s="346" t="n"/>
      <c r="C21" s="111" t="n"/>
      <c r="D21" s="364" t="n"/>
    </row>
    <row r="22">
      <c r="A22" s="49" t="inlineStr">
        <is>
          <t>Equipment</t>
        </is>
      </c>
      <c r="B22" s="357" t="n"/>
      <c r="C22" s="248" t="n"/>
      <c r="D22" s="361">
        <f>B22*C22</f>
        <v/>
      </c>
    </row>
    <row r="23">
      <c r="A23" s="49" t="inlineStr">
        <is>
          <t>Infrastructure</t>
        </is>
      </c>
      <c r="B23" s="357" t="n"/>
      <c r="C23" s="248" t="n"/>
      <c r="D23" s="361">
        <f>B23*C23</f>
        <v/>
      </c>
    </row>
    <row r="24">
      <c r="A24" s="49" t="inlineStr">
        <is>
          <t>Other assets</t>
        </is>
      </c>
      <c r="B24" s="357" t="n"/>
      <c r="C24" s="248" t="n"/>
      <c r="D24" s="361">
        <f>B24*C24</f>
        <v/>
      </c>
    </row>
    <row r="25">
      <c r="A25" s="28" t="inlineStr">
        <is>
          <t>C.3 Other goods, works and services</t>
        </is>
      </c>
      <c r="B25" s="346" t="n"/>
      <c r="C25" s="111" t="n"/>
      <c r="D25" s="364" t="n"/>
    </row>
    <row r="26">
      <c r="A26" s="49" t="inlineStr">
        <is>
          <t>Consumables</t>
        </is>
      </c>
      <c r="B26" s="357" t="n"/>
      <c r="C26" s="248" t="n"/>
      <c r="D26" s="361">
        <f>B26*C26</f>
        <v/>
      </c>
    </row>
    <row r="27">
      <c r="A27" s="49" t="inlineStr">
        <is>
          <t>Services for meetings, seminars</t>
        </is>
      </c>
      <c r="B27" s="357" t="n"/>
      <c r="C27" s="248" t="n"/>
      <c r="D27" s="361">
        <f>B27*C27</f>
        <v/>
      </c>
    </row>
    <row r="28">
      <c r="A28" s="49" t="inlineStr">
        <is>
          <t>Services for dissemination activities (including website)</t>
        </is>
      </c>
      <c r="B28" s="357" t="n"/>
      <c r="C28" s="248" t="n"/>
      <c r="D28" s="361">
        <f>B28*C28</f>
        <v/>
      </c>
    </row>
    <row r="29">
      <c r="A29" s="49" t="inlineStr">
        <is>
          <t>Publication fees</t>
        </is>
      </c>
      <c r="B29" s="357" t="n"/>
      <c r="C29" s="248" t="n"/>
      <c r="D29" s="361">
        <f>B29*C29</f>
        <v/>
      </c>
    </row>
    <row r="30">
      <c r="A30" s="49" t="inlineStr">
        <is>
          <t>Other (shipment, insurance, translation, etc.)</t>
        </is>
      </c>
      <c r="B30" s="357" t="n"/>
      <c r="C30" s="248" t="n"/>
      <c r="D30" s="361">
        <f>B30*C30</f>
        <v/>
      </c>
    </row>
    <row r="31">
      <c r="A31" s="29" t="inlineStr">
        <is>
          <t>D. OTHER COST CATEGORIES</t>
        </is>
      </c>
      <c r="B31" s="358" t="n"/>
      <c r="C31" s="110" t="n"/>
      <c r="D31" s="359" t="n"/>
    </row>
    <row r="32">
      <c r="A32" s="50" t="inlineStr">
        <is>
          <t>D.1 Financial support to third parties (if applicable in the topic specific conditions)</t>
        </is>
      </c>
      <c r="B32" s="357" t="n"/>
      <c r="C32" s="248" t="n"/>
      <c r="D32" s="361">
        <f>B32*C32</f>
        <v/>
      </c>
    </row>
    <row r="33">
      <c r="A33" s="50" t="inlineStr">
        <is>
          <t>D.2 Internally invoiced goods and services</t>
        </is>
      </c>
      <c r="B33" s="357" t="n"/>
      <c r="C33" s="248" t="n"/>
      <c r="D33" s="361">
        <f>B33*C33</f>
        <v/>
      </c>
    </row>
    <row r="34">
      <c r="A34" s="50" t="inlineStr">
        <is>
          <t>D.3 Transnational access to research infrastructure unit costs (if mentioned as eligible in the topic specific conditions)</t>
        </is>
      </c>
      <c r="B34" s="357" t="n"/>
      <c r="C34" s="248" t="n"/>
      <c r="D34" s="361">
        <f>B34*C34</f>
        <v/>
      </c>
    </row>
    <row r="35">
      <c r="A35" s="50" t="inlineStr">
        <is>
          <t>D.4 Virtual access to research infrastructure unit costs (if mentioned as eligible in the topic specific conditions)</t>
        </is>
      </c>
      <c r="B35" s="357" t="n"/>
      <c r="C35" s="248" t="n"/>
      <c r="D35" s="361">
        <f>B35*C35</f>
        <v/>
      </c>
    </row>
    <row r="36">
      <c r="A36" s="50" t="inlineStr">
        <is>
          <t>D.5 PCP/PPI procurement costs (if mentioned as eligible in the topic specific conditions)</t>
        </is>
      </c>
      <c r="B36" s="357" t="n"/>
      <c r="C36" s="248" t="n"/>
      <c r="D36" s="361">
        <f>B36*C36</f>
        <v/>
      </c>
    </row>
    <row r="37">
      <c r="A37" s="50" t="n"/>
      <c r="B37" s="346" t="n"/>
      <c r="C37" s="111" t="n"/>
      <c r="D37" s="365" t="n"/>
    </row>
    <row r="38">
      <c r="A38" s="52" t="inlineStr">
        <is>
          <t>TOTAL DIRECT PERSONNEL COSTS AND PURCHASE COSTS (A+C)</t>
        </is>
      </c>
      <c r="B38" s="369" t="n"/>
      <c r="C38" s="230" t="n"/>
      <c r="D38" s="360">
        <f>SUM(D9:D16,D20:D30)</f>
        <v/>
      </c>
    </row>
    <row r="39">
      <c r="A39" s="52" t="inlineStr">
        <is>
          <t>TOTAL DIRECT COSTS  (A+B+C+D)</t>
        </is>
      </c>
      <c r="B39" s="369" t="n"/>
      <c r="C39" s="230" t="n"/>
      <c r="D39" s="360">
        <f>SUM(D9:D36)</f>
        <v/>
      </c>
    </row>
    <row r="40">
      <c r="A40" s="180" t="n"/>
      <c r="B40" s="372" t="n"/>
      <c r="C40" s="176" t="n"/>
      <c r="D40" s="373" t="n"/>
    </row>
    <row r="41">
      <c r="A41" s="29" t="inlineStr">
        <is>
          <t>E. INDIRECT COSTS (25% * (A+C))</t>
        </is>
      </c>
      <c r="B41" s="358" t="n"/>
      <c r="C41" s="110" t="n"/>
      <c r="D41" s="360">
        <f>D38*0.25</f>
        <v/>
      </c>
    </row>
    <row r="42">
      <c r="A42" s="32" t="n"/>
      <c r="B42" s="372" t="n"/>
      <c r="C42" s="176" t="n"/>
      <c r="D42" s="377" t="n"/>
    </row>
    <row r="43">
      <c r="A43" s="29" t="inlineStr">
        <is>
          <t>F. TOTAL COSTS (A+B+C+D+E)</t>
        </is>
      </c>
      <c r="B43" s="369" t="n"/>
      <c r="C43" s="230" t="n"/>
      <c r="D43" s="360">
        <f>D39+D41</f>
        <v/>
      </c>
    </row>
    <row r="45">
      <c r="A45" s="190" t="n"/>
      <c r="B45" s="185" t="n"/>
      <c r="C45" s="186" t="n"/>
      <c r="D45" s="187" t="n"/>
    </row>
    <row r="46" ht="21" customHeight="1">
      <c r="A46" s="272">
        <f>CONCATENATE("COSTS WORK PACKAGE 2:"," ","Site Characterisation and Demonstrator Engineering")</f>
        <v/>
      </c>
      <c r="B46" s="314" t="n"/>
      <c r="C46" s="314" t="n"/>
      <c r="D46" s="315" t="n"/>
    </row>
    <row r="47">
      <c r="A47" s="182" t="n"/>
      <c r="B47" s="191" t="n"/>
      <c r="C47" s="192" t="n"/>
      <c r="D47" s="191" t="n"/>
    </row>
    <row r="48">
      <c r="A48" s="29" t="inlineStr">
        <is>
          <t>A. DIRECT PERSONNEL COSTS</t>
        </is>
      </c>
      <c r="B48" s="30" t="n"/>
      <c r="C48" s="110" t="n"/>
      <c r="D48" s="354" t="n"/>
    </row>
    <row r="49">
      <c r="A49" s="28" t="inlineStr">
        <is>
          <t>A.1 Employees (or equivalent)</t>
        </is>
      </c>
      <c r="B49" s="89" t="n"/>
      <c r="C49" s="111" t="n"/>
      <c r="D49" s="355" t="n"/>
    </row>
    <row r="50">
      <c r="A50" s="48" t="inlineStr">
        <is>
          <t>SENIOR SCIENTISTS (or equivalent in the private sector)</t>
        </is>
      </c>
      <c r="B50" s="357" t="n">
        <v>4</v>
      </c>
      <c r="C50" s="248" t="n">
        <v>10000</v>
      </c>
      <c r="D50" s="232">
        <f>B50*C50</f>
        <v/>
      </c>
    </row>
    <row r="51">
      <c r="A51" s="48" t="inlineStr">
        <is>
          <t>JUNIOR SCIENTISTS (or equivalent in the private sector)</t>
        </is>
      </c>
      <c r="B51" s="357" t="n"/>
      <c r="C51" s="248" t="n"/>
      <c r="D51" s="232">
        <f>B51*C51</f>
        <v/>
      </c>
    </row>
    <row r="52">
      <c r="A52" s="48" t="inlineStr">
        <is>
          <t>TECHNICAL PERSONNEL (or equivalent in the private sector)</t>
        </is>
      </c>
      <c r="B52" s="357" t="n"/>
      <c r="C52" s="248" t="n"/>
      <c r="D52" s="232">
        <f>B52*C52</f>
        <v/>
      </c>
    </row>
    <row r="53">
      <c r="A53" s="48" t="inlineStr">
        <is>
          <t>ADMINISTRATIVE PERSONNEL (or equivalent in the private sector)</t>
        </is>
      </c>
      <c r="B53" s="357" t="n"/>
      <c r="C53" s="248" t="n"/>
      <c r="D53" s="232">
        <f>B53*C53</f>
        <v/>
      </c>
    </row>
    <row r="54">
      <c r="A54" s="48" t="inlineStr">
        <is>
          <t>OTHERS</t>
        </is>
      </c>
      <c r="B54" s="357" t="n"/>
      <c r="C54" s="248" t="n"/>
      <c r="D54" s="232">
        <f>B54*C54</f>
        <v/>
      </c>
    </row>
    <row r="55">
      <c r="A55" s="28" t="inlineStr">
        <is>
          <t>A.2 Natural Persons under direct contract</t>
        </is>
      </c>
      <c r="B55" s="357" t="n"/>
      <c r="C55" s="248" t="n"/>
      <c r="D55" s="232">
        <f>B55*C55</f>
        <v/>
      </c>
    </row>
    <row r="56">
      <c r="A56" s="28" t="inlineStr">
        <is>
          <t>A.3 Seconded Persons</t>
        </is>
      </c>
      <c r="B56" s="357" t="n"/>
      <c r="C56" s="248" t="n"/>
      <c r="D56" s="232">
        <f>B56*C56</f>
        <v/>
      </c>
    </row>
    <row r="57">
      <c r="A57" s="28" t="inlineStr">
        <is>
          <t>A.4 SME owners and natural person beneficiaries</t>
        </is>
      </c>
      <c r="B57" s="357" t="n"/>
      <c r="C57" s="256" t="n">
        <v>11858.7624</v>
      </c>
      <c r="D57" s="232">
        <f>B57*C57</f>
        <v/>
      </c>
    </row>
    <row r="58">
      <c r="A58" s="29" t="inlineStr">
        <is>
          <t>B. DIRECT SUBCONTRACTING COSTS</t>
        </is>
      </c>
      <c r="B58" s="358" t="n"/>
      <c r="C58" s="110" t="n"/>
      <c r="D58" s="359" t="n"/>
    </row>
    <row r="59">
      <c r="A59" s="53" t="n"/>
      <c r="B59" s="357" t="n"/>
      <c r="C59" s="248" t="n"/>
      <c r="D59" s="361">
        <f>B59*C59</f>
        <v/>
      </c>
    </row>
    <row r="60">
      <c r="A60" s="29" t="inlineStr">
        <is>
          <t>C. DIRECT PURCHASE COSTS</t>
        </is>
      </c>
      <c r="B60" s="358" t="n"/>
      <c r="C60" s="110" t="n"/>
      <c r="D60" s="359" t="n"/>
    </row>
    <row r="61">
      <c r="A61" s="28" t="inlineStr">
        <is>
          <t>C.1 Travel and subsistence</t>
        </is>
      </c>
      <c r="B61" s="357" t="n">
        <v>0</v>
      </c>
      <c r="C61" s="248" t="n">
        <v>0</v>
      </c>
      <c r="D61" s="361">
        <f>B61*C61</f>
        <v/>
      </c>
    </row>
    <row r="62">
      <c r="A62" s="28" t="inlineStr">
        <is>
          <t>C.2 Equipment (complete 'Depreciation costs' sheet)</t>
        </is>
      </c>
      <c r="B62" s="346" t="n"/>
      <c r="C62" s="111" t="n"/>
      <c r="D62" s="364" t="n"/>
    </row>
    <row r="63">
      <c r="A63" s="49" t="inlineStr">
        <is>
          <t>Equipment</t>
        </is>
      </c>
      <c r="B63" s="357" t="n"/>
      <c r="C63" s="248" t="n"/>
      <c r="D63" s="361">
        <f>B63*C63</f>
        <v/>
      </c>
    </row>
    <row r="64">
      <c r="A64" s="49" t="inlineStr">
        <is>
          <t>Infrastructure</t>
        </is>
      </c>
      <c r="B64" s="357" t="n"/>
      <c r="C64" s="248" t="n"/>
      <c r="D64" s="361">
        <f>B64*C64</f>
        <v/>
      </c>
    </row>
    <row r="65">
      <c r="A65" s="49" t="inlineStr">
        <is>
          <t>Other assets</t>
        </is>
      </c>
      <c r="B65" s="357" t="n"/>
      <c r="C65" s="248" t="n"/>
      <c r="D65" s="361">
        <f>B65*C65</f>
        <v/>
      </c>
    </row>
    <row r="66">
      <c r="A66" s="28" t="inlineStr">
        <is>
          <t>C.3 Other goods, works and services</t>
        </is>
      </c>
      <c r="B66" s="346" t="n"/>
      <c r="C66" s="111" t="n"/>
      <c r="D66" s="364" t="n"/>
    </row>
    <row r="67">
      <c r="A67" s="49" t="inlineStr">
        <is>
          <t>Consumables</t>
        </is>
      </c>
      <c r="B67" s="357" t="n"/>
      <c r="C67" s="248" t="n"/>
      <c r="D67" s="361">
        <f>B67*C67</f>
        <v/>
      </c>
    </row>
    <row r="68">
      <c r="A68" s="49" t="inlineStr">
        <is>
          <t>Services for meetings, seminars</t>
        </is>
      </c>
      <c r="B68" s="357" t="n"/>
      <c r="C68" s="248" t="n"/>
      <c r="D68" s="361">
        <f>B68*C68</f>
        <v/>
      </c>
    </row>
    <row r="69">
      <c r="A69" s="49" t="inlineStr">
        <is>
          <t>Services for dissemination activities (including website)</t>
        </is>
      </c>
      <c r="B69" s="357" t="n"/>
      <c r="C69" s="248" t="n"/>
      <c r="D69" s="361">
        <f>B69*C69</f>
        <v/>
      </c>
    </row>
    <row r="70">
      <c r="A70" s="49" t="inlineStr">
        <is>
          <t>Publication fees</t>
        </is>
      </c>
      <c r="B70" s="357" t="n"/>
      <c r="C70" s="248" t="n"/>
      <c r="D70" s="361">
        <f>B70*C70</f>
        <v/>
      </c>
    </row>
    <row r="71">
      <c r="A71" s="49" t="inlineStr">
        <is>
          <t>Other (shipment, insurance, translation, etc.)</t>
        </is>
      </c>
      <c r="B71" s="357" t="n"/>
      <c r="C71" s="248" t="n"/>
      <c r="D71" s="361">
        <f>B71*C71</f>
        <v/>
      </c>
    </row>
    <row r="72">
      <c r="A72" s="29" t="inlineStr">
        <is>
          <t>D. OTHER COST CATEGORIES</t>
        </is>
      </c>
      <c r="B72" s="358" t="n"/>
      <c r="C72" s="110" t="n"/>
      <c r="D72" s="359" t="n"/>
    </row>
    <row r="73">
      <c r="A73" s="50" t="inlineStr">
        <is>
          <t>D.1 Financial support to third parties (if applicable in the topic specific conditions)</t>
        </is>
      </c>
      <c r="B73" s="357" t="n"/>
      <c r="C73" s="248" t="n"/>
      <c r="D73" s="361">
        <f>B73*C73</f>
        <v/>
      </c>
    </row>
    <row r="74">
      <c r="A74" s="50" t="inlineStr">
        <is>
          <t>D.2 Internally invoiced goods and services</t>
        </is>
      </c>
      <c r="B74" s="357" t="n"/>
      <c r="C74" s="248" t="n"/>
      <c r="D74" s="361">
        <f>B74*C74</f>
        <v/>
      </c>
    </row>
    <row r="75">
      <c r="A75" s="50" t="inlineStr">
        <is>
          <t>D.3 Transnational access to research infrastructure unit costs (if mentioned as eligible in the topic specific conditions)</t>
        </is>
      </c>
      <c r="B75" s="357" t="n"/>
      <c r="C75" s="248" t="n"/>
      <c r="D75" s="361">
        <f>B75*C75</f>
        <v/>
      </c>
    </row>
    <row r="76">
      <c r="A76" s="50" t="inlineStr">
        <is>
          <t>D.4 Virtual access to research infrastructure unit costs (if mentioned as eligible in the topic specific conditions)</t>
        </is>
      </c>
      <c r="B76" s="357" t="n"/>
      <c r="C76" s="248" t="n"/>
      <c r="D76" s="361">
        <f>B76*C76</f>
        <v/>
      </c>
    </row>
    <row r="77">
      <c r="A77" s="50" t="inlineStr">
        <is>
          <t>D.5 PCP/PPI procurement costs (if mentioned as eligible in the topic specific conditions)</t>
        </is>
      </c>
      <c r="B77" s="357" t="n"/>
      <c r="C77" s="248" t="n"/>
      <c r="D77" s="361">
        <f>B77*C77</f>
        <v/>
      </c>
    </row>
    <row r="78">
      <c r="A78" s="50" t="n"/>
      <c r="B78" s="346" t="n"/>
      <c r="C78" s="111" t="n"/>
      <c r="D78" s="365" t="n"/>
    </row>
    <row r="79">
      <c r="A79" s="52" t="inlineStr">
        <is>
          <t>TOTAL DIRECT PERSONNEL COSTS AND PURCHASE COSTS (A+C)</t>
        </is>
      </c>
      <c r="B79" s="369" t="n"/>
      <c r="C79" s="230" t="n"/>
      <c r="D79" s="360">
        <f>SUM(D50:D57,D61:D71)</f>
        <v/>
      </c>
    </row>
    <row r="80">
      <c r="A80" s="52" t="inlineStr">
        <is>
          <t>TOTAL DIRECT COSTS  (A+B+C+D)</t>
        </is>
      </c>
      <c r="B80" s="369" t="n"/>
      <c r="C80" s="230" t="n"/>
      <c r="D80" s="360">
        <f>SUM(D50:D77)</f>
        <v/>
      </c>
    </row>
    <row r="81">
      <c r="A81" s="180" t="n"/>
      <c r="B81" s="372" t="n"/>
      <c r="C81" s="176" t="n"/>
      <c r="D81" s="373" t="n"/>
    </row>
    <row r="82">
      <c r="A82" s="29" t="inlineStr">
        <is>
          <t>E. INDIRECT COSTS (25% * (A+C))</t>
        </is>
      </c>
      <c r="B82" s="358" t="n"/>
      <c r="C82" s="110" t="n"/>
      <c r="D82" s="360">
        <f>D79*0.25</f>
        <v/>
      </c>
    </row>
    <row r="83">
      <c r="A83" s="32" t="n"/>
      <c r="B83" s="372" t="n"/>
      <c r="C83" s="176" t="n"/>
      <c r="D83" s="377" t="n"/>
    </row>
    <row r="84">
      <c r="A84" s="29" t="inlineStr">
        <is>
          <t>F. TOTAL COSTS (A+B+C+D+E)</t>
        </is>
      </c>
      <c r="B84" s="369" t="n"/>
      <c r="C84" s="230" t="n"/>
      <c r="D84" s="360">
        <f>D80+D82</f>
        <v/>
      </c>
    </row>
    <row r="86">
      <c r="A86" s="190" t="n"/>
      <c r="B86" s="185" t="n"/>
      <c r="C86" s="186" t="n"/>
      <c r="D86" s="187" t="n"/>
    </row>
    <row r="87" ht="21" customHeight="1">
      <c r="A87" s="272">
        <f>CONCATENATE("COSTS WORK PACKAGE 3:"," ","Design Verification and Model Validation")</f>
        <v/>
      </c>
      <c r="B87" s="314" t="n"/>
      <c r="C87" s="314" t="n"/>
      <c r="D87" s="315" t="n"/>
    </row>
    <row r="88">
      <c r="A88" s="182" t="n"/>
      <c r="B88" s="191" t="n"/>
      <c r="C88" s="192" t="n"/>
      <c r="D88" s="191" t="n"/>
    </row>
    <row r="89">
      <c r="A89" s="29" t="inlineStr">
        <is>
          <t>A. DIRECT PERSONNEL COSTS</t>
        </is>
      </c>
      <c r="B89" s="30" t="n"/>
      <c r="C89" s="110" t="n"/>
      <c r="D89" s="354" t="n"/>
    </row>
    <row r="90">
      <c r="A90" s="28" t="inlineStr">
        <is>
          <t>A.1 Employees (or equivalent)</t>
        </is>
      </c>
      <c r="B90" s="89" t="n"/>
      <c r="C90" s="111" t="n"/>
      <c r="D90" s="355" t="n"/>
    </row>
    <row r="91">
      <c r="A91" s="48" t="inlineStr">
        <is>
          <t>SENIOR SCIENTISTS (or equivalent in the private sector)</t>
        </is>
      </c>
      <c r="B91" s="357" t="n">
        <v>12</v>
      </c>
      <c r="C91" s="248" t="n">
        <v>10000</v>
      </c>
      <c r="D91" s="232">
        <f>B91*C91</f>
        <v/>
      </c>
    </row>
    <row r="92">
      <c r="A92" s="48" t="inlineStr">
        <is>
          <t>JUNIOR SCIENTISTS (or equivalent in the private sector)</t>
        </is>
      </c>
      <c r="B92" s="357" t="n"/>
      <c r="C92" s="248" t="n"/>
      <c r="D92" s="232">
        <f>B92*C92</f>
        <v/>
      </c>
    </row>
    <row r="93">
      <c r="A93" s="48" t="inlineStr">
        <is>
          <t>TECHNICAL PERSONNEL (or equivalent in the private sector)</t>
        </is>
      </c>
      <c r="B93" s="357" t="n"/>
      <c r="C93" s="248" t="n"/>
      <c r="D93" s="232">
        <f>B93*C93</f>
        <v/>
      </c>
    </row>
    <row r="94">
      <c r="A94" s="48" t="inlineStr">
        <is>
          <t>ADMINISTRATIVE PERSONNEL (or equivalent in the private sector)</t>
        </is>
      </c>
      <c r="B94" s="357" t="n"/>
      <c r="C94" s="248" t="n"/>
      <c r="D94" s="232">
        <f>B94*C94</f>
        <v/>
      </c>
    </row>
    <row r="95">
      <c r="A95" s="48" t="inlineStr">
        <is>
          <t>OTHERS</t>
        </is>
      </c>
      <c r="B95" s="357" t="n"/>
      <c r="C95" s="248" t="n"/>
      <c r="D95" s="232">
        <f>B95*C95</f>
        <v/>
      </c>
    </row>
    <row r="96">
      <c r="A96" s="28" t="inlineStr">
        <is>
          <t>A.2 Natural Persons under direct contract</t>
        </is>
      </c>
      <c r="B96" s="357" t="n"/>
      <c r="C96" s="248" t="n"/>
      <c r="D96" s="232">
        <f>B96*C96</f>
        <v/>
      </c>
    </row>
    <row r="97">
      <c r="A97" s="28" t="inlineStr">
        <is>
          <t>A.3 Seconded Persons</t>
        </is>
      </c>
      <c r="B97" s="357" t="n"/>
      <c r="C97" s="248" t="n"/>
      <c r="D97" s="232">
        <f>B97*C97</f>
        <v/>
      </c>
    </row>
    <row r="98">
      <c r="A98" s="28" t="inlineStr">
        <is>
          <t>A.4 SME owners and natural person beneficiaries</t>
        </is>
      </c>
      <c r="B98" s="357" t="n"/>
      <c r="C98" s="256" t="n">
        <v>11858.7624</v>
      </c>
      <c r="D98" s="232">
        <f>B98*C98</f>
        <v/>
      </c>
    </row>
    <row r="99">
      <c r="A99" s="29" t="inlineStr">
        <is>
          <t>B. DIRECT SUBCONTRACTING COSTS</t>
        </is>
      </c>
      <c r="B99" s="358" t="n"/>
      <c r="C99" s="110" t="n"/>
      <c r="D99" s="359" t="n"/>
    </row>
    <row r="100">
      <c r="A100" s="53" t="n"/>
      <c r="B100" s="357" t="n"/>
      <c r="C100" s="248" t="n"/>
      <c r="D100" s="361">
        <f>B100*C100</f>
        <v/>
      </c>
    </row>
    <row r="101">
      <c r="A101" s="29" t="inlineStr">
        <is>
          <t>C. DIRECT PURCHASE COSTS</t>
        </is>
      </c>
      <c r="B101" s="358" t="n"/>
      <c r="C101" s="110" t="n"/>
      <c r="D101" s="359" t="n"/>
    </row>
    <row r="102">
      <c r="A102" s="28" t="inlineStr">
        <is>
          <t>C.1 Travel and subsistence</t>
        </is>
      </c>
      <c r="B102" s="357" t="n"/>
      <c r="C102" s="248" t="n"/>
      <c r="D102" s="361">
        <f>B102*C102</f>
        <v/>
      </c>
    </row>
    <row r="103">
      <c r="A103" s="28" t="inlineStr">
        <is>
          <t>C.2 Equipment (complete 'Depreciation costs' sheet)</t>
        </is>
      </c>
      <c r="B103" s="346" t="n"/>
      <c r="C103" s="111" t="n"/>
      <c r="D103" s="364" t="n"/>
    </row>
    <row r="104">
      <c r="A104" s="49" t="inlineStr">
        <is>
          <t>Equipment</t>
        </is>
      </c>
      <c r="B104" s="357" t="n"/>
      <c r="C104" s="248" t="n"/>
      <c r="D104" s="361">
        <f>B104*C104</f>
        <v/>
      </c>
    </row>
    <row r="105">
      <c r="A105" s="49" t="inlineStr">
        <is>
          <t>Infrastructure</t>
        </is>
      </c>
      <c r="B105" s="357" t="n"/>
      <c r="C105" s="248" t="n"/>
      <c r="D105" s="361">
        <f>B105*C105</f>
        <v/>
      </c>
    </row>
    <row r="106">
      <c r="A106" s="49" t="inlineStr">
        <is>
          <t>Other assets</t>
        </is>
      </c>
      <c r="B106" s="357" t="n"/>
      <c r="C106" s="248" t="n"/>
      <c r="D106" s="361">
        <f>B106*C106</f>
        <v/>
      </c>
    </row>
    <row r="107">
      <c r="A107" s="28" t="inlineStr">
        <is>
          <t>C.3 Other goods, works and services</t>
        </is>
      </c>
      <c r="B107" s="346" t="n"/>
      <c r="C107" s="111" t="n"/>
      <c r="D107" s="364" t="n"/>
    </row>
    <row r="108">
      <c r="A108" s="49" t="inlineStr">
        <is>
          <t>Consumables</t>
        </is>
      </c>
      <c r="B108" s="357" t="n"/>
      <c r="C108" s="248" t="n"/>
      <c r="D108" s="361">
        <f>B108*C108</f>
        <v/>
      </c>
    </row>
    <row r="109">
      <c r="A109" s="49" t="inlineStr">
        <is>
          <t>Services for meetings, seminars</t>
        </is>
      </c>
      <c r="B109" s="357" t="n"/>
      <c r="C109" s="248" t="n"/>
      <c r="D109" s="361">
        <f>B109*C109</f>
        <v/>
      </c>
    </row>
    <row r="110">
      <c r="A110" s="49" t="inlineStr">
        <is>
          <t>Services for dissemination activities (including website)</t>
        </is>
      </c>
      <c r="B110" s="357" t="n"/>
      <c r="C110" s="248" t="n"/>
      <c r="D110" s="361">
        <f>B110*C110</f>
        <v/>
      </c>
    </row>
    <row r="111">
      <c r="A111" s="49" t="inlineStr">
        <is>
          <t>Publication fees</t>
        </is>
      </c>
      <c r="B111" s="357" t="n"/>
      <c r="C111" s="248" t="n"/>
      <c r="D111" s="361">
        <f>B111*C111</f>
        <v/>
      </c>
    </row>
    <row r="112">
      <c r="A112" s="49" t="inlineStr">
        <is>
          <t>Other (shipment, insurance, translation, etc.)</t>
        </is>
      </c>
      <c r="B112" s="357" t="n"/>
      <c r="C112" s="248" t="n"/>
      <c r="D112" s="361">
        <f>B112*C112</f>
        <v/>
      </c>
    </row>
    <row r="113">
      <c r="A113" s="29" t="inlineStr">
        <is>
          <t>D. OTHER COST CATEGORIES</t>
        </is>
      </c>
      <c r="B113" s="358" t="n"/>
      <c r="C113" s="110" t="n"/>
      <c r="D113" s="359" t="n"/>
    </row>
    <row r="114">
      <c r="A114" s="50" t="inlineStr">
        <is>
          <t>D.1 Financial support to third parties (if applicable in the topic specific conditions)</t>
        </is>
      </c>
      <c r="B114" s="357" t="n"/>
      <c r="C114" s="248" t="n"/>
      <c r="D114" s="361">
        <f>B114*C114</f>
        <v/>
      </c>
    </row>
    <row r="115">
      <c r="A115" s="50" t="inlineStr">
        <is>
          <t>D.2 Internally invoiced goods and services</t>
        </is>
      </c>
      <c r="B115" s="357" t="n"/>
      <c r="C115" s="248" t="n"/>
      <c r="D115" s="361">
        <f>B115*C115</f>
        <v/>
      </c>
    </row>
    <row r="116">
      <c r="A116" s="50" t="inlineStr">
        <is>
          <t>D.3 Transnational access to research infrastructure unit costs (if mentioned as eligible in the topic specific conditions)</t>
        </is>
      </c>
      <c r="B116" s="357" t="n"/>
      <c r="C116" s="248" t="n"/>
      <c r="D116" s="361">
        <f>B116*C116</f>
        <v/>
      </c>
    </row>
    <row r="117">
      <c r="A117" s="50" t="inlineStr">
        <is>
          <t>D.4 Virtual access to research infrastructure unit costs (if mentioned as eligible in the topic specific conditions)</t>
        </is>
      </c>
      <c r="B117" s="357" t="n"/>
      <c r="C117" s="248" t="n"/>
      <c r="D117" s="361">
        <f>B117*C117</f>
        <v/>
      </c>
    </row>
    <row r="118">
      <c r="A118" s="50" t="inlineStr">
        <is>
          <t>D.5 PCP/PPI procurement costs (if mentioned as eligible in the topic specific conditions)</t>
        </is>
      </c>
      <c r="B118" s="357" t="n"/>
      <c r="C118" s="248" t="n"/>
      <c r="D118" s="361">
        <f>B118*C118</f>
        <v/>
      </c>
    </row>
    <row r="119">
      <c r="A119" s="50" t="n"/>
      <c r="B119" s="346" t="n"/>
      <c r="C119" s="111" t="n"/>
      <c r="D119" s="365" t="n"/>
    </row>
    <row r="120">
      <c r="A120" s="52" t="inlineStr">
        <is>
          <t>TOTAL DIRECT PERSONNEL COSTS AND PURCHASE COSTS (A+C)</t>
        </is>
      </c>
      <c r="B120" s="369" t="n"/>
      <c r="C120" s="230" t="n"/>
      <c r="D120" s="360">
        <f>SUM(D91:D98,D102:D112)</f>
        <v/>
      </c>
    </row>
    <row r="121">
      <c r="A121" s="52" t="inlineStr">
        <is>
          <t>TOTAL DIRECT COSTS  (A+B+C+D)</t>
        </is>
      </c>
      <c r="B121" s="369" t="n"/>
      <c r="C121" s="230" t="n"/>
      <c r="D121" s="360">
        <f>SUM(D91:D118)</f>
        <v/>
      </c>
    </row>
    <row r="122">
      <c r="A122" s="180" t="n"/>
      <c r="B122" s="372" t="n"/>
      <c r="C122" s="176" t="n"/>
      <c r="D122" s="373" t="n"/>
    </row>
    <row r="123">
      <c r="A123" s="29" t="inlineStr">
        <is>
          <t>E. INDIRECT COSTS (25% * (A+C))</t>
        </is>
      </c>
      <c r="B123" s="358" t="n"/>
      <c r="C123" s="110" t="n"/>
      <c r="D123" s="360">
        <f>D120*0.25</f>
        <v/>
      </c>
    </row>
    <row r="124">
      <c r="A124" s="32" t="n"/>
      <c r="B124" s="372" t="n"/>
      <c r="C124" s="176" t="n"/>
      <c r="D124" s="377" t="n"/>
    </row>
    <row r="125">
      <c r="A125" s="29" t="inlineStr">
        <is>
          <t>F. TOTAL COSTS (A+B+C+D+E)</t>
        </is>
      </c>
      <c r="B125" s="369" t="n"/>
      <c r="C125" s="230" t="n"/>
      <c r="D125" s="360">
        <f>D121+D123</f>
        <v/>
      </c>
    </row>
    <row r="126">
      <c r="A126" s="182" t="n"/>
      <c r="B126" s="183" t="n"/>
      <c r="C126" s="184" t="n"/>
      <c r="D126" s="183" t="n"/>
    </row>
    <row r="127">
      <c r="A127" s="190" t="n"/>
      <c r="B127" s="185" t="n"/>
      <c r="C127" s="186" t="n"/>
      <c r="D127" s="187" t="n"/>
    </row>
    <row r="128" ht="21" customHeight="1">
      <c r="A128" s="272">
        <f>CONCATENATE("COSTS WORK PACKAGE 4:"," ","Manufacturing, Instrumentation and Factory Acceptance")</f>
        <v/>
      </c>
      <c r="B128" s="314" t="n"/>
      <c r="C128" s="314" t="n"/>
      <c r="D128" s="315" t="n"/>
    </row>
    <row r="129">
      <c r="A129" s="182" t="n"/>
      <c r="B129" s="191" t="n"/>
      <c r="C129" s="192" t="n"/>
      <c r="D129" s="191" t="n"/>
    </row>
    <row r="130">
      <c r="A130" s="29" t="inlineStr">
        <is>
          <t>A. DIRECT PERSONNEL COSTS</t>
        </is>
      </c>
      <c r="B130" s="30" t="n"/>
      <c r="C130" s="110" t="n"/>
      <c r="D130" s="354" t="n"/>
    </row>
    <row r="131">
      <c r="A131" s="28" t="inlineStr">
        <is>
          <t>A.1 Employees (or equivalent)</t>
        </is>
      </c>
      <c r="B131" s="89" t="n"/>
      <c r="C131" s="111" t="n"/>
      <c r="D131" s="355" t="n"/>
    </row>
    <row r="132">
      <c r="A132" s="48" t="inlineStr">
        <is>
          <t>SENIOR SCIENTISTS (or equivalent in the private sector)</t>
        </is>
      </c>
      <c r="B132" s="357" t="n">
        <v>7</v>
      </c>
      <c r="C132" s="248" t="n">
        <v>10000</v>
      </c>
      <c r="D132" s="232">
        <f>B132*C132</f>
        <v/>
      </c>
    </row>
    <row r="133">
      <c r="A133" s="48" t="inlineStr">
        <is>
          <t>JUNIOR SCIENTISTS (or equivalent in the private sector)</t>
        </is>
      </c>
      <c r="B133" s="357" t="n">
        <v>0</v>
      </c>
      <c r="C133" s="248" t="n">
        <v>0</v>
      </c>
      <c r="D133" s="232">
        <f>B133*C133</f>
        <v/>
      </c>
    </row>
    <row r="134">
      <c r="A134" s="48" t="inlineStr">
        <is>
          <t>TECHNICAL PERSONNEL (or equivalent in the private sector)</t>
        </is>
      </c>
      <c r="B134" s="357" t="n"/>
      <c r="C134" s="248" t="n"/>
      <c r="D134" s="232">
        <f>B134*C134</f>
        <v/>
      </c>
    </row>
    <row r="135">
      <c r="A135" s="48" t="inlineStr">
        <is>
          <t>ADMINISTRATIVE PERSONNEL (or equivalent in the private sector)</t>
        </is>
      </c>
      <c r="B135" s="357" t="n"/>
      <c r="C135" s="248" t="n"/>
      <c r="D135" s="232">
        <f>B135*C135</f>
        <v/>
      </c>
    </row>
    <row r="136">
      <c r="A136" s="48" t="inlineStr">
        <is>
          <t>OTHERS</t>
        </is>
      </c>
      <c r="B136" s="357" t="n"/>
      <c r="C136" s="248" t="n"/>
      <c r="D136" s="232">
        <f>B136*C136</f>
        <v/>
      </c>
    </row>
    <row r="137">
      <c r="A137" s="28" t="inlineStr">
        <is>
          <t>A.2 Natural Persons under direct contract</t>
        </is>
      </c>
      <c r="B137" s="357" t="n"/>
      <c r="C137" s="248" t="n"/>
      <c r="D137" s="232">
        <f>B137*C137</f>
        <v/>
      </c>
    </row>
    <row r="138">
      <c r="A138" s="28" t="inlineStr">
        <is>
          <t>A.3 Seconded Persons</t>
        </is>
      </c>
      <c r="B138" s="357" t="n"/>
      <c r="C138" s="248" t="n"/>
      <c r="D138" s="232">
        <f>B138*C138</f>
        <v/>
      </c>
    </row>
    <row r="139">
      <c r="A139" s="28" t="inlineStr">
        <is>
          <t>A.4 SME owners and natural person beneficiaries</t>
        </is>
      </c>
      <c r="B139" s="357" t="n"/>
      <c r="C139" s="256" t="n">
        <v>11858.7624</v>
      </c>
      <c r="D139" s="232">
        <f>B139*C139</f>
        <v/>
      </c>
    </row>
    <row r="140">
      <c r="A140" s="29" t="inlineStr">
        <is>
          <t>B. DIRECT SUBCONTRACTING COSTS</t>
        </is>
      </c>
      <c r="B140" s="358" t="n"/>
      <c r="C140" s="110" t="n"/>
      <c r="D140" s="359" t="n"/>
    </row>
    <row r="141">
      <c r="A141" s="53" t="n"/>
      <c r="B141" s="357" t="n"/>
      <c r="C141" s="248" t="n"/>
      <c r="D141" s="361">
        <f>B141*C141</f>
        <v/>
      </c>
    </row>
    <row r="142">
      <c r="A142" s="29" t="inlineStr">
        <is>
          <t>C. DIRECT PURCHASE COSTS</t>
        </is>
      </c>
      <c r="B142" s="358" t="n"/>
      <c r="C142" s="110" t="n"/>
      <c r="D142" s="359" t="n"/>
    </row>
    <row r="143">
      <c r="A143" s="28" t="inlineStr">
        <is>
          <t>C.1 Travel and subsistence</t>
        </is>
      </c>
      <c r="B143" s="357" t="n"/>
      <c r="C143" s="248" t="n"/>
      <c r="D143" s="361">
        <f>B143*C143</f>
        <v/>
      </c>
    </row>
    <row r="144">
      <c r="A144" s="28" t="inlineStr">
        <is>
          <t>C.2 Equipment (complete 'Depreciation costs' sheet)</t>
        </is>
      </c>
      <c r="B144" s="346" t="n"/>
      <c r="C144" s="111" t="n"/>
      <c r="D144" s="364" t="n"/>
    </row>
    <row r="145">
      <c r="A145" s="49" t="inlineStr">
        <is>
          <t>Equipment</t>
        </is>
      </c>
      <c r="B145" s="357" t="n"/>
      <c r="C145" s="248" t="n"/>
      <c r="D145" s="361">
        <f>B145*C145</f>
        <v/>
      </c>
    </row>
    <row r="146">
      <c r="A146" s="49" t="inlineStr">
        <is>
          <t>Infrastructure</t>
        </is>
      </c>
      <c r="B146" s="357" t="n"/>
      <c r="C146" s="248" t="n"/>
      <c r="D146" s="361">
        <f>B146*C146</f>
        <v/>
      </c>
    </row>
    <row r="147">
      <c r="A147" s="49" t="inlineStr">
        <is>
          <t>Other assets</t>
        </is>
      </c>
      <c r="B147" s="357" t="n"/>
      <c r="C147" s="248" t="n"/>
      <c r="D147" s="361">
        <f>B147*C147</f>
        <v/>
      </c>
    </row>
    <row r="148">
      <c r="A148" s="28" t="inlineStr">
        <is>
          <t>C.3 Other goods, works and services</t>
        </is>
      </c>
      <c r="B148" s="346" t="n"/>
      <c r="C148" s="111" t="n"/>
      <c r="D148" s="364" t="n"/>
    </row>
    <row r="149">
      <c r="A149" s="49" t="inlineStr">
        <is>
          <t>Consumables</t>
        </is>
      </c>
      <c r="B149" s="357" t="n">
        <v>6</v>
      </c>
      <c r="C149" s="248" t="n">
        <v>9000</v>
      </c>
      <c r="D149" s="361">
        <f>B149*C149</f>
        <v/>
      </c>
    </row>
    <row r="150">
      <c r="A150" s="49" t="inlineStr">
        <is>
          <t>Services for meetings, seminars</t>
        </is>
      </c>
      <c r="B150" s="357" t="n">
        <v>0</v>
      </c>
      <c r="C150" s="248" t="n">
        <v>0</v>
      </c>
      <c r="D150" s="361">
        <f>B150*C150</f>
        <v/>
      </c>
    </row>
    <row r="151">
      <c r="A151" s="49" t="inlineStr">
        <is>
          <t>Services for dissemination activities (including website)</t>
        </is>
      </c>
      <c r="B151" s="357" t="n"/>
      <c r="C151" s="248" t="n"/>
      <c r="D151" s="361">
        <f>B151*C151</f>
        <v/>
      </c>
    </row>
    <row r="152">
      <c r="A152" s="49" t="inlineStr">
        <is>
          <t>Publication fees</t>
        </is>
      </c>
      <c r="B152" s="357" t="n"/>
      <c r="C152" s="248" t="n"/>
      <c r="D152" s="361">
        <f>B152*C152</f>
        <v/>
      </c>
    </row>
    <row r="153">
      <c r="A153" s="49" t="inlineStr">
        <is>
          <t>Other (shipment, insurance, translation, etc.)</t>
        </is>
      </c>
      <c r="B153" s="357" t="n"/>
      <c r="C153" s="248" t="n"/>
      <c r="D153" s="361">
        <f>B153*C153</f>
        <v/>
      </c>
    </row>
    <row r="154">
      <c r="A154" s="29" t="inlineStr">
        <is>
          <t>D. OTHER COST CATEGORIES</t>
        </is>
      </c>
      <c r="B154" s="358" t="n"/>
      <c r="C154" s="110" t="n"/>
      <c r="D154" s="359" t="n"/>
    </row>
    <row r="155">
      <c r="A155" s="50" t="inlineStr">
        <is>
          <t>D.1 Financial support to third parties (if applicable in the topic specific conditions)</t>
        </is>
      </c>
      <c r="B155" s="357" t="n"/>
      <c r="C155" s="248" t="n"/>
      <c r="D155" s="361">
        <f>B155*C155</f>
        <v/>
      </c>
    </row>
    <row r="156">
      <c r="A156" s="50" t="inlineStr">
        <is>
          <t>D.2 Internally invoiced goods and services</t>
        </is>
      </c>
      <c r="B156" s="357" t="n"/>
      <c r="C156" s="248" t="n"/>
      <c r="D156" s="361">
        <f>B156*C156</f>
        <v/>
      </c>
    </row>
    <row r="157">
      <c r="A157" s="50" t="inlineStr">
        <is>
          <t>D.3 Transnational access to research infrastructure unit costs (if mentioned as eligible in the topic specific conditions)</t>
        </is>
      </c>
      <c r="B157" s="357" t="n"/>
      <c r="C157" s="248" t="n"/>
      <c r="D157" s="361">
        <f>B157*C157</f>
        <v/>
      </c>
    </row>
    <row r="158">
      <c r="A158" s="50" t="inlineStr">
        <is>
          <t>D.4 Virtual access to research infrastructure unit costs (if mentioned as eligible in the topic specific conditions)</t>
        </is>
      </c>
      <c r="B158" s="357" t="n"/>
      <c r="C158" s="248" t="n"/>
      <c r="D158" s="361">
        <f>B158*C158</f>
        <v/>
      </c>
    </row>
    <row r="159">
      <c r="A159" s="50" t="inlineStr">
        <is>
          <t>D.5 PCP/PPI procurement costs (if mentioned as eligible in the topic specific conditions)</t>
        </is>
      </c>
      <c r="B159" s="357" t="n"/>
      <c r="C159" s="248" t="n"/>
      <c r="D159" s="361">
        <f>B159*C159</f>
        <v/>
      </c>
    </row>
    <row r="160">
      <c r="A160" s="50" t="n"/>
      <c r="B160" s="346" t="n"/>
      <c r="C160" s="111" t="n"/>
      <c r="D160" s="365" t="n"/>
    </row>
    <row r="161">
      <c r="A161" s="52" t="inlineStr">
        <is>
          <t>TOTAL DIRECT PERSONNEL COSTS AND PURCHASE COSTS (A+C)</t>
        </is>
      </c>
      <c r="B161" s="369" t="n"/>
      <c r="C161" s="230" t="n"/>
      <c r="D161" s="360">
        <f>SUM(D132:D139,D143:D153)</f>
        <v/>
      </c>
    </row>
    <row r="162">
      <c r="A162" s="52" t="inlineStr">
        <is>
          <t>TOTAL DIRECT COSTS  (A+B+C+D)</t>
        </is>
      </c>
      <c r="B162" s="369" t="n"/>
      <c r="C162" s="230" t="n"/>
      <c r="D162" s="360">
        <f>SUM(D132:D159)</f>
        <v/>
      </c>
    </row>
    <row r="163">
      <c r="A163" s="180" t="n"/>
      <c r="B163" s="372" t="n"/>
      <c r="C163" s="176" t="n"/>
      <c r="D163" s="373" t="n"/>
    </row>
    <row r="164">
      <c r="A164" s="29" t="inlineStr">
        <is>
          <t>E. INDIRECT COSTS (25% * (A+C))</t>
        </is>
      </c>
      <c r="B164" s="358" t="n"/>
      <c r="C164" s="110" t="n"/>
      <c r="D164" s="360">
        <f>D161*0.25</f>
        <v/>
      </c>
    </row>
    <row r="165">
      <c r="A165" s="32" t="n"/>
      <c r="B165" s="372" t="n"/>
      <c r="C165" s="176" t="n"/>
      <c r="D165" s="377" t="n"/>
    </row>
    <row r="166">
      <c r="A166" s="29" t="inlineStr">
        <is>
          <t>F. TOTAL COSTS (A+B+C+D+E)</t>
        </is>
      </c>
      <c r="B166" s="369" t="n"/>
      <c r="C166" s="230" t="n"/>
      <c r="D166" s="360">
        <f>D162+D164</f>
        <v/>
      </c>
    </row>
    <row r="167">
      <c r="A167" s="182" t="n"/>
      <c r="B167" s="183" t="n"/>
      <c r="C167" s="184" t="n"/>
      <c r="D167" s="183" t="n"/>
    </row>
    <row r="168">
      <c r="A168" s="190" t="n"/>
      <c r="B168" s="185" t="n"/>
      <c r="C168" s="186" t="n"/>
      <c r="D168" s="187" t="n"/>
    </row>
    <row r="169" ht="21" customHeight="1">
      <c r="A169" s="272">
        <f>CONCATENATE("COSTS WORK PACKAGE 5:"," ","Deployment, Operation and Validation Campaign")</f>
        <v/>
      </c>
      <c r="B169" s="314" t="n"/>
      <c r="C169" s="314" t="n"/>
      <c r="D169" s="315" t="n"/>
    </row>
    <row r="170">
      <c r="A170" s="182" t="n"/>
      <c r="B170" s="191" t="n"/>
      <c r="C170" s="192" t="n"/>
      <c r="D170" s="191" t="n"/>
    </row>
    <row r="171">
      <c r="A171" s="29" t="inlineStr">
        <is>
          <t>A. DIRECT PERSONNEL COSTS</t>
        </is>
      </c>
      <c r="B171" s="30" t="n"/>
      <c r="C171" s="110" t="n"/>
      <c r="D171" s="354" t="n"/>
    </row>
    <row r="172">
      <c r="A172" s="28" t="inlineStr">
        <is>
          <t>A.1 Employees (or equivalent)</t>
        </is>
      </c>
      <c r="B172" s="89" t="n"/>
      <c r="C172" s="111" t="n"/>
      <c r="D172" s="355" t="n"/>
    </row>
    <row r="173">
      <c r="A173" s="48" t="inlineStr">
        <is>
          <t>SENIOR SCIENTISTS (or equivalent in the private sector)</t>
        </is>
      </c>
      <c r="B173" s="357" t="n">
        <v>4</v>
      </c>
      <c r="C173" s="248" t="n">
        <v>10000</v>
      </c>
      <c r="D173" s="232">
        <f>B173*C173</f>
        <v/>
      </c>
    </row>
    <row r="174">
      <c r="A174" s="48" t="inlineStr">
        <is>
          <t>JUNIOR SCIENTISTS (or equivalent in the private sector)</t>
        </is>
      </c>
      <c r="B174" s="357" t="n"/>
      <c r="C174" s="248" t="n"/>
      <c r="D174" s="232">
        <f>B174*C174</f>
        <v/>
      </c>
    </row>
    <row r="175">
      <c r="A175" s="48" t="inlineStr">
        <is>
          <t>TECHNICAL PERSONNEL (or equivalent in the private sector)</t>
        </is>
      </c>
      <c r="B175" s="357" t="n"/>
      <c r="C175" s="248" t="n"/>
      <c r="D175" s="232">
        <f>B175*C175</f>
        <v/>
      </c>
    </row>
    <row r="176">
      <c r="A176" s="48" t="inlineStr">
        <is>
          <t>ADMINISTRATIVE PERSONNEL (or equivalent in the private sector)</t>
        </is>
      </c>
      <c r="B176" s="357" t="n"/>
      <c r="C176" s="248" t="n"/>
      <c r="D176" s="232">
        <f>B176*C176</f>
        <v/>
      </c>
    </row>
    <row r="177">
      <c r="A177" s="48" t="inlineStr">
        <is>
          <t>OTHERS</t>
        </is>
      </c>
      <c r="B177" s="357" t="n"/>
      <c r="C177" s="248" t="n"/>
      <c r="D177" s="232">
        <f>B177*C177</f>
        <v/>
      </c>
    </row>
    <row r="178">
      <c r="A178" s="28" t="inlineStr">
        <is>
          <t>A.2 Natural Persons under direct contract</t>
        </is>
      </c>
      <c r="B178" s="357" t="n"/>
      <c r="C178" s="248" t="n"/>
      <c r="D178" s="232">
        <f>B178*C178</f>
        <v/>
      </c>
    </row>
    <row r="179">
      <c r="A179" s="28" t="inlineStr">
        <is>
          <t>A.3 Seconded Persons</t>
        </is>
      </c>
      <c r="B179" s="357" t="n"/>
      <c r="C179" s="248" t="n"/>
      <c r="D179" s="232">
        <f>B179*C179</f>
        <v/>
      </c>
    </row>
    <row r="180">
      <c r="A180" s="28" t="inlineStr">
        <is>
          <t>A.4 SME owners and natural person beneficiaries</t>
        </is>
      </c>
      <c r="B180" s="357" t="n"/>
      <c r="C180" s="256" t="n">
        <v>11858.7624</v>
      </c>
      <c r="D180" s="232">
        <f>B180*C180</f>
        <v/>
      </c>
    </row>
    <row r="181">
      <c r="A181" s="29" t="inlineStr">
        <is>
          <t>B. DIRECT SUBCONTRACTING COSTS</t>
        </is>
      </c>
      <c r="B181" s="358" t="n"/>
      <c r="C181" s="110" t="n"/>
      <c r="D181" s="359" t="n"/>
    </row>
    <row r="182">
      <c r="A182" s="53" t="n"/>
      <c r="B182" s="357" t="n"/>
      <c r="C182" s="248" t="n"/>
      <c r="D182" s="361">
        <f>B182*C182</f>
        <v/>
      </c>
    </row>
    <row r="183">
      <c r="A183" s="29" t="inlineStr">
        <is>
          <t>C. DIRECT PURCHASE COSTS</t>
        </is>
      </c>
      <c r="B183" s="358" t="n"/>
      <c r="C183" s="110" t="n"/>
      <c r="D183" s="359" t="n"/>
    </row>
    <row r="184">
      <c r="A184" s="28" t="inlineStr">
        <is>
          <t>C.1 Travel and subsistence</t>
        </is>
      </c>
      <c r="B184" s="357" t="n"/>
      <c r="C184" s="248" t="n"/>
      <c r="D184" s="361">
        <f>B184*C184</f>
        <v/>
      </c>
    </row>
    <row r="185">
      <c r="A185" s="28" t="inlineStr">
        <is>
          <t>C.2 Equipment (complete 'Depreciation costs' sheet)</t>
        </is>
      </c>
      <c r="B185" s="346" t="n"/>
      <c r="C185" s="111" t="n"/>
      <c r="D185" s="364" t="n"/>
    </row>
    <row r="186">
      <c r="A186" s="49" t="inlineStr">
        <is>
          <t>Equipment</t>
        </is>
      </c>
      <c r="B186" s="357" t="n"/>
      <c r="C186" s="248" t="n"/>
      <c r="D186" s="361">
        <f>B186*C186</f>
        <v/>
      </c>
    </row>
    <row r="187">
      <c r="A187" s="49" t="inlineStr">
        <is>
          <t>Infrastructure</t>
        </is>
      </c>
      <c r="B187" s="357" t="n"/>
      <c r="C187" s="248" t="n"/>
      <c r="D187" s="361">
        <f>B187*C187</f>
        <v/>
      </c>
    </row>
    <row r="188">
      <c r="A188" s="49" t="inlineStr">
        <is>
          <t>Other assets</t>
        </is>
      </c>
      <c r="B188" s="357" t="n"/>
      <c r="C188" s="248" t="n"/>
      <c r="D188" s="361">
        <f>B188*C188</f>
        <v/>
      </c>
    </row>
    <row r="189">
      <c r="A189" s="28" t="inlineStr">
        <is>
          <t>C.3 Other goods, works and services</t>
        </is>
      </c>
      <c r="B189" s="346" t="n"/>
      <c r="C189" s="111" t="n"/>
      <c r="D189" s="364" t="n"/>
    </row>
    <row r="190">
      <c r="A190" s="49" t="inlineStr">
        <is>
          <t>Consumables</t>
        </is>
      </c>
      <c r="B190" s="357" t="n"/>
      <c r="C190" s="248" t="n"/>
      <c r="D190" s="361">
        <f>B190*C190</f>
        <v/>
      </c>
    </row>
    <row r="191">
      <c r="A191" s="49" t="inlineStr">
        <is>
          <t>Services for meetings, seminars</t>
        </is>
      </c>
      <c r="B191" s="357" t="n"/>
      <c r="C191" s="248" t="n"/>
      <c r="D191" s="361">
        <f>B191*C191</f>
        <v/>
      </c>
    </row>
    <row r="192">
      <c r="A192" s="49" t="inlineStr">
        <is>
          <t>Services for dissemination activities (including website)</t>
        </is>
      </c>
      <c r="B192" s="357" t="n"/>
      <c r="C192" s="248" t="n"/>
      <c r="D192" s="361">
        <f>B192*C192</f>
        <v/>
      </c>
    </row>
    <row r="193">
      <c r="A193" s="49" t="inlineStr">
        <is>
          <t>Publication fees</t>
        </is>
      </c>
      <c r="B193" s="357" t="n"/>
      <c r="C193" s="248" t="n"/>
      <c r="D193" s="361">
        <f>B193*C193</f>
        <v/>
      </c>
    </row>
    <row r="194">
      <c r="A194" s="49" t="inlineStr">
        <is>
          <t>Other (shipment, insurance, translation, etc.)</t>
        </is>
      </c>
      <c r="B194" s="357" t="n"/>
      <c r="C194" s="248" t="n"/>
      <c r="D194" s="361">
        <f>B194*C194</f>
        <v/>
      </c>
    </row>
    <row r="195">
      <c r="A195" s="29" t="inlineStr">
        <is>
          <t>D. OTHER COST CATEGORIES</t>
        </is>
      </c>
      <c r="B195" s="358" t="n"/>
      <c r="C195" s="110" t="n"/>
      <c r="D195" s="359" t="n"/>
    </row>
    <row r="196">
      <c r="A196" s="50" t="inlineStr">
        <is>
          <t>D.1 Financial support to third parties (if applicable in the topic specific conditions)</t>
        </is>
      </c>
      <c r="B196" s="357" t="n"/>
      <c r="C196" s="248" t="n"/>
      <c r="D196" s="361">
        <f>B196*C196</f>
        <v/>
      </c>
    </row>
    <row r="197">
      <c r="A197" s="50" t="inlineStr">
        <is>
          <t>D.2 Internally invoiced goods and services</t>
        </is>
      </c>
      <c r="B197" s="357" t="n"/>
      <c r="C197" s="248" t="n"/>
      <c r="D197" s="361">
        <f>B197*C197</f>
        <v/>
      </c>
    </row>
    <row r="198">
      <c r="A198" s="50" t="inlineStr">
        <is>
          <t>D.3 Transnational access to research infrastructure unit costs (if mentioned as eligible in the topic specific conditions)</t>
        </is>
      </c>
      <c r="B198" s="357" t="n"/>
      <c r="C198" s="248" t="n"/>
      <c r="D198" s="361">
        <f>B198*C198</f>
        <v/>
      </c>
    </row>
    <row r="199">
      <c r="A199" s="50" t="inlineStr">
        <is>
          <t>D.4 Virtual access to research infrastructure unit costs (if mentioned as eligible in the topic specific conditions)</t>
        </is>
      </c>
      <c r="B199" s="357" t="n"/>
      <c r="C199" s="248" t="n"/>
      <c r="D199" s="361">
        <f>B199*C199</f>
        <v/>
      </c>
    </row>
    <row r="200">
      <c r="A200" s="50" t="inlineStr">
        <is>
          <t>D.5 PCP/PPI procurement costs (if mentioned as eligible in the topic specific conditions)</t>
        </is>
      </c>
      <c r="B200" s="357" t="n"/>
      <c r="C200" s="248" t="n"/>
      <c r="D200" s="361">
        <f>B200*C200</f>
        <v/>
      </c>
    </row>
    <row r="201">
      <c r="A201" s="50" t="n"/>
      <c r="B201" s="346" t="n"/>
      <c r="C201" s="111" t="n"/>
      <c r="D201" s="365" t="n"/>
    </row>
    <row r="202">
      <c r="A202" s="52" t="inlineStr">
        <is>
          <t>TOTAL DIRECT PERSONNEL COSTS AND PURCHASE COSTS (A+C)</t>
        </is>
      </c>
      <c r="B202" s="369" t="n"/>
      <c r="C202" s="230" t="n"/>
      <c r="D202" s="360">
        <f>SUM(D173:D180,D184:D194)</f>
        <v/>
      </c>
    </row>
    <row r="203">
      <c r="A203" s="52" t="inlineStr">
        <is>
          <t>TOTAL DIRECT COSTS  (A+B+C+D)</t>
        </is>
      </c>
      <c r="B203" s="369" t="n"/>
      <c r="C203" s="230" t="n"/>
      <c r="D203" s="360">
        <f>SUM(D173:D200)</f>
        <v/>
      </c>
    </row>
    <row r="204">
      <c r="A204" s="180" t="n"/>
      <c r="B204" s="372" t="n"/>
      <c r="C204" s="176" t="n"/>
      <c r="D204" s="373" t="n"/>
    </row>
    <row r="205">
      <c r="A205" s="29" t="inlineStr">
        <is>
          <t>E. INDIRECT COSTS (25% * (A+C))</t>
        </is>
      </c>
      <c r="B205" s="358" t="n"/>
      <c r="C205" s="110" t="n"/>
      <c r="D205" s="360">
        <f>D202*0.25</f>
        <v/>
      </c>
    </row>
    <row r="206">
      <c r="A206" s="32" t="n"/>
      <c r="B206" s="372" t="n"/>
      <c r="C206" s="176" t="n"/>
      <c r="D206" s="377" t="n"/>
    </row>
    <row r="207">
      <c r="A207" s="29" t="inlineStr">
        <is>
          <t>F. TOTAL COSTS (A+B+C+D+E)</t>
        </is>
      </c>
      <c r="B207" s="369" t="n"/>
      <c r="C207" s="230" t="n"/>
      <c r="D207" s="360">
        <f>D203+D205</f>
        <v/>
      </c>
    </row>
    <row r="209">
      <c r="A209" s="190" t="n"/>
      <c r="B209" s="185" t="n"/>
      <c r="C209" s="186" t="n"/>
      <c r="D209" s="187" t="n"/>
    </row>
    <row r="210" ht="21" customHeight="1">
      <c r="A210" s="272">
        <f>CONCATENATE("COSTS WORK PACKAGE 6:"," ","Business Validation, Exploitation and Dissemination")</f>
        <v/>
      </c>
      <c r="B210" s="314" t="n"/>
      <c r="C210" s="314" t="n"/>
      <c r="D210" s="315" t="n"/>
    </row>
    <row r="211">
      <c r="A211" s="182" t="n"/>
      <c r="B211" s="191" t="n"/>
      <c r="C211" s="192" t="n"/>
      <c r="D211" s="191" t="n"/>
    </row>
    <row r="212">
      <c r="A212" s="29" t="inlineStr">
        <is>
          <t>A. DIRECT PERSONNEL COSTS</t>
        </is>
      </c>
      <c r="B212" s="30" t="n"/>
      <c r="C212" s="110" t="n"/>
      <c r="D212" s="354" t="n"/>
    </row>
    <row r="213">
      <c r="A213" s="28" t="inlineStr">
        <is>
          <t>A.1 Employees (or equivalent)</t>
        </is>
      </c>
      <c r="B213" s="89" t="n"/>
      <c r="C213" s="111" t="n"/>
      <c r="D213" s="355" t="n"/>
    </row>
    <row r="214">
      <c r="A214" s="48" t="inlineStr">
        <is>
          <t>SENIOR SCIENTISTS (or equivalent in the private sector)</t>
        </is>
      </c>
      <c r="B214" s="357" t="n">
        <v>3</v>
      </c>
      <c r="C214" s="248" t="n">
        <v>10000</v>
      </c>
      <c r="D214" s="232">
        <f>B214*C214</f>
        <v/>
      </c>
    </row>
    <row r="215">
      <c r="A215" s="48" t="inlineStr">
        <is>
          <t>JUNIOR SCIENTISTS (or equivalent in the private sector)</t>
        </is>
      </c>
      <c r="B215" s="357" t="n"/>
      <c r="C215" s="248" t="n"/>
      <c r="D215" s="232">
        <f>B215*C215</f>
        <v/>
      </c>
    </row>
    <row r="216">
      <c r="A216" s="48" t="inlineStr">
        <is>
          <t>TECHNICAL PERSONNEL (or equivalent in the private sector)</t>
        </is>
      </c>
      <c r="B216" s="357" t="n"/>
      <c r="C216" s="248" t="n"/>
      <c r="D216" s="232">
        <f>B216*C216</f>
        <v/>
      </c>
    </row>
    <row r="217">
      <c r="A217" s="48" t="inlineStr">
        <is>
          <t>ADMINISTRATIVE PERSONNEL (or equivalent in the private sector)</t>
        </is>
      </c>
      <c r="B217" s="357" t="n"/>
      <c r="C217" s="248" t="n"/>
      <c r="D217" s="232">
        <f>B217*C217</f>
        <v/>
      </c>
    </row>
    <row r="218">
      <c r="A218" s="48" t="inlineStr">
        <is>
          <t>OTHERS</t>
        </is>
      </c>
      <c r="B218" s="357" t="n"/>
      <c r="C218" s="248" t="n"/>
      <c r="D218" s="232">
        <f>B218*C218</f>
        <v/>
      </c>
    </row>
    <row r="219">
      <c r="A219" s="28" t="inlineStr">
        <is>
          <t>A.2 Natural Persons under direct contract</t>
        </is>
      </c>
      <c r="B219" s="357" t="n"/>
      <c r="C219" s="248" t="n"/>
      <c r="D219" s="232">
        <f>B219*C219</f>
        <v/>
      </c>
    </row>
    <row r="220">
      <c r="A220" s="28" t="inlineStr">
        <is>
          <t>A.3 Seconded Persons</t>
        </is>
      </c>
      <c r="B220" s="357" t="n"/>
      <c r="C220" s="248" t="n"/>
      <c r="D220" s="232">
        <f>B220*C220</f>
        <v/>
      </c>
    </row>
    <row r="221">
      <c r="A221" s="28" t="inlineStr">
        <is>
          <t>A.4 SME owners and natural person beneficiaries</t>
        </is>
      </c>
      <c r="B221" s="357" t="n"/>
      <c r="C221" s="256" t="n">
        <v>11858.7624</v>
      </c>
      <c r="D221" s="232">
        <f>B221*C221</f>
        <v/>
      </c>
    </row>
    <row r="222">
      <c r="A222" s="29" t="inlineStr">
        <is>
          <t>B. DIRECT SUBCONTRACTING COSTS</t>
        </is>
      </c>
      <c r="B222" s="358" t="n"/>
      <c r="C222" s="110" t="n"/>
      <c r="D222" s="359" t="n"/>
    </row>
    <row r="223">
      <c r="A223" s="53" t="n"/>
      <c r="B223" s="357" t="n"/>
      <c r="C223" s="248" t="n"/>
      <c r="D223" s="361">
        <f>B223*C223</f>
        <v/>
      </c>
    </row>
    <row r="224">
      <c r="A224" s="29" t="inlineStr">
        <is>
          <t>C. DIRECT PURCHASE COSTS</t>
        </is>
      </c>
      <c r="B224" s="358" t="n"/>
      <c r="C224" s="110" t="n"/>
      <c r="D224" s="359" t="n"/>
    </row>
    <row r="225">
      <c r="A225" s="28" t="inlineStr">
        <is>
          <t>C.1 Travel and subsistence</t>
        </is>
      </c>
      <c r="B225" s="357" t="n"/>
      <c r="C225" s="248" t="n"/>
      <c r="D225" s="361">
        <f>B225*C225</f>
        <v/>
      </c>
    </row>
    <row r="226">
      <c r="A226" s="28" t="inlineStr">
        <is>
          <t>C.2 Equipment (complete 'Depreciation costs' sheet)</t>
        </is>
      </c>
      <c r="B226" s="346" t="n"/>
      <c r="C226" s="111" t="n"/>
      <c r="D226" s="364" t="n"/>
    </row>
    <row r="227">
      <c r="A227" s="49" t="inlineStr">
        <is>
          <t>Equipment</t>
        </is>
      </c>
      <c r="B227" s="357" t="n"/>
      <c r="C227" s="248" t="n"/>
      <c r="D227" s="361">
        <f>B227*C227</f>
        <v/>
      </c>
    </row>
    <row r="228">
      <c r="A228" s="49" t="inlineStr">
        <is>
          <t>Infrastructure</t>
        </is>
      </c>
      <c r="B228" s="357" t="n"/>
      <c r="C228" s="248" t="n"/>
      <c r="D228" s="361">
        <f>B228*C228</f>
        <v/>
      </c>
    </row>
    <row r="229">
      <c r="A229" s="49" t="inlineStr">
        <is>
          <t>Other assets</t>
        </is>
      </c>
      <c r="B229" s="357" t="n"/>
      <c r="C229" s="248" t="n"/>
      <c r="D229" s="361">
        <f>B229*C229</f>
        <v/>
      </c>
    </row>
    <row r="230">
      <c r="A230" s="28" t="inlineStr">
        <is>
          <t>C.3 Other goods, works and services</t>
        </is>
      </c>
      <c r="B230" s="346" t="n"/>
      <c r="C230" s="111" t="n"/>
      <c r="D230" s="364" t="n"/>
    </row>
    <row r="231">
      <c r="A231" s="49" t="inlineStr">
        <is>
          <t>Consumables</t>
        </is>
      </c>
      <c r="B231" s="357" t="n"/>
      <c r="C231" s="248" t="n"/>
      <c r="D231" s="361">
        <f>B231*C231</f>
        <v/>
      </c>
    </row>
    <row r="232">
      <c r="A232" s="49" t="inlineStr">
        <is>
          <t>Services for meetings, seminars</t>
        </is>
      </c>
      <c r="B232" s="357" t="n"/>
      <c r="C232" s="248" t="n"/>
      <c r="D232" s="361">
        <f>B232*C232</f>
        <v/>
      </c>
    </row>
    <row r="233">
      <c r="A233" s="49" t="inlineStr">
        <is>
          <t>Services for dissemination activities (including website)</t>
        </is>
      </c>
      <c r="B233" s="357" t="n">
        <v>2</v>
      </c>
      <c r="C233" s="248" t="n">
        <v>6000</v>
      </c>
      <c r="D233" s="361">
        <f>B233*C233</f>
        <v/>
      </c>
    </row>
    <row r="234">
      <c r="A234" s="49" t="inlineStr">
        <is>
          <t>Publication fees</t>
        </is>
      </c>
      <c r="B234" s="357" t="n"/>
      <c r="C234" s="248" t="n"/>
      <c r="D234" s="361">
        <f>B234*C234</f>
        <v/>
      </c>
    </row>
    <row r="235">
      <c r="A235" s="49" t="inlineStr">
        <is>
          <t>Other (shipment, insurance, translation, etc.)</t>
        </is>
      </c>
      <c r="B235" s="357" t="n"/>
      <c r="C235" s="248" t="n"/>
      <c r="D235" s="361">
        <f>B235*C235</f>
        <v/>
      </c>
    </row>
    <row r="236">
      <c r="A236" s="29" t="inlineStr">
        <is>
          <t>D. OTHER COST CATEGORIES</t>
        </is>
      </c>
      <c r="B236" s="358" t="n"/>
      <c r="C236" s="110" t="n"/>
      <c r="D236" s="359" t="n"/>
    </row>
    <row r="237">
      <c r="A237" s="50" t="inlineStr">
        <is>
          <t>D.1 Financial support to third parties (if applicable in the topic specific conditions)</t>
        </is>
      </c>
      <c r="B237" s="357" t="n"/>
      <c r="C237" s="248" t="n"/>
      <c r="D237" s="361">
        <f>B237*C237</f>
        <v/>
      </c>
    </row>
    <row r="238">
      <c r="A238" s="50" t="inlineStr">
        <is>
          <t>D.2 Internally invoiced goods and services</t>
        </is>
      </c>
      <c r="B238" s="357" t="n"/>
      <c r="C238" s="248" t="n"/>
      <c r="D238" s="361">
        <f>B238*C238</f>
        <v/>
      </c>
    </row>
    <row r="239">
      <c r="A239" s="50" t="inlineStr">
        <is>
          <t>D.3 Transnational access to research infrastructure unit costs (if mentioned as eligible in the topic specific conditions)</t>
        </is>
      </c>
      <c r="B239" s="357" t="n"/>
      <c r="C239" s="248" t="n"/>
      <c r="D239" s="361">
        <f>B239*C239</f>
        <v/>
      </c>
    </row>
    <row r="240">
      <c r="A240" s="50" t="inlineStr">
        <is>
          <t>D.4 Virtual access to research infrastructure unit costs (if mentioned as eligible in the topic specific conditions)</t>
        </is>
      </c>
      <c r="B240" s="357" t="n"/>
      <c r="C240" s="248" t="n"/>
      <c r="D240" s="361">
        <f>B240*C240</f>
        <v/>
      </c>
    </row>
    <row r="241">
      <c r="A241" s="50" t="inlineStr">
        <is>
          <t>D.5 PCP/PPI procurement costs (if mentioned as eligible in the topic specific conditions)</t>
        </is>
      </c>
      <c r="B241" s="357" t="n"/>
      <c r="C241" s="248" t="n"/>
      <c r="D241" s="361">
        <f>B241*C241</f>
        <v/>
      </c>
    </row>
    <row r="242">
      <c r="A242" s="50" t="n"/>
      <c r="B242" s="346" t="n"/>
      <c r="C242" s="111" t="n"/>
      <c r="D242" s="365" t="n"/>
    </row>
    <row r="243">
      <c r="A243" s="52" t="inlineStr">
        <is>
          <t>TOTAL DIRECT PERSONNEL COSTS AND PURCHASE COSTS (A+C)</t>
        </is>
      </c>
      <c r="B243" s="369" t="n"/>
      <c r="C243" s="230" t="n"/>
      <c r="D243" s="360">
        <f>SUM(D214:D221,D225:D235)</f>
        <v/>
      </c>
    </row>
    <row r="244">
      <c r="A244" s="52" t="inlineStr">
        <is>
          <t>TOTAL DIRECT COSTS  (A+B+C+D)</t>
        </is>
      </c>
      <c r="B244" s="369" t="n"/>
      <c r="C244" s="230" t="n"/>
      <c r="D244" s="360">
        <f>SUM(D214:D241)</f>
        <v/>
      </c>
    </row>
    <row r="245">
      <c r="A245" s="180" t="n"/>
      <c r="B245" s="372" t="n"/>
      <c r="C245" s="176" t="n"/>
      <c r="D245" s="373" t="n"/>
    </row>
    <row r="246">
      <c r="A246" s="29" t="inlineStr">
        <is>
          <t>E. INDIRECT COSTS (25% * (A+C))</t>
        </is>
      </c>
      <c r="B246" s="358" t="n"/>
      <c r="C246" s="110" t="n"/>
      <c r="D246" s="360">
        <f>D243*0.25</f>
        <v/>
      </c>
    </row>
    <row r="247">
      <c r="A247" s="32" t="n"/>
      <c r="B247" s="372" t="n"/>
      <c r="C247" s="176" t="n"/>
      <c r="D247" s="377" t="n"/>
    </row>
    <row r="248">
      <c r="A248" s="29" t="inlineStr">
        <is>
          <t>F. TOTAL COSTS (A+B+C+D+E)</t>
        </is>
      </c>
      <c r="B248" s="369" t="n"/>
      <c r="C248" s="230" t="n"/>
      <c r="D248" s="360">
        <f>D244+D246</f>
        <v/>
      </c>
    </row>
    <row r="249">
      <c r="A249" s="182" t="n"/>
      <c r="B249" s="183" t="n"/>
      <c r="C249" s="184" t="n"/>
      <c r="D249" s="183" t="n"/>
    </row>
    <row r="250">
      <c r="A250" s="190" t="n"/>
      <c r="B250" s="185" t="n"/>
      <c r="C250" s="186" t="n"/>
      <c r="D250" s="187" t="n"/>
    </row>
    <row r="251" ht="21" customHeight="1">
      <c r="A251" s="272" t="inlineStr">
        <is>
          <t>SUMMARY</t>
        </is>
      </c>
      <c r="B251" s="314" t="n"/>
      <c r="C251" s="314" t="n"/>
      <c r="D251" s="315" t="n"/>
    </row>
    <row r="252">
      <c r="A252" s="56" t="n"/>
      <c r="B252" s="174" t="n"/>
      <c r="C252" s="175" t="n"/>
      <c r="D252" s="174" t="n"/>
    </row>
    <row r="253">
      <c r="A253" s="29" t="inlineStr">
        <is>
          <t>A. DIRECT PERSONNEL COSTS</t>
        </is>
      </c>
      <c r="B253" s="30" t="n"/>
      <c r="C253" s="110" t="n"/>
      <c r="D253" s="354" t="n"/>
    </row>
    <row r="254">
      <c r="A254" s="28" t="inlineStr">
        <is>
          <t>A.1 Employees (or equivalent)</t>
        </is>
      </c>
      <c r="B254" s="89" t="n"/>
      <c r="C254" s="111" t="n"/>
      <c r="D254" s="355" t="n"/>
    </row>
    <row r="255">
      <c r="A255" s="48" t="inlineStr">
        <is>
          <t>SENIOR SCIENTISTS (or equivalent in the private sector)</t>
        </is>
      </c>
      <c r="B255" s="378">
        <f>B9+B50+B91+B132+B173+B214</f>
        <v/>
      </c>
      <c r="C255" s="249">
        <f>IF(B255&gt;0,D255/B255," ")</f>
        <v/>
      </c>
      <c r="D255" s="361">
        <f>D9+D50+D91+D132+D173+D214</f>
        <v/>
      </c>
    </row>
    <row r="256">
      <c r="A256" s="48" t="inlineStr">
        <is>
          <t>JUNIOR SCIENTISTS (or equivalent in the private sector)</t>
        </is>
      </c>
      <c r="B256" s="378">
        <f>B10+B51+B92+B133+B174+B215</f>
        <v/>
      </c>
      <c r="C256" s="249">
        <f>IF(B256&gt;0,D256/B256," ")</f>
        <v/>
      </c>
      <c r="D256" s="361">
        <f>D10+D51+D92+D133+D174+D215</f>
        <v/>
      </c>
    </row>
    <row r="257">
      <c r="A257" s="48" t="inlineStr">
        <is>
          <t>TECHNICAL PERSONNEL (or equivalent in the private sector)</t>
        </is>
      </c>
      <c r="B257" s="378">
        <f>B11+B52+B93+B134+B175+B216</f>
        <v/>
      </c>
      <c r="C257" s="249">
        <f>IF(B257&gt;0,D257/B257," ")</f>
        <v/>
      </c>
      <c r="D257" s="361">
        <f>D11+D52+D93+D134+D175+D216</f>
        <v/>
      </c>
    </row>
    <row r="258">
      <c r="A258" s="48" t="inlineStr">
        <is>
          <t>ADMINISTRATIVE PERSONNEL (or equivalent in the private sector)</t>
        </is>
      </c>
      <c r="B258" s="378">
        <f>B12+B53+B94+B135+B176+B217</f>
        <v/>
      </c>
      <c r="C258" s="249">
        <f>IF(B258&gt;0,D258/B258," ")</f>
        <v/>
      </c>
      <c r="D258" s="361">
        <f>D12+D53+D94+D135+D176+D217</f>
        <v/>
      </c>
    </row>
    <row r="259">
      <c r="A259" s="48" t="inlineStr">
        <is>
          <t>OTHERS</t>
        </is>
      </c>
      <c r="B259" s="378">
        <f>B13+B54+B95+B136+B177+B218</f>
        <v/>
      </c>
      <c r="C259" s="249">
        <f>IF(B259&gt;0,D259/B259," ")</f>
        <v/>
      </c>
      <c r="D259" s="361">
        <f>D13+D54+D95+D136+D177+D218</f>
        <v/>
      </c>
    </row>
    <row r="260">
      <c r="A260" s="28" t="inlineStr">
        <is>
          <t>A.2 Natural Persons under direct contract</t>
        </is>
      </c>
      <c r="B260" s="378">
        <f>B14+B55+B96+B137+B178+B219</f>
        <v/>
      </c>
      <c r="C260" s="249">
        <f>IF(B260&gt;0,D260/B260," ")</f>
        <v/>
      </c>
      <c r="D260" s="361">
        <f>D14+D55+D96+D137+D178+D219</f>
        <v/>
      </c>
    </row>
    <row r="261">
      <c r="A261" s="28" t="inlineStr">
        <is>
          <t>A.3 Seconded Persons</t>
        </is>
      </c>
      <c r="B261" s="378">
        <f>B15+B56+B97+B138+B179+B220</f>
        <v/>
      </c>
      <c r="C261" s="249">
        <f>IF(B261&gt;0,D261/B261," ")</f>
        <v/>
      </c>
      <c r="D261" s="361">
        <f>D15+D56+D97+D138+D179+D220</f>
        <v/>
      </c>
    </row>
    <row r="262">
      <c r="A262" s="28" t="inlineStr">
        <is>
          <t>A.4 SME owners and natural person beneficiaries</t>
        </is>
      </c>
      <c r="B262" s="378">
        <f>B16+B57+B98+B139+B180+B221</f>
        <v/>
      </c>
      <c r="C262" s="249">
        <f>IF(B262&gt;0,D262/B262," ")</f>
        <v/>
      </c>
      <c r="D262" s="361">
        <f>D16+D57+D98+D139+D180+D221</f>
        <v/>
      </c>
    </row>
    <row r="263">
      <c r="A263" s="29" t="inlineStr">
        <is>
          <t>B. DIRECT SUBCONTRACTING COSTS</t>
        </is>
      </c>
      <c r="B263" s="380" t="n"/>
      <c r="C263" s="250" t="n"/>
      <c r="D263" s="359" t="n"/>
    </row>
    <row r="264">
      <c r="A264" s="28" t="n"/>
      <c r="B264" s="378">
        <f>B18+B59+B100+B141+B182+B223</f>
        <v/>
      </c>
      <c r="C264" s="249">
        <f>IF(B264&gt;0,D264/B264," ")</f>
        <v/>
      </c>
      <c r="D264" s="361">
        <f>D18+D59+D100+D141+D182+D223</f>
        <v/>
      </c>
    </row>
    <row r="265">
      <c r="A265" s="29" t="inlineStr">
        <is>
          <t>C. DIRECT PURCHASE COSTS</t>
        </is>
      </c>
      <c r="B265" s="380" t="n"/>
      <c r="C265" s="250" t="n"/>
      <c r="D265" s="359" t="n"/>
    </row>
    <row r="266">
      <c r="A266" s="28" t="inlineStr">
        <is>
          <t>C.1 Travel and subsistence</t>
        </is>
      </c>
      <c r="B266" s="378">
        <f>B20+B61+B102+B143+B184+B225</f>
        <v/>
      </c>
      <c r="C266" s="249">
        <f>IF(B266&gt;0,D266/B266," ")</f>
        <v/>
      </c>
      <c r="D266" s="361">
        <f>D20+D61+D102+D143+D184+D225</f>
        <v/>
      </c>
    </row>
    <row r="267">
      <c r="A267" s="28" t="inlineStr">
        <is>
          <t>C.2 Equipment (complete 'Depreciation costs' sheet)</t>
        </is>
      </c>
      <c r="B267" s="381" t="n"/>
      <c r="C267" s="251" t="n"/>
      <c r="D267" s="364" t="n"/>
    </row>
    <row r="268">
      <c r="A268" s="49" t="inlineStr">
        <is>
          <t>Equipment</t>
        </is>
      </c>
      <c r="B268" s="378">
        <f>B22+B63+B104+B145+B186+B227</f>
        <v/>
      </c>
      <c r="C268" s="249">
        <f>IF(B268&gt;0,D268/B268," ")</f>
        <v/>
      </c>
      <c r="D268" s="361">
        <f>D22+D63+D104+D145+D186+D227</f>
        <v/>
      </c>
    </row>
    <row r="269">
      <c r="A269" s="49" t="inlineStr">
        <is>
          <t>Infrastructure</t>
        </is>
      </c>
      <c r="B269" s="378">
        <f>B23+B64+B105+B146+B187+B228</f>
        <v/>
      </c>
      <c r="C269" s="249">
        <f>IF(B269&gt;0,D269/B269," ")</f>
        <v/>
      </c>
      <c r="D269" s="361">
        <f>D23+D64+D105+D146+D187+D228</f>
        <v/>
      </c>
    </row>
    <row r="270">
      <c r="A270" s="49" t="inlineStr">
        <is>
          <t>Other assets</t>
        </is>
      </c>
      <c r="B270" s="378">
        <f>B24+B65+B106+B147+B188+B229</f>
        <v/>
      </c>
      <c r="C270" s="249">
        <f>IF(B270&gt;0,D270/B270," ")</f>
        <v/>
      </c>
      <c r="D270" s="361">
        <f>D24+D65+D106+D147+D188+D229</f>
        <v/>
      </c>
    </row>
    <row r="271">
      <c r="A271" s="28" t="inlineStr">
        <is>
          <t>C.3 Other goods, works and services</t>
        </is>
      </c>
      <c r="B271" s="381" t="n"/>
      <c r="C271" s="251" t="n"/>
      <c r="D271" s="364" t="n"/>
    </row>
    <row r="272">
      <c r="A272" s="49" t="inlineStr">
        <is>
          <t>Consumables</t>
        </is>
      </c>
      <c r="B272" s="378">
        <f>B26+B67+B108+B149+B190+B231</f>
        <v/>
      </c>
      <c r="C272" s="249">
        <f>IF(B272&gt;0,D272/B272," ")</f>
        <v/>
      </c>
      <c r="D272" s="361">
        <f>D26+D67+D108+D149+D190+D231</f>
        <v/>
      </c>
    </row>
    <row r="273">
      <c r="A273" s="49" t="inlineStr">
        <is>
          <t>Services for meetings, seminars</t>
        </is>
      </c>
      <c r="B273" s="378">
        <f>B27+B68+B109+B150+B191+B232</f>
        <v/>
      </c>
      <c r="C273" s="249">
        <f>IF(B273&gt;0,D273/B273," ")</f>
        <v/>
      </c>
      <c r="D273" s="361">
        <f>D27+D68+D109+D150+D191+D232</f>
        <v/>
      </c>
    </row>
    <row r="274">
      <c r="A274" s="49" t="inlineStr">
        <is>
          <t>Services for dissemination activities (including website)</t>
        </is>
      </c>
      <c r="B274" s="378">
        <f>B28+B69+B110+B151+B192+B233</f>
        <v/>
      </c>
      <c r="C274" s="249">
        <f>IF(B274&gt;0,D274/B274," ")</f>
        <v/>
      </c>
      <c r="D274" s="361">
        <f>D28+D69+D110+D151+D192+D233</f>
        <v/>
      </c>
    </row>
    <row r="275">
      <c r="A275" s="49" t="inlineStr">
        <is>
          <t>Publication fees</t>
        </is>
      </c>
      <c r="B275" s="378">
        <f>B29+B70+B111+B152+B193+B234</f>
        <v/>
      </c>
      <c r="C275" s="249">
        <f>IF(B275&gt;0,D275/B275," ")</f>
        <v/>
      </c>
      <c r="D275" s="361">
        <f>D29+D70+D111+D152+D193+D234</f>
        <v/>
      </c>
    </row>
    <row r="276">
      <c r="A276" s="49" t="inlineStr">
        <is>
          <t>Other (shipment, insurance, translation, etc.)</t>
        </is>
      </c>
      <c r="B276" s="378">
        <f>B30+B71+B112+B153+B194+B235</f>
        <v/>
      </c>
      <c r="C276" s="249">
        <f>IF(B276&gt;0,D276/B276," ")</f>
        <v/>
      </c>
      <c r="D276" s="361">
        <f>D30+D71+D112+D153+D194+D235</f>
        <v/>
      </c>
    </row>
    <row r="277">
      <c r="A277" s="29" t="inlineStr">
        <is>
          <t>D. OTHER COST CATEGORIES</t>
        </is>
      </c>
      <c r="B277" s="380" t="n"/>
      <c r="C277" s="250" t="n"/>
      <c r="D277" s="359" t="n"/>
    </row>
    <row r="278">
      <c r="A278" s="50" t="inlineStr">
        <is>
          <t>D.1 Financial support to third parties (if applicable in the topic specific conditions)</t>
        </is>
      </c>
      <c r="B278" s="378">
        <f>B32+B73+B114+B155+B196+B237</f>
        <v/>
      </c>
      <c r="C278" s="249">
        <f>IF(B278&gt;0,D278/B278," ")</f>
        <v/>
      </c>
      <c r="D278" s="361">
        <f>D32+D73+D114+D155+D196+D237</f>
        <v/>
      </c>
    </row>
    <row r="279">
      <c r="A279" s="50" t="inlineStr">
        <is>
          <t>D.2 Internally invoiced goods and services</t>
        </is>
      </c>
      <c r="B279" s="378">
        <f>B33+B74+B115+B156+B197+B238</f>
        <v/>
      </c>
      <c r="C279" s="249">
        <f>IF(B279&gt;0,D279/B279," ")</f>
        <v/>
      </c>
      <c r="D279" s="361">
        <f>D33+D74+D115+D156+D197+D238</f>
        <v/>
      </c>
    </row>
    <row r="280">
      <c r="A280" s="50" t="inlineStr">
        <is>
          <t>D.3 Transnational access to research infrastructure unit costs (if mentioned as eligible in the topic specific conditions)</t>
        </is>
      </c>
      <c r="B280" s="378">
        <f>B34+B75+B116+B157+B198+B239</f>
        <v/>
      </c>
      <c r="C280" s="249">
        <f>IF(B280&gt;0,D280/B280," ")</f>
        <v/>
      </c>
      <c r="D280" s="361">
        <f>D34+D75+D116+D157+D198+D239</f>
        <v/>
      </c>
    </row>
    <row r="281">
      <c r="A281" s="50" t="inlineStr">
        <is>
          <t>D.4 Virtual access to research infrastructure unit costs (if mentioned as eligible in the topic specific conditions)</t>
        </is>
      </c>
      <c r="B281" s="378">
        <f>B35+B76+B117+B158+B199+B240</f>
        <v/>
      </c>
      <c r="C281" s="249">
        <f>IF(B281&gt;0,D281/B281," ")</f>
        <v/>
      </c>
      <c r="D281" s="361">
        <f>D35+D76+D117+D158+D199+D240</f>
        <v/>
      </c>
    </row>
    <row r="282">
      <c r="A282" s="50" t="inlineStr">
        <is>
          <t>D.5 PCP/PPI procurement costs (if mentioned as eligible in the topic specific conditions)</t>
        </is>
      </c>
      <c r="B282" s="378">
        <f>B36+B77+B118+B159+B200+B241</f>
        <v/>
      </c>
      <c r="C282" s="249">
        <f>IF(B282&gt;0,D282/B282," ")</f>
        <v/>
      </c>
      <c r="D282" s="361">
        <f>D36+D77+D118+D159+D200+D241</f>
        <v/>
      </c>
    </row>
    <row r="283">
      <c r="A283" s="51" t="n"/>
      <c r="B283" s="346" t="n"/>
      <c r="C283" s="111" t="n"/>
      <c r="D283" s="365" t="n"/>
    </row>
    <row r="284">
      <c r="A284" s="52" t="inlineStr">
        <is>
          <t>TOTAL DIRECT PERSONNEL COSTS AND PURCHASE COSTS (A+C)</t>
        </is>
      </c>
      <c r="B284" s="369" t="n"/>
      <c r="C284" s="230" t="n"/>
      <c r="D284" s="382">
        <f>D38+D79+D120+D161+D202+D243</f>
        <v/>
      </c>
    </row>
    <row r="285">
      <c r="A285" s="52" t="inlineStr">
        <is>
          <t>TOTAL DIRECT COSTS  (A+B+C+D)</t>
        </is>
      </c>
      <c r="B285" s="369" t="n"/>
      <c r="C285" s="230" t="n"/>
      <c r="D285" s="382">
        <f>D39+D80+D121+D162+D203+D244</f>
        <v/>
      </c>
    </row>
    <row r="286">
      <c r="A286" s="182" t="n"/>
      <c r="B286" s="383" t="n"/>
      <c r="C286" s="192" t="n"/>
      <c r="D286" s="191" t="n"/>
    </row>
    <row r="287">
      <c r="A287" s="29" t="inlineStr">
        <is>
          <t>E. INDIRECT COSTS (25% * (A+C))</t>
        </is>
      </c>
      <c r="B287" s="369" t="n"/>
      <c r="C287" s="230" t="n"/>
      <c r="D287" s="382">
        <f>D41+D82+D123+D164+D205+D246</f>
        <v/>
      </c>
    </row>
    <row r="288">
      <c r="A288" s="182" t="n"/>
      <c r="B288" s="383" t="n"/>
      <c r="C288" s="192" t="n"/>
      <c r="D288" s="191" t="n"/>
    </row>
    <row r="289">
      <c r="A289" s="29" t="inlineStr">
        <is>
          <t>F. TOTAL COSTS (A+B+C+D+E)</t>
        </is>
      </c>
      <c r="B289" s="369" t="n"/>
      <c r="C289" s="230" t="n"/>
      <c r="D289" s="382">
        <f>D43+D84+D125+D166+D207+D248</f>
        <v/>
      </c>
    </row>
  </sheetData>
  <sheetProtection selectLockedCells="0" selectUnlockedCells="0" algorithmName="SHA-512" sheet="1" objects="1" insertRows="1" insertHyperlinks="1" autoFilter="1" scenarios="1" formatColumns="1" deleteColumns="1" insertColumns="1" pivotTables="1" deleteRows="1" formatCells="1" saltValue="UTB/uhIiAnSI0IrYN5DU9w==" formatRows="1" sort="1" spinCount="100000" hashValue="+lNWKrwu564XzFe1khMkhic7YeXih6P/vK9yYRZncwa5R6ncUikAeXPlT4b0hCC/zzSwX9S9mJJQH5v+2BGoIQ=="/>
  <mergeCells count="8">
    <mergeCell ref="A5:D5"/>
    <mergeCell ref="A210:D210"/>
    <mergeCell ref="A87:D87"/>
    <mergeCell ref="B2:D2"/>
    <mergeCell ref="A251:D251"/>
    <mergeCell ref="A128:D128"/>
    <mergeCell ref="A46:D46"/>
    <mergeCell ref="A169:D169"/>
  </mergeCells>
  <hyperlinks>
    <hyperlink ref="C1" location="A289" tooltip="Go to Summary section" display="A289"/>
  </hyperlinks>
  <pageMargins left="0.7" right="0.7" top="0.75" bottom="0.75" header="0.3" footer="0.3"/>
  <pageSetup orientation="portrait" paperSize="9"/>
</worksheet>
</file>

<file path=xl/worksheets/sheet12.xml><?xml version="1.0" encoding="utf-8"?>
<worksheet xmlns="http://schemas.openxmlformats.org/spreadsheetml/2006/main">
  <sheetPr>
    <tabColor rgb="FFCCFF66"/>
    <outlinePr summaryBelow="1" summaryRight="1"/>
    <pageSetUpPr/>
  </sheetPr>
  <dimension ref="A1:D289"/>
  <sheetViews>
    <sheetView zoomScale="80" zoomScaleNormal="80" workbookViewId="0">
      <pane xSplit="1" ySplit="3" topLeftCell="B8" activePane="bottomRight" state="frozenSplit"/>
      <selection pane="bottomRight" activeCell="G564" sqref="G564"/>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BE2 - BUDGET SHEET</t>
        </is>
      </c>
      <c r="B1" s="33" t="n"/>
      <c r="C1" s="242" t="inlineStr">
        <is>
          <t>View Summary</t>
        </is>
      </c>
      <c r="D1" s="34" t="n"/>
    </row>
    <row r="2" ht="18.6" customHeight="1">
      <c r="A2" s="265" t="inlineStr">
        <is>
          <t>31d41e36-11c8-417b-8afb-c410d4391898</t>
        </is>
      </c>
      <c r="B2" s="273" t="inlineStr">
        <is>
          <t>Sunlit Sea AS</t>
        </is>
      </c>
      <c r="C2" s="314" t="n"/>
      <c r="D2" s="315" t="n"/>
    </row>
    <row r="3" ht="18.6" customHeight="1">
      <c r="A3" s="131" t="inlineStr">
        <is>
          <t>COST CATEGORY</t>
        </is>
      </c>
      <c r="B3" s="107" t="inlineStr">
        <is>
          <t>ITEMS</t>
        </is>
      </c>
      <c r="C3" s="109" t="inlineStr">
        <is>
          <t>COST PER ITEM</t>
        </is>
      </c>
      <c r="D3" s="107" t="inlineStr">
        <is>
          <t>BE TOTAL COSTS</t>
        </is>
      </c>
    </row>
    <row r="4">
      <c r="A4" s="190" t="n"/>
      <c r="B4" s="185" t="n"/>
      <c r="C4" s="186" t="n"/>
      <c r="D4" s="187" t="n"/>
    </row>
    <row r="5" ht="21" customHeight="1">
      <c r="A5" s="272">
        <f>CONCATENATE("COSTS WORK PACKAGE 1:"," ","Management, IP and Innovation Management")</f>
        <v/>
      </c>
      <c r="B5" s="314" t="n"/>
      <c r="C5" s="314" t="n"/>
      <c r="D5" s="315" t="n"/>
    </row>
    <row r="6">
      <c r="A6" s="182" t="n"/>
      <c r="B6" s="191" t="n"/>
      <c r="C6" s="192" t="n"/>
      <c r="D6" s="191" t="n"/>
    </row>
    <row r="7">
      <c r="A7" s="29" t="inlineStr">
        <is>
          <t>A. DIRECT PERSONNEL COSTS</t>
        </is>
      </c>
      <c r="B7" s="30" t="n"/>
      <c r="C7" s="110" t="n"/>
      <c r="D7" s="354" t="n"/>
    </row>
    <row r="8">
      <c r="A8" s="28" t="inlineStr">
        <is>
          <t>A.1 Employees (or equivalent)</t>
        </is>
      </c>
      <c r="B8" s="89" t="n"/>
      <c r="C8" s="111" t="n"/>
      <c r="D8" s="355" t="n"/>
    </row>
    <row r="9">
      <c r="A9" s="48" t="inlineStr">
        <is>
          <t>SENIOR SCIENTISTS (or equivalent in the private sector)</t>
        </is>
      </c>
      <c r="B9" s="357" t="n">
        <v>2</v>
      </c>
      <c r="C9" s="248" t="n">
        <v>13076.7</v>
      </c>
      <c r="D9" s="232">
        <f>B9*C9</f>
        <v/>
      </c>
    </row>
    <row r="10">
      <c r="A10" s="48" t="inlineStr">
        <is>
          <t>JUNIOR SCIENTISTS (or equivalent in the private sector)</t>
        </is>
      </c>
      <c r="B10" s="357" t="n"/>
      <c r="C10" s="248" t="n"/>
      <c r="D10" s="232">
        <f>B10*C10</f>
        <v/>
      </c>
    </row>
    <row r="11">
      <c r="A11" s="48" t="inlineStr">
        <is>
          <t>TECHNICAL PERSONNEL (or equivalent in the private sector)</t>
        </is>
      </c>
      <c r="B11" s="357" t="n"/>
      <c r="C11" s="248" t="n"/>
      <c r="D11" s="232">
        <f>B11*C11</f>
        <v/>
      </c>
    </row>
    <row r="12">
      <c r="A12" s="48" t="inlineStr">
        <is>
          <t>ADMINISTRATIVE PERSONNEL (or equivalent in the private sector)</t>
        </is>
      </c>
      <c r="B12" s="357" t="n"/>
      <c r="C12" s="248" t="n"/>
      <c r="D12" s="232">
        <f>B12*C12</f>
        <v/>
      </c>
    </row>
    <row r="13">
      <c r="A13" s="48" t="inlineStr">
        <is>
          <t>OTHERS</t>
        </is>
      </c>
      <c r="B13" s="357" t="n"/>
      <c r="C13" s="248" t="n"/>
      <c r="D13" s="232">
        <f>B13*C13</f>
        <v/>
      </c>
    </row>
    <row r="14">
      <c r="A14" s="28" t="inlineStr">
        <is>
          <t>A.2 Natural Persons under direct contract</t>
        </is>
      </c>
      <c r="B14" s="357" t="n"/>
      <c r="C14" s="248" t="n"/>
      <c r="D14" s="232">
        <f>B14*C14</f>
        <v/>
      </c>
    </row>
    <row r="15">
      <c r="A15" s="28" t="inlineStr">
        <is>
          <t>A.3 Seconded Persons</t>
        </is>
      </c>
      <c r="B15" s="357" t="n"/>
      <c r="C15" s="248" t="n"/>
      <c r="D15" s="232">
        <f>B15*C15</f>
        <v/>
      </c>
    </row>
    <row r="16">
      <c r="A16" s="28" t="inlineStr">
        <is>
          <t>A.4 SME owners and natural person beneficiaries</t>
        </is>
      </c>
      <c r="B16" s="357" t="n"/>
      <c r="C16" s="256" t="n">
        <v>11858.7624</v>
      </c>
      <c r="D16" s="232">
        <f>B16*C16</f>
        <v/>
      </c>
    </row>
    <row r="17">
      <c r="A17" s="29" t="inlineStr">
        <is>
          <t>B. DIRECT SUBCONTRACTING COSTS</t>
        </is>
      </c>
      <c r="B17" s="358" t="n"/>
      <c r="C17" s="110" t="n"/>
      <c r="D17" s="359" t="n"/>
    </row>
    <row r="18">
      <c r="A18" s="53" t="n"/>
      <c r="B18" s="357" t="n"/>
      <c r="C18" s="248" t="n"/>
      <c r="D18" s="361">
        <f>B18*C18</f>
        <v/>
      </c>
    </row>
    <row r="19">
      <c r="A19" s="29" t="inlineStr">
        <is>
          <t>C. DIRECT PURCHASE COSTS</t>
        </is>
      </c>
      <c r="B19" s="358" t="n"/>
      <c r="C19" s="110" t="n"/>
      <c r="D19" s="359" t="n"/>
    </row>
    <row r="20">
      <c r="A20" s="28" t="inlineStr">
        <is>
          <t>C.1 Travel and subsistence</t>
        </is>
      </c>
      <c r="B20" s="357" t="n">
        <v>6</v>
      </c>
      <c r="C20" s="248" t="n">
        <v>1500</v>
      </c>
      <c r="D20" s="361">
        <f>B20*C20</f>
        <v/>
      </c>
    </row>
    <row r="21">
      <c r="A21" s="28" t="inlineStr">
        <is>
          <t>C.2 Equipment (complete 'Depreciation costs' sheet)</t>
        </is>
      </c>
      <c r="B21" s="346" t="n"/>
      <c r="C21" s="111" t="n"/>
      <c r="D21" s="364" t="n"/>
    </row>
    <row r="22">
      <c r="A22" s="49" t="inlineStr">
        <is>
          <t>Equipment</t>
        </is>
      </c>
      <c r="B22" s="357" t="n"/>
      <c r="C22" s="248" t="n"/>
      <c r="D22" s="361">
        <f>B22*C22</f>
        <v/>
      </c>
    </row>
    <row r="23">
      <c r="A23" s="49" t="inlineStr">
        <is>
          <t>Infrastructure</t>
        </is>
      </c>
      <c r="B23" s="357" t="n"/>
      <c r="C23" s="248" t="n"/>
      <c r="D23" s="361">
        <f>B23*C23</f>
        <v/>
      </c>
    </row>
    <row r="24">
      <c r="A24" s="49" t="inlineStr">
        <is>
          <t>Other assets</t>
        </is>
      </c>
      <c r="B24" s="357" t="n"/>
      <c r="C24" s="248" t="n"/>
      <c r="D24" s="361">
        <f>B24*C24</f>
        <v/>
      </c>
    </row>
    <row r="25">
      <c r="A25" s="28" t="inlineStr">
        <is>
          <t>C.3 Other goods, works and services</t>
        </is>
      </c>
      <c r="B25" s="346" t="n"/>
      <c r="C25" s="111" t="n"/>
      <c r="D25" s="364" t="n"/>
    </row>
    <row r="26">
      <c r="A26" s="49" t="inlineStr">
        <is>
          <t>Consumables</t>
        </is>
      </c>
      <c r="B26" s="357" t="n"/>
      <c r="C26" s="248" t="n"/>
      <c r="D26" s="361">
        <f>B26*C26</f>
        <v/>
      </c>
    </row>
    <row r="27">
      <c r="A27" s="49" t="inlineStr">
        <is>
          <t>Services for meetings, seminars</t>
        </is>
      </c>
      <c r="B27" s="357" t="n">
        <v>1</v>
      </c>
      <c r="C27" s="248" t="n">
        <v>1000</v>
      </c>
      <c r="D27" s="361">
        <f>B27*C27</f>
        <v/>
      </c>
    </row>
    <row r="28">
      <c r="A28" s="49" t="inlineStr">
        <is>
          <t>Services for dissemination activities (including website)</t>
        </is>
      </c>
      <c r="B28" s="357" t="n"/>
      <c r="C28" s="248" t="n"/>
      <c r="D28" s="361">
        <f>B28*C28</f>
        <v/>
      </c>
    </row>
    <row r="29">
      <c r="A29" s="49" t="inlineStr">
        <is>
          <t>Publication fees</t>
        </is>
      </c>
      <c r="B29" s="357" t="n"/>
      <c r="C29" s="248" t="n"/>
      <c r="D29" s="361">
        <f>B29*C29</f>
        <v/>
      </c>
    </row>
    <row r="30">
      <c r="A30" s="49" t="inlineStr">
        <is>
          <t>Other (shipment, insurance, translation, etc.)</t>
        </is>
      </c>
      <c r="B30" s="357" t="n">
        <v>1</v>
      </c>
      <c r="C30" s="248" t="n">
        <v>4000</v>
      </c>
      <c r="D30" s="361">
        <f>B30*C30</f>
        <v/>
      </c>
    </row>
    <row r="31">
      <c r="A31" s="29" t="inlineStr">
        <is>
          <t>D. OTHER COST CATEGORIES</t>
        </is>
      </c>
      <c r="B31" s="358" t="n"/>
      <c r="C31" s="110" t="n"/>
      <c r="D31" s="359" t="n"/>
    </row>
    <row r="32">
      <c r="A32" s="50" t="inlineStr">
        <is>
          <t>D.1 Financial support to third parties (if applicable in the topic specific conditions)</t>
        </is>
      </c>
      <c r="B32" s="357" t="n"/>
      <c r="C32" s="248" t="n"/>
      <c r="D32" s="361">
        <f>B32*C32</f>
        <v/>
      </c>
    </row>
    <row r="33">
      <c r="A33" s="50" t="inlineStr">
        <is>
          <t>D.2 Internally invoiced goods and services</t>
        </is>
      </c>
      <c r="B33" s="357" t="n"/>
      <c r="C33" s="248" t="n"/>
      <c r="D33" s="361">
        <f>B33*C33</f>
        <v/>
      </c>
    </row>
    <row r="34">
      <c r="A34" s="50" t="inlineStr">
        <is>
          <t>D.3 Transnational access to research infrastructure unit costs (if mentioned as eligible in the topic specific conditions)</t>
        </is>
      </c>
      <c r="B34" s="357" t="n"/>
      <c r="C34" s="248" t="n"/>
      <c r="D34" s="361">
        <f>B34*C34</f>
        <v/>
      </c>
    </row>
    <row r="35">
      <c r="A35" s="50" t="inlineStr">
        <is>
          <t>D.4 Virtual access to research infrastructure unit costs (if mentioned as eligible in the topic specific conditions)</t>
        </is>
      </c>
      <c r="B35" s="357" t="n"/>
      <c r="C35" s="248" t="n"/>
      <c r="D35" s="361">
        <f>B35*C35</f>
        <v/>
      </c>
    </row>
    <row r="36">
      <c r="A36" s="50" t="inlineStr">
        <is>
          <t>D.5 PCP/PPI procurement costs (if mentioned as eligible in the topic specific conditions)</t>
        </is>
      </c>
      <c r="B36" s="357" t="n"/>
      <c r="C36" s="248" t="n"/>
      <c r="D36" s="361">
        <f>B36*C36</f>
        <v/>
      </c>
    </row>
    <row r="37">
      <c r="A37" s="50" t="n"/>
      <c r="B37" s="346" t="n"/>
      <c r="C37" s="111" t="n"/>
      <c r="D37" s="365" t="n"/>
    </row>
    <row r="38">
      <c r="A38" s="52" t="inlineStr">
        <is>
          <t>TOTAL DIRECT PERSONNEL COSTS AND PURCHASE COSTS (A+C)</t>
        </is>
      </c>
      <c r="B38" s="369" t="n"/>
      <c r="C38" s="230" t="n"/>
      <c r="D38" s="360">
        <f>SUM(D9:D16,D20:D30)</f>
        <v/>
      </c>
    </row>
    <row r="39">
      <c r="A39" s="52" t="inlineStr">
        <is>
          <t>TOTAL DIRECT COSTS  (A+B+C+D)</t>
        </is>
      </c>
      <c r="B39" s="369" t="n"/>
      <c r="C39" s="230" t="n"/>
      <c r="D39" s="360">
        <f>SUM(D9:D36)</f>
        <v/>
      </c>
    </row>
    <row r="40">
      <c r="A40" s="180" t="n"/>
      <c r="B40" s="372" t="n"/>
      <c r="C40" s="176" t="n"/>
      <c r="D40" s="373" t="n"/>
    </row>
    <row r="41">
      <c r="A41" s="29" t="inlineStr">
        <is>
          <t>E. INDIRECT COSTS (25% * (A+C))</t>
        </is>
      </c>
      <c r="B41" s="358" t="n"/>
      <c r="C41" s="110" t="n"/>
      <c r="D41" s="360">
        <f>D38*0.25</f>
        <v/>
      </c>
    </row>
    <row r="42">
      <c r="A42" s="32" t="n"/>
      <c r="B42" s="372" t="n"/>
      <c r="C42" s="176" t="n"/>
      <c r="D42" s="377" t="n"/>
    </row>
    <row r="43">
      <c r="A43" s="29" t="inlineStr">
        <is>
          <t>F. TOTAL COSTS (A+B+C+D+E)</t>
        </is>
      </c>
      <c r="B43" s="369" t="n"/>
      <c r="C43" s="230" t="n"/>
      <c r="D43" s="360">
        <f>D39+D41</f>
        <v/>
      </c>
    </row>
    <row r="45">
      <c r="A45" s="190" t="n"/>
      <c r="B45" s="185" t="n"/>
      <c r="C45" s="186" t="n"/>
      <c r="D45" s="187" t="n"/>
    </row>
    <row r="46" ht="21" customHeight="1">
      <c r="A46" s="272">
        <f>CONCATENATE("COSTS WORK PACKAGE 2:"," ","Site Characterisation and Demonstrator Engineering")</f>
        <v/>
      </c>
      <c r="B46" s="314" t="n"/>
      <c r="C46" s="314" t="n"/>
      <c r="D46" s="315" t="n"/>
    </row>
    <row r="47">
      <c r="A47" s="182" t="n"/>
      <c r="B47" s="191" t="n"/>
      <c r="C47" s="192" t="n"/>
      <c r="D47" s="191" t="n"/>
    </row>
    <row r="48">
      <c r="A48" s="29" t="inlineStr">
        <is>
          <t>A. DIRECT PERSONNEL COSTS</t>
        </is>
      </c>
      <c r="B48" s="30" t="n"/>
      <c r="C48" s="110" t="n"/>
      <c r="D48" s="354" t="n"/>
    </row>
    <row r="49">
      <c r="A49" s="28" t="inlineStr">
        <is>
          <t>A.1 Employees (or equivalent)</t>
        </is>
      </c>
      <c r="B49" s="89" t="n"/>
      <c r="C49" s="111" t="n"/>
      <c r="D49" s="355" t="n"/>
    </row>
    <row r="50">
      <c r="A50" s="48" t="inlineStr">
        <is>
          <t>SENIOR SCIENTISTS (or equivalent in the private sector)</t>
        </is>
      </c>
      <c r="B50" s="357" t="n">
        <v>2</v>
      </c>
      <c r="C50" s="248" t="n">
        <v>10349.59</v>
      </c>
      <c r="D50" s="232">
        <f>B50*C50</f>
        <v/>
      </c>
    </row>
    <row r="51">
      <c r="A51" s="48" t="inlineStr">
        <is>
          <t>JUNIOR SCIENTISTS (or equivalent in the private sector)</t>
        </is>
      </c>
      <c r="B51" s="357" t="n">
        <v>1</v>
      </c>
      <c r="C51" s="248" t="n">
        <v>8129.42</v>
      </c>
      <c r="D51" s="232">
        <f>B51*C51</f>
        <v/>
      </c>
    </row>
    <row r="52">
      <c r="A52" s="48" t="inlineStr">
        <is>
          <t>TECHNICAL PERSONNEL (or equivalent in the private sector)</t>
        </is>
      </c>
      <c r="B52" s="357" t="n"/>
      <c r="C52" s="248" t="n"/>
      <c r="D52" s="232">
        <f>B52*C52</f>
        <v/>
      </c>
    </row>
    <row r="53">
      <c r="A53" s="48" t="inlineStr">
        <is>
          <t>ADMINISTRATIVE PERSONNEL (or equivalent in the private sector)</t>
        </is>
      </c>
      <c r="B53" s="357" t="n"/>
      <c r="C53" s="248" t="n"/>
      <c r="D53" s="232">
        <f>B53*C53</f>
        <v/>
      </c>
    </row>
    <row r="54">
      <c r="A54" s="48" t="inlineStr">
        <is>
          <t>OTHERS</t>
        </is>
      </c>
      <c r="B54" s="357" t="n"/>
      <c r="C54" s="248" t="n"/>
      <c r="D54" s="232">
        <f>B54*C54</f>
        <v/>
      </c>
    </row>
    <row r="55">
      <c r="A55" s="28" t="inlineStr">
        <is>
          <t>A.2 Natural Persons under direct contract</t>
        </is>
      </c>
      <c r="B55" s="357" t="n"/>
      <c r="C55" s="248" t="n"/>
      <c r="D55" s="232">
        <f>B55*C55</f>
        <v/>
      </c>
    </row>
    <row r="56">
      <c r="A56" s="28" t="inlineStr">
        <is>
          <t>A.3 Seconded Persons</t>
        </is>
      </c>
      <c r="B56" s="357" t="n"/>
      <c r="C56" s="248" t="n"/>
      <c r="D56" s="232">
        <f>B56*C56</f>
        <v/>
      </c>
    </row>
    <row r="57">
      <c r="A57" s="28" t="inlineStr">
        <is>
          <t>A.4 SME owners and natural person beneficiaries</t>
        </is>
      </c>
      <c r="B57" s="357" t="n"/>
      <c r="C57" s="256" t="n">
        <v>11858.7624</v>
      </c>
      <c r="D57" s="232">
        <f>B57*C57</f>
        <v/>
      </c>
    </row>
    <row r="58">
      <c r="A58" s="29" t="inlineStr">
        <is>
          <t>B. DIRECT SUBCONTRACTING COSTS</t>
        </is>
      </c>
      <c r="B58" s="358" t="n"/>
      <c r="C58" s="110" t="n"/>
      <c r="D58" s="359" t="n"/>
    </row>
    <row r="59">
      <c r="A59" s="53" t="n"/>
      <c r="B59" s="357" t="n"/>
      <c r="C59" s="248" t="n"/>
      <c r="D59" s="361">
        <f>B59*C59</f>
        <v/>
      </c>
    </row>
    <row r="60">
      <c r="A60" s="29" t="inlineStr">
        <is>
          <t>C. DIRECT PURCHASE COSTS</t>
        </is>
      </c>
      <c r="B60" s="358" t="n"/>
      <c r="C60" s="110" t="n"/>
      <c r="D60" s="359" t="n"/>
    </row>
    <row r="61">
      <c r="A61" s="28" t="inlineStr">
        <is>
          <t>C.1 Travel and subsistence</t>
        </is>
      </c>
      <c r="B61" s="357" t="n">
        <v>3</v>
      </c>
      <c r="C61" s="248" t="n">
        <v>1500</v>
      </c>
      <c r="D61" s="361">
        <f>B61*C61</f>
        <v/>
      </c>
    </row>
    <row r="62">
      <c r="A62" s="28" t="inlineStr">
        <is>
          <t>C.2 Equipment (complete 'Depreciation costs' sheet)</t>
        </is>
      </c>
      <c r="B62" s="346" t="n"/>
      <c r="C62" s="111" t="n"/>
      <c r="D62" s="364" t="n"/>
    </row>
    <row r="63">
      <c r="A63" s="49" t="inlineStr">
        <is>
          <t>Equipment</t>
        </is>
      </c>
      <c r="B63" s="357" t="n"/>
      <c r="C63" s="248" t="n"/>
      <c r="D63" s="361">
        <f>B63*C63</f>
        <v/>
      </c>
    </row>
    <row r="64">
      <c r="A64" s="49" t="inlineStr">
        <is>
          <t>Infrastructure</t>
        </is>
      </c>
      <c r="B64" s="357" t="n"/>
      <c r="C64" s="248" t="n"/>
      <c r="D64" s="361">
        <f>B64*C64</f>
        <v/>
      </c>
    </row>
    <row r="65">
      <c r="A65" s="49" t="inlineStr">
        <is>
          <t>Other assets</t>
        </is>
      </c>
      <c r="B65" s="357" t="n"/>
      <c r="C65" s="248" t="n"/>
      <c r="D65" s="361">
        <f>B65*C65</f>
        <v/>
      </c>
    </row>
    <row r="66">
      <c r="A66" s="28" t="inlineStr">
        <is>
          <t>C.3 Other goods, works and services</t>
        </is>
      </c>
      <c r="B66" s="346" t="n"/>
      <c r="C66" s="111" t="n"/>
      <c r="D66" s="364" t="n"/>
    </row>
    <row r="67">
      <c r="A67" s="49" t="inlineStr">
        <is>
          <t>Consumables</t>
        </is>
      </c>
      <c r="B67" s="357" t="n"/>
      <c r="C67" s="248" t="n"/>
      <c r="D67" s="361">
        <f>B67*C67</f>
        <v/>
      </c>
    </row>
    <row r="68">
      <c r="A68" s="49" t="inlineStr">
        <is>
          <t>Services for meetings, seminars</t>
        </is>
      </c>
      <c r="B68" s="357" t="n"/>
      <c r="C68" s="248" t="n"/>
      <c r="D68" s="361">
        <f>B68*C68</f>
        <v/>
      </c>
    </row>
    <row r="69">
      <c r="A69" s="49" t="inlineStr">
        <is>
          <t>Services for dissemination activities (including website)</t>
        </is>
      </c>
      <c r="B69" s="357" t="n"/>
      <c r="C69" s="248" t="n"/>
      <c r="D69" s="361">
        <f>B69*C69</f>
        <v/>
      </c>
    </row>
    <row r="70">
      <c r="A70" s="49" t="inlineStr">
        <is>
          <t>Publication fees</t>
        </is>
      </c>
      <c r="B70" s="357" t="n"/>
      <c r="C70" s="248" t="n"/>
      <c r="D70" s="361">
        <f>B70*C70</f>
        <v/>
      </c>
    </row>
    <row r="71">
      <c r="A71" s="49" t="inlineStr">
        <is>
          <t>Other (shipment, insurance, translation, etc.)</t>
        </is>
      </c>
      <c r="B71" s="357" t="n"/>
      <c r="C71" s="248" t="n"/>
      <c r="D71" s="361">
        <f>B71*C71</f>
        <v/>
      </c>
    </row>
    <row r="72">
      <c r="A72" s="29" t="inlineStr">
        <is>
          <t>D. OTHER COST CATEGORIES</t>
        </is>
      </c>
      <c r="B72" s="358" t="n"/>
      <c r="C72" s="110" t="n"/>
      <c r="D72" s="359" t="n"/>
    </row>
    <row r="73">
      <c r="A73" s="50" t="inlineStr">
        <is>
          <t>D.1 Financial support to third parties (if applicable in the topic specific conditions)</t>
        </is>
      </c>
      <c r="B73" s="357" t="n"/>
      <c r="C73" s="248" t="n"/>
      <c r="D73" s="361">
        <f>B73*C73</f>
        <v/>
      </c>
    </row>
    <row r="74">
      <c r="A74" s="50" t="inlineStr">
        <is>
          <t>D.2 Internally invoiced goods and services</t>
        </is>
      </c>
      <c r="B74" s="357" t="n"/>
      <c r="C74" s="248" t="n"/>
      <c r="D74" s="361">
        <f>B74*C74</f>
        <v/>
      </c>
    </row>
    <row r="75">
      <c r="A75" s="50" t="inlineStr">
        <is>
          <t>D.3 Transnational access to research infrastructure unit costs (if mentioned as eligible in the topic specific conditions)</t>
        </is>
      </c>
      <c r="B75" s="357" t="n"/>
      <c r="C75" s="248" t="n"/>
      <c r="D75" s="361">
        <f>B75*C75</f>
        <v/>
      </c>
    </row>
    <row r="76">
      <c r="A76" s="50" t="inlineStr">
        <is>
          <t>D.4 Virtual access to research infrastructure unit costs (if mentioned as eligible in the topic specific conditions)</t>
        </is>
      </c>
      <c r="B76" s="357" t="n"/>
      <c r="C76" s="248" t="n"/>
      <c r="D76" s="361">
        <f>B76*C76</f>
        <v/>
      </c>
    </row>
    <row r="77">
      <c r="A77" s="50" t="inlineStr">
        <is>
          <t>D.5 PCP/PPI procurement costs (if mentioned as eligible in the topic specific conditions)</t>
        </is>
      </c>
      <c r="B77" s="357" t="n"/>
      <c r="C77" s="248" t="n"/>
      <c r="D77" s="361">
        <f>B77*C77</f>
        <v/>
      </c>
    </row>
    <row r="78">
      <c r="A78" s="50" t="n"/>
      <c r="B78" s="346" t="n"/>
      <c r="C78" s="111" t="n"/>
      <c r="D78" s="365" t="n"/>
    </row>
    <row r="79">
      <c r="A79" s="52" t="inlineStr">
        <is>
          <t>TOTAL DIRECT PERSONNEL COSTS AND PURCHASE COSTS (A+C)</t>
        </is>
      </c>
      <c r="B79" s="369" t="n"/>
      <c r="C79" s="230" t="n"/>
      <c r="D79" s="360">
        <f>SUM(D50:D57,D61:D71)</f>
        <v/>
      </c>
    </row>
    <row r="80">
      <c r="A80" s="52" t="inlineStr">
        <is>
          <t>TOTAL DIRECT COSTS  (A+B+C+D)</t>
        </is>
      </c>
      <c r="B80" s="369" t="n"/>
      <c r="C80" s="230" t="n"/>
      <c r="D80" s="360">
        <f>SUM(D50:D77)</f>
        <v/>
      </c>
    </row>
    <row r="81">
      <c r="A81" s="180" t="n"/>
      <c r="B81" s="372" t="n"/>
      <c r="C81" s="176" t="n"/>
      <c r="D81" s="373" t="n"/>
    </row>
    <row r="82">
      <c r="A82" s="29" t="inlineStr">
        <is>
          <t>E. INDIRECT COSTS (25% * (A+C))</t>
        </is>
      </c>
      <c r="B82" s="358" t="n"/>
      <c r="C82" s="110" t="n"/>
      <c r="D82" s="360">
        <f>D79*0.25</f>
        <v/>
      </c>
    </row>
    <row r="83">
      <c r="A83" s="32" t="n"/>
      <c r="B83" s="372" t="n"/>
      <c r="C83" s="176" t="n"/>
      <c r="D83" s="377" t="n"/>
    </row>
    <row r="84">
      <c r="A84" s="29" t="inlineStr">
        <is>
          <t>F. TOTAL COSTS (A+B+C+D+E)</t>
        </is>
      </c>
      <c r="B84" s="369" t="n"/>
      <c r="C84" s="230" t="n"/>
      <c r="D84" s="360">
        <f>D80+D82</f>
        <v/>
      </c>
    </row>
    <row r="86">
      <c r="A86" s="190" t="n"/>
      <c r="B86" s="185" t="n"/>
      <c r="C86" s="186" t="n"/>
      <c r="D86" s="187" t="n"/>
    </row>
    <row r="87" ht="21" customHeight="1">
      <c r="A87" s="272">
        <f>CONCATENATE("COSTS WORK PACKAGE 3:"," ","Design Verification and Model Validation")</f>
        <v/>
      </c>
      <c r="B87" s="314" t="n"/>
      <c r="C87" s="314" t="n"/>
      <c r="D87" s="315" t="n"/>
    </row>
    <row r="88">
      <c r="A88" s="182" t="n"/>
      <c r="B88" s="191" t="n"/>
      <c r="C88" s="192" t="n"/>
      <c r="D88" s="191" t="n"/>
    </row>
    <row r="89">
      <c r="A89" s="29" t="inlineStr">
        <is>
          <t>A. DIRECT PERSONNEL COSTS</t>
        </is>
      </c>
      <c r="B89" s="30" t="n"/>
      <c r="C89" s="110" t="n"/>
      <c r="D89" s="354" t="n"/>
    </row>
    <row r="90">
      <c r="A90" s="28" t="inlineStr">
        <is>
          <t>A.1 Employees (or equivalent)</t>
        </is>
      </c>
      <c r="B90" s="89" t="n"/>
      <c r="C90" s="111" t="n"/>
      <c r="D90" s="355" t="n"/>
    </row>
    <row r="91">
      <c r="A91" s="48" t="inlineStr">
        <is>
          <t>SENIOR SCIENTISTS (or equivalent in the private sector)</t>
        </is>
      </c>
      <c r="B91" s="357" t="n">
        <v>2</v>
      </c>
      <c r="C91" s="248" t="n">
        <v>13076.7</v>
      </c>
      <c r="D91" s="232">
        <f>B91*C91</f>
        <v/>
      </c>
    </row>
    <row r="92">
      <c r="A92" s="48" t="inlineStr">
        <is>
          <t>JUNIOR SCIENTISTS (or equivalent in the private sector)</t>
        </is>
      </c>
      <c r="B92" s="357" t="n">
        <v>8</v>
      </c>
      <c r="C92" s="248" t="n">
        <v>8129</v>
      </c>
      <c r="D92" s="232">
        <f>B92*C92</f>
        <v/>
      </c>
    </row>
    <row r="93">
      <c r="A93" s="48" t="inlineStr">
        <is>
          <t>TECHNICAL PERSONNEL (or equivalent in the private sector)</t>
        </is>
      </c>
      <c r="B93" s="357" t="n"/>
      <c r="C93" s="248" t="n"/>
      <c r="D93" s="232">
        <f>B93*C93</f>
        <v/>
      </c>
    </row>
    <row r="94">
      <c r="A94" s="48" t="inlineStr">
        <is>
          <t>ADMINISTRATIVE PERSONNEL (or equivalent in the private sector)</t>
        </is>
      </c>
      <c r="B94" s="357" t="n"/>
      <c r="C94" s="248" t="n"/>
      <c r="D94" s="232">
        <f>B94*C94</f>
        <v/>
      </c>
    </row>
    <row r="95">
      <c r="A95" s="48" t="inlineStr">
        <is>
          <t>OTHERS</t>
        </is>
      </c>
      <c r="B95" s="357" t="n"/>
      <c r="C95" s="248" t="n"/>
      <c r="D95" s="232">
        <f>B95*C95</f>
        <v/>
      </c>
    </row>
    <row r="96">
      <c r="A96" s="28" t="inlineStr">
        <is>
          <t>A.2 Natural Persons under direct contract</t>
        </is>
      </c>
      <c r="B96" s="357" t="n"/>
      <c r="C96" s="248" t="n"/>
      <c r="D96" s="232">
        <f>B96*C96</f>
        <v/>
      </c>
    </row>
    <row r="97">
      <c r="A97" s="28" t="inlineStr">
        <is>
          <t>A.3 Seconded Persons</t>
        </is>
      </c>
      <c r="B97" s="357" t="n"/>
      <c r="C97" s="248" t="n"/>
      <c r="D97" s="232">
        <f>B97*C97</f>
        <v/>
      </c>
    </row>
    <row r="98">
      <c r="A98" s="28" t="inlineStr">
        <is>
          <t>A.4 SME owners and natural person beneficiaries</t>
        </is>
      </c>
      <c r="B98" s="357" t="n"/>
      <c r="C98" s="256" t="n">
        <v>11858.7624</v>
      </c>
      <c r="D98" s="232">
        <f>B98*C98</f>
        <v/>
      </c>
    </row>
    <row r="99">
      <c r="A99" s="29" t="inlineStr">
        <is>
          <t>B. DIRECT SUBCONTRACTING COSTS</t>
        </is>
      </c>
      <c r="B99" s="358" t="n"/>
      <c r="C99" s="110" t="n"/>
      <c r="D99" s="359" t="n"/>
    </row>
    <row r="100">
      <c r="A100" s="53" t="n"/>
      <c r="B100" s="357" t="n">
        <v>1</v>
      </c>
      <c r="C100" s="248" t="n">
        <v>35000</v>
      </c>
      <c r="D100" s="361">
        <f>B100*C100</f>
        <v/>
      </c>
    </row>
    <row r="101">
      <c r="A101" s="29" t="inlineStr">
        <is>
          <t>C. DIRECT PURCHASE COSTS</t>
        </is>
      </c>
      <c r="B101" s="358" t="n"/>
      <c r="C101" s="110" t="n"/>
      <c r="D101" s="359" t="n"/>
    </row>
    <row r="102">
      <c r="A102" s="28" t="inlineStr">
        <is>
          <t>C.1 Travel and subsistence</t>
        </is>
      </c>
      <c r="B102" s="357" t="n">
        <v>2</v>
      </c>
      <c r="C102" s="248" t="n">
        <v>2000</v>
      </c>
      <c r="D102" s="361">
        <f>B102*C102</f>
        <v/>
      </c>
    </row>
    <row r="103">
      <c r="A103" s="28" t="inlineStr">
        <is>
          <t>C.2 Equipment (complete 'Depreciation costs' sheet)</t>
        </is>
      </c>
      <c r="B103" s="346" t="n"/>
      <c r="C103" s="111" t="n"/>
      <c r="D103" s="364" t="n"/>
    </row>
    <row r="104">
      <c r="A104" s="49" t="inlineStr">
        <is>
          <t>Equipment</t>
        </is>
      </c>
      <c r="B104" s="357" t="n">
        <v>2</v>
      </c>
      <c r="C104" s="248" t="n">
        <v>7000</v>
      </c>
      <c r="D104" s="361">
        <f>B104*C104</f>
        <v/>
      </c>
    </row>
    <row r="105">
      <c r="A105" s="49" t="inlineStr">
        <is>
          <t>Infrastructure</t>
        </is>
      </c>
      <c r="B105" s="357" t="n"/>
      <c r="C105" s="248" t="n"/>
      <c r="D105" s="361">
        <f>B105*C105</f>
        <v/>
      </c>
    </row>
    <row r="106">
      <c r="A106" s="49" t="inlineStr">
        <is>
          <t>Other assets</t>
        </is>
      </c>
      <c r="B106" s="357" t="n"/>
      <c r="C106" s="248" t="n"/>
      <c r="D106" s="361">
        <f>B106*C106</f>
        <v/>
      </c>
    </row>
    <row r="107">
      <c r="A107" s="28" t="inlineStr">
        <is>
          <t>C.3 Other goods, works and services</t>
        </is>
      </c>
      <c r="B107" s="346" t="n"/>
      <c r="C107" s="111" t="n"/>
      <c r="D107" s="364" t="n"/>
    </row>
    <row r="108">
      <c r="A108" s="49" t="inlineStr">
        <is>
          <t>Consumables</t>
        </is>
      </c>
      <c r="B108" s="357" t="n"/>
      <c r="C108" s="248" t="n"/>
      <c r="D108" s="361">
        <f>B108*C108</f>
        <v/>
      </c>
    </row>
    <row r="109">
      <c r="A109" s="49" t="inlineStr">
        <is>
          <t>Services for meetings, seminars</t>
        </is>
      </c>
      <c r="B109" s="357" t="n"/>
      <c r="C109" s="248" t="n"/>
      <c r="D109" s="361">
        <f>B109*C109</f>
        <v/>
      </c>
    </row>
    <row r="110">
      <c r="A110" s="49" t="inlineStr">
        <is>
          <t>Services for dissemination activities (including website)</t>
        </is>
      </c>
      <c r="B110" s="357" t="n"/>
      <c r="C110" s="248" t="n"/>
      <c r="D110" s="361">
        <f>B110*C110</f>
        <v/>
      </c>
    </row>
    <row r="111">
      <c r="A111" s="49" t="inlineStr">
        <is>
          <t>Publication fees</t>
        </is>
      </c>
      <c r="B111" s="357" t="n"/>
      <c r="C111" s="248" t="n"/>
      <c r="D111" s="361">
        <f>B111*C111</f>
        <v/>
      </c>
    </row>
    <row r="112">
      <c r="A112" s="49" t="inlineStr">
        <is>
          <t>Other (shipment, insurance, translation, etc.)</t>
        </is>
      </c>
      <c r="B112" s="357" t="n"/>
      <c r="C112" s="248" t="n"/>
      <c r="D112" s="361">
        <f>B112*C112</f>
        <v/>
      </c>
    </row>
    <row r="113">
      <c r="A113" s="29" t="inlineStr">
        <is>
          <t>D. OTHER COST CATEGORIES</t>
        </is>
      </c>
      <c r="B113" s="358" t="n"/>
      <c r="C113" s="110" t="n"/>
      <c r="D113" s="359" t="n"/>
    </row>
    <row r="114">
      <c r="A114" s="50" t="inlineStr">
        <is>
          <t>D.1 Financial support to third parties (if applicable in the topic specific conditions)</t>
        </is>
      </c>
      <c r="B114" s="357" t="n"/>
      <c r="C114" s="248" t="n"/>
      <c r="D114" s="361">
        <f>B114*C114</f>
        <v/>
      </c>
    </row>
    <row r="115">
      <c r="A115" s="50" t="inlineStr">
        <is>
          <t>D.2 Internally invoiced goods and services</t>
        </is>
      </c>
      <c r="B115" s="357" t="n"/>
      <c r="C115" s="248" t="n"/>
      <c r="D115" s="361">
        <f>B115*C115</f>
        <v/>
      </c>
    </row>
    <row r="116">
      <c r="A116" s="50" t="inlineStr">
        <is>
          <t>D.3 Transnational access to research infrastructure unit costs (if mentioned as eligible in the topic specific conditions)</t>
        </is>
      </c>
      <c r="B116" s="357" t="n"/>
      <c r="C116" s="248" t="n"/>
      <c r="D116" s="361">
        <f>B116*C116</f>
        <v/>
      </c>
    </row>
    <row r="117">
      <c r="A117" s="50" t="inlineStr">
        <is>
          <t>D.4 Virtual access to research infrastructure unit costs (if mentioned as eligible in the topic specific conditions)</t>
        </is>
      </c>
      <c r="B117" s="357" t="n"/>
      <c r="C117" s="248" t="n"/>
      <c r="D117" s="361">
        <f>B117*C117</f>
        <v/>
      </c>
    </row>
    <row r="118">
      <c r="A118" s="50" t="inlineStr">
        <is>
          <t>D.5 PCP/PPI procurement costs (if mentioned as eligible in the topic specific conditions)</t>
        </is>
      </c>
      <c r="B118" s="357" t="n"/>
      <c r="C118" s="248" t="n"/>
      <c r="D118" s="361">
        <f>B118*C118</f>
        <v/>
      </c>
    </row>
    <row r="119">
      <c r="A119" s="50" t="n"/>
      <c r="B119" s="346" t="n"/>
      <c r="C119" s="111" t="n"/>
      <c r="D119" s="365" t="n"/>
    </row>
    <row r="120">
      <c r="A120" s="52" t="inlineStr">
        <is>
          <t>TOTAL DIRECT PERSONNEL COSTS AND PURCHASE COSTS (A+C)</t>
        </is>
      </c>
      <c r="B120" s="369" t="n"/>
      <c r="C120" s="230" t="n"/>
      <c r="D120" s="360">
        <f>SUM(D91:D98,D102:D112)</f>
        <v/>
      </c>
    </row>
    <row r="121">
      <c r="A121" s="52" t="inlineStr">
        <is>
          <t>TOTAL DIRECT COSTS  (A+B+C+D)</t>
        </is>
      </c>
      <c r="B121" s="369" t="n"/>
      <c r="C121" s="230" t="n"/>
      <c r="D121" s="360">
        <f>SUM(D91:D118)</f>
        <v/>
      </c>
    </row>
    <row r="122">
      <c r="A122" s="180" t="n"/>
      <c r="B122" s="372" t="n"/>
      <c r="C122" s="176" t="n"/>
      <c r="D122" s="373" t="n"/>
    </row>
    <row r="123">
      <c r="A123" s="29" t="inlineStr">
        <is>
          <t>E. INDIRECT COSTS (25% * (A+C))</t>
        </is>
      </c>
      <c r="B123" s="358" t="n"/>
      <c r="C123" s="110" t="n"/>
      <c r="D123" s="360">
        <f>D120*0.25</f>
        <v/>
      </c>
    </row>
    <row r="124">
      <c r="A124" s="32" t="n"/>
      <c r="B124" s="372" t="n"/>
      <c r="C124" s="176" t="n"/>
      <c r="D124" s="377" t="n"/>
    </row>
    <row r="125">
      <c r="A125" s="29" t="inlineStr">
        <is>
          <t>F. TOTAL COSTS (A+B+C+D+E)</t>
        </is>
      </c>
      <c r="B125" s="369" t="n"/>
      <c r="C125" s="230" t="n"/>
      <c r="D125" s="360">
        <f>D121+D123</f>
        <v/>
      </c>
    </row>
    <row r="126">
      <c r="A126" s="182" t="n"/>
      <c r="B126" s="183" t="n"/>
      <c r="C126" s="184" t="n"/>
      <c r="D126" s="183" t="n"/>
    </row>
    <row r="127">
      <c r="A127" s="190" t="n"/>
      <c r="B127" s="185" t="n"/>
      <c r="C127" s="186" t="n"/>
      <c r="D127" s="187" t="n"/>
    </row>
    <row r="128" ht="21" customHeight="1">
      <c r="A128" s="272">
        <f>CONCATENATE("COSTS WORK PACKAGE 4:"," ","Manufacturing, Instrumentation and Factory Acceptance")</f>
        <v/>
      </c>
      <c r="B128" s="314" t="n"/>
      <c r="C128" s="314" t="n"/>
      <c r="D128" s="315" t="n"/>
    </row>
    <row r="129">
      <c r="A129" s="182" t="n"/>
      <c r="B129" s="191" t="n"/>
      <c r="C129" s="192" t="n"/>
      <c r="D129" s="191" t="n"/>
    </row>
    <row r="130">
      <c r="A130" s="29" t="inlineStr">
        <is>
          <t>A. DIRECT PERSONNEL COSTS</t>
        </is>
      </c>
      <c r="B130" s="30" t="n"/>
      <c r="C130" s="110" t="n"/>
      <c r="D130" s="354" t="n"/>
    </row>
    <row r="131">
      <c r="A131" s="28" t="inlineStr">
        <is>
          <t>A.1 Employees (or equivalent)</t>
        </is>
      </c>
      <c r="B131" s="89" t="n"/>
      <c r="C131" s="111" t="n"/>
      <c r="D131" s="355" t="n"/>
    </row>
    <row r="132">
      <c r="A132" s="48" t="inlineStr">
        <is>
          <t>SENIOR SCIENTISTS (or equivalent in the private sector)</t>
        </is>
      </c>
      <c r="B132" s="357" t="n">
        <v>3</v>
      </c>
      <c r="C132" s="248" t="n">
        <v>13076.7</v>
      </c>
      <c r="D132" s="232">
        <f>B132*C132</f>
        <v/>
      </c>
    </row>
    <row r="133">
      <c r="A133" s="48" t="inlineStr">
        <is>
          <t>JUNIOR SCIENTISTS (or equivalent in the private sector)</t>
        </is>
      </c>
      <c r="B133" s="357" t="n">
        <v>12</v>
      </c>
      <c r="C133" s="248" t="n">
        <v>8129</v>
      </c>
      <c r="D133" s="232">
        <f>B133*C133</f>
        <v/>
      </c>
    </row>
    <row r="134">
      <c r="A134" s="48" t="inlineStr">
        <is>
          <t>TECHNICAL PERSONNEL (or equivalent in the private sector)</t>
        </is>
      </c>
      <c r="B134" s="357" t="n"/>
      <c r="C134" s="248" t="n"/>
      <c r="D134" s="232">
        <f>B134*C134</f>
        <v/>
      </c>
    </row>
    <row r="135">
      <c r="A135" s="48" t="inlineStr">
        <is>
          <t>ADMINISTRATIVE PERSONNEL (or equivalent in the private sector)</t>
        </is>
      </c>
      <c r="B135" s="357" t="n"/>
      <c r="C135" s="248" t="n"/>
      <c r="D135" s="232">
        <f>B135*C135</f>
        <v/>
      </c>
    </row>
    <row r="136">
      <c r="A136" s="48" t="inlineStr">
        <is>
          <t>OTHERS</t>
        </is>
      </c>
      <c r="B136" s="357" t="n"/>
      <c r="C136" s="248" t="n"/>
      <c r="D136" s="232">
        <f>B136*C136</f>
        <v/>
      </c>
    </row>
    <row r="137">
      <c r="A137" s="28" t="inlineStr">
        <is>
          <t>A.2 Natural Persons under direct contract</t>
        </is>
      </c>
      <c r="B137" s="357" t="n"/>
      <c r="C137" s="248" t="n"/>
      <c r="D137" s="232">
        <f>B137*C137</f>
        <v/>
      </c>
    </row>
    <row r="138">
      <c r="A138" s="28" t="inlineStr">
        <is>
          <t>A.3 Seconded Persons</t>
        </is>
      </c>
      <c r="B138" s="357" t="n"/>
      <c r="C138" s="248" t="n"/>
      <c r="D138" s="232">
        <f>B138*C138</f>
        <v/>
      </c>
    </row>
    <row r="139">
      <c r="A139" s="28" t="inlineStr">
        <is>
          <t>A.4 SME owners and natural person beneficiaries</t>
        </is>
      </c>
      <c r="B139" s="357" t="n"/>
      <c r="C139" s="256" t="n">
        <v>11858.7624</v>
      </c>
      <c r="D139" s="232">
        <f>B139*C139</f>
        <v/>
      </c>
    </row>
    <row r="140">
      <c r="A140" s="29" t="inlineStr">
        <is>
          <t>B. DIRECT SUBCONTRACTING COSTS</t>
        </is>
      </c>
      <c r="B140" s="358" t="n"/>
      <c r="C140" s="110" t="n"/>
      <c r="D140" s="359" t="n"/>
    </row>
    <row r="141">
      <c r="A141" s="53" t="n"/>
      <c r="B141" s="357" t="n">
        <v>2</v>
      </c>
      <c r="C141" s="248" t="n">
        <v>35000</v>
      </c>
      <c r="D141" s="361">
        <f>B141*C141</f>
        <v/>
      </c>
    </row>
    <row r="142">
      <c r="A142" s="29" t="inlineStr">
        <is>
          <t>C. DIRECT PURCHASE COSTS</t>
        </is>
      </c>
      <c r="B142" s="358" t="n"/>
      <c r="C142" s="110" t="n"/>
      <c r="D142" s="359" t="n"/>
    </row>
    <row r="143">
      <c r="A143" s="28" t="inlineStr">
        <is>
          <t>C.1 Travel and subsistence</t>
        </is>
      </c>
      <c r="B143" s="357" t="n">
        <v>4</v>
      </c>
      <c r="C143" s="248" t="n">
        <v>1500</v>
      </c>
      <c r="D143" s="361">
        <f>B143*C143</f>
        <v/>
      </c>
    </row>
    <row r="144">
      <c r="A144" s="28" t="inlineStr">
        <is>
          <t>C.2 Equipment (complete 'Depreciation costs' sheet)</t>
        </is>
      </c>
      <c r="B144" s="346" t="n"/>
      <c r="C144" s="111" t="n"/>
      <c r="D144" s="364" t="n"/>
    </row>
    <row r="145">
      <c r="A145" s="49" t="inlineStr">
        <is>
          <t>Equipment</t>
        </is>
      </c>
      <c r="B145" s="357" t="n">
        <v>2</v>
      </c>
      <c r="C145" s="248" t="n">
        <v>38000</v>
      </c>
      <c r="D145" s="361">
        <f>B145*C145</f>
        <v/>
      </c>
    </row>
    <row r="146">
      <c r="A146" s="49" t="inlineStr">
        <is>
          <t>Infrastructure</t>
        </is>
      </c>
      <c r="B146" s="357" t="n"/>
      <c r="C146" s="248" t="n"/>
      <c r="D146" s="361">
        <f>B146*C146</f>
        <v/>
      </c>
    </row>
    <row r="147">
      <c r="A147" s="49" t="inlineStr">
        <is>
          <t>Other assets</t>
        </is>
      </c>
      <c r="B147" s="357" t="n"/>
      <c r="C147" s="248" t="n"/>
      <c r="D147" s="361">
        <f>B147*C147</f>
        <v/>
      </c>
    </row>
    <row r="148">
      <c r="A148" s="28" t="inlineStr">
        <is>
          <t>C.3 Other goods, works and services</t>
        </is>
      </c>
      <c r="B148" s="346" t="n"/>
      <c r="C148" s="111" t="n"/>
      <c r="D148" s="364" t="n"/>
    </row>
    <row r="149">
      <c r="A149" s="49" t="inlineStr">
        <is>
          <t>Consumables</t>
        </is>
      </c>
      <c r="B149" s="357" t="n">
        <v>3</v>
      </c>
      <c r="C149" s="248" t="n">
        <v>30666.67</v>
      </c>
      <c r="D149" s="361">
        <f>B149*C149</f>
        <v/>
      </c>
    </row>
    <row r="150">
      <c r="A150" s="49" t="inlineStr">
        <is>
          <t>Services for meetings, seminars</t>
        </is>
      </c>
      <c r="B150" s="357" t="n"/>
      <c r="C150" s="248" t="n"/>
      <c r="D150" s="361">
        <f>B150*C150</f>
        <v/>
      </c>
    </row>
    <row r="151">
      <c r="A151" s="49" t="inlineStr">
        <is>
          <t>Services for dissemination activities (including website)</t>
        </is>
      </c>
      <c r="B151" s="357" t="n"/>
      <c r="C151" s="248" t="n"/>
      <c r="D151" s="361">
        <f>B151*C151</f>
        <v/>
      </c>
    </row>
    <row r="152">
      <c r="A152" s="49" t="inlineStr">
        <is>
          <t>Publication fees</t>
        </is>
      </c>
      <c r="B152" s="357" t="n"/>
      <c r="C152" s="248" t="n"/>
      <c r="D152" s="361">
        <f>B152*C152</f>
        <v/>
      </c>
    </row>
    <row r="153">
      <c r="A153" s="49" t="inlineStr">
        <is>
          <t>Other (shipment, insurance, translation, etc.)</t>
        </is>
      </c>
      <c r="B153" s="357" t="n"/>
      <c r="C153" s="248" t="n"/>
      <c r="D153" s="361">
        <f>B153*C153</f>
        <v/>
      </c>
    </row>
    <row r="154">
      <c r="A154" s="29" t="inlineStr">
        <is>
          <t>D. OTHER COST CATEGORIES</t>
        </is>
      </c>
      <c r="B154" s="358" t="n"/>
      <c r="C154" s="110" t="n"/>
      <c r="D154" s="359" t="n"/>
    </row>
    <row r="155">
      <c r="A155" s="50" t="inlineStr">
        <is>
          <t>D.1 Financial support to third parties (if applicable in the topic specific conditions)</t>
        </is>
      </c>
      <c r="B155" s="357" t="n"/>
      <c r="C155" s="248" t="n"/>
      <c r="D155" s="361">
        <f>B155*C155</f>
        <v/>
      </c>
    </row>
    <row r="156">
      <c r="A156" s="50" t="inlineStr">
        <is>
          <t>D.2 Internally invoiced goods and services</t>
        </is>
      </c>
      <c r="B156" s="357" t="n"/>
      <c r="C156" s="248" t="n"/>
      <c r="D156" s="361">
        <f>B156*C156</f>
        <v/>
      </c>
    </row>
    <row r="157">
      <c r="A157" s="50" t="inlineStr">
        <is>
          <t>D.3 Transnational access to research infrastructure unit costs (if mentioned as eligible in the topic specific conditions)</t>
        </is>
      </c>
      <c r="B157" s="357" t="n"/>
      <c r="C157" s="248" t="n"/>
      <c r="D157" s="361">
        <f>B157*C157</f>
        <v/>
      </c>
    </row>
    <row r="158">
      <c r="A158" s="50" t="inlineStr">
        <is>
          <t>D.4 Virtual access to research infrastructure unit costs (if mentioned as eligible in the topic specific conditions)</t>
        </is>
      </c>
      <c r="B158" s="357" t="n"/>
      <c r="C158" s="248" t="n"/>
      <c r="D158" s="361">
        <f>B158*C158</f>
        <v/>
      </c>
    </row>
    <row r="159">
      <c r="A159" s="50" t="inlineStr">
        <is>
          <t>D.5 PCP/PPI procurement costs (if mentioned as eligible in the topic specific conditions)</t>
        </is>
      </c>
      <c r="B159" s="357" t="n"/>
      <c r="C159" s="248" t="n"/>
      <c r="D159" s="361">
        <f>B159*C159</f>
        <v/>
      </c>
    </row>
    <row r="160">
      <c r="A160" s="50" t="n"/>
      <c r="B160" s="346" t="n"/>
      <c r="C160" s="111" t="n"/>
      <c r="D160" s="365" t="n"/>
    </row>
    <row r="161">
      <c r="A161" s="52" t="inlineStr">
        <is>
          <t>TOTAL DIRECT PERSONNEL COSTS AND PURCHASE COSTS (A+C)</t>
        </is>
      </c>
      <c r="B161" s="369" t="n"/>
      <c r="C161" s="230" t="n"/>
      <c r="D161" s="360">
        <f>SUM(D132:D139,D143:D153)</f>
        <v/>
      </c>
    </row>
    <row r="162">
      <c r="A162" s="52" t="inlineStr">
        <is>
          <t>TOTAL DIRECT COSTS  (A+B+C+D)</t>
        </is>
      </c>
      <c r="B162" s="369" t="n"/>
      <c r="C162" s="230" t="n"/>
      <c r="D162" s="360">
        <f>SUM(D132:D159)</f>
        <v/>
      </c>
    </row>
    <row r="163">
      <c r="A163" s="180" t="n"/>
      <c r="B163" s="372" t="n"/>
      <c r="C163" s="176" t="n"/>
      <c r="D163" s="373" t="n"/>
    </row>
    <row r="164">
      <c r="A164" s="29" t="inlineStr">
        <is>
          <t>E. INDIRECT COSTS (25% * (A+C))</t>
        </is>
      </c>
      <c r="B164" s="358" t="n"/>
      <c r="C164" s="110" t="n"/>
      <c r="D164" s="360">
        <f>D161*0.25</f>
        <v/>
      </c>
    </row>
    <row r="165">
      <c r="A165" s="32" t="n"/>
      <c r="B165" s="372" t="n"/>
      <c r="C165" s="176" t="n"/>
      <c r="D165" s="377" t="n"/>
    </row>
    <row r="166">
      <c r="A166" s="29" t="inlineStr">
        <is>
          <t>F. TOTAL COSTS (A+B+C+D+E)</t>
        </is>
      </c>
      <c r="B166" s="369" t="n"/>
      <c r="C166" s="230" t="n"/>
      <c r="D166" s="360">
        <f>D162+D164</f>
        <v/>
      </c>
    </row>
    <row r="167">
      <c r="A167" s="182" t="n"/>
      <c r="B167" s="183" t="n"/>
      <c r="C167" s="184" t="n"/>
      <c r="D167" s="183" t="n"/>
    </row>
    <row r="168">
      <c r="A168" s="190" t="n"/>
      <c r="B168" s="185" t="n"/>
      <c r="C168" s="186" t="n"/>
      <c r="D168" s="187" t="n"/>
    </row>
    <row r="169" ht="21" customHeight="1">
      <c r="A169" s="272">
        <f>CONCATENATE("COSTS WORK PACKAGE 5:"," ","Deployment, Operation and Validation Campaign")</f>
        <v/>
      </c>
      <c r="B169" s="314" t="n"/>
      <c r="C169" s="314" t="n"/>
      <c r="D169" s="315" t="n"/>
    </row>
    <row r="170">
      <c r="A170" s="182" t="n"/>
      <c r="B170" s="191" t="n"/>
      <c r="C170" s="192" t="n"/>
      <c r="D170" s="191" t="n"/>
    </row>
    <row r="171">
      <c r="A171" s="29" t="inlineStr">
        <is>
          <t>A. DIRECT PERSONNEL COSTS</t>
        </is>
      </c>
      <c r="B171" s="30" t="n"/>
      <c r="C171" s="110" t="n"/>
      <c r="D171" s="354" t="n"/>
    </row>
    <row r="172">
      <c r="A172" s="28" t="inlineStr">
        <is>
          <t>A.1 Employees (or equivalent)</t>
        </is>
      </c>
      <c r="B172" s="89" t="n"/>
      <c r="C172" s="111" t="n"/>
      <c r="D172" s="355" t="n"/>
    </row>
    <row r="173">
      <c r="A173" s="48" t="inlineStr">
        <is>
          <t>SENIOR SCIENTISTS (or equivalent in the private sector)</t>
        </is>
      </c>
      <c r="B173" s="357" t="n">
        <v>7</v>
      </c>
      <c r="C173" s="248" t="n">
        <v>10349.59</v>
      </c>
      <c r="D173" s="232">
        <f>B173*C173</f>
        <v/>
      </c>
    </row>
    <row r="174">
      <c r="A174" s="48" t="inlineStr">
        <is>
          <t>JUNIOR SCIENTISTS (or equivalent in the private sector)</t>
        </is>
      </c>
      <c r="B174" s="357" t="n">
        <v>10</v>
      </c>
      <c r="C174" s="248" t="n">
        <v>8129</v>
      </c>
      <c r="D174" s="232">
        <f>B174*C174</f>
        <v/>
      </c>
    </row>
    <row r="175">
      <c r="A175" s="48" t="inlineStr">
        <is>
          <t>TECHNICAL PERSONNEL (or equivalent in the private sector)</t>
        </is>
      </c>
      <c r="B175" s="357" t="n"/>
      <c r="C175" s="248" t="n"/>
      <c r="D175" s="232">
        <f>B175*C175</f>
        <v/>
      </c>
    </row>
    <row r="176">
      <c r="A176" s="48" t="inlineStr">
        <is>
          <t>ADMINISTRATIVE PERSONNEL (or equivalent in the private sector)</t>
        </is>
      </c>
      <c r="B176" s="357" t="n"/>
      <c r="C176" s="248" t="n"/>
      <c r="D176" s="232">
        <f>B176*C176</f>
        <v/>
      </c>
    </row>
    <row r="177">
      <c r="A177" s="48" t="inlineStr">
        <is>
          <t>OTHERS</t>
        </is>
      </c>
      <c r="B177" s="357" t="n"/>
      <c r="C177" s="248" t="n"/>
      <c r="D177" s="232">
        <f>B177*C177</f>
        <v/>
      </c>
    </row>
    <row r="178">
      <c r="A178" s="28" t="inlineStr">
        <is>
          <t>A.2 Natural Persons under direct contract</t>
        </is>
      </c>
      <c r="B178" s="357" t="n"/>
      <c r="C178" s="248" t="n"/>
      <c r="D178" s="232">
        <f>B178*C178</f>
        <v/>
      </c>
    </row>
    <row r="179">
      <c r="A179" s="28" t="inlineStr">
        <is>
          <t>A.3 Seconded Persons</t>
        </is>
      </c>
      <c r="B179" s="357" t="n"/>
      <c r="C179" s="248" t="n"/>
      <c r="D179" s="232">
        <f>B179*C179</f>
        <v/>
      </c>
    </row>
    <row r="180">
      <c r="A180" s="28" t="inlineStr">
        <is>
          <t>A.4 SME owners and natural person beneficiaries</t>
        </is>
      </c>
      <c r="B180" s="357" t="n"/>
      <c r="C180" s="256" t="n">
        <v>11858.7624</v>
      </c>
      <c r="D180" s="232">
        <f>B180*C180</f>
        <v/>
      </c>
    </row>
    <row r="181">
      <c r="A181" s="29" t="inlineStr">
        <is>
          <t>B. DIRECT SUBCONTRACTING COSTS</t>
        </is>
      </c>
      <c r="B181" s="358" t="n"/>
      <c r="C181" s="110" t="n"/>
      <c r="D181" s="359" t="n"/>
    </row>
    <row r="182">
      <c r="A182" s="53" t="n"/>
      <c r="B182" s="357" t="n"/>
      <c r="C182" s="248" t="n"/>
      <c r="D182" s="361">
        <f>B182*C182</f>
        <v/>
      </c>
    </row>
    <row r="183">
      <c r="A183" s="29" t="inlineStr">
        <is>
          <t>C. DIRECT PURCHASE COSTS</t>
        </is>
      </c>
      <c r="B183" s="358" t="n"/>
      <c r="C183" s="110" t="n"/>
      <c r="D183" s="359" t="n"/>
    </row>
    <row r="184">
      <c r="A184" s="28" t="inlineStr">
        <is>
          <t>C.1 Travel and subsistence</t>
        </is>
      </c>
      <c r="B184" s="357" t="n">
        <v>8</v>
      </c>
      <c r="C184" s="248" t="n">
        <v>2000</v>
      </c>
      <c r="D184" s="361">
        <f>B184*C184</f>
        <v/>
      </c>
    </row>
    <row r="185">
      <c r="A185" s="28" t="inlineStr">
        <is>
          <t>C.2 Equipment (complete 'Depreciation costs' sheet)</t>
        </is>
      </c>
      <c r="B185" s="346" t="n"/>
      <c r="C185" s="111" t="n"/>
      <c r="D185" s="364" t="n"/>
    </row>
    <row r="186">
      <c r="A186" s="49" t="inlineStr">
        <is>
          <t>Equipment</t>
        </is>
      </c>
      <c r="B186" s="357" t="n"/>
      <c r="C186" s="248" t="n"/>
      <c r="D186" s="361">
        <f>B186*C186</f>
        <v/>
      </c>
    </row>
    <row r="187">
      <c r="A187" s="49" t="inlineStr">
        <is>
          <t>Infrastructure</t>
        </is>
      </c>
      <c r="B187" s="357" t="n"/>
      <c r="C187" s="248" t="n"/>
      <c r="D187" s="361">
        <f>B187*C187</f>
        <v/>
      </c>
    </row>
    <row r="188">
      <c r="A188" s="49" t="inlineStr">
        <is>
          <t>Other assets</t>
        </is>
      </c>
      <c r="B188" s="357" t="n"/>
      <c r="C188" s="248" t="n"/>
      <c r="D188" s="361">
        <f>B188*C188</f>
        <v/>
      </c>
    </row>
    <row r="189">
      <c r="A189" s="28" t="inlineStr">
        <is>
          <t>C.3 Other goods, works and services</t>
        </is>
      </c>
      <c r="B189" s="346" t="n"/>
      <c r="C189" s="111" t="n"/>
      <c r="D189" s="364" t="n"/>
    </row>
    <row r="190">
      <c r="A190" s="49" t="inlineStr">
        <is>
          <t>Consumables</t>
        </is>
      </c>
      <c r="B190" s="357" t="n"/>
      <c r="C190" s="248" t="n"/>
      <c r="D190" s="361">
        <f>B190*C190</f>
        <v/>
      </c>
    </row>
    <row r="191">
      <c r="A191" s="49" t="inlineStr">
        <is>
          <t>Services for meetings, seminars</t>
        </is>
      </c>
      <c r="B191" s="357" t="n"/>
      <c r="C191" s="248" t="n"/>
      <c r="D191" s="361">
        <f>B191*C191</f>
        <v/>
      </c>
    </row>
    <row r="192">
      <c r="A192" s="49" t="inlineStr">
        <is>
          <t>Services for dissemination activities (including website)</t>
        </is>
      </c>
      <c r="B192" s="357" t="n"/>
      <c r="C192" s="248" t="n"/>
      <c r="D192" s="361">
        <f>B192*C192</f>
        <v/>
      </c>
    </row>
    <row r="193">
      <c r="A193" s="49" t="inlineStr">
        <is>
          <t>Publication fees</t>
        </is>
      </c>
      <c r="B193" s="357" t="n"/>
      <c r="C193" s="248" t="n"/>
      <c r="D193" s="361">
        <f>B193*C193</f>
        <v/>
      </c>
    </row>
    <row r="194">
      <c r="A194" s="49" t="inlineStr">
        <is>
          <t>Other (shipment, insurance, translation, etc.)</t>
        </is>
      </c>
      <c r="B194" s="357" t="n">
        <v>1</v>
      </c>
      <c r="C194" s="248" t="n">
        <v>10000</v>
      </c>
      <c r="D194" s="361">
        <f>B194*C194</f>
        <v/>
      </c>
    </row>
    <row r="195">
      <c r="A195" s="29" t="inlineStr">
        <is>
          <t>D. OTHER COST CATEGORIES</t>
        </is>
      </c>
      <c r="B195" s="358" t="n"/>
      <c r="C195" s="110" t="n"/>
      <c r="D195" s="359" t="n"/>
    </row>
    <row r="196">
      <c r="A196" s="50" t="inlineStr">
        <is>
          <t>D.1 Financial support to third parties (if applicable in the topic specific conditions)</t>
        </is>
      </c>
      <c r="B196" s="357" t="n"/>
      <c r="C196" s="248" t="n"/>
      <c r="D196" s="361">
        <f>B196*C196</f>
        <v/>
      </c>
    </row>
    <row r="197">
      <c r="A197" s="50" t="inlineStr">
        <is>
          <t>D.2 Internally invoiced goods and services</t>
        </is>
      </c>
      <c r="B197" s="357" t="n"/>
      <c r="C197" s="248" t="n"/>
      <c r="D197" s="361">
        <f>B197*C197</f>
        <v/>
      </c>
    </row>
    <row r="198">
      <c r="A198" s="50" t="inlineStr">
        <is>
          <t>D.3 Transnational access to research infrastructure unit costs (if mentioned as eligible in the topic specific conditions)</t>
        </is>
      </c>
      <c r="B198" s="357" t="n"/>
      <c r="C198" s="248" t="n"/>
      <c r="D198" s="361">
        <f>B198*C198</f>
        <v/>
      </c>
    </row>
    <row r="199">
      <c r="A199" s="50" t="inlineStr">
        <is>
          <t>D.4 Virtual access to research infrastructure unit costs (if mentioned as eligible in the topic specific conditions)</t>
        </is>
      </c>
      <c r="B199" s="357" t="n"/>
      <c r="C199" s="248" t="n"/>
      <c r="D199" s="361">
        <f>B199*C199</f>
        <v/>
      </c>
    </row>
    <row r="200">
      <c r="A200" s="50" t="inlineStr">
        <is>
          <t>D.5 PCP/PPI procurement costs (if mentioned as eligible in the topic specific conditions)</t>
        </is>
      </c>
      <c r="B200" s="357" t="n"/>
      <c r="C200" s="248" t="n"/>
      <c r="D200" s="361">
        <f>B200*C200</f>
        <v/>
      </c>
    </row>
    <row r="201">
      <c r="A201" s="50" t="n"/>
      <c r="B201" s="346" t="n"/>
      <c r="C201" s="111" t="n"/>
      <c r="D201" s="365" t="n"/>
    </row>
    <row r="202">
      <c r="A202" s="52" t="inlineStr">
        <is>
          <t>TOTAL DIRECT PERSONNEL COSTS AND PURCHASE COSTS (A+C)</t>
        </is>
      </c>
      <c r="B202" s="369" t="n"/>
      <c r="C202" s="230" t="n"/>
      <c r="D202" s="360">
        <f>SUM(D173:D180,D184:D194)</f>
        <v/>
      </c>
    </row>
    <row r="203">
      <c r="A203" s="52" t="inlineStr">
        <is>
          <t>TOTAL DIRECT COSTS  (A+B+C+D)</t>
        </is>
      </c>
      <c r="B203" s="369" t="n"/>
      <c r="C203" s="230" t="n"/>
      <c r="D203" s="360">
        <f>SUM(D173:D200)</f>
        <v/>
      </c>
    </row>
    <row r="204">
      <c r="A204" s="180" t="n"/>
      <c r="B204" s="372" t="n"/>
      <c r="C204" s="176" t="n"/>
      <c r="D204" s="373" t="n"/>
    </row>
    <row r="205">
      <c r="A205" s="29" t="inlineStr">
        <is>
          <t>E. INDIRECT COSTS (25% * (A+C))</t>
        </is>
      </c>
      <c r="B205" s="358" t="n"/>
      <c r="C205" s="110" t="n"/>
      <c r="D205" s="360">
        <f>D202*0.25</f>
        <v/>
      </c>
    </row>
    <row r="206">
      <c r="A206" s="32" t="n"/>
      <c r="B206" s="372" t="n"/>
      <c r="C206" s="176" t="n"/>
      <c r="D206" s="377" t="n"/>
    </row>
    <row r="207">
      <c r="A207" s="29" t="inlineStr">
        <is>
          <t>F. TOTAL COSTS (A+B+C+D+E)</t>
        </is>
      </c>
      <c r="B207" s="369" t="n"/>
      <c r="C207" s="230" t="n"/>
      <c r="D207" s="360">
        <f>D203+D205</f>
        <v/>
      </c>
    </row>
    <row r="209">
      <c r="A209" s="190" t="n"/>
      <c r="B209" s="185" t="n"/>
      <c r="C209" s="186" t="n"/>
      <c r="D209" s="187" t="n"/>
    </row>
    <row r="210" ht="21" customHeight="1">
      <c r="A210" s="272">
        <f>CONCATENATE("COSTS WORK PACKAGE 6:"," ","Business Validation, Exploitation and Dissemination")</f>
        <v/>
      </c>
      <c r="B210" s="314" t="n"/>
      <c r="C210" s="314" t="n"/>
      <c r="D210" s="315" t="n"/>
    </row>
    <row r="211">
      <c r="A211" s="182" t="n"/>
      <c r="B211" s="191" t="n"/>
      <c r="C211" s="192" t="n"/>
      <c r="D211" s="191" t="n"/>
    </row>
    <row r="212">
      <c r="A212" s="29" t="inlineStr">
        <is>
          <t>A. DIRECT PERSONNEL COSTS</t>
        </is>
      </c>
      <c r="B212" s="30" t="n"/>
      <c r="C212" s="110" t="n"/>
      <c r="D212" s="354" t="n"/>
    </row>
    <row r="213">
      <c r="A213" s="28" t="inlineStr">
        <is>
          <t>A.1 Employees (or equivalent)</t>
        </is>
      </c>
      <c r="B213" s="89" t="n"/>
      <c r="C213" s="111" t="n"/>
      <c r="D213" s="355" t="n"/>
    </row>
    <row r="214">
      <c r="A214" s="48" t="inlineStr">
        <is>
          <t>SENIOR SCIENTISTS (or equivalent in the private sector)</t>
        </is>
      </c>
      <c r="B214" s="357" t="n">
        <v>6</v>
      </c>
      <c r="C214" s="248" t="n">
        <v>10349.59</v>
      </c>
      <c r="D214" s="232">
        <f>B214*C214</f>
        <v/>
      </c>
    </row>
    <row r="215">
      <c r="A215" s="48" t="inlineStr">
        <is>
          <t>JUNIOR SCIENTISTS (or equivalent in the private sector)</t>
        </is>
      </c>
      <c r="B215" s="357" t="n">
        <v>8</v>
      </c>
      <c r="C215" s="248" t="n">
        <v>8129</v>
      </c>
      <c r="D215" s="232">
        <f>B215*C215</f>
        <v/>
      </c>
    </row>
    <row r="216">
      <c r="A216" s="48" t="inlineStr">
        <is>
          <t>TECHNICAL PERSONNEL (or equivalent in the private sector)</t>
        </is>
      </c>
      <c r="B216" s="357" t="n"/>
      <c r="C216" s="248" t="n"/>
      <c r="D216" s="232">
        <f>B216*C216</f>
        <v/>
      </c>
    </row>
    <row r="217">
      <c r="A217" s="48" t="inlineStr">
        <is>
          <t>ADMINISTRATIVE PERSONNEL (or equivalent in the private sector)</t>
        </is>
      </c>
      <c r="B217" s="357" t="n"/>
      <c r="C217" s="248" t="n"/>
      <c r="D217" s="232">
        <f>B217*C217</f>
        <v/>
      </c>
    </row>
    <row r="218">
      <c r="A218" s="48" t="inlineStr">
        <is>
          <t>OTHERS</t>
        </is>
      </c>
      <c r="B218" s="357" t="n"/>
      <c r="C218" s="248" t="n"/>
      <c r="D218" s="232">
        <f>B218*C218</f>
        <v/>
      </c>
    </row>
    <row r="219">
      <c r="A219" s="28" t="inlineStr">
        <is>
          <t>A.2 Natural Persons under direct contract</t>
        </is>
      </c>
      <c r="B219" s="357" t="n"/>
      <c r="C219" s="248" t="n"/>
      <c r="D219" s="232">
        <f>B219*C219</f>
        <v/>
      </c>
    </row>
    <row r="220">
      <c r="A220" s="28" t="inlineStr">
        <is>
          <t>A.3 Seconded Persons</t>
        </is>
      </c>
      <c r="B220" s="357" t="n"/>
      <c r="C220" s="248" t="n"/>
      <c r="D220" s="232">
        <f>B220*C220</f>
        <v/>
      </c>
    </row>
    <row r="221">
      <c r="A221" s="28" t="inlineStr">
        <is>
          <t>A.4 SME owners and natural person beneficiaries</t>
        </is>
      </c>
      <c r="B221" s="357" t="n"/>
      <c r="C221" s="256" t="n">
        <v>11858.7624</v>
      </c>
      <c r="D221" s="232">
        <f>B221*C221</f>
        <v/>
      </c>
    </row>
    <row r="222">
      <c r="A222" s="29" t="inlineStr">
        <is>
          <t>B. DIRECT SUBCONTRACTING COSTS</t>
        </is>
      </c>
      <c r="B222" s="358" t="n"/>
      <c r="C222" s="110" t="n"/>
      <c r="D222" s="359" t="n"/>
    </row>
    <row r="223">
      <c r="A223" s="53" t="n"/>
      <c r="B223" s="357" t="n"/>
      <c r="C223" s="248" t="n"/>
      <c r="D223" s="361">
        <f>B223*C223</f>
        <v/>
      </c>
    </row>
    <row r="224">
      <c r="A224" s="29" t="inlineStr">
        <is>
          <t>C. DIRECT PURCHASE COSTS</t>
        </is>
      </c>
      <c r="B224" s="358" t="n"/>
      <c r="C224" s="110" t="n"/>
      <c r="D224" s="359" t="n"/>
    </row>
    <row r="225">
      <c r="A225" s="28" t="inlineStr">
        <is>
          <t>C.1 Travel and subsistence</t>
        </is>
      </c>
      <c r="B225" s="357" t="n">
        <v>4</v>
      </c>
      <c r="C225" s="248" t="n">
        <v>1500</v>
      </c>
      <c r="D225" s="361">
        <f>B225*C225</f>
        <v/>
      </c>
    </row>
    <row r="226">
      <c r="A226" s="28" t="inlineStr">
        <is>
          <t>C.2 Equipment (complete 'Depreciation costs' sheet)</t>
        </is>
      </c>
      <c r="B226" s="346" t="n"/>
      <c r="C226" s="111" t="n"/>
      <c r="D226" s="364" t="n"/>
    </row>
    <row r="227">
      <c r="A227" s="49" t="inlineStr">
        <is>
          <t>Equipment</t>
        </is>
      </c>
      <c r="B227" s="357" t="n">
        <v>1</v>
      </c>
      <c r="C227" s="248" t="n">
        <v>10000</v>
      </c>
      <c r="D227" s="361">
        <f>B227*C227</f>
        <v/>
      </c>
    </row>
    <row r="228">
      <c r="A228" s="49" t="inlineStr">
        <is>
          <t>Infrastructure</t>
        </is>
      </c>
      <c r="B228" s="357" t="n"/>
      <c r="C228" s="248" t="n"/>
      <c r="D228" s="361">
        <f>B228*C228</f>
        <v/>
      </c>
    </row>
    <row r="229">
      <c r="A229" s="49" t="inlineStr">
        <is>
          <t>Other assets</t>
        </is>
      </c>
      <c r="B229" s="357" t="n"/>
      <c r="C229" s="248" t="n"/>
      <c r="D229" s="361">
        <f>B229*C229</f>
        <v/>
      </c>
    </row>
    <row r="230">
      <c r="A230" s="28" t="inlineStr">
        <is>
          <t>C.3 Other goods, works and services</t>
        </is>
      </c>
      <c r="B230" s="346" t="n"/>
      <c r="C230" s="111" t="n"/>
      <c r="D230" s="364" t="n"/>
    </row>
    <row r="231">
      <c r="A231" s="49" t="inlineStr">
        <is>
          <t>Consumables</t>
        </is>
      </c>
      <c r="B231" s="357" t="n"/>
      <c r="C231" s="248" t="n"/>
      <c r="D231" s="361">
        <f>B231*C231</f>
        <v/>
      </c>
    </row>
    <row r="232">
      <c r="A232" s="49" t="inlineStr">
        <is>
          <t>Services for meetings, seminars</t>
        </is>
      </c>
      <c r="B232" s="357" t="n"/>
      <c r="C232" s="248" t="n"/>
      <c r="D232" s="361">
        <f>B232*C232</f>
        <v/>
      </c>
    </row>
    <row r="233">
      <c r="A233" s="49" t="inlineStr">
        <is>
          <t>Services for dissemination activities (including website)</t>
        </is>
      </c>
      <c r="B233" s="357" t="n"/>
      <c r="C233" s="248" t="n"/>
      <c r="D233" s="361">
        <f>B233*C233</f>
        <v/>
      </c>
    </row>
    <row r="234">
      <c r="A234" s="49" t="inlineStr">
        <is>
          <t>Publication fees</t>
        </is>
      </c>
      <c r="B234" s="357" t="n"/>
      <c r="C234" s="248" t="n"/>
      <c r="D234" s="361">
        <f>B234*C234</f>
        <v/>
      </c>
    </row>
    <row r="235">
      <c r="A235" s="49" t="inlineStr">
        <is>
          <t>Other (shipment, insurance, translation, etc.)</t>
        </is>
      </c>
      <c r="B235" s="357" t="n"/>
      <c r="C235" s="248" t="n"/>
      <c r="D235" s="361">
        <f>B235*C235</f>
        <v/>
      </c>
    </row>
    <row r="236">
      <c r="A236" s="29" t="inlineStr">
        <is>
          <t>D. OTHER COST CATEGORIES</t>
        </is>
      </c>
      <c r="B236" s="358" t="n"/>
      <c r="C236" s="110" t="n"/>
      <c r="D236" s="359" t="n"/>
    </row>
    <row r="237">
      <c r="A237" s="50" t="inlineStr">
        <is>
          <t>D.1 Financial support to third parties (if applicable in the topic specific conditions)</t>
        </is>
      </c>
      <c r="B237" s="357" t="n"/>
      <c r="C237" s="248" t="n"/>
      <c r="D237" s="361">
        <f>B237*C237</f>
        <v/>
      </c>
    </row>
    <row r="238">
      <c r="A238" s="50" t="inlineStr">
        <is>
          <t>D.2 Internally invoiced goods and services</t>
        </is>
      </c>
      <c r="B238" s="357" t="n"/>
      <c r="C238" s="248" t="n"/>
      <c r="D238" s="361">
        <f>B238*C238</f>
        <v/>
      </c>
    </row>
    <row r="239">
      <c r="A239" s="50" t="inlineStr">
        <is>
          <t>D.3 Transnational access to research infrastructure unit costs (if mentioned as eligible in the topic specific conditions)</t>
        </is>
      </c>
      <c r="B239" s="357" t="n"/>
      <c r="C239" s="248" t="n"/>
      <c r="D239" s="361">
        <f>B239*C239</f>
        <v/>
      </c>
    </row>
    <row r="240">
      <c r="A240" s="50" t="inlineStr">
        <is>
          <t>D.4 Virtual access to research infrastructure unit costs (if mentioned as eligible in the topic specific conditions)</t>
        </is>
      </c>
      <c r="B240" s="357" t="n"/>
      <c r="C240" s="248" t="n"/>
      <c r="D240" s="361">
        <f>B240*C240</f>
        <v/>
      </c>
    </row>
    <row r="241">
      <c r="A241" s="50" t="inlineStr">
        <is>
          <t>D.5 PCP/PPI procurement costs (if mentioned as eligible in the topic specific conditions)</t>
        </is>
      </c>
      <c r="B241" s="357" t="n"/>
      <c r="C241" s="248" t="n"/>
      <c r="D241" s="361">
        <f>B241*C241</f>
        <v/>
      </c>
    </row>
    <row r="242">
      <c r="A242" s="50" t="n"/>
      <c r="B242" s="346" t="n"/>
      <c r="C242" s="111" t="n"/>
      <c r="D242" s="365" t="n"/>
    </row>
    <row r="243">
      <c r="A243" s="52" t="inlineStr">
        <is>
          <t>TOTAL DIRECT PERSONNEL COSTS AND PURCHASE COSTS (A+C)</t>
        </is>
      </c>
      <c r="B243" s="369" t="n"/>
      <c r="C243" s="230" t="n"/>
      <c r="D243" s="360">
        <f>SUM(D214:D221,D225:D235)</f>
        <v/>
      </c>
    </row>
    <row r="244">
      <c r="A244" s="52" t="inlineStr">
        <is>
          <t>TOTAL DIRECT COSTS  (A+B+C+D)</t>
        </is>
      </c>
      <c r="B244" s="369" t="n"/>
      <c r="C244" s="230" t="n"/>
      <c r="D244" s="360">
        <f>SUM(D214:D241)</f>
        <v/>
      </c>
    </row>
    <row r="245">
      <c r="A245" s="180" t="n"/>
      <c r="B245" s="372" t="n"/>
      <c r="C245" s="176" t="n"/>
      <c r="D245" s="373" t="n"/>
    </row>
    <row r="246">
      <c r="A246" s="29" t="inlineStr">
        <is>
          <t>E. INDIRECT COSTS (25% * (A+C))</t>
        </is>
      </c>
      <c r="B246" s="358" t="n"/>
      <c r="C246" s="110" t="n"/>
      <c r="D246" s="360">
        <f>D243*0.25</f>
        <v/>
      </c>
    </row>
    <row r="247">
      <c r="A247" s="32" t="n"/>
      <c r="B247" s="372" t="n"/>
      <c r="C247" s="176" t="n"/>
      <c r="D247" s="377" t="n"/>
    </row>
    <row r="248">
      <c r="A248" s="29" t="inlineStr">
        <is>
          <t>F. TOTAL COSTS (A+B+C+D+E)</t>
        </is>
      </c>
      <c r="B248" s="369" t="n"/>
      <c r="C248" s="230" t="n"/>
      <c r="D248" s="360">
        <f>D244+D246</f>
        <v/>
      </c>
    </row>
    <row r="249">
      <c r="A249" s="182" t="n"/>
      <c r="B249" s="183" t="n"/>
      <c r="C249" s="184" t="n"/>
      <c r="D249" s="183" t="n"/>
    </row>
    <row r="250">
      <c r="A250" s="190" t="n"/>
      <c r="B250" s="185" t="n"/>
      <c r="C250" s="186" t="n"/>
      <c r="D250" s="187" t="n"/>
    </row>
    <row r="251" ht="21" customHeight="1">
      <c r="A251" s="272" t="inlineStr">
        <is>
          <t>SUMMARY</t>
        </is>
      </c>
      <c r="B251" s="314" t="n"/>
      <c r="C251" s="314" t="n"/>
      <c r="D251" s="315" t="n"/>
    </row>
    <row r="252">
      <c r="A252" s="56" t="n"/>
      <c r="B252" s="174" t="n"/>
      <c r="C252" s="175" t="n"/>
      <c r="D252" s="174" t="n"/>
    </row>
    <row r="253">
      <c r="A253" s="29" t="inlineStr">
        <is>
          <t>A. DIRECT PERSONNEL COSTS</t>
        </is>
      </c>
      <c r="B253" s="30" t="n"/>
      <c r="C253" s="110" t="n"/>
      <c r="D253" s="354" t="n"/>
    </row>
    <row r="254">
      <c r="A254" s="28" t="inlineStr">
        <is>
          <t>A.1 Employees (or equivalent)</t>
        </is>
      </c>
      <c r="B254" s="89" t="n"/>
      <c r="C254" s="111" t="n"/>
      <c r="D254" s="355" t="n"/>
    </row>
    <row r="255">
      <c r="A255" s="48" t="inlineStr">
        <is>
          <t>SENIOR SCIENTISTS (or equivalent in the private sector)</t>
        </is>
      </c>
      <c r="B255" s="378">
        <f>B9+B50+B91+B132+B173+B214</f>
        <v/>
      </c>
      <c r="C255" s="249">
        <f>IF(B255&gt;0,D255/B255," ")</f>
        <v/>
      </c>
      <c r="D255" s="361">
        <f>D9+D50+D91+D132+D173+D214</f>
        <v/>
      </c>
    </row>
    <row r="256">
      <c r="A256" s="48" t="inlineStr">
        <is>
          <t>JUNIOR SCIENTISTS (or equivalent in the private sector)</t>
        </is>
      </c>
      <c r="B256" s="378">
        <f>B10+B51+B92+B133+B174+B215</f>
        <v/>
      </c>
      <c r="C256" s="249">
        <f>IF(B256&gt;0,D256/B256," ")</f>
        <v/>
      </c>
      <c r="D256" s="361">
        <f>D10+D51+D92+D133+D174+D215</f>
        <v/>
      </c>
    </row>
    <row r="257">
      <c r="A257" s="48" t="inlineStr">
        <is>
          <t>TECHNICAL PERSONNEL (or equivalent in the private sector)</t>
        </is>
      </c>
      <c r="B257" s="378">
        <f>B11+B52+B93+B134+B175+B216</f>
        <v/>
      </c>
      <c r="C257" s="249">
        <f>IF(B257&gt;0,D257/B257," ")</f>
        <v/>
      </c>
      <c r="D257" s="361">
        <f>D11+D52+D93+D134+D175+D216</f>
        <v/>
      </c>
    </row>
    <row r="258">
      <c r="A258" s="48" t="inlineStr">
        <is>
          <t>ADMINISTRATIVE PERSONNEL (or equivalent in the private sector)</t>
        </is>
      </c>
      <c r="B258" s="378">
        <f>B12+B53+B94+B135+B176+B217</f>
        <v/>
      </c>
      <c r="C258" s="249">
        <f>IF(B258&gt;0,D258/B258," ")</f>
        <v/>
      </c>
      <c r="D258" s="361">
        <f>D12+D53+D94+D135+D176+D217</f>
        <v/>
      </c>
    </row>
    <row r="259">
      <c r="A259" s="48" t="inlineStr">
        <is>
          <t>OTHERS</t>
        </is>
      </c>
      <c r="B259" s="378">
        <f>B13+B54+B95+B136+B177+B218</f>
        <v/>
      </c>
      <c r="C259" s="249">
        <f>IF(B259&gt;0,D259/B259," ")</f>
        <v/>
      </c>
      <c r="D259" s="361">
        <f>D13+D54+D95+D136+D177+D218</f>
        <v/>
      </c>
    </row>
    <row r="260">
      <c r="A260" s="28" t="inlineStr">
        <is>
          <t>A.2 Natural Persons under direct contract</t>
        </is>
      </c>
      <c r="B260" s="378">
        <f>B14+B55+B96+B137+B178+B219</f>
        <v/>
      </c>
      <c r="C260" s="249">
        <f>IF(B260&gt;0,D260/B260," ")</f>
        <v/>
      </c>
      <c r="D260" s="361">
        <f>D14+D55+D96+D137+D178+D219</f>
        <v/>
      </c>
    </row>
    <row r="261">
      <c r="A261" s="28" t="inlineStr">
        <is>
          <t>A.3 Seconded Persons</t>
        </is>
      </c>
      <c r="B261" s="378">
        <f>B15+B56+B97+B138+B179+B220</f>
        <v/>
      </c>
      <c r="C261" s="249">
        <f>IF(B261&gt;0,D261/B261," ")</f>
        <v/>
      </c>
      <c r="D261" s="361">
        <f>D15+D56+D97+D138+D179+D220</f>
        <v/>
      </c>
    </row>
    <row r="262">
      <c r="A262" s="28" t="inlineStr">
        <is>
          <t>A.4 SME owners and natural person beneficiaries</t>
        </is>
      </c>
      <c r="B262" s="378">
        <f>B16+B57+B98+B139+B180+B221</f>
        <v/>
      </c>
      <c r="C262" s="249">
        <f>IF(B262&gt;0,D262/B262," ")</f>
        <v/>
      </c>
      <c r="D262" s="361">
        <f>D16+D57+D98+D139+D180+D221</f>
        <v/>
      </c>
    </row>
    <row r="263">
      <c r="A263" s="29" t="inlineStr">
        <is>
          <t>B. DIRECT SUBCONTRACTING COSTS</t>
        </is>
      </c>
      <c r="B263" s="380" t="n"/>
      <c r="C263" s="250" t="n"/>
      <c r="D263" s="359" t="n"/>
    </row>
    <row r="264">
      <c r="A264" s="28" t="n"/>
      <c r="B264" s="378">
        <f>B18+B59+B100+B141+B182+B223</f>
        <v/>
      </c>
      <c r="C264" s="249">
        <f>IF(B264&gt;0,D264/B264," ")</f>
        <v/>
      </c>
      <c r="D264" s="361">
        <f>D18+D59+D100+D141+D182+D223</f>
        <v/>
      </c>
    </row>
    <row r="265">
      <c r="A265" s="29" t="inlineStr">
        <is>
          <t>C. DIRECT PURCHASE COSTS</t>
        </is>
      </c>
      <c r="B265" s="380" t="n"/>
      <c r="C265" s="250" t="n"/>
      <c r="D265" s="359" t="n"/>
    </row>
    <row r="266">
      <c r="A266" s="28" t="inlineStr">
        <is>
          <t>C.1 Travel and subsistence</t>
        </is>
      </c>
      <c r="B266" s="378">
        <f>B20+B61+B102+B143+B184+B225</f>
        <v/>
      </c>
      <c r="C266" s="249">
        <f>IF(B266&gt;0,D266/B266," ")</f>
        <v/>
      </c>
      <c r="D266" s="361">
        <f>D20+D61+D102+D143+D184+D225</f>
        <v/>
      </c>
    </row>
    <row r="267">
      <c r="A267" s="28" t="inlineStr">
        <is>
          <t>C.2 Equipment (complete 'Depreciation costs' sheet)</t>
        </is>
      </c>
      <c r="B267" s="381" t="n"/>
      <c r="C267" s="251" t="n"/>
      <c r="D267" s="364" t="n"/>
    </row>
    <row r="268">
      <c r="A268" s="49" t="inlineStr">
        <is>
          <t>Equipment</t>
        </is>
      </c>
      <c r="B268" s="378">
        <f>B22+B63+B104+B145+B186+B227</f>
        <v/>
      </c>
      <c r="C268" s="249">
        <f>IF(B268&gt;0,D268/B268," ")</f>
        <v/>
      </c>
      <c r="D268" s="361">
        <f>D22+D63+D104+D145+D186+D227</f>
        <v/>
      </c>
    </row>
    <row r="269">
      <c r="A269" s="49" t="inlineStr">
        <is>
          <t>Infrastructure</t>
        </is>
      </c>
      <c r="B269" s="378">
        <f>B23+B64+B105+B146+B187+B228</f>
        <v/>
      </c>
      <c r="C269" s="249">
        <f>IF(B269&gt;0,D269/B269," ")</f>
        <v/>
      </c>
      <c r="D269" s="361">
        <f>D23+D64+D105+D146+D187+D228</f>
        <v/>
      </c>
    </row>
    <row r="270">
      <c r="A270" s="49" t="inlineStr">
        <is>
          <t>Other assets</t>
        </is>
      </c>
      <c r="B270" s="378">
        <f>B24+B65+B106+B147+B188+B229</f>
        <v/>
      </c>
      <c r="C270" s="249">
        <f>IF(B270&gt;0,D270/B270," ")</f>
        <v/>
      </c>
      <c r="D270" s="361">
        <f>D24+D65+D106+D147+D188+D229</f>
        <v/>
      </c>
    </row>
    <row r="271">
      <c r="A271" s="28" t="inlineStr">
        <is>
          <t>C.3 Other goods, works and services</t>
        </is>
      </c>
      <c r="B271" s="381" t="n"/>
      <c r="C271" s="251" t="n"/>
      <c r="D271" s="364" t="n"/>
    </row>
    <row r="272">
      <c r="A272" s="49" t="inlineStr">
        <is>
          <t>Consumables</t>
        </is>
      </c>
      <c r="B272" s="378">
        <f>B26+B67+B108+B149+B190+B231</f>
        <v/>
      </c>
      <c r="C272" s="249">
        <f>IF(B272&gt;0,D272/B272," ")</f>
        <v/>
      </c>
      <c r="D272" s="361">
        <f>D26+D67+D108+D149+D190+D231</f>
        <v/>
      </c>
    </row>
    <row r="273">
      <c r="A273" s="49" t="inlineStr">
        <is>
          <t>Services for meetings, seminars</t>
        </is>
      </c>
      <c r="B273" s="378">
        <f>B27+B68+B109+B150+B191+B232</f>
        <v/>
      </c>
      <c r="C273" s="249">
        <f>IF(B273&gt;0,D273/B273," ")</f>
        <v/>
      </c>
      <c r="D273" s="361">
        <f>D27+D68+D109+D150+D191+D232</f>
        <v/>
      </c>
    </row>
    <row r="274">
      <c r="A274" s="49" t="inlineStr">
        <is>
          <t>Services for dissemination activities (including website)</t>
        </is>
      </c>
      <c r="B274" s="378">
        <f>B28+B69+B110+B151+B192+B233</f>
        <v/>
      </c>
      <c r="C274" s="249">
        <f>IF(B274&gt;0,D274/B274," ")</f>
        <v/>
      </c>
      <c r="D274" s="361">
        <f>D28+D69+D110+D151+D192+D233</f>
        <v/>
      </c>
    </row>
    <row r="275">
      <c r="A275" s="49" t="inlineStr">
        <is>
          <t>Publication fees</t>
        </is>
      </c>
      <c r="B275" s="378">
        <f>B29+B70+B111+B152+B193+B234</f>
        <v/>
      </c>
      <c r="C275" s="249">
        <f>IF(B275&gt;0,D275/B275," ")</f>
        <v/>
      </c>
      <c r="D275" s="361">
        <f>D29+D70+D111+D152+D193+D234</f>
        <v/>
      </c>
    </row>
    <row r="276">
      <c r="A276" s="49" t="inlineStr">
        <is>
          <t>Other (shipment, insurance, translation, etc.)</t>
        </is>
      </c>
      <c r="B276" s="378">
        <f>B30+B71+B112+B153+B194+B235</f>
        <v/>
      </c>
      <c r="C276" s="249">
        <f>IF(B276&gt;0,D276/B276," ")</f>
        <v/>
      </c>
      <c r="D276" s="361">
        <f>D30+D71+D112+D153+D194+D235</f>
        <v/>
      </c>
    </row>
    <row r="277">
      <c r="A277" s="29" t="inlineStr">
        <is>
          <t>D. OTHER COST CATEGORIES</t>
        </is>
      </c>
      <c r="B277" s="380" t="n"/>
      <c r="C277" s="250" t="n"/>
      <c r="D277" s="359" t="n"/>
    </row>
    <row r="278">
      <c r="A278" s="50" t="inlineStr">
        <is>
          <t>D.1 Financial support to third parties (if applicable in the topic specific conditions)</t>
        </is>
      </c>
      <c r="B278" s="378">
        <f>B32+B73+B114+B155+B196+B237</f>
        <v/>
      </c>
      <c r="C278" s="249">
        <f>IF(B278&gt;0,D278/B278," ")</f>
        <v/>
      </c>
      <c r="D278" s="361">
        <f>D32+D73+D114+D155+D196+D237</f>
        <v/>
      </c>
    </row>
    <row r="279">
      <c r="A279" s="50" t="inlineStr">
        <is>
          <t>D.2 Internally invoiced goods and services</t>
        </is>
      </c>
      <c r="B279" s="378">
        <f>B33+B74+B115+B156+B197+B238</f>
        <v/>
      </c>
      <c r="C279" s="249">
        <f>IF(B279&gt;0,D279/B279," ")</f>
        <v/>
      </c>
      <c r="D279" s="361">
        <f>D33+D74+D115+D156+D197+D238</f>
        <v/>
      </c>
    </row>
    <row r="280">
      <c r="A280" s="50" t="inlineStr">
        <is>
          <t>D.3 Transnational access to research infrastructure unit costs (if mentioned as eligible in the topic specific conditions)</t>
        </is>
      </c>
      <c r="B280" s="378">
        <f>B34+B75+B116+B157+B198+B239</f>
        <v/>
      </c>
      <c r="C280" s="249">
        <f>IF(B280&gt;0,D280/B280," ")</f>
        <v/>
      </c>
      <c r="D280" s="361">
        <f>D34+D75+D116+D157+D198+D239</f>
        <v/>
      </c>
    </row>
    <row r="281">
      <c r="A281" s="50" t="inlineStr">
        <is>
          <t>D.4 Virtual access to research infrastructure unit costs (if mentioned as eligible in the topic specific conditions)</t>
        </is>
      </c>
      <c r="B281" s="378">
        <f>B35+B76+B117+B158+B199+B240</f>
        <v/>
      </c>
      <c r="C281" s="249">
        <f>IF(B281&gt;0,D281/B281," ")</f>
        <v/>
      </c>
      <c r="D281" s="361">
        <f>D35+D76+D117+D158+D199+D240</f>
        <v/>
      </c>
    </row>
    <row r="282">
      <c r="A282" s="50" t="inlineStr">
        <is>
          <t>D.5 PCP/PPI procurement costs (if mentioned as eligible in the topic specific conditions)</t>
        </is>
      </c>
      <c r="B282" s="378">
        <f>B36+B77+B118+B159+B200+B241</f>
        <v/>
      </c>
      <c r="C282" s="249">
        <f>IF(B282&gt;0,D282/B282," ")</f>
        <v/>
      </c>
      <c r="D282" s="361">
        <f>D36+D77+D118+D159+D200+D241</f>
        <v/>
      </c>
    </row>
    <row r="283">
      <c r="A283" s="51" t="n"/>
      <c r="B283" s="346" t="n"/>
      <c r="C283" s="111" t="n"/>
      <c r="D283" s="365" t="n"/>
    </row>
    <row r="284">
      <c r="A284" s="52" t="inlineStr">
        <is>
          <t>TOTAL DIRECT PERSONNEL COSTS AND PURCHASE COSTS (A+C)</t>
        </is>
      </c>
      <c r="B284" s="369" t="n"/>
      <c r="C284" s="230" t="n"/>
      <c r="D284" s="382">
        <f>D38+D79+D120+D161+D202+D243</f>
        <v/>
      </c>
    </row>
    <row r="285">
      <c r="A285" s="52" t="inlineStr">
        <is>
          <t>TOTAL DIRECT COSTS  (A+B+C+D)</t>
        </is>
      </c>
      <c r="B285" s="369" t="n"/>
      <c r="C285" s="230" t="n"/>
      <c r="D285" s="382">
        <f>D39+D80+D121+D162+D203+D244</f>
        <v/>
      </c>
    </row>
    <row r="286">
      <c r="A286" s="182" t="n"/>
      <c r="B286" s="383" t="n"/>
      <c r="C286" s="192" t="n"/>
      <c r="D286" s="191" t="n"/>
    </row>
    <row r="287">
      <c r="A287" s="29" t="inlineStr">
        <is>
          <t>E. INDIRECT COSTS (25% * (A+C))</t>
        </is>
      </c>
      <c r="B287" s="369" t="n"/>
      <c r="C287" s="230" t="n"/>
      <c r="D287" s="382">
        <f>D41+D82+D123+D164+D205+D246</f>
        <v/>
      </c>
    </row>
    <row r="288">
      <c r="A288" s="182" t="n"/>
      <c r="B288" s="383" t="n"/>
      <c r="C288" s="192" t="n"/>
      <c r="D288" s="191" t="n"/>
    </row>
    <row r="289">
      <c r="A289" s="29" t="inlineStr">
        <is>
          <t>F. TOTAL COSTS (A+B+C+D+E)</t>
        </is>
      </c>
      <c r="B289" s="369" t="n"/>
      <c r="C289" s="230" t="n"/>
      <c r="D289" s="382">
        <f>D43+D84+D125+D166+D207+D248</f>
        <v/>
      </c>
    </row>
  </sheetData>
  <sheetProtection selectLockedCells="0" selectUnlockedCells="0" algorithmName="SHA-512" sheet="1" objects="1" insertRows="1" insertHyperlinks="1" autoFilter="1" scenarios="1" formatColumns="1" deleteColumns="1" insertColumns="1" pivotTables="1" deleteRows="1" formatCells="1" saltValue="wxiktrj8g2OVwiRiqj6gtA==" formatRows="1" sort="1" spinCount="100000" hashValue="YZOGnyEYng+ghbs61itjBqtYWiy+DivCWRjTjzQAwjYAQIU0A6Vgi7XK9fBBQC0rwgQtFWPhc+1iIHj4wwaiYQ=="/>
  <mergeCells count="8">
    <mergeCell ref="A5:D5"/>
    <mergeCell ref="A210:D210"/>
    <mergeCell ref="A87:D87"/>
    <mergeCell ref="B2:D2"/>
    <mergeCell ref="A251:D251"/>
    <mergeCell ref="A128:D128"/>
    <mergeCell ref="A46:D46"/>
    <mergeCell ref="A169:D169"/>
  </mergeCells>
  <hyperlinks>
    <hyperlink ref="C1" location="A289" tooltip="Go to Summary section" display="A289"/>
  </hyperlinks>
  <pageMargins left="0.7" right="0.7" top="0.75" bottom="0.75" header="0.3" footer="0.3"/>
</worksheet>
</file>

<file path=xl/worksheets/sheet13.xml><?xml version="1.0" encoding="utf-8"?>
<worksheet xmlns="http://schemas.openxmlformats.org/spreadsheetml/2006/main">
  <sheetPr>
    <tabColor rgb="FFCCFF66"/>
    <outlinePr summaryBelow="1" summaryRight="1"/>
    <pageSetUpPr/>
  </sheetPr>
  <dimension ref="A1:D289"/>
  <sheetViews>
    <sheetView zoomScale="80" zoomScaleNormal="80" workbookViewId="0">
      <pane xSplit="1" ySplit="3" topLeftCell="B582" activePane="bottomRight" state="frozenSplit"/>
      <selection pane="bottomRight" activeCell="C1" sqref="C1"/>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BE3 - BUDGET SHEET</t>
        </is>
      </c>
      <c r="B1" s="33" t="n"/>
      <c r="C1" s="242" t="inlineStr">
        <is>
          <t>View Summary</t>
        </is>
      </c>
      <c r="D1" s="34" t="n"/>
    </row>
    <row r="2" ht="18.6" customHeight="1">
      <c r="A2" s="265" t="inlineStr">
        <is>
          <t>7dc3a242-67b2-4358-905a-1652beedfa8a</t>
        </is>
      </c>
      <c r="B2" s="273" t="inlineStr">
        <is>
          <t>Clement Gmbh</t>
        </is>
      </c>
      <c r="C2" s="314" t="n"/>
      <c r="D2" s="315" t="n"/>
    </row>
    <row r="3" ht="18.6" customHeight="1">
      <c r="A3" s="131" t="inlineStr">
        <is>
          <t>COST CATEGORY</t>
        </is>
      </c>
      <c r="B3" s="107" t="inlineStr">
        <is>
          <t>ITEMS</t>
        </is>
      </c>
      <c r="C3" s="109" t="inlineStr">
        <is>
          <t>COST PER ITEM</t>
        </is>
      </c>
      <c r="D3" s="107" t="inlineStr">
        <is>
          <t>BE TOTAL COSTS</t>
        </is>
      </c>
    </row>
    <row r="4">
      <c r="A4" s="190" t="n"/>
      <c r="B4" s="185" t="n"/>
      <c r="C4" s="186" t="n"/>
      <c r="D4" s="187" t="n"/>
    </row>
    <row r="5" ht="21" customHeight="1">
      <c r="A5" s="272">
        <f>CONCATENATE("COSTS WORK PACKAGE 1:"," ","Management, IP and Innovation Management")</f>
        <v/>
      </c>
      <c r="B5" s="314" t="n"/>
      <c r="C5" s="314" t="n"/>
      <c r="D5" s="315" t="n"/>
    </row>
    <row r="6">
      <c r="A6" s="182" t="n"/>
      <c r="B6" s="191" t="n"/>
      <c r="C6" s="192" t="n"/>
      <c r="D6" s="191" t="n"/>
    </row>
    <row r="7">
      <c r="A7" s="29" t="inlineStr">
        <is>
          <t>A. DIRECT PERSONNEL COSTS</t>
        </is>
      </c>
      <c r="B7" s="30" t="n"/>
      <c r="C7" s="110" t="n"/>
      <c r="D7" s="354" t="n"/>
    </row>
    <row r="8">
      <c r="A8" s="28" t="inlineStr">
        <is>
          <t>A.1 Employees (or equivalent)</t>
        </is>
      </c>
      <c r="B8" s="89" t="n"/>
      <c r="C8" s="111" t="n"/>
      <c r="D8" s="355" t="n"/>
    </row>
    <row r="9">
      <c r="A9" s="48" t="inlineStr">
        <is>
          <t>SENIOR SCIENTISTS (or equivalent in the private sector)</t>
        </is>
      </c>
      <c r="B9" s="357" t="n">
        <v>1</v>
      </c>
      <c r="C9" s="248" t="n">
        <v>4000</v>
      </c>
      <c r="D9" s="232">
        <f>B9*C9</f>
        <v/>
      </c>
    </row>
    <row r="10">
      <c r="A10" s="48" t="inlineStr">
        <is>
          <t>JUNIOR SCIENTISTS (or equivalent in the private sector)</t>
        </is>
      </c>
      <c r="B10" s="357" t="n"/>
      <c r="C10" s="248" t="n">
        <v>3500</v>
      </c>
      <c r="D10" s="232">
        <f>B10*C10</f>
        <v/>
      </c>
    </row>
    <row r="11">
      <c r="A11" s="48" t="inlineStr">
        <is>
          <t>TECHNICAL PERSONNEL (or equivalent in the private sector)</t>
        </is>
      </c>
      <c r="B11" s="357" t="n"/>
      <c r="C11" s="248" t="n">
        <v>3500</v>
      </c>
      <c r="D11" s="232">
        <f>B11*C11</f>
        <v/>
      </c>
    </row>
    <row r="12">
      <c r="A12" s="48" t="inlineStr">
        <is>
          <t>ADMINISTRATIVE PERSONNEL (or equivalent in the private sector)</t>
        </is>
      </c>
      <c r="B12" s="357" t="n">
        <v>2</v>
      </c>
      <c r="C12" s="248" t="n">
        <v>3000</v>
      </c>
      <c r="D12" s="232">
        <f>B12*C12</f>
        <v/>
      </c>
    </row>
    <row r="13">
      <c r="A13" s="48" t="inlineStr">
        <is>
          <t>OTHERS</t>
        </is>
      </c>
      <c r="B13" s="357" t="n"/>
      <c r="C13" s="248" t="n"/>
      <c r="D13" s="232">
        <f>B13*C13</f>
        <v/>
      </c>
    </row>
    <row r="14">
      <c r="A14" s="28" t="inlineStr">
        <is>
          <t>A.2 Natural Persons under direct contract</t>
        </is>
      </c>
      <c r="B14" s="357" t="n"/>
      <c r="C14" s="248" t="n"/>
      <c r="D14" s="232">
        <f>B14*C14</f>
        <v/>
      </c>
    </row>
    <row r="15">
      <c r="A15" s="28" t="inlineStr">
        <is>
          <t>A.3 Seconded Persons</t>
        </is>
      </c>
      <c r="B15" s="357" t="n"/>
      <c r="C15" s="248" t="n"/>
      <c r="D15" s="232">
        <f>B15*C15</f>
        <v/>
      </c>
    </row>
    <row r="16">
      <c r="A16" s="28" t="inlineStr">
        <is>
          <t>A.4 SME owners and natural person beneficiaries</t>
        </is>
      </c>
      <c r="B16" s="357" t="n"/>
      <c r="C16" s="256" t="n">
        <v>8850.344799999999</v>
      </c>
      <c r="D16" s="232">
        <f>B16*C16</f>
        <v/>
      </c>
    </row>
    <row r="17">
      <c r="A17" s="29" t="inlineStr">
        <is>
          <t>B. DIRECT SUBCONTRACTING COSTS</t>
        </is>
      </c>
      <c r="B17" s="358" t="n"/>
      <c r="C17" s="110" t="n"/>
      <c r="D17" s="359" t="n"/>
    </row>
    <row r="18">
      <c r="A18" s="53" t="n"/>
      <c r="B18" s="357" t="n"/>
      <c r="C18" s="248" t="n"/>
      <c r="D18" s="361">
        <f>B18*C18</f>
        <v/>
      </c>
    </row>
    <row r="19">
      <c r="A19" s="29" t="inlineStr">
        <is>
          <t>C. DIRECT PURCHASE COSTS</t>
        </is>
      </c>
      <c r="B19" s="358" t="n"/>
      <c r="C19" s="110" t="n"/>
      <c r="D19" s="359" t="n"/>
    </row>
    <row r="20">
      <c r="A20" s="28" t="inlineStr">
        <is>
          <t>C.1 Travel and subsistence</t>
        </is>
      </c>
      <c r="B20" s="357" t="n">
        <v>6</v>
      </c>
      <c r="C20" s="248" t="n">
        <v>1500</v>
      </c>
      <c r="D20" s="361">
        <f>B20*C20</f>
        <v/>
      </c>
    </row>
    <row r="21">
      <c r="A21" s="28" t="inlineStr">
        <is>
          <t>C.2 Equipment (complete 'Depreciation costs' sheet)</t>
        </is>
      </c>
      <c r="B21" s="346" t="n"/>
      <c r="C21" s="111" t="n"/>
      <c r="D21" s="364" t="n"/>
    </row>
    <row r="22">
      <c r="A22" s="49" t="inlineStr">
        <is>
          <t>Equipment</t>
        </is>
      </c>
      <c r="B22" s="357" t="n"/>
      <c r="C22" s="248" t="n"/>
      <c r="D22" s="361">
        <f>B22*C22</f>
        <v/>
      </c>
    </row>
    <row r="23">
      <c r="A23" s="49" t="inlineStr">
        <is>
          <t>Infrastructure</t>
        </is>
      </c>
      <c r="B23" s="357" t="n"/>
      <c r="C23" s="248" t="n"/>
      <c r="D23" s="361">
        <f>B23*C23</f>
        <v/>
      </c>
    </row>
    <row r="24">
      <c r="A24" s="49" t="inlineStr">
        <is>
          <t>Other assets</t>
        </is>
      </c>
      <c r="B24" s="357" t="n"/>
      <c r="C24" s="248" t="n"/>
      <c r="D24" s="361">
        <f>B24*C24</f>
        <v/>
      </c>
    </row>
    <row r="25">
      <c r="A25" s="28" t="inlineStr">
        <is>
          <t>C.3 Other goods, works and services</t>
        </is>
      </c>
      <c r="B25" s="346" t="n"/>
      <c r="C25" s="111" t="n"/>
      <c r="D25" s="364" t="n"/>
    </row>
    <row r="26">
      <c r="A26" s="49" t="inlineStr">
        <is>
          <t>Consumables</t>
        </is>
      </c>
      <c r="B26" s="357" t="n"/>
      <c r="C26" s="248" t="n"/>
      <c r="D26" s="361">
        <f>B26*C26</f>
        <v/>
      </c>
    </row>
    <row r="27">
      <c r="A27" s="49" t="inlineStr">
        <is>
          <t>Services for meetings, seminars</t>
        </is>
      </c>
      <c r="B27" s="357" t="n"/>
      <c r="C27" s="248" t="n"/>
      <c r="D27" s="361">
        <f>B27*C27</f>
        <v/>
      </c>
    </row>
    <row r="28">
      <c r="A28" s="49" t="inlineStr">
        <is>
          <t>Services for dissemination activities (including website)</t>
        </is>
      </c>
      <c r="B28" s="357" t="n"/>
      <c r="C28" s="248" t="n"/>
      <c r="D28" s="361">
        <f>B28*C28</f>
        <v/>
      </c>
    </row>
    <row r="29">
      <c r="A29" s="49" t="inlineStr">
        <is>
          <t>Publication fees</t>
        </is>
      </c>
      <c r="B29" s="357" t="n"/>
      <c r="C29" s="248" t="n"/>
      <c r="D29" s="361">
        <f>B29*C29</f>
        <v/>
      </c>
    </row>
    <row r="30">
      <c r="A30" s="49" t="inlineStr">
        <is>
          <t>Other (shipment, insurance, translation, etc.)</t>
        </is>
      </c>
      <c r="B30" s="357" t="n"/>
      <c r="C30" s="248" t="n"/>
      <c r="D30" s="361">
        <f>B30*C30</f>
        <v/>
      </c>
    </row>
    <row r="31">
      <c r="A31" s="29" t="inlineStr">
        <is>
          <t>D. OTHER COST CATEGORIES</t>
        </is>
      </c>
      <c r="B31" s="358" t="n"/>
      <c r="C31" s="110" t="n"/>
      <c r="D31" s="359" t="n"/>
    </row>
    <row r="32">
      <c r="A32" s="50" t="inlineStr">
        <is>
          <t>D.1 Financial support to third parties (if applicable in the topic specific conditions)</t>
        </is>
      </c>
      <c r="B32" s="357" t="n"/>
      <c r="C32" s="248" t="n"/>
      <c r="D32" s="361">
        <f>B32*C32</f>
        <v/>
      </c>
    </row>
    <row r="33">
      <c r="A33" s="50" t="inlineStr">
        <is>
          <t>D.2 Internally invoiced goods and services</t>
        </is>
      </c>
      <c r="B33" s="357" t="n"/>
      <c r="C33" s="248" t="n"/>
      <c r="D33" s="361">
        <f>B33*C33</f>
        <v/>
      </c>
    </row>
    <row r="34">
      <c r="A34" s="50" t="inlineStr">
        <is>
          <t>D.3 Transnational access to research infrastructure unit costs (if mentioned as eligible in the topic specific conditions)</t>
        </is>
      </c>
      <c r="B34" s="357" t="n"/>
      <c r="C34" s="248" t="n"/>
      <c r="D34" s="361">
        <f>B34*C34</f>
        <v/>
      </c>
    </row>
    <row r="35">
      <c r="A35" s="50" t="inlineStr">
        <is>
          <t>D.4 Virtual access to research infrastructure unit costs (if mentioned as eligible in the topic specific conditions)</t>
        </is>
      </c>
      <c r="B35" s="357" t="n"/>
      <c r="C35" s="248" t="n"/>
      <c r="D35" s="361">
        <f>B35*C35</f>
        <v/>
      </c>
    </row>
    <row r="36">
      <c r="A36" s="50" t="inlineStr">
        <is>
          <t>D.5 PCP/PPI procurement costs (if mentioned as eligible in the topic specific conditions)</t>
        </is>
      </c>
      <c r="B36" s="357" t="n"/>
      <c r="C36" s="248" t="n"/>
      <c r="D36" s="361">
        <f>B36*C36</f>
        <v/>
      </c>
    </row>
    <row r="37">
      <c r="A37" s="50" t="n"/>
      <c r="B37" s="346" t="n"/>
      <c r="C37" s="111" t="n"/>
      <c r="D37" s="365" t="n"/>
    </row>
    <row r="38">
      <c r="A38" s="52" t="inlineStr">
        <is>
          <t>TOTAL DIRECT PERSONNEL COSTS AND PURCHASE COSTS (A+C)</t>
        </is>
      </c>
      <c r="B38" s="369" t="n"/>
      <c r="C38" s="230" t="n"/>
      <c r="D38" s="360">
        <f>SUM(D9:D16,D20:D30)</f>
        <v/>
      </c>
    </row>
    <row r="39">
      <c r="A39" s="52" t="inlineStr">
        <is>
          <t>TOTAL DIRECT COSTS  (A+B+C+D)</t>
        </is>
      </c>
      <c r="B39" s="369" t="n"/>
      <c r="C39" s="230" t="n"/>
      <c r="D39" s="360">
        <f>SUM(D9:D36)</f>
        <v/>
      </c>
    </row>
    <row r="40">
      <c r="A40" s="180" t="n"/>
      <c r="B40" s="372" t="n"/>
      <c r="C40" s="176" t="n"/>
      <c r="D40" s="373" t="n"/>
    </row>
    <row r="41">
      <c r="A41" s="29" t="inlineStr">
        <is>
          <t>E. INDIRECT COSTS (25% * (A+C))</t>
        </is>
      </c>
      <c r="B41" s="358" t="n"/>
      <c r="C41" s="110" t="n"/>
      <c r="D41" s="360">
        <f>D38*0.25</f>
        <v/>
      </c>
    </row>
    <row r="42">
      <c r="A42" s="32" t="n"/>
      <c r="B42" s="372" t="n"/>
      <c r="C42" s="176" t="n"/>
      <c r="D42" s="377" t="n"/>
    </row>
    <row r="43">
      <c r="A43" s="29" t="inlineStr">
        <is>
          <t>F. TOTAL COSTS (A+B+C+D+E)</t>
        </is>
      </c>
      <c r="B43" s="369" t="n"/>
      <c r="C43" s="230" t="n"/>
      <c r="D43" s="360">
        <f>D39+D41</f>
        <v/>
      </c>
    </row>
    <row r="45">
      <c r="A45" s="190" t="n"/>
      <c r="B45" s="185" t="n"/>
      <c r="C45" s="186" t="n"/>
      <c r="D45" s="187" t="n"/>
    </row>
    <row r="46" ht="21" customHeight="1">
      <c r="A46" s="272">
        <f>CONCATENATE("COSTS WORK PACKAGE 2:"," ","Site Characterisation and Demonstrator Engineering")</f>
        <v/>
      </c>
      <c r="B46" s="314" t="n"/>
      <c r="C46" s="314" t="n"/>
      <c r="D46" s="315" t="n"/>
    </row>
    <row r="47">
      <c r="A47" s="182" t="n"/>
      <c r="B47" s="191" t="n"/>
      <c r="C47" s="192" t="n"/>
      <c r="D47" s="191" t="n"/>
    </row>
    <row r="48">
      <c r="A48" s="29" t="inlineStr">
        <is>
          <t>A. DIRECT PERSONNEL COSTS</t>
        </is>
      </c>
      <c r="B48" s="30" t="n"/>
      <c r="C48" s="110" t="n"/>
      <c r="D48" s="354" t="n"/>
    </row>
    <row r="49">
      <c r="A49" s="28" t="inlineStr">
        <is>
          <t>A.1 Employees (or equivalent)</t>
        </is>
      </c>
      <c r="B49" s="89" t="n"/>
      <c r="C49" s="111" t="n"/>
      <c r="D49" s="355" t="n"/>
    </row>
    <row r="50">
      <c r="A50" s="48" t="inlineStr">
        <is>
          <t>SENIOR SCIENTISTS (or equivalent in the private sector)</t>
        </is>
      </c>
      <c r="B50" s="357" t="n">
        <v>9.5</v>
      </c>
      <c r="C50" s="248" t="n">
        <v>4000</v>
      </c>
      <c r="D50" s="232">
        <f>B50*C50</f>
        <v/>
      </c>
    </row>
    <row r="51">
      <c r="A51" s="48" t="inlineStr">
        <is>
          <t>JUNIOR SCIENTISTS (or equivalent in the private sector)</t>
        </is>
      </c>
      <c r="B51" s="357" t="n">
        <v>1</v>
      </c>
      <c r="C51" s="248" t="n">
        <v>3500</v>
      </c>
      <c r="D51" s="232">
        <f>B51*C51</f>
        <v/>
      </c>
    </row>
    <row r="52">
      <c r="A52" s="48" t="inlineStr">
        <is>
          <t>TECHNICAL PERSONNEL (or equivalent in the private sector)</t>
        </is>
      </c>
      <c r="B52" s="357" t="n"/>
      <c r="C52" s="248" t="n">
        <v>3500</v>
      </c>
      <c r="D52" s="232">
        <f>B52*C52</f>
        <v/>
      </c>
    </row>
    <row r="53">
      <c r="A53" s="48" t="inlineStr">
        <is>
          <t>ADMINISTRATIVE PERSONNEL (or equivalent in the private sector)</t>
        </is>
      </c>
      <c r="B53" s="357" t="n">
        <v>0</v>
      </c>
      <c r="C53" s="248" t="n">
        <v>3000</v>
      </c>
      <c r="D53" s="232">
        <f>B53*C53</f>
        <v/>
      </c>
    </row>
    <row r="54">
      <c r="A54" s="48" t="inlineStr">
        <is>
          <t>OTHERS</t>
        </is>
      </c>
      <c r="B54" s="357" t="n"/>
      <c r="C54" s="248" t="n"/>
      <c r="D54" s="232">
        <f>B54*C54</f>
        <v/>
      </c>
    </row>
    <row r="55">
      <c r="A55" s="28" t="inlineStr">
        <is>
          <t>A.2 Natural Persons under direct contract</t>
        </is>
      </c>
      <c r="B55" s="357" t="n"/>
      <c r="C55" s="248" t="n"/>
      <c r="D55" s="232">
        <f>B55*C55</f>
        <v/>
      </c>
    </row>
    <row r="56">
      <c r="A56" s="28" t="inlineStr">
        <is>
          <t>A.3 Seconded Persons</t>
        </is>
      </c>
      <c r="B56" s="357" t="n"/>
      <c r="C56" s="248" t="n"/>
      <c r="D56" s="232">
        <f>B56*C56</f>
        <v/>
      </c>
    </row>
    <row r="57">
      <c r="A57" s="28" t="inlineStr">
        <is>
          <t>A.4 SME owners and natural person beneficiaries</t>
        </is>
      </c>
      <c r="B57" s="357" t="n"/>
      <c r="C57" s="256" t="n">
        <v>8850.344799999999</v>
      </c>
      <c r="D57" s="232">
        <f>B57*C57</f>
        <v/>
      </c>
    </row>
    <row r="58">
      <c r="A58" s="29" t="inlineStr">
        <is>
          <t>B. DIRECT SUBCONTRACTING COSTS</t>
        </is>
      </c>
      <c r="B58" s="358" t="n"/>
      <c r="C58" s="110" t="n"/>
      <c r="D58" s="359" t="n"/>
    </row>
    <row r="59">
      <c r="A59" s="53" t="n"/>
      <c r="B59" s="357" t="n"/>
      <c r="C59" s="248" t="n"/>
      <c r="D59" s="361">
        <f>B59*C59</f>
        <v/>
      </c>
    </row>
    <row r="60">
      <c r="A60" s="29" t="inlineStr">
        <is>
          <t>C. DIRECT PURCHASE COSTS</t>
        </is>
      </c>
      <c r="B60" s="358" t="n"/>
      <c r="C60" s="110" t="n"/>
      <c r="D60" s="359" t="n"/>
    </row>
    <row r="61">
      <c r="A61" s="28" t="inlineStr">
        <is>
          <t>C.1 Travel and subsistence</t>
        </is>
      </c>
      <c r="B61" s="357" t="n">
        <v>2</v>
      </c>
      <c r="C61" s="248" t="n">
        <v>1150</v>
      </c>
      <c r="D61" s="361">
        <f>B61*C61</f>
        <v/>
      </c>
    </row>
    <row r="62">
      <c r="A62" s="28" t="inlineStr">
        <is>
          <t>C.2 Equipment (complete 'Depreciation costs' sheet)</t>
        </is>
      </c>
      <c r="B62" s="346" t="n"/>
      <c r="C62" s="111" t="n"/>
      <c r="D62" s="364" t="n"/>
    </row>
    <row r="63">
      <c r="A63" s="49" t="inlineStr">
        <is>
          <t>Equipment</t>
        </is>
      </c>
      <c r="B63" s="357" t="n"/>
      <c r="C63" s="248" t="n"/>
      <c r="D63" s="361">
        <f>B63*C63</f>
        <v/>
      </c>
    </row>
    <row r="64">
      <c r="A64" s="49" t="inlineStr">
        <is>
          <t>Infrastructure</t>
        </is>
      </c>
      <c r="B64" s="357" t="n"/>
      <c r="C64" s="248" t="n"/>
      <c r="D64" s="361">
        <f>B64*C64</f>
        <v/>
      </c>
    </row>
    <row r="65">
      <c r="A65" s="49" t="inlineStr">
        <is>
          <t>Other assets</t>
        </is>
      </c>
      <c r="B65" s="357" t="n"/>
      <c r="C65" s="248" t="n"/>
      <c r="D65" s="361">
        <f>B65*C65</f>
        <v/>
      </c>
    </row>
    <row r="66">
      <c r="A66" s="28" t="inlineStr">
        <is>
          <t>C.3 Other goods, works and services</t>
        </is>
      </c>
      <c r="B66" s="346" t="n"/>
      <c r="C66" s="111" t="n"/>
      <c r="D66" s="364" t="n"/>
    </row>
    <row r="67">
      <c r="A67" s="49" t="inlineStr">
        <is>
          <t>Consumables</t>
        </is>
      </c>
      <c r="B67" s="357" t="n"/>
      <c r="C67" s="248" t="n"/>
      <c r="D67" s="361">
        <f>B67*C67</f>
        <v/>
      </c>
    </row>
    <row r="68">
      <c r="A68" s="49" t="inlineStr">
        <is>
          <t>Services for meetings, seminars</t>
        </is>
      </c>
      <c r="B68" s="357" t="n"/>
      <c r="C68" s="248" t="n"/>
      <c r="D68" s="361">
        <f>B68*C68</f>
        <v/>
      </c>
    </row>
    <row r="69">
      <c r="A69" s="49" t="inlineStr">
        <is>
          <t>Services for dissemination activities (including website)</t>
        </is>
      </c>
      <c r="B69" s="357" t="n"/>
      <c r="C69" s="248" t="n"/>
      <c r="D69" s="361">
        <f>B69*C69</f>
        <v/>
      </c>
    </row>
    <row r="70">
      <c r="A70" s="49" t="inlineStr">
        <is>
          <t>Publication fees</t>
        </is>
      </c>
      <c r="B70" s="357" t="n"/>
      <c r="C70" s="248" t="n"/>
      <c r="D70" s="361">
        <f>B70*C70</f>
        <v/>
      </c>
    </row>
    <row r="71">
      <c r="A71" s="49" t="inlineStr">
        <is>
          <t>Other (shipment, insurance, translation, etc.)</t>
        </is>
      </c>
      <c r="B71" s="357" t="n"/>
      <c r="C71" s="248" t="n"/>
      <c r="D71" s="361">
        <f>B71*C71</f>
        <v/>
      </c>
    </row>
    <row r="72">
      <c r="A72" s="29" t="inlineStr">
        <is>
          <t>D. OTHER COST CATEGORIES</t>
        </is>
      </c>
      <c r="B72" s="358" t="n"/>
      <c r="C72" s="110" t="n"/>
      <c r="D72" s="359" t="n"/>
    </row>
    <row r="73">
      <c r="A73" s="50" t="inlineStr">
        <is>
          <t>D.1 Financial support to third parties (if applicable in the topic specific conditions)</t>
        </is>
      </c>
      <c r="B73" s="357" t="n"/>
      <c r="C73" s="248" t="n"/>
      <c r="D73" s="361">
        <f>B73*C73</f>
        <v/>
      </c>
    </row>
    <row r="74">
      <c r="A74" s="50" t="inlineStr">
        <is>
          <t>D.2 Internally invoiced goods and services</t>
        </is>
      </c>
      <c r="B74" s="357" t="n"/>
      <c r="C74" s="248" t="n"/>
      <c r="D74" s="361">
        <f>B74*C74</f>
        <v/>
      </c>
    </row>
    <row r="75">
      <c r="A75" s="50" t="inlineStr">
        <is>
          <t>D.3 Transnational access to research infrastructure unit costs (if mentioned as eligible in the topic specific conditions)</t>
        </is>
      </c>
      <c r="B75" s="357" t="n"/>
      <c r="C75" s="248" t="n"/>
      <c r="D75" s="361">
        <f>B75*C75</f>
        <v/>
      </c>
    </row>
    <row r="76">
      <c r="A76" s="50" t="inlineStr">
        <is>
          <t>D.4 Virtual access to research infrastructure unit costs (if mentioned as eligible in the topic specific conditions)</t>
        </is>
      </c>
      <c r="B76" s="357" t="n"/>
      <c r="C76" s="248" t="n"/>
      <c r="D76" s="361">
        <f>B76*C76</f>
        <v/>
      </c>
    </row>
    <row r="77">
      <c r="A77" s="50" t="inlineStr">
        <is>
          <t>D.5 PCP/PPI procurement costs (if mentioned as eligible in the topic specific conditions)</t>
        </is>
      </c>
      <c r="B77" s="357" t="n"/>
      <c r="C77" s="248" t="n"/>
      <c r="D77" s="361">
        <f>B77*C77</f>
        <v/>
      </c>
    </row>
    <row r="78">
      <c r="A78" s="50" t="n"/>
      <c r="B78" s="346" t="n"/>
      <c r="C78" s="111" t="n"/>
      <c r="D78" s="365" t="n"/>
    </row>
    <row r="79">
      <c r="A79" s="52" t="inlineStr">
        <is>
          <t>TOTAL DIRECT PERSONNEL COSTS AND PURCHASE COSTS (A+C)</t>
        </is>
      </c>
      <c r="B79" s="369" t="n"/>
      <c r="C79" s="230" t="n"/>
      <c r="D79" s="360">
        <f>SUM(D50:D57,D61:D71)</f>
        <v/>
      </c>
    </row>
    <row r="80">
      <c r="A80" s="52" t="inlineStr">
        <is>
          <t>TOTAL DIRECT COSTS  (A+B+C+D)</t>
        </is>
      </c>
      <c r="B80" s="369" t="n"/>
      <c r="C80" s="230" t="n"/>
      <c r="D80" s="360">
        <f>SUM(D50:D77)</f>
        <v/>
      </c>
    </row>
    <row r="81">
      <c r="A81" s="180" t="n"/>
      <c r="B81" s="372" t="n"/>
      <c r="C81" s="176" t="n"/>
      <c r="D81" s="373" t="n"/>
    </row>
    <row r="82">
      <c r="A82" s="29" t="inlineStr">
        <is>
          <t>E. INDIRECT COSTS (25% * (A+C))</t>
        </is>
      </c>
      <c r="B82" s="358" t="n"/>
      <c r="C82" s="110" t="n"/>
      <c r="D82" s="360">
        <f>D79*0.25</f>
        <v/>
      </c>
    </row>
    <row r="83">
      <c r="A83" s="32" t="n"/>
      <c r="B83" s="372" t="n"/>
      <c r="C83" s="176" t="n"/>
      <c r="D83" s="377" t="n"/>
    </row>
    <row r="84">
      <c r="A84" s="29" t="inlineStr">
        <is>
          <t>F. TOTAL COSTS (A+B+C+D+E)</t>
        </is>
      </c>
      <c r="B84" s="369" t="n"/>
      <c r="C84" s="230" t="n"/>
      <c r="D84" s="360">
        <f>D80+D82</f>
        <v/>
      </c>
    </row>
    <row r="86">
      <c r="A86" s="190" t="n"/>
      <c r="B86" s="185" t="n"/>
      <c r="C86" s="186" t="n"/>
      <c r="D86" s="187" t="n"/>
    </row>
    <row r="87" ht="21" customHeight="1">
      <c r="A87" s="272">
        <f>CONCATENATE("COSTS WORK PACKAGE 3:"," ","Design Verification and Model Validation")</f>
        <v/>
      </c>
      <c r="B87" s="314" t="n"/>
      <c r="C87" s="314" t="n"/>
      <c r="D87" s="315" t="n"/>
    </row>
    <row r="88">
      <c r="A88" s="182" t="n"/>
      <c r="B88" s="191" t="n"/>
      <c r="C88" s="192" t="n"/>
      <c r="D88" s="191" t="n"/>
    </row>
    <row r="89">
      <c r="A89" s="29" t="inlineStr">
        <is>
          <t>A. DIRECT PERSONNEL COSTS</t>
        </is>
      </c>
      <c r="B89" s="30" t="n"/>
      <c r="C89" s="110" t="n"/>
      <c r="D89" s="354" t="n"/>
    </row>
    <row r="90">
      <c r="A90" s="28" t="inlineStr">
        <is>
          <t>A.1 Employees (or equivalent)</t>
        </is>
      </c>
      <c r="B90" s="89" t="n"/>
      <c r="C90" s="111" t="n"/>
      <c r="D90" s="355" t="n"/>
    </row>
    <row r="91">
      <c r="A91" s="48" t="inlineStr">
        <is>
          <t>SENIOR SCIENTISTS (or equivalent in the private sector)</t>
        </is>
      </c>
      <c r="B91" s="357" t="n">
        <v>16.5</v>
      </c>
      <c r="C91" s="248" t="n">
        <v>4000</v>
      </c>
      <c r="D91" s="232">
        <f>B91*C91</f>
        <v/>
      </c>
    </row>
    <row r="92">
      <c r="A92" s="48" t="inlineStr">
        <is>
          <t>JUNIOR SCIENTISTS (or equivalent in the private sector)</t>
        </is>
      </c>
      <c r="B92" s="357" t="n">
        <v>8</v>
      </c>
      <c r="C92" s="248" t="n">
        <v>3500</v>
      </c>
      <c r="D92" s="232">
        <f>B92*C92</f>
        <v/>
      </c>
    </row>
    <row r="93">
      <c r="A93" s="48" t="inlineStr">
        <is>
          <t>TECHNICAL PERSONNEL (or equivalent in the private sector)</t>
        </is>
      </c>
      <c r="B93" s="357" t="n"/>
      <c r="C93" s="248" t="n">
        <v>3500</v>
      </c>
      <c r="D93" s="232">
        <f>B93*C93</f>
        <v/>
      </c>
    </row>
    <row r="94">
      <c r="A94" s="48" t="inlineStr">
        <is>
          <t>ADMINISTRATIVE PERSONNEL (or equivalent in the private sector)</t>
        </is>
      </c>
      <c r="B94" s="357" t="n"/>
      <c r="C94" s="248" t="n">
        <v>3000</v>
      </c>
      <c r="D94" s="232">
        <f>B94*C94</f>
        <v/>
      </c>
    </row>
    <row r="95">
      <c r="A95" s="48" t="inlineStr">
        <is>
          <t>OTHERS</t>
        </is>
      </c>
      <c r="B95" s="357" t="n"/>
      <c r="C95" s="248" t="n"/>
      <c r="D95" s="232">
        <f>B95*C95</f>
        <v/>
      </c>
    </row>
    <row r="96">
      <c r="A96" s="28" t="inlineStr">
        <is>
          <t>A.2 Natural Persons under direct contract</t>
        </is>
      </c>
      <c r="B96" s="357" t="n"/>
      <c r="C96" s="248" t="n"/>
      <c r="D96" s="232">
        <f>B96*C96</f>
        <v/>
      </c>
    </row>
    <row r="97">
      <c r="A97" s="28" t="inlineStr">
        <is>
          <t>A.3 Seconded Persons</t>
        </is>
      </c>
      <c r="B97" s="357" t="n"/>
      <c r="C97" s="248" t="n"/>
      <c r="D97" s="232">
        <f>B97*C97</f>
        <v/>
      </c>
    </row>
    <row r="98">
      <c r="A98" s="28" t="inlineStr">
        <is>
          <t>A.4 SME owners and natural person beneficiaries</t>
        </is>
      </c>
      <c r="B98" s="357" t="n"/>
      <c r="C98" s="256" t="n">
        <v>8850.344799999999</v>
      </c>
      <c r="D98" s="232">
        <f>B98*C98</f>
        <v/>
      </c>
    </row>
    <row r="99">
      <c r="A99" s="29" t="inlineStr">
        <is>
          <t>B. DIRECT SUBCONTRACTING COSTS</t>
        </is>
      </c>
      <c r="B99" s="358" t="n"/>
      <c r="C99" s="110" t="n"/>
      <c r="D99" s="359" t="n"/>
    </row>
    <row r="100">
      <c r="A100" s="53" t="n"/>
      <c r="B100" s="357" t="n"/>
      <c r="C100" s="248" t="n"/>
      <c r="D100" s="361">
        <f>B100*C100</f>
        <v/>
      </c>
    </row>
    <row r="101">
      <c r="A101" s="29" t="inlineStr">
        <is>
          <t>C. DIRECT PURCHASE COSTS</t>
        </is>
      </c>
      <c r="B101" s="358" t="n"/>
      <c r="C101" s="110" t="n"/>
      <c r="D101" s="359" t="n"/>
    </row>
    <row r="102">
      <c r="A102" s="28" t="inlineStr">
        <is>
          <t>C.1 Travel and subsistence</t>
        </is>
      </c>
      <c r="B102" s="357" t="n"/>
      <c r="C102" s="248" t="n"/>
      <c r="D102" s="361">
        <f>B102*C102</f>
        <v/>
      </c>
    </row>
    <row r="103">
      <c r="A103" s="28" t="inlineStr">
        <is>
          <t>C.2 Equipment (complete 'Depreciation costs' sheet)</t>
        </is>
      </c>
      <c r="B103" s="346" t="n"/>
      <c r="C103" s="111" t="n"/>
      <c r="D103" s="364" t="n"/>
    </row>
    <row r="104">
      <c r="A104" s="49" t="inlineStr">
        <is>
          <t>Equipment</t>
        </is>
      </c>
      <c r="B104" s="357" t="n">
        <v>10</v>
      </c>
      <c r="C104" s="248" t="n">
        <v>4000</v>
      </c>
      <c r="D104" s="361">
        <f>B104*C104</f>
        <v/>
      </c>
    </row>
    <row r="105">
      <c r="A105" s="49" t="inlineStr">
        <is>
          <t>Infrastructure</t>
        </is>
      </c>
      <c r="B105" s="357" t="n"/>
      <c r="C105" s="248" t="n"/>
      <c r="D105" s="361">
        <f>B105*C105</f>
        <v/>
      </c>
    </row>
    <row r="106">
      <c r="A106" s="49" t="inlineStr">
        <is>
          <t>Other assets</t>
        </is>
      </c>
      <c r="B106" s="357" t="n"/>
      <c r="C106" s="248" t="n"/>
      <c r="D106" s="361">
        <f>B106*C106</f>
        <v/>
      </c>
    </row>
    <row r="107">
      <c r="A107" s="28" t="inlineStr">
        <is>
          <t>C.3 Other goods, works and services</t>
        </is>
      </c>
      <c r="B107" s="346" t="n"/>
      <c r="C107" s="111" t="n"/>
      <c r="D107" s="364" t="n"/>
    </row>
    <row r="108">
      <c r="A108" s="49" t="inlineStr">
        <is>
          <t>Consumables</t>
        </is>
      </c>
      <c r="B108" s="357" t="n">
        <v>0</v>
      </c>
      <c r="C108" s="248" t="n">
        <v>40000</v>
      </c>
      <c r="D108" s="361">
        <f>B108*C108</f>
        <v/>
      </c>
    </row>
    <row r="109">
      <c r="A109" s="49" t="inlineStr">
        <is>
          <t>Services for meetings, seminars</t>
        </is>
      </c>
      <c r="B109" s="357" t="n"/>
      <c r="C109" s="248" t="n"/>
      <c r="D109" s="361">
        <f>B109*C109</f>
        <v/>
      </c>
    </row>
    <row r="110">
      <c r="A110" s="49" t="inlineStr">
        <is>
          <t>Services for dissemination activities (including website)</t>
        </is>
      </c>
      <c r="B110" s="357" t="n"/>
      <c r="C110" s="248" t="n"/>
      <c r="D110" s="361">
        <f>B110*C110</f>
        <v/>
      </c>
    </row>
    <row r="111">
      <c r="A111" s="49" t="inlineStr">
        <is>
          <t>Publication fees</t>
        </is>
      </c>
      <c r="B111" s="357" t="n"/>
      <c r="C111" s="248" t="n"/>
      <c r="D111" s="361">
        <f>B111*C111</f>
        <v/>
      </c>
    </row>
    <row r="112">
      <c r="A112" s="49" t="inlineStr">
        <is>
          <t>Other (shipment, insurance, translation, etc.)</t>
        </is>
      </c>
      <c r="B112" s="357" t="n"/>
      <c r="C112" s="248" t="n"/>
      <c r="D112" s="361">
        <f>B112*C112</f>
        <v/>
      </c>
    </row>
    <row r="113">
      <c r="A113" s="29" t="inlineStr">
        <is>
          <t>D. OTHER COST CATEGORIES</t>
        </is>
      </c>
      <c r="B113" s="358" t="n"/>
      <c r="C113" s="110" t="n"/>
      <c r="D113" s="359" t="n"/>
    </row>
    <row r="114">
      <c r="A114" s="50" t="inlineStr">
        <is>
          <t>D.1 Financial support to third parties (if applicable in the topic specific conditions)</t>
        </is>
      </c>
      <c r="B114" s="357" t="n"/>
      <c r="C114" s="248" t="n"/>
      <c r="D114" s="361">
        <f>B114*C114</f>
        <v/>
      </c>
    </row>
    <row r="115">
      <c r="A115" s="50" t="inlineStr">
        <is>
          <t>D.2 Internally invoiced goods and services</t>
        </is>
      </c>
      <c r="B115" s="357" t="n"/>
      <c r="C115" s="248" t="n"/>
      <c r="D115" s="361">
        <f>B115*C115</f>
        <v/>
      </c>
    </row>
    <row r="116">
      <c r="A116" s="50" t="inlineStr">
        <is>
          <t>D.3 Transnational access to research infrastructure unit costs (if mentioned as eligible in the topic specific conditions)</t>
        </is>
      </c>
      <c r="B116" s="357" t="n"/>
      <c r="C116" s="248" t="n"/>
      <c r="D116" s="361">
        <f>B116*C116</f>
        <v/>
      </c>
    </row>
    <row r="117">
      <c r="A117" s="50" t="inlineStr">
        <is>
          <t>D.4 Virtual access to research infrastructure unit costs (if mentioned as eligible in the topic specific conditions)</t>
        </is>
      </c>
      <c r="B117" s="357" t="n"/>
      <c r="C117" s="248" t="n"/>
      <c r="D117" s="361">
        <f>B117*C117</f>
        <v/>
      </c>
    </row>
    <row r="118">
      <c r="A118" s="50" t="inlineStr">
        <is>
          <t>D.5 PCP/PPI procurement costs (if mentioned as eligible in the topic specific conditions)</t>
        </is>
      </c>
      <c r="B118" s="357" t="n"/>
      <c r="C118" s="248" t="n"/>
      <c r="D118" s="361">
        <f>B118*C118</f>
        <v/>
      </c>
    </row>
    <row r="119">
      <c r="A119" s="50" t="n"/>
      <c r="B119" s="346" t="n"/>
      <c r="C119" s="111" t="n"/>
      <c r="D119" s="365" t="n"/>
    </row>
    <row r="120">
      <c r="A120" s="52" t="inlineStr">
        <is>
          <t>TOTAL DIRECT PERSONNEL COSTS AND PURCHASE COSTS (A+C)</t>
        </is>
      </c>
      <c r="B120" s="369" t="n"/>
      <c r="C120" s="230" t="n"/>
      <c r="D120" s="360">
        <f>SUM(D91:D98,D102:D112)</f>
        <v/>
      </c>
    </row>
    <row r="121">
      <c r="A121" s="52" t="inlineStr">
        <is>
          <t>TOTAL DIRECT COSTS  (A+B+C+D)</t>
        </is>
      </c>
      <c r="B121" s="369" t="n"/>
      <c r="C121" s="230" t="n"/>
      <c r="D121" s="360">
        <f>SUM(D91:D118)</f>
        <v/>
      </c>
    </row>
    <row r="122">
      <c r="A122" s="180" t="n"/>
      <c r="B122" s="372" t="n"/>
      <c r="C122" s="176" t="n"/>
      <c r="D122" s="373" t="n"/>
    </row>
    <row r="123">
      <c r="A123" s="29" t="inlineStr">
        <is>
          <t>E. INDIRECT COSTS (25% * (A+C))</t>
        </is>
      </c>
      <c r="B123" s="358" t="n"/>
      <c r="C123" s="110" t="n"/>
      <c r="D123" s="360">
        <f>D120*0.25</f>
        <v/>
      </c>
    </row>
    <row r="124">
      <c r="A124" s="32" t="n"/>
      <c r="B124" s="372" t="n"/>
      <c r="C124" s="176" t="n"/>
      <c r="D124" s="377" t="n"/>
    </row>
    <row r="125">
      <c r="A125" s="29" t="inlineStr">
        <is>
          <t>F. TOTAL COSTS (A+B+C+D+E)</t>
        </is>
      </c>
      <c r="B125" s="369" t="n"/>
      <c r="C125" s="230" t="n"/>
      <c r="D125" s="360">
        <f>D121+D123</f>
        <v/>
      </c>
    </row>
    <row r="126">
      <c r="A126" s="182" t="n"/>
      <c r="B126" s="183" t="n"/>
      <c r="C126" s="184" t="n"/>
      <c r="D126" s="183" t="n"/>
    </row>
    <row r="127">
      <c r="A127" s="190" t="n"/>
      <c r="B127" s="185" t="n"/>
      <c r="C127" s="186" t="n"/>
      <c r="D127" s="187" t="n"/>
    </row>
    <row r="128" ht="21" customHeight="1">
      <c r="A128" s="272">
        <f>CONCATENATE("COSTS WORK PACKAGE 4:"," ","Manufacturing, Instrumentation and Factory Acceptance")</f>
        <v/>
      </c>
      <c r="B128" s="314" t="n"/>
      <c r="C128" s="314" t="n"/>
      <c r="D128" s="315" t="n"/>
    </row>
    <row r="129">
      <c r="A129" s="182" t="n"/>
      <c r="B129" s="191" t="n"/>
      <c r="C129" s="192" t="n"/>
      <c r="D129" s="191" t="n"/>
    </row>
    <row r="130">
      <c r="A130" s="29" t="inlineStr">
        <is>
          <t>A. DIRECT PERSONNEL COSTS</t>
        </is>
      </c>
      <c r="B130" s="30" t="n"/>
      <c r="C130" s="110" t="n"/>
      <c r="D130" s="354" t="n"/>
    </row>
    <row r="131">
      <c r="A131" s="28" t="inlineStr">
        <is>
          <t>A.1 Employees (or equivalent)</t>
        </is>
      </c>
      <c r="B131" s="89" t="n"/>
      <c r="C131" s="111" t="n"/>
      <c r="D131" s="355" t="n"/>
    </row>
    <row r="132">
      <c r="A132" s="48" t="inlineStr">
        <is>
          <t>SENIOR SCIENTISTS (or equivalent in the private sector)</t>
        </is>
      </c>
      <c r="B132" s="357" t="n"/>
      <c r="C132" s="248" t="n"/>
      <c r="D132" s="232">
        <f>B132*C132</f>
        <v/>
      </c>
    </row>
    <row r="133">
      <c r="A133" s="48" t="inlineStr">
        <is>
          <t>JUNIOR SCIENTISTS (or equivalent in the private sector)</t>
        </is>
      </c>
      <c r="B133" s="357" t="n"/>
      <c r="C133" s="248" t="n"/>
      <c r="D133" s="232">
        <f>B133*C133</f>
        <v/>
      </c>
    </row>
    <row r="134">
      <c r="A134" s="48" t="inlineStr">
        <is>
          <t>TECHNICAL PERSONNEL (or equivalent in the private sector)</t>
        </is>
      </c>
      <c r="B134" s="357" t="n"/>
      <c r="C134" s="248" t="n"/>
      <c r="D134" s="232">
        <f>B134*C134</f>
        <v/>
      </c>
    </row>
    <row r="135">
      <c r="A135" s="48" t="inlineStr">
        <is>
          <t>ADMINISTRATIVE PERSONNEL (or equivalent in the private sector)</t>
        </is>
      </c>
      <c r="B135" s="357" t="n"/>
      <c r="C135" s="248" t="n"/>
      <c r="D135" s="232">
        <f>B135*C135</f>
        <v/>
      </c>
    </row>
    <row r="136">
      <c r="A136" s="48" t="inlineStr">
        <is>
          <t>OTHERS</t>
        </is>
      </c>
      <c r="B136" s="357" t="n"/>
      <c r="C136" s="248" t="n"/>
      <c r="D136" s="232">
        <f>B136*C136</f>
        <v/>
      </c>
    </row>
    <row r="137">
      <c r="A137" s="28" t="inlineStr">
        <is>
          <t>A.2 Natural Persons under direct contract</t>
        </is>
      </c>
      <c r="B137" s="357" t="n"/>
      <c r="C137" s="248" t="n"/>
      <c r="D137" s="232">
        <f>B137*C137</f>
        <v/>
      </c>
    </row>
    <row r="138">
      <c r="A138" s="28" t="inlineStr">
        <is>
          <t>A.3 Seconded Persons</t>
        </is>
      </c>
      <c r="B138" s="357" t="n"/>
      <c r="C138" s="248" t="n"/>
      <c r="D138" s="232">
        <f>B138*C138</f>
        <v/>
      </c>
    </row>
    <row r="139">
      <c r="A139" s="28" t="inlineStr">
        <is>
          <t>A.4 SME owners and natural person beneficiaries</t>
        </is>
      </c>
      <c r="B139" s="357" t="n"/>
      <c r="C139" s="256" t="n">
        <v>8850.344799999999</v>
      </c>
      <c r="D139" s="232">
        <f>B139*C139</f>
        <v/>
      </c>
    </row>
    <row r="140">
      <c r="A140" s="29" t="inlineStr">
        <is>
          <t>B. DIRECT SUBCONTRACTING COSTS</t>
        </is>
      </c>
      <c r="B140" s="358" t="n"/>
      <c r="C140" s="110" t="n"/>
      <c r="D140" s="359" t="n"/>
    </row>
    <row r="141">
      <c r="A141" s="53" t="n"/>
      <c r="B141" s="357" t="n"/>
      <c r="C141" s="248" t="n"/>
      <c r="D141" s="361">
        <f>B141*C141</f>
        <v/>
      </c>
    </row>
    <row r="142">
      <c r="A142" s="29" t="inlineStr">
        <is>
          <t>C. DIRECT PURCHASE COSTS</t>
        </is>
      </c>
      <c r="B142" s="358" t="n"/>
      <c r="C142" s="110" t="n"/>
      <c r="D142" s="359" t="n"/>
    </row>
    <row r="143">
      <c r="A143" s="28" t="inlineStr">
        <is>
          <t>C.1 Travel and subsistence</t>
        </is>
      </c>
      <c r="B143" s="357" t="n"/>
      <c r="C143" s="248" t="n"/>
      <c r="D143" s="361">
        <f>B143*C143</f>
        <v/>
      </c>
    </row>
    <row r="144">
      <c r="A144" s="28" t="inlineStr">
        <is>
          <t>C.2 Equipment (complete 'Depreciation costs' sheet)</t>
        </is>
      </c>
      <c r="B144" s="346" t="n"/>
      <c r="C144" s="111" t="n"/>
      <c r="D144" s="364" t="n"/>
    </row>
    <row r="145">
      <c r="A145" s="49" t="inlineStr">
        <is>
          <t>Equipment</t>
        </is>
      </c>
      <c r="B145" s="357" t="n"/>
      <c r="C145" s="248" t="n"/>
      <c r="D145" s="361">
        <f>B145*C145</f>
        <v/>
      </c>
    </row>
    <row r="146">
      <c r="A146" s="49" t="inlineStr">
        <is>
          <t>Infrastructure</t>
        </is>
      </c>
      <c r="B146" s="357" t="n"/>
      <c r="C146" s="248" t="n"/>
      <c r="D146" s="361">
        <f>B146*C146</f>
        <v/>
      </c>
    </row>
    <row r="147">
      <c r="A147" s="49" t="inlineStr">
        <is>
          <t>Other assets</t>
        </is>
      </c>
      <c r="B147" s="357" t="n"/>
      <c r="C147" s="248" t="n"/>
      <c r="D147" s="361">
        <f>B147*C147</f>
        <v/>
      </c>
    </row>
    <row r="148">
      <c r="A148" s="28" t="inlineStr">
        <is>
          <t>C.3 Other goods, works and services</t>
        </is>
      </c>
      <c r="B148" s="346" t="n"/>
      <c r="C148" s="111" t="n"/>
      <c r="D148" s="364" t="n"/>
    </row>
    <row r="149">
      <c r="A149" s="49" t="inlineStr">
        <is>
          <t>Consumables</t>
        </is>
      </c>
      <c r="B149" s="357" t="n"/>
      <c r="C149" s="248" t="n"/>
      <c r="D149" s="361">
        <f>B149*C149</f>
        <v/>
      </c>
    </row>
    <row r="150">
      <c r="A150" s="49" t="inlineStr">
        <is>
          <t>Services for meetings, seminars</t>
        </is>
      </c>
      <c r="B150" s="357" t="n"/>
      <c r="C150" s="248" t="n"/>
      <c r="D150" s="361">
        <f>B150*C150</f>
        <v/>
      </c>
    </row>
    <row r="151">
      <c r="A151" s="49" t="inlineStr">
        <is>
          <t>Services for dissemination activities (including website)</t>
        </is>
      </c>
      <c r="B151" s="357" t="n"/>
      <c r="C151" s="248" t="n"/>
      <c r="D151" s="361">
        <f>B151*C151</f>
        <v/>
      </c>
    </row>
    <row r="152">
      <c r="A152" s="49" t="inlineStr">
        <is>
          <t>Publication fees</t>
        </is>
      </c>
      <c r="B152" s="357" t="n"/>
      <c r="C152" s="248" t="n"/>
      <c r="D152" s="361">
        <f>B152*C152</f>
        <v/>
      </c>
    </row>
    <row r="153">
      <c r="A153" s="49" t="inlineStr">
        <is>
          <t>Other (shipment, insurance, translation, etc.)</t>
        </is>
      </c>
      <c r="B153" s="357" t="n"/>
      <c r="C153" s="248" t="n"/>
      <c r="D153" s="361">
        <f>B153*C153</f>
        <v/>
      </c>
    </row>
    <row r="154">
      <c r="A154" s="29" t="inlineStr">
        <is>
          <t>D. OTHER COST CATEGORIES</t>
        </is>
      </c>
      <c r="B154" s="358" t="n"/>
      <c r="C154" s="110" t="n"/>
      <c r="D154" s="359" t="n"/>
    </row>
    <row r="155">
      <c r="A155" s="50" t="inlineStr">
        <is>
          <t>D.1 Financial support to third parties (if applicable in the topic specific conditions)</t>
        </is>
      </c>
      <c r="B155" s="357" t="n"/>
      <c r="C155" s="248" t="n"/>
      <c r="D155" s="361">
        <f>B155*C155</f>
        <v/>
      </c>
    </row>
    <row r="156">
      <c r="A156" s="50" t="inlineStr">
        <is>
          <t>D.2 Internally invoiced goods and services</t>
        </is>
      </c>
      <c r="B156" s="357" t="n"/>
      <c r="C156" s="248" t="n"/>
      <c r="D156" s="361">
        <f>B156*C156</f>
        <v/>
      </c>
    </row>
    <row r="157">
      <c r="A157" s="50" t="inlineStr">
        <is>
          <t>D.3 Transnational access to research infrastructure unit costs (if mentioned as eligible in the topic specific conditions)</t>
        </is>
      </c>
      <c r="B157" s="357" t="n"/>
      <c r="C157" s="248" t="n"/>
      <c r="D157" s="361">
        <f>B157*C157</f>
        <v/>
      </c>
    </row>
    <row r="158">
      <c r="A158" s="50" t="inlineStr">
        <is>
          <t>D.4 Virtual access to research infrastructure unit costs (if mentioned as eligible in the topic specific conditions)</t>
        </is>
      </c>
      <c r="B158" s="357" t="n"/>
      <c r="C158" s="248" t="n"/>
      <c r="D158" s="361">
        <f>B158*C158</f>
        <v/>
      </c>
    </row>
    <row r="159">
      <c r="A159" s="50" t="inlineStr">
        <is>
          <t>D.5 PCP/PPI procurement costs (if mentioned as eligible in the topic specific conditions)</t>
        </is>
      </c>
      <c r="B159" s="357" t="n"/>
      <c r="C159" s="248" t="n"/>
      <c r="D159" s="361">
        <f>B159*C159</f>
        <v/>
      </c>
    </row>
    <row r="160">
      <c r="A160" s="50" t="n"/>
      <c r="B160" s="346" t="n"/>
      <c r="C160" s="111" t="n"/>
      <c r="D160" s="365" t="n"/>
    </row>
    <row r="161">
      <c r="A161" s="52" t="inlineStr">
        <is>
          <t>TOTAL DIRECT PERSONNEL COSTS AND PURCHASE COSTS (A+C)</t>
        </is>
      </c>
      <c r="B161" s="369" t="n"/>
      <c r="C161" s="230" t="n"/>
      <c r="D161" s="360">
        <f>SUM(D132:D139,D143:D153)</f>
        <v/>
      </c>
    </row>
    <row r="162">
      <c r="A162" s="52" t="inlineStr">
        <is>
          <t>TOTAL DIRECT COSTS  (A+B+C+D)</t>
        </is>
      </c>
      <c r="B162" s="369" t="n"/>
      <c r="C162" s="230" t="n"/>
      <c r="D162" s="360">
        <f>SUM(D132:D159)</f>
        <v/>
      </c>
    </row>
    <row r="163">
      <c r="A163" s="180" t="n"/>
      <c r="B163" s="372" t="n"/>
      <c r="C163" s="176" t="n"/>
      <c r="D163" s="373" t="n"/>
    </row>
    <row r="164">
      <c r="A164" s="29" t="inlineStr">
        <is>
          <t>E. INDIRECT COSTS (25% * (A+C))</t>
        </is>
      </c>
      <c r="B164" s="358" t="n"/>
      <c r="C164" s="110" t="n"/>
      <c r="D164" s="360">
        <f>D161*0.25</f>
        <v/>
      </c>
    </row>
    <row r="165">
      <c r="A165" s="32" t="n"/>
      <c r="B165" s="372" t="n"/>
      <c r="C165" s="176" t="n"/>
      <c r="D165" s="377" t="n"/>
    </row>
    <row r="166">
      <c r="A166" s="29" t="inlineStr">
        <is>
          <t>F. TOTAL COSTS (A+B+C+D+E)</t>
        </is>
      </c>
      <c r="B166" s="369" t="n"/>
      <c r="C166" s="230" t="n"/>
      <c r="D166" s="360">
        <f>D162+D164</f>
        <v/>
      </c>
    </row>
    <row r="167">
      <c r="A167" s="182" t="n"/>
      <c r="B167" s="183" t="n"/>
      <c r="C167" s="184" t="n"/>
      <c r="D167" s="183" t="n"/>
    </row>
    <row r="168">
      <c r="A168" s="190" t="n"/>
      <c r="B168" s="185" t="n"/>
      <c r="C168" s="186" t="n"/>
      <c r="D168" s="187" t="n"/>
    </row>
    <row r="169" ht="21" customHeight="1">
      <c r="A169" s="272">
        <f>CONCATENATE("COSTS WORK PACKAGE 5:"," ","Deployment, Operation and Validation Campaign")</f>
        <v/>
      </c>
      <c r="B169" s="314" t="n"/>
      <c r="C169" s="314" t="n"/>
      <c r="D169" s="315" t="n"/>
    </row>
    <row r="170">
      <c r="A170" s="182" t="n"/>
      <c r="B170" s="191" t="n"/>
      <c r="C170" s="192" t="n"/>
      <c r="D170" s="191" t="n"/>
    </row>
    <row r="171">
      <c r="A171" s="29" t="inlineStr">
        <is>
          <t>A. DIRECT PERSONNEL COSTS</t>
        </is>
      </c>
      <c r="B171" s="30" t="n"/>
      <c r="C171" s="110" t="n"/>
      <c r="D171" s="354" t="n"/>
    </row>
    <row r="172">
      <c r="A172" s="28" t="inlineStr">
        <is>
          <t>A.1 Employees (or equivalent)</t>
        </is>
      </c>
      <c r="B172" s="89" t="n"/>
      <c r="C172" s="111" t="n"/>
      <c r="D172" s="355" t="n"/>
    </row>
    <row r="173">
      <c r="A173" s="48" t="inlineStr">
        <is>
          <t>SENIOR SCIENTISTS (or equivalent in the private sector)</t>
        </is>
      </c>
      <c r="B173" s="357" t="n">
        <v>6</v>
      </c>
      <c r="C173" s="248" t="n">
        <v>4000</v>
      </c>
      <c r="D173" s="232">
        <f>B173*C173</f>
        <v/>
      </c>
    </row>
    <row r="174">
      <c r="A174" s="48" t="inlineStr">
        <is>
          <t>JUNIOR SCIENTISTS (or equivalent in the private sector)</t>
        </is>
      </c>
      <c r="B174" s="357" t="n">
        <v>2</v>
      </c>
      <c r="C174" s="248" t="n">
        <v>3500</v>
      </c>
      <c r="D174" s="232">
        <f>B174*C174</f>
        <v/>
      </c>
    </row>
    <row r="175">
      <c r="A175" s="48" t="inlineStr">
        <is>
          <t>TECHNICAL PERSONNEL (or equivalent in the private sector)</t>
        </is>
      </c>
      <c r="B175" s="357" t="n"/>
      <c r="C175" s="248" t="n">
        <v>3500</v>
      </c>
      <c r="D175" s="232">
        <f>B175*C175</f>
        <v/>
      </c>
    </row>
    <row r="176">
      <c r="A176" s="48" t="inlineStr">
        <is>
          <t>ADMINISTRATIVE PERSONNEL (or equivalent in the private sector)</t>
        </is>
      </c>
      <c r="B176" s="357" t="n"/>
      <c r="C176" s="248" t="n">
        <v>3000</v>
      </c>
      <c r="D176" s="232">
        <f>B176*C176</f>
        <v/>
      </c>
    </row>
    <row r="177">
      <c r="A177" s="48" t="inlineStr">
        <is>
          <t>OTHERS</t>
        </is>
      </c>
      <c r="B177" s="357" t="n"/>
      <c r="C177" s="248" t="n"/>
      <c r="D177" s="232">
        <f>B177*C177</f>
        <v/>
      </c>
    </row>
    <row r="178">
      <c r="A178" s="28" t="inlineStr">
        <is>
          <t>A.2 Natural Persons under direct contract</t>
        </is>
      </c>
      <c r="B178" s="357" t="n"/>
      <c r="C178" s="248" t="n"/>
      <c r="D178" s="232">
        <f>B178*C178</f>
        <v/>
      </c>
    </row>
    <row r="179">
      <c r="A179" s="28" t="inlineStr">
        <is>
          <t>A.3 Seconded Persons</t>
        </is>
      </c>
      <c r="B179" s="357" t="n"/>
      <c r="C179" s="248" t="n"/>
      <c r="D179" s="232">
        <f>B179*C179</f>
        <v/>
      </c>
    </row>
    <row r="180">
      <c r="A180" s="28" t="inlineStr">
        <is>
          <t>A.4 SME owners and natural person beneficiaries</t>
        </is>
      </c>
      <c r="B180" s="357" t="n"/>
      <c r="C180" s="256" t="n">
        <v>8850.344799999999</v>
      </c>
      <c r="D180" s="232">
        <f>B180*C180</f>
        <v/>
      </c>
    </row>
    <row r="181">
      <c r="A181" s="29" t="inlineStr">
        <is>
          <t>B. DIRECT SUBCONTRACTING COSTS</t>
        </is>
      </c>
      <c r="B181" s="358" t="n"/>
      <c r="C181" s="110" t="n"/>
      <c r="D181" s="359" t="n"/>
    </row>
    <row r="182">
      <c r="A182" s="53" t="n"/>
      <c r="B182" s="357" t="n"/>
      <c r="C182" s="248" t="n"/>
      <c r="D182" s="361">
        <f>B182*C182</f>
        <v/>
      </c>
    </row>
    <row r="183">
      <c r="A183" s="29" t="inlineStr">
        <is>
          <t>C. DIRECT PURCHASE COSTS</t>
        </is>
      </c>
      <c r="B183" s="358" t="n"/>
      <c r="C183" s="110" t="n"/>
      <c r="D183" s="359" t="n"/>
    </row>
    <row r="184">
      <c r="A184" s="28" t="inlineStr">
        <is>
          <t>C.1 Travel and subsistence</t>
        </is>
      </c>
      <c r="B184" s="357" t="n"/>
      <c r="C184" s="248" t="n"/>
      <c r="D184" s="361">
        <f>B184*C184</f>
        <v/>
      </c>
    </row>
    <row r="185">
      <c r="A185" s="28" t="inlineStr">
        <is>
          <t>C.2 Equipment (complete 'Depreciation costs' sheet)</t>
        </is>
      </c>
      <c r="B185" s="346" t="n"/>
      <c r="C185" s="111" t="n"/>
      <c r="D185" s="364" t="n"/>
    </row>
    <row r="186">
      <c r="A186" s="49" t="inlineStr">
        <is>
          <t>Equipment</t>
        </is>
      </c>
      <c r="B186" s="357" t="n"/>
      <c r="C186" s="248" t="n"/>
      <c r="D186" s="361">
        <f>B186*C186</f>
        <v/>
      </c>
    </row>
    <row r="187">
      <c r="A187" s="49" t="inlineStr">
        <is>
          <t>Infrastructure</t>
        </is>
      </c>
      <c r="B187" s="357" t="n"/>
      <c r="C187" s="248" t="n"/>
      <c r="D187" s="361">
        <f>B187*C187</f>
        <v/>
      </c>
    </row>
    <row r="188">
      <c r="A188" s="49" t="inlineStr">
        <is>
          <t>Other assets</t>
        </is>
      </c>
      <c r="B188" s="357" t="n"/>
      <c r="C188" s="248" t="n"/>
      <c r="D188" s="361">
        <f>B188*C188</f>
        <v/>
      </c>
    </row>
    <row r="189">
      <c r="A189" s="28" t="inlineStr">
        <is>
          <t>C.3 Other goods, works and services</t>
        </is>
      </c>
      <c r="B189" s="346" t="n"/>
      <c r="C189" s="111" t="n"/>
      <c r="D189" s="364" t="n"/>
    </row>
    <row r="190">
      <c r="A190" s="49" t="inlineStr">
        <is>
          <t>Consumables</t>
        </is>
      </c>
      <c r="B190" s="357" t="n"/>
      <c r="C190" s="248" t="n"/>
      <c r="D190" s="361">
        <f>B190*C190</f>
        <v/>
      </c>
    </row>
    <row r="191">
      <c r="A191" s="49" t="inlineStr">
        <is>
          <t>Services for meetings, seminars</t>
        </is>
      </c>
      <c r="B191" s="357" t="n"/>
      <c r="C191" s="248" t="n"/>
      <c r="D191" s="361">
        <f>B191*C191</f>
        <v/>
      </c>
    </row>
    <row r="192">
      <c r="A192" s="49" t="inlineStr">
        <is>
          <t>Services for dissemination activities (including website)</t>
        </is>
      </c>
      <c r="B192" s="357" t="n"/>
      <c r="C192" s="248" t="n"/>
      <c r="D192" s="361">
        <f>B192*C192</f>
        <v/>
      </c>
    </row>
    <row r="193">
      <c r="A193" s="49" t="inlineStr">
        <is>
          <t>Publication fees</t>
        </is>
      </c>
      <c r="B193" s="357" t="n"/>
      <c r="C193" s="248" t="n"/>
      <c r="D193" s="361">
        <f>B193*C193</f>
        <v/>
      </c>
    </row>
    <row r="194">
      <c r="A194" s="49" t="inlineStr">
        <is>
          <t>Other (shipment, insurance, translation, etc.)</t>
        </is>
      </c>
      <c r="B194" s="357" t="n"/>
      <c r="C194" s="248" t="n"/>
      <c r="D194" s="361">
        <f>B194*C194</f>
        <v/>
      </c>
    </row>
    <row r="195">
      <c r="A195" s="29" t="inlineStr">
        <is>
          <t>D. OTHER COST CATEGORIES</t>
        </is>
      </c>
      <c r="B195" s="358" t="n"/>
      <c r="C195" s="110" t="n"/>
      <c r="D195" s="359" t="n"/>
    </row>
    <row r="196">
      <c r="A196" s="50" t="inlineStr">
        <is>
          <t>D.1 Financial support to third parties (if applicable in the topic specific conditions)</t>
        </is>
      </c>
      <c r="B196" s="357" t="n"/>
      <c r="C196" s="248" t="n"/>
      <c r="D196" s="361">
        <f>B196*C196</f>
        <v/>
      </c>
    </row>
    <row r="197">
      <c r="A197" s="50" t="inlineStr">
        <is>
          <t>D.2 Internally invoiced goods and services</t>
        </is>
      </c>
      <c r="B197" s="357" t="n"/>
      <c r="C197" s="248" t="n"/>
      <c r="D197" s="361">
        <f>B197*C197</f>
        <v/>
      </c>
    </row>
    <row r="198">
      <c r="A198" s="50" t="inlineStr">
        <is>
          <t>D.3 Transnational access to research infrastructure unit costs (if mentioned as eligible in the topic specific conditions)</t>
        </is>
      </c>
      <c r="B198" s="357" t="n"/>
      <c r="C198" s="248" t="n"/>
      <c r="D198" s="361">
        <f>B198*C198</f>
        <v/>
      </c>
    </row>
    <row r="199">
      <c r="A199" s="50" t="inlineStr">
        <is>
          <t>D.4 Virtual access to research infrastructure unit costs (if mentioned as eligible in the topic specific conditions)</t>
        </is>
      </c>
      <c r="B199" s="357" t="n"/>
      <c r="C199" s="248" t="n"/>
      <c r="D199" s="361">
        <f>B199*C199</f>
        <v/>
      </c>
    </row>
    <row r="200">
      <c r="A200" s="50" t="inlineStr">
        <is>
          <t>D.5 PCP/PPI procurement costs (if mentioned as eligible in the topic specific conditions)</t>
        </is>
      </c>
      <c r="B200" s="357" t="n"/>
      <c r="C200" s="248" t="n"/>
      <c r="D200" s="361">
        <f>B200*C200</f>
        <v/>
      </c>
    </row>
    <row r="201">
      <c r="A201" s="50" t="n"/>
      <c r="B201" s="346" t="n"/>
      <c r="C201" s="111" t="n"/>
      <c r="D201" s="365" t="n"/>
    </row>
    <row r="202">
      <c r="A202" s="52" t="inlineStr">
        <is>
          <t>TOTAL DIRECT PERSONNEL COSTS AND PURCHASE COSTS (A+C)</t>
        </is>
      </c>
      <c r="B202" s="369" t="n"/>
      <c r="C202" s="230" t="n"/>
      <c r="D202" s="360">
        <f>SUM(D173:D180,D184:D194)</f>
        <v/>
      </c>
    </row>
    <row r="203">
      <c r="A203" s="52" t="inlineStr">
        <is>
          <t>TOTAL DIRECT COSTS  (A+B+C+D)</t>
        </is>
      </c>
      <c r="B203" s="369" t="n"/>
      <c r="C203" s="230" t="n"/>
      <c r="D203" s="360">
        <f>SUM(D173:D200)</f>
        <v/>
      </c>
    </row>
    <row r="204">
      <c r="A204" s="180" t="n"/>
      <c r="B204" s="372" t="n"/>
      <c r="C204" s="176" t="n"/>
      <c r="D204" s="373" t="n"/>
    </row>
    <row r="205">
      <c r="A205" s="29" t="inlineStr">
        <is>
          <t>E. INDIRECT COSTS (25% * (A+C))</t>
        </is>
      </c>
      <c r="B205" s="358" t="n"/>
      <c r="C205" s="110" t="n"/>
      <c r="D205" s="360">
        <f>D202*0.25</f>
        <v/>
      </c>
    </row>
    <row r="206">
      <c r="A206" s="32" t="n"/>
      <c r="B206" s="372" t="n"/>
      <c r="C206" s="176" t="n"/>
      <c r="D206" s="377" t="n"/>
    </row>
    <row r="207">
      <c r="A207" s="29" t="inlineStr">
        <is>
          <t>F. TOTAL COSTS (A+B+C+D+E)</t>
        </is>
      </c>
      <c r="B207" s="369" t="n"/>
      <c r="C207" s="230" t="n"/>
      <c r="D207" s="360">
        <f>D203+D205</f>
        <v/>
      </c>
    </row>
    <row r="209">
      <c r="A209" s="190" t="n"/>
      <c r="B209" s="185" t="n"/>
      <c r="C209" s="186" t="n"/>
      <c r="D209" s="187" t="n"/>
    </row>
    <row r="210" ht="21" customHeight="1">
      <c r="A210" s="272">
        <f>CONCATENATE("COSTS WORK PACKAGE 6:"," ","Business Validation, Exploitation and Dissemination")</f>
        <v/>
      </c>
      <c r="B210" s="314" t="n"/>
      <c r="C210" s="314" t="n"/>
      <c r="D210" s="315" t="n"/>
    </row>
    <row r="211">
      <c r="A211" s="182" t="n"/>
      <c r="B211" s="191" t="n"/>
      <c r="C211" s="192" t="n"/>
      <c r="D211" s="191" t="n"/>
    </row>
    <row r="212">
      <c r="A212" s="29" t="inlineStr">
        <is>
          <t>A. DIRECT PERSONNEL COSTS</t>
        </is>
      </c>
      <c r="B212" s="30" t="n"/>
      <c r="C212" s="110" t="n"/>
      <c r="D212" s="354" t="n"/>
    </row>
    <row r="213">
      <c r="A213" s="28" t="inlineStr">
        <is>
          <t>A.1 Employees (or equivalent)</t>
        </is>
      </c>
      <c r="B213" s="89" t="n"/>
      <c r="C213" s="111" t="n"/>
      <c r="D213" s="355" t="n"/>
    </row>
    <row r="214">
      <c r="A214" s="48" t="inlineStr">
        <is>
          <t>SENIOR SCIENTISTS (or equivalent in the private sector)</t>
        </is>
      </c>
      <c r="B214" s="357" t="n">
        <v>5</v>
      </c>
      <c r="C214" s="248" t="n">
        <v>4000</v>
      </c>
      <c r="D214" s="232">
        <f>B214*C214</f>
        <v/>
      </c>
    </row>
    <row r="215">
      <c r="A215" s="48" t="inlineStr">
        <is>
          <t>JUNIOR SCIENTISTS (or equivalent in the private sector)</t>
        </is>
      </c>
      <c r="B215" s="357" t="n"/>
      <c r="C215" s="248" t="n">
        <v>3500</v>
      </c>
      <c r="D215" s="232">
        <f>B215*C215</f>
        <v/>
      </c>
    </row>
    <row r="216">
      <c r="A216" s="48" t="inlineStr">
        <is>
          <t>TECHNICAL PERSONNEL (or equivalent in the private sector)</t>
        </is>
      </c>
      <c r="B216" s="357" t="n"/>
      <c r="C216" s="248" t="n">
        <v>3500</v>
      </c>
      <c r="D216" s="232">
        <f>B216*C216</f>
        <v/>
      </c>
    </row>
    <row r="217">
      <c r="A217" s="48" t="inlineStr">
        <is>
          <t>ADMINISTRATIVE PERSONNEL (or equivalent in the private sector)</t>
        </is>
      </c>
      <c r="B217" s="357" t="n"/>
      <c r="C217" s="248" t="n">
        <v>3000</v>
      </c>
      <c r="D217" s="232">
        <f>B217*C217</f>
        <v/>
      </c>
    </row>
    <row r="218">
      <c r="A218" s="48" t="inlineStr">
        <is>
          <t>OTHERS</t>
        </is>
      </c>
      <c r="B218" s="357" t="n"/>
      <c r="C218" s="248" t="n"/>
      <c r="D218" s="232">
        <f>B218*C218</f>
        <v/>
      </c>
    </row>
    <row r="219">
      <c r="A219" s="28" t="inlineStr">
        <is>
          <t>A.2 Natural Persons under direct contract</t>
        </is>
      </c>
      <c r="B219" s="357" t="n"/>
      <c r="C219" s="248" t="n"/>
      <c r="D219" s="232">
        <f>B219*C219</f>
        <v/>
      </c>
    </row>
    <row r="220">
      <c r="A220" s="28" t="inlineStr">
        <is>
          <t>A.3 Seconded Persons</t>
        </is>
      </c>
      <c r="B220" s="357" t="n"/>
      <c r="C220" s="248" t="n"/>
      <c r="D220" s="232">
        <f>B220*C220</f>
        <v/>
      </c>
    </row>
    <row r="221">
      <c r="A221" s="28" t="inlineStr">
        <is>
          <t>A.4 SME owners and natural person beneficiaries</t>
        </is>
      </c>
      <c r="B221" s="357" t="n"/>
      <c r="C221" s="256" t="n">
        <v>8850.344799999999</v>
      </c>
      <c r="D221" s="232">
        <f>B221*C221</f>
        <v/>
      </c>
    </row>
    <row r="222">
      <c r="A222" s="29" t="inlineStr">
        <is>
          <t>B. DIRECT SUBCONTRACTING COSTS</t>
        </is>
      </c>
      <c r="B222" s="358" t="n"/>
      <c r="C222" s="110" t="n"/>
      <c r="D222" s="359" t="n"/>
    </row>
    <row r="223">
      <c r="A223" s="53" t="n"/>
      <c r="B223" s="357" t="n"/>
      <c r="C223" s="248" t="n"/>
      <c r="D223" s="361">
        <f>B223*C223</f>
        <v/>
      </c>
    </row>
    <row r="224">
      <c r="A224" s="29" t="inlineStr">
        <is>
          <t>C. DIRECT PURCHASE COSTS</t>
        </is>
      </c>
      <c r="B224" s="358" t="n"/>
      <c r="C224" s="110" t="n"/>
      <c r="D224" s="359" t="n"/>
    </row>
    <row r="225">
      <c r="A225" s="28" t="inlineStr">
        <is>
          <t>C.1 Travel and subsistence</t>
        </is>
      </c>
      <c r="B225" s="357" t="n">
        <v>1</v>
      </c>
      <c r="C225" s="248" t="n">
        <v>1150</v>
      </c>
      <c r="D225" s="361">
        <f>B225*C225</f>
        <v/>
      </c>
    </row>
    <row r="226">
      <c r="A226" s="28" t="inlineStr">
        <is>
          <t>C.2 Equipment (complete 'Depreciation costs' sheet)</t>
        </is>
      </c>
      <c r="B226" s="346" t="n"/>
      <c r="C226" s="111" t="n"/>
      <c r="D226" s="364" t="n"/>
    </row>
    <row r="227">
      <c r="A227" s="49" t="inlineStr">
        <is>
          <t>Equipment</t>
        </is>
      </c>
      <c r="B227" s="357" t="n"/>
      <c r="C227" s="248" t="n"/>
      <c r="D227" s="361">
        <f>B227*C227</f>
        <v/>
      </c>
    </row>
    <row r="228">
      <c r="A228" s="49" t="inlineStr">
        <is>
          <t>Infrastructure</t>
        </is>
      </c>
      <c r="B228" s="357" t="n"/>
      <c r="C228" s="248" t="n"/>
      <c r="D228" s="361">
        <f>B228*C228</f>
        <v/>
      </c>
    </row>
    <row r="229">
      <c r="A229" s="49" t="inlineStr">
        <is>
          <t>Other assets</t>
        </is>
      </c>
      <c r="B229" s="357" t="n"/>
      <c r="C229" s="248" t="n"/>
      <c r="D229" s="361">
        <f>B229*C229</f>
        <v/>
      </c>
    </row>
    <row r="230">
      <c r="A230" s="28" t="inlineStr">
        <is>
          <t>C.3 Other goods, works and services</t>
        </is>
      </c>
      <c r="B230" s="346" t="n"/>
      <c r="C230" s="111" t="n"/>
      <c r="D230" s="364" t="n"/>
    </row>
    <row r="231">
      <c r="A231" s="49" t="inlineStr">
        <is>
          <t>Consumables</t>
        </is>
      </c>
      <c r="B231" s="357" t="n"/>
      <c r="C231" s="248" t="n"/>
      <c r="D231" s="361">
        <f>B231*C231</f>
        <v/>
      </c>
    </row>
    <row r="232">
      <c r="A232" s="49" t="inlineStr">
        <is>
          <t>Services for meetings, seminars</t>
        </is>
      </c>
      <c r="B232" s="357" t="n"/>
      <c r="C232" s="248" t="n"/>
      <c r="D232" s="361">
        <f>B232*C232</f>
        <v/>
      </c>
    </row>
    <row r="233">
      <c r="A233" s="49" t="inlineStr">
        <is>
          <t>Services for dissemination activities (including website)</t>
        </is>
      </c>
      <c r="B233" s="357" t="n"/>
      <c r="C233" s="248" t="n"/>
      <c r="D233" s="361">
        <f>B233*C233</f>
        <v/>
      </c>
    </row>
    <row r="234">
      <c r="A234" s="49" t="inlineStr">
        <is>
          <t>Publication fees</t>
        </is>
      </c>
      <c r="B234" s="357" t="n"/>
      <c r="C234" s="248" t="n"/>
      <c r="D234" s="361">
        <f>B234*C234</f>
        <v/>
      </c>
    </row>
    <row r="235">
      <c r="A235" s="49" t="inlineStr">
        <is>
          <t>Other (shipment, insurance, translation, etc.)</t>
        </is>
      </c>
      <c r="B235" s="357" t="n"/>
      <c r="C235" s="248" t="n"/>
      <c r="D235" s="361">
        <f>B235*C235</f>
        <v/>
      </c>
    </row>
    <row r="236">
      <c r="A236" s="29" t="inlineStr">
        <is>
          <t>D. OTHER COST CATEGORIES</t>
        </is>
      </c>
      <c r="B236" s="358" t="n"/>
      <c r="C236" s="110" t="n"/>
      <c r="D236" s="359" t="n"/>
    </row>
    <row r="237">
      <c r="A237" s="50" t="inlineStr">
        <is>
          <t>D.1 Financial support to third parties (if applicable in the topic specific conditions)</t>
        </is>
      </c>
      <c r="B237" s="357" t="n"/>
      <c r="C237" s="248" t="n"/>
      <c r="D237" s="361">
        <f>B237*C237</f>
        <v/>
      </c>
    </row>
    <row r="238">
      <c r="A238" s="50" t="inlineStr">
        <is>
          <t>D.2 Internally invoiced goods and services</t>
        </is>
      </c>
      <c r="B238" s="357" t="n"/>
      <c r="C238" s="248" t="n"/>
      <c r="D238" s="361">
        <f>B238*C238</f>
        <v/>
      </c>
    </row>
    <row r="239">
      <c r="A239" s="50" t="inlineStr">
        <is>
          <t>D.3 Transnational access to research infrastructure unit costs (if mentioned as eligible in the topic specific conditions)</t>
        </is>
      </c>
      <c r="B239" s="357" t="n"/>
      <c r="C239" s="248" t="n"/>
      <c r="D239" s="361">
        <f>B239*C239</f>
        <v/>
      </c>
    </row>
    <row r="240">
      <c r="A240" s="50" t="inlineStr">
        <is>
          <t>D.4 Virtual access to research infrastructure unit costs (if mentioned as eligible in the topic specific conditions)</t>
        </is>
      </c>
      <c r="B240" s="357" t="n"/>
      <c r="C240" s="248" t="n"/>
      <c r="D240" s="361">
        <f>B240*C240</f>
        <v/>
      </c>
    </row>
    <row r="241">
      <c r="A241" s="50" t="inlineStr">
        <is>
          <t>D.5 PCP/PPI procurement costs (if mentioned as eligible in the topic specific conditions)</t>
        </is>
      </c>
      <c r="B241" s="357" t="n"/>
      <c r="C241" s="248" t="n"/>
      <c r="D241" s="361">
        <f>B241*C241</f>
        <v/>
      </c>
    </row>
    <row r="242">
      <c r="A242" s="50" t="n"/>
      <c r="B242" s="346" t="n"/>
      <c r="C242" s="111" t="n"/>
      <c r="D242" s="365" t="n"/>
    </row>
    <row r="243">
      <c r="A243" s="52" t="inlineStr">
        <is>
          <t>TOTAL DIRECT PERSONNEL COSTS AND PURCHASE COSTS (A+C)</t>
        </is>
      </c>
      <c r="B243" s="369" t="n"/>
      <c r="C243" s="230" t="n"/>
      <c r="D243" s="360">
        <f>SUM(D214:D221,D225:D235)</f>
        <v/>
      </c>
    </row>
    <row r="244">
      <c r="A244" s="52" t="inlineStr">
        <is>
          <t>TOTAL DIRECT COSTS  (A+B+C+D)</t>
        </is>
      </c>
      <c r="B244" s="369" t="n"/>
      <c r="C244" s="230" t="n"/>
      <c r="D244" s="360">
        <f>SUM(D214:D241)</f>
        <v/>
      </c>
    </row>
    <row r="245">
      <c r="A245" s="180" t="n"/>
      <c r="B245" s="372" t="n"/>
      <c r="C245" s="176" t="n"/>
      <c r="D245" s="373" t="n"/>
    </row>
    <row r="246">
      <c r="A246" s="29" t="inlineStr">
        <is>
          <t>E. INDIRECT COSTS (25% * (A+C))</t>
        </is>
      </c>
      <c r="B246" s="358" t="n"/>
      <c r="C246" s="110" t="n"/>
      <c r="D246" s="360">
        <f>D243*0.25</f>
        <v/>
      </c>
    </row>
    <row r="247">
      <c r="A247" s="32" t="n"/>
      <c r="B247" s="372" t="n"/>
      <c r="C247" s="176" t="n"/>
      <c r="D247" s="377" t="n"/>
    </row>
    <row r="248">
      <c r="A248" s="29" t="inlineStr">
        <is>
          <t>F. TOTAL COSTS (A+B+C+D+E)</t>
        </is>
      </c>
      <c r="B248" s="369" t="n"/>
      <c r="C248" s="230" t="n"/>
      <c r="D248" s="360">
        <f>D244+D246</f>
        <v/>
      </c>
    </row>
    <row r="249">
      <c r="A249" s="182" t="n"/>
      <c r="B249" s="183" t="n"/>
      <c r="C249" s="184" t="n"/>
      <c r="D249" s="183" t="n"/>
    </row>
    <row r="250">
      <c r="A250" s="190" t="n"/>
      <c r="B250" s="185" t="n"/>
      <c r="C250" s="186" t="n"/>
      <c r="D250" s="187" t="n"/>
    </row>
    <row r="251" ht="21" customHeight="1">
      <c r="A251" s="272" t="inlineStr">
        <is>
          <t>SUMMARY</t>
        </is>
      </c>
      <c r="B251" s="314" t="n"/>
      <c r="C251" s="314" t="n"/>
      <c r="D251" s="315" t="n"/>
    </row>
    <row r="252">
      <c r="A252" s="56" t="n"/>
      <c r="B252" s="174" t="n"/>
      <c r="C252" s="175" t="n"/>
      <c r="D252" s="174" t="n"/>
    </row>
    <row r="253">
      <c r="A253" s="29" t="inlineStr">
        <is>
          <t>A. DIRECT PERSONNEL COSTS</t>
        </is>
      </c>
      <c r="B253" s="30" t="n"/>
      <c r="C253" s="110" t="n"/>
      <c r="D253" s="354" t="n"/>
    </row>
    <row r="254">
      <c r="A254" s="28" t="inlineStr">
        <is>
          <t>A.1 Employees (or equivalent)</t>
        </is>
      </c>
      <c r="B254" s="89" t="n"/>
      <c r="C254" s="111" t="n"/>
      <c r="D254" s="355" t="n"/>
    </row>
    <row r="255">
      <c r="A255" s="48" t="inlineStr">
        <is>
          <t>SENIOR SCIENTISTS (or equivalent in the private sector)</t>
        </is>
      </c>
      <c r="B255" s="378">
        <f>B9+B50+B91+B132+B173+B214</f>
        <v/>
      </c>
      <c r="C255" s="249">
        <f>IF(B255&gt;0,D255/B255," ")</f>
        <v/>
      </c>
      <c r="D255" s="361">
        <f>D9+D50+D91+D132+D173+D214</f>
        <v/>
      </c>
    </row>
    <row r="256">
      <c r="A256" s="48" t="inlineStr">
        <is>
          <t>JUNIOR SCIENTISTS (or equivalent in the private sector)</t>
        </is>
      </c>
      <c r="B256" s="378">
        <f>B10+B51+B92+B133+B174+B215</f>
        <v/>
      </c>
      <c r="C256" s="249">
        <f>IF(B256&gt;0,D256/B256," ")</f>
        <v/>
      </c>
      <c r="D256" s="361">
        <f>D10+D51+D92+D133+D174+D215</f>
        <v/>
      </c>
    </row>
    <row r="257">
      <c r="A257" s="48" t="inlineStr">
        <is>
          <t>TECHNICAL PERSONNEL (or equivalent in the private sector)</t>
        </is>
      </c>
      <c r="B257" s="378">
        <f>B11+B52+B93+B134+B175+B216</f>
        <v/>
      </c>
      <c r="C257" s="249">
        <f>IF(B257&gt;0,D257/B257," ")</f>
        <v/>
      </c>
      <c r="D257" s="361">
        <f>D11+D52+D93+D134+D175+D216</f>
        <v/>
      </c>
    </row>
    <row r="258">
      <c r="A258" s="48" t="inlineStr">
        <is>
          <t>ADMINISTRATIVE PERSONNEL (or equivalent in the private sector)</t>
        </is>
      </c>
      <c r="B258" s="378">
        <f>B12+B53+B94+B135+B176+B217</f>
        <v/>
      </c>
      <c r="C258" s="249">
        <f>IF(B258&gt;0,D258/B258," ")</f>
        <v/>
      </c>
      <c r="D258" s="361">
        <f>D12+D53+D94+D135+D176+D217</f>
        <v/>
      </c>
    </row>
    <row r="259">
      <c r="A259" s="48" t="inlineStr">
        <is>
          <t>OTHERS</t>
        </is>
      </c>
      <c r="B259" s="378">
        <f>B13+B54+B95+B136+B177+B218</f>
        <v/>
      </c>
      <c r="C259" s="249">
        <f>IF(B259&gt;0,D259/B259," ")</f>
        <v/>
      </c>
      <c r="D259" s="361">
        <f>D13+D54+D95+D136+D177+D218</f>
        <v/>
      </c>
    </row>
    <row r="260">
      <c r="A260" s="28" t="inlineStr">
        <is>
          <t>A.2 Natural Persons under direct contract</t>
        </is>
      </c>
      <c r="B260" s="378">
        <f>B14+B55+B96+B137+B178+B219</f>
        <v/>
      </c>
      <c r="C260" s="249">
        <f>IF(B260&gt;0,D260/B260," ")</f>
        <v/>
      </c>
      <c r="D260" s="361">
        <f>D14+D55+D96+D137+D178+D219</f>
        <v/>
      </c>
    </row>
    <row r="261">
      <c r="A261" s="28" t="inlineStr">
        <is>
          <t>A.3 Seconded Persons</t>
        </is>
      </c>
      <c r="B261" s="378">
        <f>B15+B56+B97+B138+B179+B220</f>
        <v/>
      </c>
      <c r="C261" s="249">
        <f>IF(B261&gt;0,D261/B261," ")</f>
        <v/>
      </c>
      <c r="D261" s="361">
        <f>D15+D56+D97+D138+D179+D220</f>
        <v/>
      </c>
    </row>
    <row r="262">
      <c r="A262" s="28" t="inlineStr">
        <is>
          <t>A.4 SME owners and natural person beneficiaries</t>
        </is>
      </c>
      <c r="B262" s="378">
        <f>B16+B57+B98+B139+B180+B221</f>
        <v/>
      </c>
      <c r="C262" s="249">
        <f>IF(B262&gt;0,D262/B262," ")</f>
        <v/>
      </c>
      <c r="D262" s="361">
        <f>D16+D57+D98+D139+D180+D221</f>
        <v/>
      </c>
    </row>
    <row r="263">
      <c r="A263" s="29" t="inlineStr">
        <is>
          <t>B. DIRECT SUBCONTRACTING COSTS</t>
        </is>
      </c>
      <c r="B263" s="380" t="n"/>
      <c r="C263" s="250" t="n"/>
      <c r="D263" s="359" t="n"/>
    </row>
    <row r="264">
      <c r="A264" s="28" t="n"/>
      <c r="B264" s="378">
        <f>B18+B59+B100+B141+B182+B223</f>
        <v/>
      </c>
      <c r="C264" s="249">
        <f>IF(B264&gt;0,D264/B264," ")</f>
        <v/>
      </c>
      <c r="D264" s="361">
        <f>D18+D59+D100+D141+D182+D223</f>
        <v/>
      </c>
    </row>
    <row r="265">
      <c r="A265" s="29" t="inlineStr">
        <is>
          <t>C. DIRECT PURCHASE COSTS</t>
        </is>
      </c>
      <c r="B265" s="380" t="n"/>
      <c r="C265" s="250" t="n"/>
      <c r="D265" s="359" t="n"/>
    </row>
    <row r="266">
      <c r="A266" s="28" t="inlineStr">
        <is>
          <t>C.1 Travel and subsistence</t>
        </is>
      </c>
      <c r="B266" s="378">
        <f>B20+B61+B102+B143+B184+B225</f>
        <v/>
      </c>
      <c r="C266" s="249">
        <f>IF(B266&gt;0,D266/B266," ")</f>
        <v/>
      </c>
      <c r="D266" s="361">
        <f>D20+D61+D102+D143+D184+D225</f>
        <v/>
      </c>
    </row>
    <row r="267">
      <c r="A267" s="28" t="inlineStr">
        <is>
          <t>C.2 Equipment (complete 'Depreciation costs' sheet)</t>
        </is>
      </c>
      <c r="B267" s="381" t="n"/>
      <c r="C267" s="251" t="n"/>
      <c r="D267" s="364" t="n"/>
    </row>
    <row r="268">
      <c r="A268" s="49" t="inlineStr">
        <is>
          <t>Equipment</t>
        </is>
      </c>
      <c r="B268" s="378">
        <f>B22+B63+B104+B145+B186+B227</f>
        <v/>
      </c>
      <c r="C268" s="249">
        <f>IF(B268&gt;0,D268/B268," ")</f>
        <v/>
      </c>
      <c r="D268" s="361">
        <f>D22+D63+D104+D145+D186+D227</f>
        <v/>
      </c>
    </row>
    <row r="269">
      <c r="A269" s="49" t="inlineStr">
        <is>
          <t>Infrastructure</t>
        </is>
      </c>
      <c r="B269" s="378">
        <f>B23+B64+B105+B146+B187+B228</f>
        <v/>
      </c>
      <c r="C269" s="249">
        <f>IF(B269&gt;0,D269/B269," ")</f>
        <v/>
      </c>
      <c r="D269" s="361">
        <f>D23+D64+D105+D146+D187+D228</f>
        <v/>
      </c>
    </row>
    <row r="270">
      <c r="A270" s="49" t="inlineStr">
        <is>
          <t>Other assets</t>
        </is>
      </c>
      <c r="B270" s="378">
        <f>B24+B65+B106+B147+B188+B229</f>
        <v/>
      </c>
      <c r="C270" s="249">
        <f>IF(B270&gt;0,D270/B270," ")</f>
        <v/>
      </c>
      <c r="D270" s="361">
        <f>D24+D65+D106+D147+D188+D229</f>
        <v/>
      </c>
    </row>
    <row r="271">
      <c r="A271" s="28" t="inlineStr">
        <is>
          <t>C.3 Other goods, works and services</t>
        </is>
      </c>
      <c r="B271" s="381" t="n"/>
      <c r="C271" s="251" t="n"/>
      <c r="D271" s="364" t="n"/>
    </row>
    <row r="272">
      <c r="A272" s="49" t="inlineStr">
        <is>
          <t>Consumables</t>
        </is>
      </c>
      <c r="B272" s="378">
        <f>B26+B67+B108+B149+B190+B231</f>
        <v/>
      </c>
      <c r="C272" s="249">
        <f>IF(B272&gt;0,D272/B272," ")</f>
        <v/>
      </c>
      <c r="D272" s="361">
        <f>D26+D67+D108+D149+D190+D231</f>
        <v/>
      </c>
    </row>
    <row r="273">
      <c r="A273" s="49" t="inlineStr">
        <is>
          <t>Services for meetings, seminars</t>
        </is>
      </c>
      <c r="B273" s="378">
        <f>B27+B68+B109+B150+B191+B232</f>
        <v/>
      </c>
      <c r="C273" s="249">
        <f>IF(B273&gt;0,D273/B273," ")</f>
        <v/>
      </c>
      <c r="D273" s="361">
        <f>D27+D68+D109+D150+D191+D232</f>
        <v/>
      </c>
    </row>
    <row r="274">
      <c r="A274" s="49" t="inlineStr">
        <is>
          <t>Services for dissemination activities (including website)</t>
        </is>
      </c>
      <c r="B274" s="378">
        <f>B28+B69+B110+B151+B192+B233</f>
        <v/>
      </c>
      <c r="C274" s="249">
        <f>IF(B274&gt;0,D274/B274," ")</f>
        <v/>
      </c>
      <c r="D274" s="361">
        <f>D28+D69+D110+D151+D192+D233</f>
        <v/>
      </c>
    </row>
    <row r="275">
      <c r="A275" s="49" t="inlineStr">
        <is>
          <t>Publication fees</t>
        </is>
      </c>
      <c r="B275" s="378">
        <f>B29+B70+B111+B152+B193+B234</f>
        <v/>
      </c>
      <c r="C275" s="249">
        <f>IF(B275&gt;0,D275/B275," ")</f>
        <v/>
      </c>
      <c r="D275" s="361">
        <f>D29+D70+D111+D152+D193+D234</f>
        <v/>
      </c>
    </row>
    <row r="276">
      <c r="A276" s="49" t="inlineStr">
        <is>
          <t>Other (shipment, insurance, translation, etc.)</t>
        </is>
      </c>
      <c r="B276" s="378">
        <f>B30+B71+B112+B153+B194+B235</f>
        <v/>
      </c>
      <c r="C276" s="249">
        <f>IF(B276&gt;0,D276/B276," ")</f>
        <v/>
      </c>
      <c r="D276" s="361">
        <f>D30+D71+D112+D153+D194+D235</f>
        <v/>
      </c>
    </row>
    <row r="277">
      <c r="A277" s="29" t="inlineStr">
        <is>
          <t>D. OTHER COST CATEGORIES</t>
        </is>
      </c>
      <c r="B277" s="380" t="n"/>
      <c r="C277" s="250" t="n"/>
      <c r="D277" s="359" t="n"/>
    </row>
    <row r="278">
      <c r="A278" s="50" t="inlineStr">
        <is>
          <t>D.1 Financial support to third parties (if applicable in the topic specific conditions)</t>
        </is>
      </c>
      <c r="B278" s="378">
        <f>B32+B73+B114+B155+B196+B237</f>
        <v/>
      </c>
      <c r="C278" s="249">
        <f>IF(B278&gt;0,D278/B278," ")</f>
        <v/>
      </c>
      <c r="D278" s="361">
        <f>D32+D73+D114+D155+D196+D237</f>
        <v/>
      </c>
    </row>
    <row r="279">
      <c r="A279" s="50" t="inlineStr">
        <is>
          <t>D.2 Internally invoiced goods and services</t>
        </is>
      </c>
      <c r="B279" s="378">
        <f>B33+B74+B115+B156+B197+B238</f>
        <v/>
      </c>
      <c r="C279" s="249">
        <f>IF(B279&gt;0,D279/B279," ")</f>
        <v/>
      </c>
      <c r="D279" s="361">
        <f>D33+D74+D115+D156+D197+D238</f>
        <v/>
      </c>
    </row>
    <row r="280">
      <c r="A280" s="50" t="inlineStr">
        <is>
          <t>D.3 Transnational access to research infrastructure unit costs (if mentioned as eligible in the topic specific conditions)</t>
        </is>
      </c>
      <c r="B280" s="378">
        <f>B34+B75+B116+B157+B198+B239</f>
        <v/>
      </c>
      <c r="C280" s="249">
        <f>IF(B280&gt;0,D280/B280," ")</f>
        <v/>
      </c>
      <c r="D280" s="361">
        <f>D34+D75+D116+D157+D198+D239</f>
        <v/>
      </c>
    </row>
    <row r="281">
      <c r="A281" s="50" t="inlineStr">
        <is>
          <t>D.4 Virtual access to research infrastructure unit costs (if mentioned as eligible in the topic specific conditions)</t>
        </is>
      </c>
      <c r="B281" s="378">
        <f>B35+B76+B117+B158+B199+B240</f>
        <v/>
      </c>
      <c r="C281" s="249">
        <f>IF(B281&gt;0,D281/B281," ")</f>
        <v/>
      </c>
      <c r="D281" s="361">
        <f>D35+D76+D117+D158+D199+D240</f>
        <v/>
      </c>
    </row>
    <row r="282">
      <c r="A282" s="50" t="inlineStr">
        <is>
          <t>D.5 PCP/PPI procurement costs (if mentioned as eligible in the topic specific conditions)</t>
        </is>
      </c>
      <c r="B282" s="378">
        <f>B36+B77+B118+B159+B200+B241</f>
        <v/>
      </c>
      <c r="C282" s="249">
        <f>IF(B282&gt;0,D282/B282," ")</f>
        <v/>
      </c>
      <c r="D282" s="361">
        <f>D36+D77+D118+D159+D200+D241</f>
        <v/>
      </c>
    </row>
    <row r="283">
      <c r="A283" s="51" t="n"/>
      <c r="B283" s="346" t="n"/>
      <c r="C283" s="111" t="n"/>
      <c r="D283" s="365" t="n"/>
    </row>
    <row r="284">
      <c r="A284" s="52" t="inlineStr">
        <is>
          <t>TOTAL DIRECT PERSONNEL COSTS AND PURCHASE COSTS (A+C)</t>
        </is>
      </c>
      <c r="B284" s="369" t="n"/>
      <c r="C284" s="230" t="n"/>
      <c r="D284" s="382">
        <f>D38+D79+D120+D161+D202+D243</f>
        <v/>
      </c>
    </row>
    <row r="285">
      <c r="A285" s="52" t="inlineStr">
        <is>
          <t>TOTAL DIRECT COSTS  (A+B+C+D)</t>
        </is>
      </c>
      <c r="B285" s="369" t="n"/>
      <c r="C285" s="230" t="n"/>
      <c r="D285" s="382">
        <f>D39+D80+D121+D162+D203+D244</f>
        <v/>
      </c>
    </row>
    <row r="286">
      <c r="A286" s="182" t="n"/>
      <c r="B286" s="383" t="n"/>
      <c r="C286" s="192" t="n"/>
      <c r="D286" s="191" t="n"/>
    </row>
    <row r="287">
      <c r="A287" s="29" t="inlineStr">
        <is>
          <t>E. INDIRECT COSTS (25% * (A+C))</t>
        </is>
      </c>
      <c r="B287" s="369" t="n"/>
      <c r="C287" s="230" t="n"/>
      <c r="D287" s="382">
        <f>D41+D82+D123+D164+D205+D246</f>
        <v/>
      </c>
    </row>
    <row r="288">
      <c r="A288" s="182" t="n"/>
      <c r="B288" s="383" t="n"/>
      <c r="C288" s="192" t="n"/>
      <c r="D288" s="191" t="n"/>
    </row>
    <row r="289">
      <c r="A289" s="29" t="inlineStr">
        <is>
          <t>F. TOTAL COSTS (A+B+C+D+E)</t>
        </is>
      </c>
      <c r="B289" s="369" t="n"/>
      <c r="C289" s="230" t="n"/>
      <c r="D289" s="382">
        <f>D43+D84+D125+D166+D207+D248</f>
        <v/>
      </c>
    </row>
  </sheetData>
  <sheetProtection selectLockedCells="0" selectUnlockedCells="0" algorithmName="SHA-512" sheet="1" objects="1" insertRows="1" insertHyperlinks="1" autoFilter="1" scenarios="1" formatColumns="1" deleteColumns="1" insertColumns="1" pivotTables="1" deleteRows="1" formatCells="1" saltValue="eaJnQ/i//0bjt/e0AG59Uw==" formatRows="1" sort="1" spinCount="100000" hashValue="kWLK61evOALXFSAMGPto1b1VlNjYsEKKnirR/bMd7spbJ4yQclmKLSBjjGhYS0/lWaRWg2XWcaHDEsEV5RntKw=="/>
  <mergeCells count="8">
    <mergeCell ref="A5:D5"/>
    <mergeCell ref="A210:D210"/>
    <mergeCell ref="A87:D87"/>
    <mergeCell ref="B2:D2"/>
    <mergeCell ref="A251:D251"/>
    <mergeCell ref="A128:D128"/>
    <mergeCell ref="A46:D46"/>
    <mergeCell ref="A169:D169"/>
  </mergeCells>
  <hyperlinks>
    <hyperlink ref="C1" location="A289" tooltip="Go to Summary section" display="A289"/>
  </hyperlinks>
  <pageMargins left="0.7" right="0.7" top="0.75" bottom="0.75" header="0.3" footer="0.3"/>
</worksheet>
</file>

<file path=xl/worksheets/sheet14.xml><?xml version="1.0" encoding="utf-8"?>
<worksheet xmlns="http://schemas.openxmlformats.org/spreadsheetml/2006/main">
  <sheetPr>
    <tabColor rgb="FFCCFF66"/>
    <outlinePr summaryBelow="1" summaryRight="1"/>
    <pageSetUpPr/>
  </sheetPr>
  <dimension ref="A1:D289"/>
  <sheetViews>
    <sheetView zoomScale="80" zoomScaleNormal="80" workbookViewId="0">
      <pane xSplit="1" ySplit="3" topLeftCell="B582" activePane="bottomRight" state="frozenSplit"/>
      <selection pane="bottomRight" activeCell="C1" sqref="C1"/>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BE4 - BUDGET SHEET</t>
        </is>
      </c>
      <c r="B1" s="33" t="n"/>
      <c r="C1" s="242" t="inlineStr">
        <is>
          <t>View Summary</t>
        </is>
      </c>
      <c r="D1" s="34" t="n"/>
    </row>
    <row r="2" ht="18.6" customHeight="1">
      <c r="A2" s="265" t="inlineStr">
        <is>
          <t>8739748b-662d-46c1-9f51-2965498f6dfd</t>
        </is>
      </c>
      <c r="B2" s="273" t="inlineStr">
        <is>
          <t>EDP</t>
        </is>
      </c>
      <c r="C2" s="314" t="n"/>
      <c r="D2" s="315" t="n"/>
    </row>
    <row r="3" ht="18.6" customHeight="1">
      <c r="A3" s="131" t="inlineStr">
        <is>
          <t>COST CATEGORY</t>
        </is>
      </c>
      <c r="B3" s="107" t="inlineStr">
        <is>
          <t>ITEMS</t>
        </is>
      </c>
      <c r="C3" s="109" t="inlineStr">
        <is>
          <t>COST PER ITEM</t>
        </is>
      </c>
      <c r="D3" s="107" t="inlineStr">
        <is>
          <t>BE TOTAL COSTS</t>
        </is>
      </c>
    </row>
    <row r="4">
      <c r="A4" s="190" t="n"/>
      <c r="B4" s="185" t="n"/>
      <c r="C4" s="186" t="n"/>
      <c r="D4" s="187" t="n"/>
    </row>
    <row r="5" ht="21" customHeight="1">
      <c r="A5" s="272">
        <f>CONCATENATE("COSTS WORK PACKAGE 1:"," ","Management, IP and Innovation Management")</f>
        <v/>
      </c>
      <c r="B5" s="314" t="n"/>
      <c r="C5" s="314" t="n"/>
      <c r="D5" s="315" t="n"/>
    </row>
    <row r="6">
      <c r="A6" s="182" t="n"/>
      <c r="B6" s="191" t="n"/>
      <c r="C6" s="192" t="n"/>
      <c r="D6" s="191" t="n"/>
    </row>
    <row r="7">
      <c r="A7" s="29" t="inlineStr">
        <is>
          <t>A. DIRECT PERSONNEL COSTS</t>
        </is>
      </c>
      <c r="B7" s="30" t="n"/>
      <c r="C7" s="110" t="n"/>
      <c r="D7" s="354" t="n"/>
    </row>
    <row r="8">
      <c r="A8" s="28" t="inlineStr">
        <is>
          <t>A.1 Employees (or equivalent)</t>
        </is>
      </c>
      <c r="B8" s="89" t="n"/>
      <c r="C8" s="111" t="n"/>
      <c r="D8" s="355" t="n"/>
    </row>
    <row r="9">
      <c r="A9" s="48" t="inlineStr">
        <is>
          <t>SENIOR SCIENTISTS (or equivalent in the private sector)</t>
        </is>
      </c>
      <c r="B9" s="357" t="n">
        <v>1</v>
      </c>
      <c r="C9" s="248" t="n">
        <v>8636</v>
      </c>
      <c r="D9" s="232">
        <f>B9*C9</f>
        <v/>
      </c>
    </row>
    <row r="10">
      <c r="A10" s="48" t="inlineStr">
        <is>
          <t>JUNIOR SCIENTISTS (or equivalent in the private sector)</t>
        </is>
      </c>
      <c r="B10" s="357" t="n">
        <v>1</v>
      </c>
      <c r="C10" s="248" t="n">
        <v>5207</v>
      </c>
      <c r="D10" s="232">
        <f>B10*C10</f>
        <v/>
      </c>
    </row>
    <row r="11">
      <c r="A11" s="48" t="inlineStr">
        <is>
          <t>TECHNICAL PERSONNEL (or equivalent in the private sector)</t>
        </is>
      </c>
      <c r="B11" s="357" t="n"/>
      <c r="C11" s="248" t="n"/>
      <c r="D11" s="232">
        <f>B11*C11</f>
        <v/>
      </c>
    </row>
    <row r="12">
      <c r="A12" s="48" t="inlineStr">
        <is>
          <t>ADMINISTRATIVE PERSONNEL (or equivalent in the private sector)</t>
        </is>
      </c>
      <c r="B12" s="357" t="n"/>
      <c r="C12" s="248" t="n"/>
      <c r="D12" s="232">
        <f>B12*C12</f>
        <v/>
      </c>
    </row>
    <row r="13">
      <c r="A13" s="48" t="inlineStr">
        <is>
          <t>OTHERS</t>
        </is>
      </c>
      <c r="B13" s="357" t="n"/>
      <c r="C13" s="248" t="n"/>
      <c r="D13" s="232">
        <f>B13*C13</f>
        <v/>
      </c>
    </row>
    <row r="14">
      <c r="A14" s="28" t="inlineStr">
        <is>
          <t>A.2 Natural Persons under direct contract</t>
        </is>
      </c>
      <c r="B14" s="357" t="n"/>
      <c r="C14" s="248" t="n"/>
      <c r="D14" s="232">
        <f>B14*C14</f>
        <v/>
      </c>
    </row>
    <row r="15">
      <c r="A15" s="28" t="inlineStr">
        <is>
          <t>A.3 Seconded Persons</t>
        </is>
      </c>
      <c r="B15" s="357" t="n"/>
      <c r="C15" s="248" t="n"/>
      <c r="D15" s="232">
        <f>B15*C15</f>
        <v/>
      </c>
    </row>
    <row r="16">
      <c r="A16" s="28" t="inlineStr">
        <is>
          <t>A.4 SME owners and natural person beneficiaries</t>
        </is>
      </c>
      <c r="B16" s="357" t="n"/>
      <c r="C16" s="256" t="n">
        <v>8194.4398</v>
      </c>
      <c r="D16" s="232">
        <f>B16*C16</f>
        <v/>
      </c>
    </row>
    <row r="17">
      <c r="A17" s="29" t="inlineStr">
        <is>
          <t>B. DIRECT SUBCONTRACTING COSTS</t>
        </is>
      </c>
      <c r="B17" s="358" t="n"/>
      <c r="C17" s="110" t="n"/>
      <c r="D17" s="359" t="n"/>
    </row>
    <row r="18">
      <c r="A18" s="53" t="n"/>
      <c r="B18" s="357" t="n"/>
      <c r="C18" s="248" t="n"/>
      <c r="D18" s="361">
        <f>B18*C18</f>
        <v/>
      </c>
    </row>
    <row r="19">
      <c r="A19" s="29" t="inlineStr">
        <is>
          <t>C. DIRECT PURCHASE COSTS</t>
        </is>
      </c>
      <c r="B19" s="358" t="n"/>
      <c r="C19" s="110" t="n"/>
      <c r="D19" s="359" t="n"/>
    </row>
    <row r="20">
      <c r="A20" s="28" t="inlineStr">
        <is>
          <t>C.1 Travel and subsistence</t>
        </is>
      </c>
      <c r="B20" s="357" t="n">
        <v>4</v>
      </c>
      <c r="C20" s="248" t="n">
        <v>1000</v>
      </c>
      <c r="D20" s="361">
        <f>B20*C20</f>
        <v/>
      </c>
    </row>
    <row r="21">
      <c r="A21" s="28" t="inlineStr">
        <is>
          <t>C.2 Equipment (complete 'Depreciation costs' sheet)</t>
        </is>
      </c>
      <c r="B21" s="346" t="n"/>
      <c r="C21" s="111" t="n"/>
      <c r="D21" s="364" t="n"/>
    </row>
    <row r="22">
      <c r="A22" s="49" t="inlineStr">
        <is>
          <t>Equipment</t>
        </is>
      </c>
      <c r="B22" s="357" t="n"/>
      <c r="C22" s="248" t="n"/>
      <c r="D22" s="361">
        <f>B22*C22</f>
        <v/>
      </c>
    </row>
    <row r="23">
      <c r="A23" s="49" t="inlineStr">
        <is>
          <t>Infrastructure</t>
        </is>
      </c>
      <c r="B23" s="357" t="n"/>
      <c r="C23" s="248" t="n"/>
      <c r="D23" s="361">
        <f>B23*C23</f>
        <v/>
      </c>
    </row>
    <row r="24">
      <c r="A24" s="49" t="inlineStr">
        <is>
          <t>Other assets</t>
        </is>
      </c>
      <c r="B24" s="357" t="n"/>
      <c r="C24" s="248" t="n"/>
      <c r="D24" s="361">
        <f>B24*C24</f>
        <v/>
      </c>
    </row>
    <row r="25">
      <c r="A25" s="28" t="inlineStr">
        <is>
          <t>C.3 Other goods, works and services</t>
        </is>
      </c>
      <c r="B25" s="346" t="n"/>
      <c r="C25" s="111" t="n"/>
      <c r="D25" s="364" t="n"/>
    </row>
    <row r="26">
      <c r="A26" s="49" t="inlineStr">
        <is>
          <t>Consumables</t>
        </is>
      </c>
      <c r="B26" s="357" t="n"/>
      <c r="C26" s="248" t="n"/>
      <c r="D26" s="361">
        <f>B26*C26</f>
        <v/>
      </c>
    </row>
    <row r="27">
      <c r="A27" s="49" t="inlineStr">
        <is>
          <t>Services for meetings, seminars</t>
        </is>
      </c>
      <c r="B27" s="357" t="n"/>
      <c r="C27" s="248" t="n"/>
      <c r="D27" s="361">
        <f>B27*C27</f>
        <v/>
      </c>
    </row>
    <row r="28">
      <c r="A28" s="49" t="inlineStr">
        <is>
          <t>Services for dissemination activities (including website)</t>
        </is>
      </c>
      <c r="B28" s="357" t="n"/>
      <c r="C28" s="248" t="n"/>
      <c r="D28" s="361">
        <f>B28*C28</f>
        <v/>
      </c>
    </row>
    <row r="29">
      <c r="A29" s="49" t="inlineStr">
        <is>
          <t>Publication fees</t>
        </is>
      </c>
      <c r="B29" s="357" t="n"/>
      <c r="C29" s="248" t="n"/>
      <c r="D29" s="361">
        <f>B29*C29</f>
        <v/>
      </c>
    </row>
    <row r="30">
      <c r="A30" s="49" t="inlineStr">
        <is>
          <t>Other (shipment, insurance, translation, etc.)</t>
        </is>
      </c>
      <c r="B30" s="357" t="n"/>
      <c r="C30" s="248" t="n"/>
      <c r="D30" s="361">
        <f>B30*C30</f>
        <v/>
      </c>
    </row>
    <row r="31">
      <c r="A31" s="29" t="inlineStr">
        <is>
          <t>D. OTHER COST CATEGORIES</t>
        </is>
      </c>
      <c r="B31" s="358" t="n"/>
      <c r="C31" s="110" t="n"/>
      <c r="D31" s="359" t="n"/>
    </row>
    <row r="32">
      <c r="A32" s="50" t="inlineStr">
        <is>
          <t>D.1 Financial support to third parties (if applicable in the topic specific conditions)</t>
        </is>
      </c>
      <c r="B32" s="357" t="n"/>
      <c r="C32" s="248" t="n"/>
      <c r="D32" s="361">
        <f>B32*C32</f>
        <v/>
      </c>
    </row>
    <row r="33">
      <c r="A33" s="50" t="inlineStr">
        <is>
          <t>D.2 Internally invoiced goods and services</t>
        </is>
      </c>
      <c r="B33" s="357" t="n"/>
      <c r="C33" s="248" t="n"/>
      <c r="D33" s="361">
        <f>B33*C33</f>
        <v/>
      </c>
    </row>
    <row r="34">
      <c r="A34" s="50" t="inlineStr">
        <is>
          <t>D.3 Transnational access to research infrastructure unit costs (if mentioned as eligible in the topic specific conditions)</t>
        </is>
      </c>
      <c r="B34" s="357" t="n"/>
      <c r="C34" s="248" t="n"/>
      <c r="D34" s="361">
        <f>B34*C34</f>
        <v/>
      </c>
    </row>
    <row r="35">
      <c r="A35" s="50" t="inlineStr">
        <is>
          <t>D.4 Virtual access to research infrastructure unit costs (if mentioned as eligible in the topic specific conditions)</t>
        </is>
      </c>
      <c r="B35" s="357" t="n"/>
      <c r="C35" s="248" t="n"/>
      <c r="D35" s="361">
        <f>B35*C35</f>
        <v/>
      </c>
    </row>
    <row r="36">
      <c r="A36" s="50" t="inlineStr">
        <is>
          <t>D.5 PCP/PPI procurement costs (if mentioned as eligible in the topic specific conditions)</t>
        </is>
      </c>
      <c r="B36" s="357" t="n"/>
      <c r="C36" s="248" t="n"/>
      <c r="D36" s="361">
        <f>B36*C36</f>
        <v/>
      </c>
    </row>
    <row r="37">
      <c r="A37" s="50" t="n"/>
      <c r="B37" s="346" t="n"/>
      <c r="C37" s="111" t="n"/>
      <c r="D37" s="365" t="n"/>
    </row>
    <row r="38">
      <c r="A38" s="52" t="inlineStr">
        <is>
          <t>TOTAL DIRECT PERSONNEL COSTS AND PURCHASE COSTS (A+C)</t>
        </is>
      </c>
      <c r="B38" s="369" t="n"/>
      <c r="C38" s="230" t="n"/>
      <c r="D38" s="360">
        <f>SUM(D9:D16,D20:D30)</f>
        <v/>
      </c>
    </row>
    <row r="39">
      <c r="A39" s="52" t="inlineStr">
        <is>
          <t>TOTAL DIRECT COSTS  (A+B+C+D)</t>
        </is>
      </c>
      <c r="B39" s="369" t="n"/>
      <c r="C39" s="230" t="n"/>
      <c r="D39" s="360">
        <f>SUM(D9:D36)</f>
        <v/>
      </c>
    </row>
    <row r="40">
      <c r="A40" s="180" t="n"/>
      <c r="B40" s="372" t="n"/>
      <c r="C40" s="176" t="n"/>
      <c r="D40" s="373" t="n"/>
    </row>
    <row r="41">
      <c r="A41" s="29" t="inlineStr">
        <is>
          <t>E. INDIRECT COSTS (25% * (A+C))</t>
        </is>
      </c>
      <c r="B41" s="358" t="n"/>
      <c r="C41" s="110" t="n"/>
      <c r="D41" s="360">
        <f>D38*0.25</f>
        <v/>
      </c>
    </row>
    <row r="42">
      <c r="A42" s="32" t="n"/>
      <c r="B42" s="372" t="n"/>
      <c r="C42" s="176" t="n"/>
      <c r="D42" s="377" t="n"/>
    </row>
    <row r="43">
      <c r="A43" s="29" t="inlineStr">
        <is>
          <t>F. TOTAL COSTS (A+B+C+D+E)</t>
        </is>
      </c>
      <c r="B43" s="369" t="n"/>
      <c r="C43" s="230" t="n"/>
      <c r="D43" s="360">
        <f>D39+D41</f>
        <v/>
      </c>
    </row>
    <row r="44">
      <c r="A44" s="182" t="n"/>
      <c r="B44" s="183" t="n"/>
      <c r="C44" s="184" t="n"/>
      <c r="D44" s="183" t="n"/>
    </row>
    <row r="45">
      <c r="A45" s="190" t="n"/>
      <c r="B45" s="185" t="n"/>
      <c r="C45" s="186" t="n"/>
      <c r="D45" s="187" t="n"/>
    </row>
    <row r="46" ht="21" customHeight="1">
      <c r="A46" s="272">
        <f>CONCATENATE("COSTS WORK PACKAGE 2:"," ","Site Characterisation and Demonstrator Engineering")</f>
        <v/>
      </c>
      <c r="B46" s="314" t="n"/>
      <c r="C46" s="314" t="n"/>
      <c r="D46" s="315" t="n"/>
    </row>
    <row r="47">
      <c r="A47" s="182" t="n"/>
      <c r="B47" s="191" t="n"/>
      <c r="C47" s="192" t="n"/>
      <c r="D47" s="191" t="n"/>
    </row>
    <row r="48">
      <c r="A48" s="29" t="inlineStr">
        <is>
          <t>A. DIRECT PERSONNEL COSTS</t>
        </is>
      </c>
      <c r="B48" s="30" t="n"/>
      <c r="C48" s="110" t="n"/>
      <c r="D48" s="354" t="n"/>
    </row>
    <row r="49">
      <c r="A49" s="28" t="inlineStr">
        <is>
          <t>A.1 Employees (or equivalent)</t>
        </is>
      </c>
      <c r="B49" s="89" t="n"/>
      <c r="C49" s="111" t="n"/>
      <c r="D49" s="355" t="n"/>
    </row>
    <row r="50">
      <c r="A50" s="48" t="inlineStr">
        <is>
          <t>SENIOR SCIENTISTS (or equivalent in the private sector)</t>
        </is>
      </c>
      <c r="B50" s="357" t="n"/>
      <c r="C50" s="248" t="n"/>
      <c r="D50" s="232">
        <f>B50*C50</f>
        <v/>
      </c>
    </row>
    <row r="51">
      <c r="A51" s="48" t="inlineStr">
        <is>
          <t>JUNIOR SCIENTISTS (or equivalent in the private sector)</t>
        </is>
      </c>
      <c r="B51" s="357" t="n"/>
      <c r="C51" s="248" t="n"/>
      <c r="D51" s="232">
        <f>B51*C51</f>
        <v/>
      </c>
    </row>
    <row r="52">
      <c r="A52" s="48" t="inlineStr">
        <is>
          <t>TECHNICAL PERSONNEL (or equivalent in the private sector)</t>
        </is>
      </c>
      <c r="B52" s="357" t="n"/>
      <c r="C52" s="248" t="n"/>
      <c r="D52" s="232">
        <f>B52*C52</f>
        <v/>
      </c>
    </row>
    <row r="53">
      <c r="A53" s="48" t="inlineStr">
        <is>
          <t>ADMINISTRATIVE PERSONNEL (or equivalent in the private sector)</t>
        </is>
      </c>
      <c r="B53" s="357" t="n"/>
      <c r="C53" s="248" t="n"/>
      <c r="D53" s="232">
        <f>B53*C53</f>
        <v/>
      </c>
    </row>
    <row r="54">
      <c r="A54" s="48" t="inlineStr">
        <is>
          <t>OTHERS</t>
        </is>
      </c>
      <c r="B54" s="357" t="n"/>
      <c r="C54" s="248" t="n"/>
      <c r="D54" s="232">
        <f>B54*C54</f>
        <v/>
      </c>
    </row>
    <row r="55">
      <c r="A55" s="28" t="inlineStr">
        <is>
          <t>A.2 Natural Persons under direct contract</t>
        </is>
      </c>
      <c r="B55" s="357" t="n"/>
      <c r="C55" s="248" t="n"/>
      <c r="D55" s="232">
        <f>B55*C55</f>
        <v/>
      </c>
    </row>
    <row r="56">
      <c r="A56" s="28" t="inlineStr">
        <is>
          <t>A.3 Seconded Persons</t>
        </is>
      </c>
      <c r="B56" s="357" t="n"/>
      <c r="C56" s="248" t="n"/>
      <c r="D56" s="232">
        <f>B56*C56</f>
        <v/>
      </c>
    </row>
    <row r="57">
      <c r="A57" s="28" t="inlineStr">
        <is>
          <t>A.4 SME owners and natural person beneficiaries</t>
        </is>
      </c>
      <c r="B57" s="357" t="n"/>
      <c r="C57" s="256" t="n">
        <v>8194.4398</v>
      </c>
      <c r="D57" s="232">
        <f>B57*C57</f>
        <v/>
      </c>
    </row>
    <row r="58">
      <c r="A58" s="29" t="inlineStr">
        <is>
          <t>B. DIRECT SUBCONTRACTING COSTS</t>
        </is>
      </c>
      <c r="B58" s="358" t="n"/>
      <c r="C58" s="110" t="n"/>
      <c r="D58" s="359" t="n"/>
    </row>
    <row r="59">
      <c r="A59" s="53" t="n"/>
      <c r="B59" s="357" t="n"/>
      <c r="C59" s="248" t="n"/>
      <c r="D59" s="361">
        <f>B59*C59</f>
        <v/>
      </c>
    </row>
    <row r="60">
      <c r="A60" s="29" t="inlineStr">
        <is>
          <t>C. DIRECT PURCHASE COSTS</t>
        </is>
      </c>
      <c r="B60" s="358" t="n"/>
      <c r="C60" s="110" t="n"/>
      <c r="D60" s="359" t="n"/>
    </row>
    <row r="61">
      <c r="A61" s="28" t="inlineStr">
        <is>
          <t>C.1 Travel and subsistence</t>
        </is>
      </c>
      <c r="B61" s="357" t="n"/>
      <c r="C61" s="248" t="n"/>
      <c r="D61" s="361">
        <f>B61*C61</f>
        <v/>
      </c>
    </row>
    <row r="62">
      <c r="A62" s="28" t="inlineStr">
        <is>
          <t>C.2 Equipment (complete 'Depreciation costs' sheet)</t>
        </is>
      </c>
      <c r="B62" s="346" t="n"/>
      <c r="C62" s="111" t="n"/>
      <c r="D62" s="364" t="n"/>
    </row>
    <row r="63">
      <c r="A63" s="49" t="inlineStr">
        <is>
          <t>Equipment</t>
        </is>
      </c>
      <c r="B63" s="357" t="n"/>
      <c r="C63" s="248" t="n"/>
      <c r="D63" s="361">
        <f>B63*C63</f>
        <v/>
      </c>
    </row>
    <row r="64">
      <c r="A64" s="49" t="inlineStr">
        <is>
          <t>Infrastructure</t>
        </is>
      </c>
      <c r="B64" s="357" t="n"/>
      <c r="C64" s="248" t="n"/>
      <c r="D64" s="361">
        <f>B64*C64</f>
        <v/>
      </c>
    </row>
    <row r="65">
      <c r="A65" s="49" t="inlineStr">
        <is>
          <t>Other assets</t>
        </is>
      </c>
      <c r="B65" s="357" t="n"/>
      <c r="C65" s="248" t="n"/>
      <c r="D65" s="361">
        <f>B65*C65</f>
        <v/>
      </c>
    </row>
    <row r="66">
      <c r="A66" s="28" t="inlineStr">
        <is>
          <t>C.3 Other goods, works and services</t>
        </is>
      </c>
      <c r="B66" s="346" t="n"/>
      <c r="C66" s="111" t="n"/>
      <c r="D66" s="364" t="n"/>
    </row>
    <row r="67">
      <c r="A67" s="49" t="inlineStr">
        <is>
          <t>Consumables</t>
        </is>
      </c>
      <c r="B67" s="357" t="n"/>
      <c r="C67" s="248" t="n"/>
      <c r="D67" s="361">
        <f>B67*C67</f>
        <v/>
      </c>
    </row>
    <row r="68">
      <c r="A68" s="49" t="inlineStr">
        <is>
          <t>Services for meetings, seminars</t>
        </is>
      </c>
      <c r="B68" s="357" t="n"/>
      <c r="C68" s="248" t="n"/>
      <c r="D68" s="361">
        <f>B68*C68</f>
        <v/>
      </c>
    </row>
    <row r="69">
      <c r="A69" s="49" t="inlineStr">
        <is>
          <t>Services for dissemination activities (including website)</t>
        </is>
      </c>
      <c r="B69" s="357" t="n"/>
      <c r="C69" s="248" t="n"/>
      <c r="D69" s="361">
        <f>B69*C69</f>
        <v/>
      </c>
    </row>
    <row r="70">
      <c r="A70" s="49" t="inlineStr">
        <is>
          <t>Publication fees</t>
        </is>
      </c>
      <c r="B70" s="357" t="n"/>
      <c r="C70" s="248" t="n"/>
      <c r="D70" s="361">
        <f>B70*C70</f>
        <v/>
      </c>
    </row>
    <row r="71">
      <c r="A71" s="49" t="inlineStr">
        <is>
          <t>Other (shipment, insurance, translation, etc.)</t>
        </is>
      </c>
      <c r="B71" s="357" t="n"/>
      <c r="C71" s="248" t="n"/>
      <c r="D71" s="361">
        <f>B71*C71</f>
        <v/>
      </c>
    </row>
    <row r="72">
      <c r="A72" s="29" t="inlineStr">
        <is>
          <t>D. OTHER COST CATEGORIES</t>
        </is>
      </c>
      <c r="B72" s="358" t="n"/>
      <c r="C72" s="110" t="n"/>
      <c r="D72" s="359" t="n"/>
    </row>
    <row r="73">
      <c r="A73" s="50" t="inlineStr">
        <is>
          <t>D.1 Financial support to third parties (if applicable in the topic specific conditions)</t>
        </is>
      </c>
      <c r="B73" s="357" t="n"/>
      <c r="C73" s="248" t="n"/>
      <c r="D73" s="361">
        <f>B73*C73</f>
        <v/>
      </c>
    </row>
    <row r="74">
      <c r="A74" s="50" t="inlineStr">
        <is>
          <t>D.2 Internally invoiced goods and services</t>
        </is>
      </c>
      <c r="B74" s="357" t="n"/>
      <c r="C74" s="248" t="n"/>
      <c r="D74" s="361">
        <f>B74*C74</f>
        <v/>
      </c>
    </row>
    <row r="75">
      <c r="A75" s="50" t="inlineStr">
        <is>
          <t>D.3 Transnational access to research infrastructure unit costs (if mentioned as eligible in the topic specific conditions)</t>
        </is>
      </c>
      <c r="B75" s="357" t="n"/>
      <c r="C75" s="248" t="n"/>
      <c r="D75" s="361">
        <f>B75*C75</f>
        <v/>
      </c>
    </row>
    <row r="76">
      <c r="A76" s="50" t="inlineStr">
        <is>
          <t>D.4 Virtual access to research infrastructure unit costs (if mentioned as eligible in the topic specific conditions)</t>
        </is>
      </c>
      <c r="B76" s="357" t="n"/>
      <c r="C76" s="248" t="n"/>
      <c r="D76" s="361">
        <f>B76*C76</f>
        <v/>
      </c>
    </row>
    <row r="77">
      <c r="A77" s="50" t="inlineStr">
        <is>
          <t>D.5 PCP/PPI procurement costs (if mentioned as eligible in the topic specific conditions)</t>
        </is>
      </c>
      <c r="B77" s="357" t="n"/>
      <c r="C77" s="248" t="n"/>
      <c r="D77" s="361">
        <f>B77*C77</f>
        <v/>
      </c>
    </row>
    <row r="78">
      <c r="A78" s="50" t="n"/>
      <c r="B78" s="346" t="n"/>
      <c r="C78" s="111" t="n"/>
      <c r="D78" s="365" t="n"/>
    </row>
    <row r="79">
      <c r="A79" s="52" t="inlineStr">
        <is>
          <t>TOTAL DIRECT PERSONNEL COSTS AND PURCHASE COSTS (A+C)</t>
        </is>
      </c>
      <c r="B79" s="369" t="n"/>
      <c r="C79" s="230" t="n"/>
      <c r="D79" s="360">
        <f>SUM(D50:D57,D61:D71)</f>
        <v/>
      </c>
    </row>
    <row r="80">
      <c r="A80" s="52" t="inlineStr">
        <is>
          <t>TOTAL DIRECT COSTS  (A+B+C+D)</t>
        </is>
      </c>
      <c r="B80" s="369" t="n"/>
      <c r="C80" s="230" t="n"/>
      <c r="D80" s="360">
        <f>SUM(D50:D77)</f>
        <v/>
      </c>
    </row>
    <row r="81">
      <c r="A81" s="180" t="n"/>
      <c r="B81" s="372" t="n"/>
      <c r="C81" s="176" t="n"/>
      <c r="D81" s="373" t="n"/>
    </row>
    <row r="82">
      <c r="A82" s="29" t="inlineStr">
        <is>
          <t>E. INDIRECT COSTS (25% * (A+C))</t>
        </is>
      </c>
      <c r="B82" s="358" t="n"/>
      <c r="C82" s="110" t="n"/>
      <c r="D82" s="360">
        <f>D79*0.25</f>
        <v/>
      </c>
    </row>
    <row r="83">
      <c r="A83" s="32" t="n"/>
      <c r="B83" s="372" t="n"/>
      <c r="C83" s="176" t="n"/>
      <c r="D83" s="377" t="n"/>
    </row>
    <row r="84">
      <c r="A84" s="29" t="inlineStr">
        <is>
          <t>F. TOTAL COSTS (A+B+C+D+E)</t>
        </is>
      </c>
      <c r="B84" s="369" t="n"/>
      <c r="C84" s="230" t="n"/>
      <c r="D84" s="360">
        <f>D80+D82</f>
        <v/>
      </c>
    </row>
    <row r="85">
      <c r="A85" s="182" t="n"/>
      <c r="B85" s="183" t="n"/>
      <c r="C85" s="184" t="n"/>
      <c r="D85" s="183" t="n"/>
    </row>
    <row r="86">
      <c r="A86" s="190" t="n"/>
      <c r="B86" s="185" t="n"/>
      <c r="C86" s="186" t="n"/>
      <c r="D86" s="187" t="n"/>
    </row>
    <row r="87" ht="21" customHeight="1">
      <c r="A87" s="272">
        <f>CONCATENATE("COSTS WORK PACKAGE 3:"," ","Design Verification and Model Validation")</f>
        <v/>
      </c>
      <c r="B87" s="314" t="n"/>
      <c r="C87" s="314" t="n"/>
      <c r="D87" s="315" t="n"/>
    </row>
    <row r="88">
      <c r="A88" s="182" t="n"/>
      <c r="B88" s="191" t="n"/>
      <c r="C88" s="192" t="n"/>
      <c r="D88" s="191" t="n"/>
    </row>
    <row r="89">
      <c r="A89" s="29" t="inlineStr">
        <is>
          <t>A. DIRECT PERSONNEL COSTS</t>
        </is>
      </c>
      <c r="B89" s="30" t="n"/>
      <c r="C89" s="110" t="n"/>
      <c r="D89" s="354" t="n"/>
    </row>
    <row r="90">
      <c r="A90" s="28" t="inlineStr">
        <is>
          <t>A.1 Employees (or equivalent)</t>
        </is>
      </c>
      <c r="B90" s="89" t="n"/>
      <c r="C90" s="111" t="n"/>
      <c r="D90" s="355" t="n"/>
    </row>
    <row r="91">
      <c r="A91" s="48" t="inlineStr">
        <is>
          <t>SENIOR SCIENTISTS (or equivalent in the private sector)</t>
        </is>
      </c>
      <c r="B91" s="357" t="n"/>
      <c r="C91" s="248" t="n"/>
      <c r="D91" s="232">
        <f>B91*C91</f>
        <v/>
      </c>
    </row>
    <row r="92">
      <c r="A92" s="48" t="inlineStr">
        <is>
          <t>JUNIOR SCIENTISTS (or equivalent in the private sector)</t>
        </is>
      </c>
      <c r="B92" s="357" t="n"/>
      <c r="C92" s="248" t="n"/>
      <c r="D92" s="232">
        <f>B92*C92</f>
        <v/>
      </c>
    </row>
    <row r="93">
      <c r="A93" s="48" t="inlineStr">
        <is>
          <t>TECHNICAL PERSONNEL (or equivalent in the private sector)</t>
        </is>
      </c>
      <c r="B93" s="357" t="n"/>
      <c r="C93" s="248" t="n"/>
      <c r="D93" s="232">
        <f>B93*C93</f>
        <v/>
      </c>
    </row>
    <row r="94">
      <c r="A94" s="48" t="inlineStr">
        <is>
          <t>ADMINISTRATIVE PERSONNEL (or equivalent in the private sector)</t>
        </is>
      </c>
      <c r="B94" s="357" t="n"/>
      <c r="C94" s="248" t="n"/>
      <c r="D94" s="232">
        <f>B94*C94</f>
        <v/>
      </c>
    </row>
    <row r="95">
      <c r="A95" s="48" t="inlineStr">
        <is>
          <t>OTHERS</t>
        </is>
      </c>
      <c r="B95" s="357" t="n"/>
      <c r="C95" s="248" t="n"/>
      <c r="D95" s="232">
        <f>B95*C95</f>
        <v/>
      </c>
    </row>
    <row r="96">
      <c r="A96" s="28" t="inlineStr">
        <is>
          <t>A.2 Natural Persons under direct contract</t>
        </is>
      </c>
      <c r="B96" s="357" t="n"/>
      <c r="C96" s="248" t="n"/>
      <c r="D96" s="232">
        <f>B96*C96</f>
        <v/>
      </c>
    </row>
    <row r="97">
      <c r="A97" s="28" t="inlineStr">
        <is>
          <t>A.3 Seconded Persons</t>
        </is>
      </c>
      <c r="B97" s="357" t="n"/>
      <c r="C97" s="248" t="n"/>
      <c r="D97" s="232">
        <f>B97*C97</f>
        <v/>
      </c>
    </row>
    <row r="98">
      <c r="A98" s="28" t="inlineStr">
        <is>
          <t>A.4 SME owners and natural person beneficiaries</t>
        </is>
      </c>
      <c r="B98" s="357" t="n"/>
      <c r="C98" s="256" t="n">
        <v>8194.4398</v>
      </c>
      <c r="D98" s="232">
        <f>B98*C98</f>
        <v/>
      </c>
    </row>
    <row r="99">
      <c r="A99" s="29" t="inlineStr">
        <is>
          <t>B. DIRECT SUBCONTRACTING COSTS</t>
        </is>
      </c>
      <c r="B99" s="358" t="n"/>
      <c r="C99" s="110" t="n"/>
      <c r="D99" s="359" t="n"/>
    </row>
    <row r="100">
      <c r="A100" s="53" t="n"/>
      <c r="B100" s="357" t="n"/>
      <c r="C100" s="248" t="n"/>
      <c r="D100" s="361">
        <f>B100*C100</f>
        <v/>
      </c>
    </row>
    <row r="101">
      <c r="A101" s="29" t="inlineStr">
        <is>
          <t>C. DIRECT PURCHASE COSTS</t>
        </is>
      </c>
      <c r="B101" s="358" t="n"/>
      <c r="C101" s="110" t="n"/>
      <c r="D101" s="359" t="n"/>
    </row>
    <row r="102">
      <c r="A102" s="28" t="inlineStr">
        <is>
          <t>C.1 Travel and subsistence</t>
        </is>
      </c>
      <c r="B102" s="357" t="n"/>
      <c r="C102" s="248" t="n"/>
      <c r="D102" s="361">
        <f>B102*C102</f>
        <v/>
      </c>
    </row>
    <row r="103">
      <c r="A103" s="28" t="inlineStr">
        <is>
          <t>C.2 Equipment (complete 'Depreciation costs' sheet)</t>
        </is>
      </c>
      <c r="B103" s="346" t="n"/>
      <c r="C103" s="111" t="n"/>
      <c r="D103" s="364" t="n"/>
    </row>
    <row r="104">
      <c r="A104" s="49" t="inlineStr">
        <is>
          <t>Equipment</t>
        </is>
      </c>
      <c r="B104" s="357" t="n"/>
      <c r="C104" s="248" t="n"/>
      <c r="D104" s="361">
        <f>B104*C104</f>
        <v/>
      </c>
    </row>
    <row r="105">
      <c r="A105" s="49" t="inlineStr">
        <is>
          <t>Infrastructure</t>
        </is>
      </c>
      <c r="B105" s="357" t="n"/>
      <c r="C105" s="248" t="n"/>
      <c r="D105" s="361">
        <f>B105*C105</f>
        <v/>
      </c>
    </row>
    <row r="106">
      <c r="A106" s="49" t="inlineStr">
        <is>
          <t>Other assets</t>
        </is>
      </c>
      <c r="B106" s="357" t="n"/>
      <c r="C106" s="248" t="n"/>
      <c r="D106" s="361">
        <f>B106*C106</f>
        <v/>
      </c>
    </row>
    <row r="107">
      <c r="A107" s="28" t="inlineStr">
        <is>
          <t>C.3 Other goods, works and services</t>
        </is>
      </c>
      <c r="B107" s="346" t="n"/>
      <c r="C107" s="111" t="n"/>
      <c r="D107" s="364" t="n"/>
    </row>
    <row r="108">
      <c r="A108" s="49" t="inlineStr">
        <is>
          <t>Consumables</t>
        </is>
      </c>
      <c r="B108" s="357" t="n"/>
      <c r="C108" s="248" t="n"/>
      <c r="D108" s="361">
        <f>B108*C108</f>
        <v/>
      </c>
    </row>
    <row r="109">
      <c r="A109" s="49" t="inlineStr">
        <is>
          <t>Services for meetings, seminars</t>
        </is>
      </c>
      <c r="B109" s="357" t="n"/>
      <c r="C109" s="248" t="n"/>
      <c r="D109" s="361">
        <f>B109*C109</f>
        <v/>
      </c>
    </row>
    <row r="110">
      <c r="A110" s="49" t="inlineStr">
        <is>
          <t>Services for dissemination activities (including website)</t>
        </is>
      </c>
      <c r="B110" s="357" t="n"/>
      <c r="C110" s="248" t="n"/>
      <c r="D110" s="361">
        <f>B110*C110</f>
        <v/>
      </c>
    </row>
    <row r="111">
      <c r="A111" s="49" t="inlineStr">
        <is>
          <t>Publication fees</t>
        </is>
      </c>
      <c r="B111" s="357" t="n"/>
      <c r="C111" s="248" t="n"/>
      <c r="D111" s="361">
        <f>B111*C111</f>
        <v/>
      </c>
    </row>
    <row r="112">
      <c r="A112" s="49" t="inlineStr">
        <is>
          <t>Other (shipment, insurance, translation, etc.)</t>
        </is>
      </c>
      <c r="B112" s="357" t="n"/>
      <c r="C112" s="248" t="n"/>
      <c r="D112" s="361">
        <f>B112*C112</f>
        <v/>
      </c>
    </row>
    <row r="113">
      <c r="A113" s="29" t="inlineStr">
        <is>
          <t>D. OTHER COST CATEGORIES</t>
        </is>
      </c>
      <c r="B113" s="358" t="n"/>
      <c r="C113" s="110" t="n"/>
      <c r="D113" s="359" t="n"/>
    </row>
    <row r="114">
      <c r="A114" s="50" t="inlineStr">
        <is>
          <t>D.1 Financial support to third parties (if applicable in the topic specific conditions)</t>
        </is>
      </c>
      <c r="B114" s="357" t="n"/>
      <c r="C114" s="248" t="n"/>
      <c r="D114" s="361">
        <f>B114*C114</f>
        <v/>
      </c>
    </row>
    <row r="115">
      <c r="A115" s="50" t="inlineStr">
        <is>
          <t>D.2 Internally invoiced goods and services</t>
        </is>
      </c>
      <c r="B115" s="357" t="n"/>
      <c r="C115" s="248" t="n"/>
      <c r="D115" s="361">
        <f>B115*C115</f>
        <v/>
      </c>
    </row>
    <row r="116">
      <c r="A116" s="50" t="inlineStr">
        <is>
          <t>D.3 Transnational access to research infrastructure unit costs (if mentioned as eligible in the topic specific conditions)</t>
        </is>
      </c>
      <c r="B116" s="357" t="n"/>
      <c r="C116" s="248" t="n"/>
      <c r="D116" s="361">
        <f>B116*C116</f>
        <v/>
      </c>
    </row>
    <row r="117">
      <c r="A117" s="50" t="inlineStr">
        <is>
          <t>D.4 Virtual access to research infrastructure unit costs (if mentioned as eligible in the topic specific conditions)</t>
        </is>
      </c>
      <c r="B117" s="357" t="n"/>
      <c r="C117" s="248" t="n"/>
      <c r="D117" s="361">
        <f>B117*C117</f>
        <v/>
      </c>
    </row>
    <row r="118">
      <c r="A118" s="50" t="inlineStr">
        <is>
          <t>D.5 PCP/PPI procurement costs (if mentioned as eligible in the topic specific conditions)</t>
        </is>
      </c>
      <c r="B118" s="357" t="n"/>
      <c r="C118" s="248" t="n"/>
      <c r="D118" s="361">
        <f>B118*C118</f>
        <v/>
      </c>
    </row>
    <row r="119">
      <c r="A119" s="50" t="n"/>
      <c r="B119" s="346" t="n"/>
      <c r="C119" s="111" t="n"/>
      <c r="D119" s="365" t="n"/>
    </row>
    <row r="120">
      <c r="A120" s="52" t="inlineStr">
        <is>
          <t>TOTAL DIRECT PERSONNEL COSTS AND PURCHASE COSTS (A+C)</t>
        </is>
      </c>
      <c r="B120" s="369" t="n"/>
      <c r="C120" s="230" t="n"/>
      <c r="D120" s="360">
        <f>SUM(D91:D98,D102:D112)</f>
        <v/>
      </c>
    </row>
    <row r="121">
      <c r="A121" s="52" t="inlineStr">
        <is>
          <t>TOTAL DIRECT COSTS  (A+B+C+D)</t>
        </is>
      </c>
      <c r="B121" s="369" t="n"/>
      <c r="C121" s="230" t="n"/>
      <c r="D121" s="360">
        <f>SUM(D91:D118)</f>
        <v/>
      </c>
    </row>
    <row r="122">
      <c r="A122" s="180" t="n"/>
      <c r="B122" s="372" t="n"/>
      <c r="C122" s="176" t="n"/>
      <c r="D122" s="373" t="n"/>
    </row>
    <row r="123">
      <c r="A123" s="29" t="inlineStr">
        <is>
          <t>E. INDIRECT COSTS (25% * (A+C))</t>
        </is>
      </c>
      <c r="B123" s="358" t="n"/>
      <c r="C123" s="110" t="n"/>
      <c r="D123" s="360">
        <f>D120*0.25</f>
        <v/>
      </c>
    </row>
    <row r="124">
      <c r="A124" s="32" t="n"/>
      <c r="B124" s="372" t="n"/>
      <c r="C124" s="176" t="n"/>
      <c r="D124" s="377" t="n"/>
    </row>
    <row r="125">
      <c r="A125" s="29" t="inlineStr">
        <is>
          <t>F. TOTAL COSTS (A+B+C+D+E)</t>
        </is>
      </c>
      <c r="B125" s="369" t="n"/>
      <c r="C125" s="230" t="n"/>
      <c r="D125" s="360">
        <f>D121+D123</f>
        <v/>
      </c>
    </row>
    <row r="126">
      <c r="A126" s="182" t="n"/>
      <c r="B126" s="183" t="n"/>
      <c r="C126" s="184" t="n"/>
      <c r="D126" s="183" t="n"/>
    </row>
    <row r="127">
      <c r="A127" s="190" t="n"/>
      <c r="B127" s="185" t="n"/>
      <c r="C127" s="186" t="n"/>
      <c r="D127" s="187" t="n"/>
    </row>
    <row r="128" ht="21" customHeight="1">
      <c r="A128" s="272">
        <f>CONCATENATE("COSTS WORK PACKAGE 4:"," ","Manufacturing, Instrumentation and Factory Acceptance")</f>
        <v/>
      </c>
      <c r="B128" s="314" t="n"/>
      <c r="C128" s="314" t="n"/>
      <c r="D128" s="315" t="n"/>
    </row>
    <row r="129">
      <c r="A129" s="182" t="n"/>
      <c r="B129" s="191" t="n"/>
      <c r="C129" s="192" t="n"/>
      <c r="D129" s="191" t="n"/>
    </row>
    <row r="130">
      <c r="A130" s="29" t="inlineStr">
        <is>
          <t>A. DIRECT PERSONNEL COSTS</t>
        </is>
      </c>
      <c r="B130" s="30" t="n"/>
      <c r="C130" s="110" t="n"/>
      <c r="D130" s="354" t="n"/>
    </row>
    <row r="131">
      <c r="A131" s="28" t="inlineStr">
        <is>
          <t>A.1 Employees (or equivalent)</t>
        </is>
      </c>
      <c r="B131" s="89" t="n"/>
      <c r="C131" s="111" t="n"/>
      <c r="D131" s="355" t="n"/>
    </row>
    <row r="132">
      <c r="A132" s="48" t="inlineStr">
        <is>
          <t>SENIOR SCIENTISTS (or equivalent in the private sector)</t>
        </is>
      </c>
      <c r="B132" s="357" t="n"/>
      <c r="C132" s="248" t="n"/>
      <c r="D132" s="232">
        <f>B132*C132</f>
        <v/>
      </c>
    </row>
    <row r="133">
      <c r="A133" s="48" t="inlineStr">
        <is>
          <t>JUNIOR SCIENTISTS (or equivalent in the private sector)</t>
        </is>
      </c>
      <c r="B133" s="357" t="n"/>
      <c r="C133" s="248" t="n"/>
      <c r="D133" s="232">
        <f>B133*C133</f>
        <v/>
      </c>
    </row>
    <row r="134">
      <c r="A134" s="48" t="inlineStr">
        <is>
          <t>TECHNICAL PERSONNEL (or equivalent in the private sector)</t>
        </is>
      </c>
      <c r="B134" s="357" t="n"/>
      <c r="C134" s="248" t="n"/>
      <c r="D134" s="232">
        <f>B134*C134</f>
        <v/>
      </c>
    </row>
    <row r="135">
      <c r="A135" s="48" t="inlineStr">
        <is>
          <t>ADMINISTRATIVE PERSONNEL (or equivalent in the private sector)</t>
        </is>
      </c>
      <c r="B135" s="357" t="n"/>
      <c r="C135" s="248" t="n"/>
      <c r="D135" s="232">
        <f>B135*C135</f>
        <v/>
      </c>
    </row>
    <row r="136">
      <c r="A136" s="48" t="inlineStr">
        <is>
          <t>OTHERS</t>
        </is>
      </c>
      <c r="B136" s="357" t="n"/>
      <c r="C136" s="248" t="n"/>
      <c r="D136" s="232">
        <f>B136*C136</f>
        <v/>
      </c>
    </row>
    <row r="137">
      <c r="A137" s="28" t="inlineStr">
        <is>
          <t>A.2 Natural Persons under direct contract</t>
        </is>
      </c>
      <c r="B137" s="357" t="n"/>
      <c r="C137" s="248" t="n"/>
      <c r="D137" s="232">
        <f>B137*C137</f>
        <v/>
      </c>
    </row>
    <row r="138">
      <c r="A138" s="28" t="inlineStr">
        <is>
          <t>A.3 Seconded Persons</t>
        </is>
      </c>
      <c r="B138" s="357" t="n"/>
      <c r="C138" s="248" t="n"/>
      <c r="D138" s="232">
        <f>B138*C138</f>
        <v/>
      </c>
    </row>
    <row r="139">
      <c r="A139" s="28" t="inlineStr">
        <is>
          <t>A.4 SME owners and natural person beneficiaries</t>
        </is>
      </c>
      <c r="B139" s="357" t="n"/>
      <c r="C139" s="256" t="n">
        <v>8194.4398</v>
      </c>
      <c r="D139" s="232">
        <f>B139*C139</f>
        <v/>
      </c>
    </row>
    <row r="140">
      <c r="A140" s="29" t="inlineStr">
        <is>
          <t>B. DIRECT SUBCONTRACTING COSTS</t>
        </is>
      </c>
      <c r="B140" s="358" t="n"/>
      <c r="C140" s="110" t="n"/>
      <c r="D140" s="359" t="n"/>
    </row>
    <row r="141">
      <c r="A141" s="53" t="n"/>
      <c r="B141" s="357" t="n"/>
      <c r="C141" s="248" t="n"/>
      <c r="D141" s="361">
        <f>B141*C141</f>
        <v/>
      </c>
    </row>
    <row r="142">
      <c r="A142" s="29" t="inlineStr">
        <is>
          <t>C. DIRECT PURCHASE COSTS</t>
        </is>
      </c>
      <c r="B142" s="358" t="n"/>
      <c r="C142" s="110" t="n"/>
      <c r="D142" s="359" t="n"/>
    </row>
    <row r="143">
      <c r="A143" s="28" t="inlineStr">
        <is>
          <t>C.1 Travel and subsistence</t>
        </is>
      </c>
      <c r="B143" s="357" t="n"/>
      <c r="C143" s="248" t="n"/>
      <c r="D143" s="361">
        <f>B143*C143</f>
        <v/>
      </c>
    </row>
    <row r="144">
      <c r="A144" s="28" t="inlineStr">
        <is>
          <t>C.2 Equipment (complete 'Depreciation costs' sheet)</t>
        </is>
      </c>
      <c r="B144" s="346" t="n"/>
      <c r="C144" s="111" t="n"/>
      <c r="D144" s="364" t="n"/>
    </row>
    <row r="145">
      <c r="A145" s="49" t="inlineStr">
        <is>
          <t>Equipment</t>
        </is>
      </c>
      <c r="B145" s="357" t="n"/>
      <c r="C145" s="248" t="n"/>
      <c r="D145" s="361">
        <f>B145*C145</f>
        <v/>
      </c>
    </row>
    <row r="146">
      <c r="A146" s="49" t="inlineStr">
        <is>
          <t>Infrastructure</t>
        </is>
      </c>
      <c r="B146" s="357" t="n"/>
      <c r="C146" s="248" t="n"/>
      <c r="D146" s="361">
        <f>B146*C146</f>
        <v/>
      </c>
    </row>
    <row r="147">
      <c r="A147" s="49" t="inlineStr">
        <is>
          <t>Other assets</t>
        </is>
      </c>
      <c r="B147" s="357" t="n"/>
      <c r="C147" s="248" t="n"/>
      <c r="D147" s="361">
        <f>B147*C147</f>
        <v/>
      </c>
    </row>
    <row r="148">
      <c r="A148" s="28" t="inlineStr">
        <is>
          <t>C.3 Other goods, works and services</t>
        </is>
      </c>
      <c r="B148" s="346" t="n"/>
      <c r="C148" s="111" t="n"/>
      <c r="D148" s="364" t="n"/>
    </row>
    <row r="149">
      <c r="A149" s="49" t="inlineStr">
        <is>
          <t>Consumables</t>
        </is>
      </c>
      <c r="B149" s="357" t="n"/>
      <c r="C149" s="248" t="n"/>
      <c r="D149" s="361">
        <f>B149*C149</f>
        <v/>
      </c>
    </row>
    <row r="150">
      <c r="A150" s="49" t="inlineStr">
        <is>
          <t>Services for meetings, seminars</t>
        </is>
      </c>
      <c r="B150" s="357" t="n"/>
      <c r="C150" s="248" t="n"/>
      <c r="D150" s="361">
        <f>B150*C150</f>
        <v/>
      </c>
    </row>
    <row r="151">
      <c r="A151" s="49" t="inlineStr">
        <is>
          <t>Services for dissemination activities (including website)</t>
        </is>
      </c>
      <c r="B151" s="357" t="n"/>
      <c r="C151" s="248" t="n"/>
      <c r="D151" s="361">
        <f>B151*C151</f>
        <v/>
      </c>
    </row>
    <row r="152">
      <c r="A152" s="49" t="inlineStr">
        <is>
          <t>Publication fees</t>
        </is>
      </c>
      <c r="B152" s="357" t="n"/>
      <c r="C152" s="248" t="n"/>
      <c r="D152" s="361">
        <f>B152*C152</f>
        <v/>
      </c>
    </row>
    <row r="153">
      <c r="A153" s="49" t="inlineStr">
        <is>
          <t>Other (shipment, insurance, translation, etc.)</t>
        </is>
      </c>
      <c r="B153" s="357" t="n"/>
      <c r="C153" s="248" t="n"/>
      <c r="D153" s="361">
        <f>B153*C153</f>
        <v/>
      </c>
    </row>
    <row r="154">
      <c r="A154" s="29" t="inlineStr">
        <is>
          <t>D. OTHER COST CATEGORIES</t>
        </is>
      </c>
      <c r="B154" s="358" t="n"/>
      <c r="C154" s="110" t="n"/>
      <c r="D154" s="359" t="n"/>
    </row>
    <row r="155">
      <c r="A155" s="50" t="inlineStr">
        <is>
          <t>D.1 Financial support to third parties (if applicable in the topic specific conditions)</t>
        </is>
      </c>
      <c r="B155" s="357" t="n"/>
      <c r="C155" s="248" t="n"/>
      <c r="D155" s="361">
        <f>B155*C155</f>
        <v/>
      </c>
    </row>
    <row r="156">
      <c r="A156" s="50" t="inlineStr">
        <is>
          <t>D.2 Internally invoiced goods and services</t>
        </is>
      </c>
      <c r="B156" s="357" t="n"/>
      <c r="C156" s="248" t="n"/>
      <c r="D156" s="361">
        <f>B156*C156</f>
        <v/>
      </c>
    </row>
    <row r="157">
      <c r="A157" s="50" t="inlineStr">
        <is>
          <t>D.3 Transnational access to research infrastructure unit costs (if mentioned as eligible in the topic specific conditions)</t>
        </is>
      </c>
      <c r="B157" s="357" t="n"/>
      <c r="C157" s="248" t="n"/>
      <c r="D157" s="361">
        <f>B157*C157</f>
        <v/>
      </c>
    </row>
    <row r="158">
      <c r="A158" s="50" t="inlineStr">
        <is>
          <t>D.4 Virtual access to research infrastructure unit costs (if mentioned as eligible in the topic specific conditions)</t>
        </is>
      </c>
      <c r="B158" s="357" t="n"/>
      <c r="C158" s="248" t="n"/>
      <c r="D158" s="361">
        <f>B158*C158</f>
        <v/>
      </c>
    </row>
    <row r="159">
      <c r="A159" s="50" t="inlineStr">
        <is>
          <t>D.5 PCP/PPI procurement costs (if mentioned as eligible in the topic specific conditions)</t>
        </is>
      </c>
      <c r="B159" s="357" t="n"/>
      <c r="C159" s="248" t="n"/>
      <c r="D159" s="361">
        <f>B159*C159</f>
        <v/>
      </c>
    </row>
    <row r="160">
      <c r="A160" s="50" t="n"/>
      <c r="B160" s="346" t="n"/>
      <c r="C160" s="111" t="n"/>
      <c r="D160" s="365" t="n"/>
    </row>
    <row r="161">
      <c r="A161" s="52" t="inlineStr">
        <is>
          <t>TOTAL DIRECT PERSONNEL COSTS AND PURCHASE COSTS (A+C)</t>
        </is>
      </c>
      <c r="B161" s="369" t="n"/>
      <c r="C161" s="230" t="n"/>
      <c r="D161" s="360">
        <f>SUM(D132:D139,D143:D153)</f>
        <v/>
      </c>
    </row>
    <row r="162">
      <c r="A162" s="52" t="inlineStr">
        <is>
          <t>TOTAL DIRECT COSTS  (A+B+C+D)</t>
        </is>
      </c>
      <c r="B162" s="369" t="n"/>
      <c r="C162" s="230" t="n"/>
      <c r="D162" s="360">
        <f>SUM(D132:D159)</f>
        <v/>
      </c>
    </row>
    <row r="163">
      <c r="A163" s="180" t="n"/>
      <c r="B163" s="372" t="n"/>
      <c r="C163" s="176" t="n"/>
      <c r="D163" s="373" t="n"/>
    </row>
    <row r="164">
      <c r="A164" s="29" t="inlineStr">
        <is>
          <t>E. INDIRECT COSTS (25% * (A+C))</t>
        </is>
      </c>
      <c r="B164" s="358" t="n"/>
      <c r="C164" s="110" t="n"/>
      <c r="D164" s="360">
        <f>D161*0.25</f>
        <v/>
      </c>
    </row>
    <row r="165">
      <c r="A165" s="32" t="n"/>
      <c r="B165" s="372" t="n"/>
      <c r="C165" s="176" t="n"/>
      <c r="D165" s="377" t="n"/>
    </row>
    <row r="166">
      <c r="A166" s="29" t="inlineStr">
        <is>
          <t>F. TOTAL COSTS (A+B+C+D+E)</t>
        </is>
      </c>
      <c r="B166" s="369" t="n"/>
      <c r="C166" s="230" t="n"/>
      <c r="D166" s="360">
        <f>D162+D164</f>
        <v/>
      </c>
    </row>
    <row r="167">
      <c r="A167" s="182" t="n"/>
      <c r="B167" s="183" t="n"/>
      <c r="C167" s="184" t="n"/>
      <c r="D167" s="183" t="n"/>
    </row>
    <row r="168">
      <c r="A168" s="190" t="n"/>
      <c r="B168" s="185" t="n"/>
      <c r="C168" s="186" t="n"/>
      <c r="D168" s="187" t="n"/>
    </row>
    <row r="169" ht="21" customHeight="1">
      <c r="A169" s="272">
        <f>CONCATENATE("COSTS WORK PACKAGE 5:"," ","Deployment, Operation and Validation Campaign")</f>
        <v/>
      </c>
      <c r="B169" s="314" t="n"/>
      <c r="C169" s="314" t="n"/>
      <c r="D169" s="315" t="n"/>
    </row>
    <row r="170">
      <c r="A170" s="182" t="n"/>
      <c r="B170" s="191" t="n"/>
      <c r="C170" s="192" t="n"/>
      <c r="D170" s="191" t="n"/>
    </row>
    <row r="171">
      <c r="A171" s="29" t="inlineStr">
        <is>
          <t>A. DIRECT PERSONNEL COSTS</t>
        </is>
      </c>
      <c r="B171" s="30" t="n"/>
      <c r="C171" s="110" t="n"/>
      <c r="D171" s="354" t="n"/>
    </row>
    <row r="172">
      <c r="A172" s="28" t="inlineStr">
        <is>
          <t>A.1 Employees (or equivalent)</t>
        </is>
      </c>
      <c r="B172" s="89" t="n"/>
      <c r="C172" s="111" t="n"/>
      <c r="D172" s="355" t="n"/>
    </row>
    <row r="173">
      <c r="A173" s="48" t="inlineStr">
        <is>
          <t>SENIOR SCIENTISTS (or equivalent in the private sector)</t>
        </is>
      </c>
      <c r="B173" s="357" t="n"/>
      <c r="C173" s="248" t="n"/>
      <c r="D173" s="232">
        <f>B173*C173</f>
        <v/>
      </c>
    </row>
    <row r="174">
      <c r="A174" s="48" t="inlineStr">
        <is>
          <t>JUNIOR SCIENTISTS (or equivalent in the private sector)</t>
        </is>
      </c>
      <c r="B174" s="357" t="n"/>
      <c r="C174" s="248" t="n"/>
      <c r="D174" s="232">
        <f>B174*C174</f>
        <v/>
      </c>
    </row>
    <row r="175">
      <c r="A175" s="48" t="inlineStr">
        <is>
          <t>TECHNICAL PERSONNEL (or equivalent in the private sector)</t>
        </is>
      </c>
      <c r="B175" s="357" t="n"/>
      <c r="C175" s="248" t="n"/>
      <c r="D175" s="232">
        <f>B175*C175</f>
        <v/>
      </c>
    </row>
    <row r="176">
      <c r="A176" s="48" t="inlineStr">
        <is>
          <t>ADMINISTRATIVE PERSONNEL (or equivalent in the private sector)</t>
        </is>
      </c>
      <c r="B176" s="357" t="n"/>
      <c r="C176" s="248" t="n"/>
      <c r="D176" s="232">
        <f>B176*C176</f>
        <v/>
      </c>
    </row>
    <row r="177">
      <c r="A177" s="48" t="inlineStr">
        <is>
          <t>OTHERS</t>
        </is>
      </c>
      <c r="B177" s="357" t="n"/>
      <c r="C177" s="248" t="n"/>
      <c r="D177" s="232">
        <f>B177*C177</f>
        <v/>
      </c>
    </row>
    <row r="178">
      <c r="A178" s="28" t="inlineStr">
        <is>
          <t>A.2 Natural Persons under direct contract</t>
        </is>
      </c>
      <c r="B178" s="357" t="n"/>
      <c r="C178" s="248" t="n"/>
      <c r="D178" s="232">
        <f>B178*C178</f>
        <v/>
      </c>
    </row>
    <row r="179">
      <c r="A179" s="28" t="inlineStr">
        <is>
          <t>A.3 Seconded Persons</t>
        </is>
      </c>
      <c r="B179" s="357" t="n"/>
      <c r="C179" s="248" t="n"/>
      <c r="D179" s="232">
        <f>B179*C179</f>
        <v/>
      </c>
    </row>
    <row r="180">
      <c r="A180" s="28" t="inlineStr">
        <is>
          <t>A.4 SME owners and natural person beneficiaries</t>
        </is>
      </c>
      <c r="B180" s="357" t="n"/>
      <c r="C180" s="256" t="n">
        <v>8194.4398</v>
      </c>
      <c r="D180" s="232">
        <f>B180*C180</f>
        <v/>
      </c>
    </row>
    <row r="181">
      <c r="A181" s="29" t="inlineStr">
        <is>
          <t>B. DIRECT SUBCONTRACTING COSTS</t>
        </is>
      </c>
      <c r="B181" s="358" t="n"/>
      <c r="C181" s="110" t="n"/>
      <c r="D181" s="359" t="n"/>
    </row>
    <row r="182">
      <c r="A182" s="53" t="n"/>
      <c r="B182" s="357" t="n"/>
      <c r="C182" s="248" t="n"/>
      <c r="D182" s="361">
        <f>B182*C182</f>
        <v/>
      </c>
    </row>
    <row r="183">
      <c r="A183" s="29" t="inlineStr">
        <is>
          <t>C. DIRECT PURCHASE COSTS</t>
        </is>
      </c>
      <c r="B183" s="358" t="n"/>
      <c r="C183" s="110" t="n"/>
      <c r="D183" s="359" t="n"/>
    </row>
    <row r="184">
      <c r="A184" s="28" t="inlineStr">
        <is>
          <t>C.1 Travel and subsistence</t>
        </is>
      </c>
      <c r="B184" s="357" t="n"/>
      <c r="C184" s="248" t="n"/>
      <c r="D184" s="361">
        <f>B184*C184</f>
        <v/>
      </c>
    </row>
    <row r="185">
      <c r="A185" s="28" t="inlineStr">
        <is>
          <t>C.2 Equipment (complete 'Depreciation costs' sheet)</t>
        </is>
      </c>
      <c r="B185" s="346" t="n"/>
      <c r="C185" s="111" t="n"/>
      <c r="D185" s="364" t="n"/>
    </row>
    <row r="186">
      <c r="A186" s="49" t="inlineStr">
        <is>
          <t>Equipment</t>
        </is>
      </c>
      <c r="B186" s="357" t="n"/>
      <c r="C186" s="248" t="n"/>
      <c r="D186" s="361">
        <f>B186*C186</f>
        <v/>
      </c>
    </row>
    <row r="187">
      <c r="A187" s="49" t="inlineStr">
        <is>
          <t>Infrastructure</t>
        </is>
      </c>
      <c r="B187" s="357" t="n"/>
      <c r="C187" s="248" t="n"/>
      <c r="D187" s="361">
        <f>B187*C187</f>
        <v/>
      </c>
    </row>
    <row r="188">
      <c r="A188" s="49" t="inlineStr">
        <is>
          <t>Other assets</t>
        </is>
      </c>
      <c r="B188" s="357" t="n"/>
      <c r="C188" s="248" t="n"/>
      <c r="D188" s="361">
        <f>B188*C188</f>
        <v/>
      </c>
    </row>
    <row r="189">
      <c r="A189" s="28" t="inlineStr">
        <is>
          <t>C.3 Other goods, works and services</t>
        </is>
      </c>
      <c r="B189" s="346" t="n"/>
      <c r="C189" s="111" t="n"/>
      <c r="D189" s="364" t="n"/>
    </row>
    <row r="190">
      <c r="A190" s="49" t="inlineStr">
        <is>
          <t>Consumables</t>
        </is>
      </c>
      <c r="B190" s="357" t="n"/>
      <c r="C190" s="248" t="n"/>
      <c r="D190" s="361">
        <f>B190*C190</f>
        <v/>
      </c>
    </row>
    <row r="191">
      <c r="A191" s="49" t="inlineStr">
        <is>
          <t>Services for meetings, seminars</t>
        </is>
      </c>
      <c r="B191" s="357" t="n"/>
      <c r="C191" s="248" t="n"/>
      <c r="D191" s="361">
        <f>B191*C191</f>
        <v/>
      </c>
    </row>
    <row r="192">
      <c r="A192" s="49" t="inlineStr">
        <is>
          <t>Services for dissemination activities (including website)</t>
        </is>
      </c>
      <c r="B192" s="357" t="n"/>
      <c r="C192" s="248" t="n"/>
      <c r="D192" s="361">
        <f>B192*C192</f>
        <v/>
      </c>
    </row>
    <row r="193">
      <c r="A193" s="49" t="inlineStr">
        <is>
          <t>Publication fees</t>
        </is>
      </c>
      <c r="B193" s="357" t="n"/>
      <c r="C193" s="248" t="n"/>
      <c r="D193" s="361">
        <f>B193*C193</f>
        <v/>
      </c>
    </row>
    <row r="194">
      <c r="A194" s="49" t="inlineStr">
        <is>
          <t>Other (shipment, insurance, translation, etc.)</t>
        </is>
      </c>
      <c r="B194" s="357" t="n"/>
      <c r="C194" s="248" t="n"/>
      <c r="D194" s="361">
        <f>B194*C194</f>
        <v/>
      </c>
    </row>
    <row r="195">
      <c r="A195" s="29" t="inlineStr">
        <is>
          <t>D. OTHER COST CATEGORIES</t>
        </is>
      </c>
      <c r="B195" s="358" t="n"/>
      <c r="C195" s="110" t="n"/>
      <c r="D195" s="359" t="n"/>
    </row>
    <row r="196">
      <c r="A196" s="50" t="inlineStr">
        <is>
          <t>D.1 Financial support to third parties (if applicable in the topic specific conditions)</t>
        </is>
      </c>
      <c r="B196" s="357" t="n"/>
      <c r="C196" s="248" t="n"/>
      <c r="D196" s="361">
        <f>B196*C196</f>
        <v/>
      </c>
    </row>
    <row r="197">
      <c r="A197" s="50" t="inlineStr">
        <is>
          <t>D.2 Internally invoiced goods and services</t>
        </is>
      </c>
      <c r="B197" s="357" t="n"/>
      <c r="C197" s="248" t="n"/>
      <c r="D197" s="361">
        <f>B197*C197</f>
        <v/>
      </c>
    </row>
    <row r="198">
      <c r="A198" s="50" t="inlineStr">
        <is>
          <t>D.3 Transnational access to research infrastructure unit costs (if mentioned as eligible in the topic specific conditions)</t>
        </is>
      </c>
      <c r="B198" s="357" t="n"/>
      <c r="C198" s="248" t="n"/>
      <c r="D198" s="361">
        <f>B198*C198</f>
        <v/>
      </c>
    </row>
    <row r="199">
      <c r="A199" s="50" t="inlineStr">
        <is>
          <t>D.4 Virtual access to research infrastructure unit costs (if mentioned as eligible in the topic specific conditions)</t>
        </is>
      </c>
      <c r="B199" s="357" t="n"/>
      <c r="C199" s="248" t="n"/>
      <c r="D199" s="361">
        <f>B199*C199</f>
        <v/>
      </c>
    </row>
    <row r="200">
      <c r="A200" s="50" t="inlineStr">
        <is>
          <t>D.5 PCP/PPI procurement costs (if mentioned as eligible in the topic specific conditions)</t>
        </is>
      </c>
      <c r="B200" s="357" t="n"/>
      <c r="C200" s="248" t="n"/>
      <c r="D200" s="361">
        <f>B200*C200</f>
        <v/>
      </c>
    </row>
    <row r="201">
      <c r="A201" s="50" t="n"/>
      <c r="B201" s="346" t="n"/>
      <c r="C201" s="111" t="n"/>
      <c r="D201" s="365" t="n"/>
    </row>
    <row r="202">
      <c r="A202" s="52" t="inlineStr">
        <is>
          <t>TOTAL DIRECT PERSONNEL COSTS AND PURCHASE COSTS (A+C)</t>
        </is>
      </c>
      <c r="B202" s="369" t="n"/>
      <c r="C202" s="230" t="n"/>
      <c r="D202" s="360">
        <f>SUM(D173:D180,D184:D194)</f>
        <v/>
      </c>
    </row>
    <row r="203">
      <c r="A203" s="52" t="inlineStr">
        <is>
          <t>TOTAL DIRECT COSTS  (A+B+C+D)</t>
        </is>
      </c>
      <c r="B203" s="369" t="n"/>
      <c r="C203" s="230" t="n"/>
      <c r="D203" s="360">
        <f>SUM(D173:D200)</f>
        <v/>
      </c>
    </row>
    <row r="204">
      <c r="A204" s="180" t="n"/>
      <c r="B204" s="372" t="n"/>
      <c r="C204" s="176" t="n"/>
      <c r="D204" s="373" t="n"/>
    </row>
    <row r="205">
      <c r="A205" s="29" t="inlineStr">
        <is>
          <t>E. INDIRECT COSTS (25% * (A+C))</t>
        </is>
      </c>
      <c r="B205" s="358" t="n"/>
      <c r="C205" s="110" t="n"/>
      <c r="D205" s="360">
        <f>D202*0.25</f>
        <v/>
      </c>
    </row>
    <row r="206">
      <c r="A206" s="32" t="n"/>
      <c r="B206" s="372" t="n"/>
      <c r="C206" s="176" t="n"/>
      <c r="D206" s="377" t="n"/>
    </row>
    <row r="207">
      <c r="A207" s="29" t="inlineStr">
        <is>
          <t>F. TOTAL COSTS (A+B+C+D+E)</t>
        </is>
      </c>
      <c r="B207" s="369" t="n"/>
      <c r="C207" s="230" t="n"/>
      <c r="D207" s="360">
        <f>D203+D205</f>
        <v/>
      </c>
    </row>
    <row r="208">
      <c r="A208" s="182" t="n"/>
      <c r="B208" s="183" t="n"/>
      <c r="C208" s="184" t="n"/>
      <c r="D208" s="183" t="n"/>
    </row>
    <row r="209">
      <c r="A209" s="190" t="n"/>
      <c r="B209" s="185" t="n"/>
      <c r="C209" s="186" t="n"/>
      <c r="D209" s="187" t="n"/>
    </row>
    <row r="210" ht="21" customHeight="1">
      <c r="A210" s="272">
        <f>CONCATENATE("COSTS WORK PACKAGE 6:"," ","Business Validation, Exploitation and Dissemination")</f>
        <v/>
      </c>
      <c r="B210" s="314" t="n"/>
      <c r="C210" s="314" t="n"/>
      <c r="D210" s="315" t="n"/>
    </row>
    <row r="211">
      <c r="A211" s="182" t="n"/>
      <c r="B211" s="191" t="n"/>
      <c r="C211" s="192" t="n"/>
      <c r="D211" s="191" t="n"/>
    </row>
    <row r="212">
      <c r="A212" s="29" t="inlineStr">
        <is>
          <t>A. DIRECT PERSONNEL COSTS</t>
        </is>
      </c>
      <c r="B212" s="30" t="n"/>
      <c r="C212" s="110" t="n"/>
      <c r="D212" s="354" t="n"/>
    </row>
    <row r="213">
      <c r="A213" s="28" t="inlineStr">
        <is>
          <t>A.1 Employees (or equivalent)</t>
        </is>
      </c>
      <c r="B213" s="89" t="n"/>
      <c r="C213" s="111" t="n"/>
      <c r="D213" s="355" t="n"/>
    </row>
    <row r="214">
      <c r="A214" s="48" t="inlineStr">
        <is>
          <t>SENIOR SCIENTISTS (or equivalent in the private sector)</t>
        </is>
      </c>
      <c r="B214" s="357" t="n"/>
      <c r="C214" s="248" t="n"/>
      <c r="D214" s="232">
        <f>B214*C214</f>
        <v/>
      </c>
    </row>
    <row r="215">
      <c r="A215" s="48" t="inlineStr">
        <is>
          <t>JUNIOR SCIENTISTS (or equivalent in the private sector)</t>
        </is>
      </c>
      <c r="B215" s="357" t="n"/>
      <c r="C215" s="248" t="n"/>
      <c r="D215" s="232">
        <f>B215*C215</f>
        <v/>
      </c>
    </row>
    <row r="216">
      <c r="A216" s="48" t="inlineStr">
        <is>
          <t>TECHNICAL PERSONNEL (or equivalent in the private sector)</t>
        </is>
      </c>
      <c r="B216" s="357" t="n"/>
      <c r="C216" s="248" t="n"/>
      <c r="D216" s="232">
        <f>B216*C216</f>
        <v/>
      </c>
    </row>
    <row r="217">
      <c r="A217" s="48" t="inlineStr">
        <is>
          <t>ADMINISTRATIVE PERSONNEL (or equivalent in the private sector)</t>
        </is>
      </c>
      <c r="B217" s="357" t="n"/>
      <c r="C217" s="248" t="n"/>
      <c r="D217" s="232">
        <f>B217*C217</f>
        <v/>
      </c>
    </row>
    <row r="218">
      <c r="A218" s="48" t="inlineStr">
        <is>
          <t>OTHERS</t>
        </is>
      </c>
      <c r="B218" s="357" t="n"/>
      <c r="C218" s="248" t="n"/>
      <c r="D218" s="232">
        <f>B218*C218</f>
        <v/>
      </c>
    </row>
    <row r="219">
      <c r="A219" s="28" t="inlineStr">
        <is>
          <t>A.2 Natural Persons under direct contract</t>
        </is>
      </c>
      <c r="B219" s="357" t="n"/>
      <c r="C219" s="248" t="n"/>
      <c r="D219" s="232">
        <f>B219*C219</f>
        <v/>
      </c>
    </row>
    <row r="220">
      <c r="A220" s="28" t="inlineStr">
        <is>
          <t>A.3 Seconded Persons</t>
        </is>
      </c>
      <c r="B220" s="357" t="n"/>
      <c r="C220" s="248" t="n"/>
      <c r="D220" s="232">
        <f>B220*C220</f>
        <v/>
      </c>
    </row>
    <row r="221">
      <c r="A221" s="28" t="inlineStr">
        <is>
          <t>A.4 SME owners and natural person beneficiaries</t>
        </is>
      </c>
      <c r="B221" s="357" t="n"/>
      <c r="C221" s="256" t="n">
        <v>8194.4398</v>
      </c>
      <c r="D221" s="232">
        <f>B221*C221</f>
        <v/>
      </c>
    </row>
    <row r="222">
      <c r="A222" s="29" t="inlineStr">
        <is>
          <t>B. DIRECT SUBCONTRACTING COSTS</t>
        </is>
      </c>
      <c r="B222" s="358" t="n"/>
      <c r="C222" s="110" t="n"/>
      <c r="D222" s="359" t="n"/>
    </row>
    <row r="223">
      <c r="A223" s="53" t="n"/>
      <c r="B223" s="357" t="n"/>
      <c r="C223" s="248" t="n"/>
      <c r="D223" s="361">
        <f>B223*C223</f>
        <v/>
      </c>
    </row>
    <row r="224">
      <c r="A224" s="29" t="inlineStr">
        <is>
          <t>C. DIRECT PURCHASE COSTS</t>
        </is>
      </c>
      <c r="B224" s="358" t="n"/>
      <c r="C224" s="110" t="n"/>
      <c r="D224" s="359" t="n"/>
    </row>
    <row r="225">
      <c r="A225" s="28" t="inlineStr">
        <is>
          <t>C.1 Travel and subsistence</t>
        </is>
      </c>
      <c r="B225" s="357" t="n"/>
      <c r="C225" s="248" t="n"/>
      <c r="D225" s="361">
        <f>B225*C225</f>
        <v/>
      </c>
    </row>
    <row r="226">
      <c r="A226" s="28" t="inlineStr">
        <is>
          <t>C.2 Equipment (complete 'Depreciation costs' sheet)</t>
        </is>
      </c>
      <c r="B226" s="346" t="n"/>
      <c r="C226" s="111" t="n"/>
      <c r="D226" s="364" t="n"/>
    </row>
    <row r="227">
      <c r="A227" s="49" t="inlineStr">
        <is>
          <t>Equipment</t>
        </is>
      </c>
      <c r="B227" s="357" t="n"/>
      <c r="C227" s="248" t="n"/>
      <c r="D227" s="361">
        <f>B227*C227</f>
        <v/>
      </c>
    </row>
    <row r="228">
      <c r="A228" s="49" t="inlineStr">
        <is>
          <t>Infrastructure</t>
        </is>
      </c>
      <c r="B228" s="357" t="n"/>
      <c r="C228" s="248" t="n"/>
      <c r="D228" s="361">
        <f>B228*C228</f>
        <v/>
      </c>
    </row>
    <row r="229">
      <c r="A229" s="49" t="inlineStr">
        <is>
          <t>Other assets</t>
        </is>
      </c>
      <c r="B229" s="357" t="n"/>
      <c r="C229" s="248" t="n"/>
      <c r="D229" s="361">
        <f>B229*C229</f>
        <v/>
      </c>
    </row>
    <row r="230">
      <c r="A230" s="28" t="inlineStr">
        <is>
          <t>C.3 Other goods, works and services</t>
        </is>
      </c>
      <c r="B230" s="346" t="n"/>
      <c r="C230" s="111" t="n"/>
      <c r="D230" s="364" t="n"/>
    </row>
    <row r="231">
      <c r="A231" s="49" t="inlineStr">
        <is>
          <t>Consumables</t>
        </is>
      </c>
      <c r="B231" s="357" t="n"/>
      <c r="C231" s="248" t="n"/>
      <c r="D231" s="361">
        <f>B231*C231</f>
        <v/>
      </c>
    </row>
    <row r="232">
      <c r="A232" s="49" t="inlineStr">
        <is>
          <t>Services for meetings, seminars</t>
        </is>
      </c>
      <c r="B232" s="357" t="n"/>
      <c r="C232" s="248" t="n"/>
      <c r="D232" s="361">
        <f>B232*C232</f>
        <v/>
      </c>
    </row>
    <row r="233">
      <c r="A233" s="49" t="inlineStr">
        <is>
          <t>Services for dissemination activities (including website)</t>
        </is>
      </c>
      <c r="B233" s="357" t="n"/>
      <c r="C233" s="248" t="n"/>
      <c r="D233" s="361">
        <f>B233*C233</f>
        <v/>
      </c>
    </row>
    <row r="234">
      <c r="A234" s="49" t="inlineStr">
        <is>
          <t>Publication fees</t>
        </is>
      </c>
      <c r="B234" s="357" t="n"/>
      <c r="C234" s="248" t="n"/>
      <c r="D234" s="361">
        <f>B234*C234</f>
        <v/>
      </c>
    </row>
    <row r="235">
      <c r="A235" s="49" t="inlineStr">
        <is>
          <t>Other (shipment, insurance, translation, etc.)</t>
        </is>
      </c>
      <c r="B235" s="357" t="n"/>
      <c r="C235" s="248" t="n"/>
      <c r="D235" s="361">
        <f>B235*C235</f>
        <v/>
      </c>
    </row>
    <row r="236">
      <c r="A236" s="29" t="inlineStr">
        <is>
          <t>D. OTHER COST CATEGORIES</t>
        </is>
      </c>
      <c r="B236" s="358" t="n"/>
      <c r="C236" s="110" t="n"/>
      <c r="D236" s="359" t="n"/>
    </row>
    <row r="237">
      <c r="A237" s="50" t="inlineStr">
        <is>
          <t>D.1 Financial support to third parties (if applicable in the topic specific conditions)</t>
        </is>
      </c>
      <c r="B237" s="357" t="n"/>
      <c r="C237" s="248" t="n"/>
      <c r="D237" s="361">
        <f>B237*C237</f>
        <v/>
      </c>
    </row>
    <row r="238">
      <c r="A238" s="50" t="inlineStr">
        <is>
          <t>D.2 Internally invoiced goods and services</t>
        </is>
      </c>
      <c r="B238" s="357" t="n"/>
      <c r="C238" s="248" t="n"/>
      <c r="D238" s="361">
        <f>B238*C238</f>
        <v/>
      </c>
    </row>
    <row r="239">
      <c r="A239" s="50" t="inlineStr">
        <is>
          <t>D.3 Transnational access to research infrastructure unit costs (if mentioned as eligible in the topic specific conditions)</t>
        </is>
      </c>
      <c r="B239" s="357" t="n"/>
      <c r="C239" s="248" t="n"/>
      <c r="D239" s="361">
        <f>B239*C239</f>
        <v/>
      </c>
    </row>
    <row r="240">
      <c r="A240" s="50" t="inlineStr">
        <is>
          <t>D.4 Virtual access to research infrastructure unit costs (if mentioned as eligible in the topic specific conditions)</t>
        </is>
      </c>
      <c r="B240" s="357" t="n"/>
      <c r="C240" s="248" t="n"/>
      <c r="D240" s="361">
        <f>B240*C240</f>
        <v/>
      </c>
    </row>
    <row r="241">
      <c r="A241" s="50" t="inlineStr">
        <is>
          <t>D.5 PCP/PPI procurement costs (if mentioned as eligible in the topic specific conditions)</t>
        </is>
      </c>
      <c r="B241" s="357" t="n"/>
      <c r="C241" s="248" t="n"/>
      <c r="D241" s="361">
        <f>B241*C241</f>
        <v/>
      </c>
    </row>
    <row r="242">
      <c r="A242" s="50" t="n"/>
      <c r="B242" s="346" t="n"/>
      <c r="C242" s="111" t="n"/>
      <c r="D242" s="365" t="n"/>
    </row>
    <row r="243">
      <c r="A243" s="52" t="inlineStr">
        <is>
          <t>TOTAL DIRECT PERSONNEL COSTS AND PURCHASE COSTS (A+C)</t>
        </is>
      </c>
      <c r="B243" s="369" t="n"/>
      <c r="C243" s="230" t="n"/>
      <c r="D243" s="360">
        <f>SUM(D214:D221,D225:D235)</f>
        <v/>
      </c>
    </row>
    <row r="244">
      <c r="A244" s="52" t="inlineStr">
        <is>
          <t>TOTAL DIRECT COSTS  (A+B+C+D)</t>
        </is>
      </c>
      <c r="B244" s="369" t="n"/>
      <c r="C244" s="230" t="n"/>
      <c r="D244" s="360">
        <f>SUM(D214:D241)</f>
        <v/>
      </c>
    </row>
    <row r="245">
      <c r="A245" s="180" t="n"/>
      <c r="B245" s="372" t="n"/>
      <c r="C245" s="176" t="n"/>
      <c r="D245" s="373" t="n"/>
    </row>
    <row r="246">
      <c r="A246" s="29" t="inlineStr">
        <is>
          <t>E. INDIRECT COSTS (25% * (A+C))</t>
        </is>
      </c>
      <c r="B246" s="358" t="n"/>
      <c r="C246" s="110" t="n"/>
      <c r="D246" s="360">
        <f>D243*0.25</f>
        <v/>
      </c>
    </row>
    <row r="247">
      <c r="A247" s="32" t="n"/>
      <c r="B247" s="372" t="n"/>
      <c r="C247" s="176" t="n"/>
      <c r="D247" s="377" t="n"/>
    </row>
    <row r="248">
      <c r="A248" s="29" t="inlineStr">
        <is>
          <t>F. TOTAL COSTS (A+B+C+D+E)</t>
        </is>
      </c>
      <c r="B248" s="369" t="n"/>
      <c r="C248" s="230" t="n"/>
      <c r="D248" s="360">
        <f>D244+D246</f>
        <v/>
      </c>
    </row>
    <row r="249">
      <c r="A249" s="182" t="n"/>
      <c r="B249" s="183" t="n"/>
      <c r="C249" s="184" t="n"/>
      <c r="D249" s="183" t="n"/>
    </row>
    <row r="250">
      <c r="A250" s="190" t="n"/>
      <c r="B250" s="185" t="n"/>
      <c r="C250" s="186" t="n"/>
      <c r="D250" s="187" t="n"/>
    </row>
    <row r="251" ht="21" customHeight="1">
      <c r="A251" s="272" t="inlineStr">
        <is>
          <t>SUMMARY</t>
        </is>
      </c>
      <c r="B251" s="314" t="n"/>
      <c r="C251" s="314" t="n"/>
      <c r="D251" s="315" t="n"/>
    </row>
    <row r="252">
      <c r="A252" s="56" t="n"/>
      <c r="B252" s="174" t="n"/>
      <c r="C252" s="175" t="n"/>
      <c r="D252" s="174" t="n"/>
    </row>
    <row r="253">
      <c r="A253" s="29" t="inlineStr">
        <is>
          <t>A. DIRECT PERSONNEL COSTS</t>
        </is>
      </c>
      <c r="B253" s="30" t="n"/>
      <c r="C253" s="110" t="n"/>
      <c r="D253" s="354" t="n"/>
    </row>
    <row r="254">
      <c r="A254" s="28" t="inlineStr">
        <is>
          <t>A.1 Employees (or equivalent)</t>
        </is>
      </c>
      <c r="B254" s="89" t="n"/>
      <c r="C254" s="111" t="n"/>
      <c r="D254" s="355" t="n"/>
    </row>
    <row r="255">
      <c r="A255" s="48" t="inlineStr">
        <is>
          <t>SENIOR SCIENTISTS (or equivalent in the private sector)</t>
        </is>
      </c>
      <c r="B255" s="378">
        <f>B9+B50+B91+B132+B173+B214</f>
        <v/>
      </c>
      <c r="C255" s="249">
        <f>IF(B255&gt;0,D255/B255," ")</f>
        <v/>
      </c>
      <c r="D255" s="361">
        <f>D9+D50+D91+D132+D173+D214</f>
        <v/>
      </c>
    </row>
    <row r="256">
      <c r="A256" s="48" t="inlineStr">
        <is>
          <t>JUNIOR SCIENTISTS (or equivalent in the private sector)</t>
        </is>
      </c>
      <c r="B256" s="378">
        <f>B10+B51+B92+B133+B174+B215</f>
        <v/>
      </c>
      <c r="C256" s="249">
        <f>IF(B256&gt;0,D256/B256," ")</f>
        <v/>
      </c>
      <c r="D256" s="361">
        <f>D10+D51+D92+D133+D174+D215</f>
        <v/>
      </c>
    </row>
    <row r="257">
      <c r="A257" s="48" t="inlineStr">
        <is>
          <t>TECHNICAL PERSONNEL (or equivalent in the private sector)</t>
        </is>
      </c>
      <c r="B257" s="378">
        <f>B11+B52+B93+B134+B175+B216</f>
        <v/>
      </c>
      <c r="C257" s="249">
        <f>IF(B257&gt;0,D257/B257," ")</f>
        <v/>
      </c>
      <c r="D257" s="361">
        <f>D11+D52+D93+D134+D175+D216</f>
        <v/>
      </c>
    </row>
    <row r="258">
      <c r="A258" s="48" t="inlineStr">
        <is>
          <t>ADMINISTRATIVE PERSONNEL (or equivalent in the private sector)</t>
        </is>
      </c>
      <c r="B258" s="378">
        <f>B12+B53+B94+B135+B176+B217</f>
        <v/>
      </c>
      <c r="C258" s="249">
        <f>IF(B258&gt;0,D258/B258," ")</f>
        <v/>
      </c>
      <c r="D258" s="361">
        <f>D12+D53+D94+D135+D176+D217</f>
        <v/>
      </c>
    </row>
    <row r="259">
      <c r="A259" s="48" t="inlineStr">
        <is>
          <t>OTHERS</t>
        </is>
      </c>
      <c r="B259" s="378">
        <f>B13+B54+B95+B136+B177+B218</f>
        <v/>
      </c>
      <c r="C259" s="249">
        <f>IF(B259&gt;0,D259/B259," ")</f>
        <v/>
      </c>
      <c r="D259" s="361">
        <f>D13+D54+D95+D136+D177+D218</f>
        <v/>
      </c>
    </row>
    <row r="260">
      <c r="A260" s="28" t="inlineStr">
        <is>
          <t>A.2 Natural Persons under direct contract</t>
        </is>
      </c>
      <c r="B260" s="378">
        <f>B14+B55+B96+B137+B178+B219</f>
        <v/>
      </c>
      <c r="C260" s="249">
        <f>IF(B260&gt;0,D260/B260," ")</f>
        <v/>
      </c>
      <c r="D260" s="361">
        <f>D14+D55+D96+D137+D178+D219</f>
        <v/>
      </c>
    </row>
    <row r="261">
      <c r="A261" s="28" t="inlineStr">
        <is>
          <t>A.3 Seconded Persons</t>
        </is>
      </c>
      <c r="B261" s="378">
        <f>B15+B56+B97+B138+B179+B220</f>
        <v/>
      </c>
      <c r="C261" s="249">
        <f>IF(B261&gt;0,D261/B261," ")</f>
        <v/>
      </c>
      <c r="D261" s="361">
        <f>D15+D56+D97+D138+D179+D220</f>
        <v/>
      </c>
    </row>
    <row r="262">
      <c r="A262" s="28" t="inlineStr">
        <is>
          <t>A.4 SME owners and natural person beneficiaries</t>
        </is>
      </c>
      <c r="B262" s="378">
        <f>B16+B57+B98+B139+B180+B221</f>
        <v/>
      </c>
      <c r="C262" s="249">
        <f>IF(B262&gt;0,D262/B262," ")</f>
        <v/>
      </c>
      <c r="D262" s="361">
        <f>D16+D57+D98+D139+D180+D221</f>
        <v/>
      </c>
    </row>
    <row r="263">
      <c r="A263" s="29" t="inlineStr">
        <is>
          <t>B. DIRECT SUBCONTRACTING COSTS</t>
        </is>
      </c>
      <c r="B263" s="380" t="n"/>
      <c r="C263" s="250" t="n"/>
      <c r="D263" s="359" t="n"/>
    </row>
    <row r="264">
      <c r="A264" s="28" t="n"/>
      <c r="B264" s="378">
        <f>B18+B59+B100+B141+B182+B223</f>
        <v/>
      </c>
      <c r="C264" s="249">
        <f>IF(B264&gt;0,D264/B264," ")</f>
        <v/>
      </c>
      <c r="D264" s="361">
        <f>D18+D59+D100+D141+D182+D223</f>
        <v/>
      </c>
    </row>
    <row r="265">
      <c r="A265" s="29" t="inlineStr">
        <is>
          <t>C. DIRECT PURCHASE COSTS</t>
        </is>
      </c>
      <c r="B265" s="380" t="n"/>
      <c r="C265" s="250" t="n"/>
      <c r="D265" s="359" t="n"/>
    </row>
    <row r="266">
      <c r="A266" s="28" t="inlineStr">
        <is>
          <t>C.1 Travel and subsistence</t>
        </is>
      </c>
      <c r="B266" s="378">
        <f>B20+B61+B102+B143+B184+B225</f>
        <v/>
      </c>
      <c r="C266" s="249">
        <f>IF(B266&gt;0,D266/B266," ")</f>
        <v/>
      </c>
      <c r="D266" s="361">
        <f>D20+D61+D102+D143+D184+D225</f>
        <v/>
      </c>
    </row>
    <row r="267">
      <c r="A267" s="28" t="inlineStr">
        <is>
          <t>C.2 Equipment (complete 'Depreciation costs' sheet)</t>
        </is>
      </c>
      <c r="B267" s="381" t="n"/>
      <c r="C267" s="251" t="n"/>
      <c r="D267" s="364" t="n"/>
    </row>
    <row r="268">
      <c r="A268" s="49" t="inlineStr">
        <is>
          <t>Equipment</t>
        </is>
      </c>
      <c r="B268" s="378">
        <f>B22+B63+B104+B145+B186+B227</f>
        <v/>
      </c>
      <c r="C268" s="249">
        <f>IF(B268&gt;0,D268/B268," ")</f>
        <v/>
      </c>
      <c r="D268" s="361">
        <f>D22+D63+D104+D145+D186+D227</f>
        <v/>
      </c>
    </row>
    <row r="269">
      <c r="A269" s="49" t="inlineStr">
        <is>
          <t>Infrastructure</t>
        </is>
      </c>
      <c r="B269" s="378">
        <f>B23+B64+B105+B146+B187+B228</f>
        <v/>
      </c>
      <c r="C269" s="249">
        <f>IF(B269&gt;0,D269/B269," ")</f>
        <v/>
      </c>
      <c r="D269" s="361">
        <f>D23+D64+D105+D146+D187+D228</f>
        <v/>
      </c>
    </row>
    <row r="270">
      <c r="A270" s="49" t="inlineStr">
        <is>
          <t>Other assets</t>
        </is>
      </c>
      <c r="B270" s="378">
        <f>B24+B65+B106+B147+B188+B229</f>
        <v/>
      </c>
      <c r="C270" s="249">
        <f>IF(B270&gt;0,D270/B270," ")</f>
        <v/>
      </c>
      <c r="D270" s="361">
        <f>D24+D65+D106+D147+D188+D229</f>
        <v/>
      </c>
    </row>
    <row r="271">
      <c r="A271" s="28" t="inlineStr">
        <is>
          <t>C.3 Other goods, works and services</t>
        </is>
      </c>
      <c r="B271" s="381" t="n"/>
      <c r="C271" s="251" t="n"/>
      <c r="D271" s="364" t="n"/>
    </row>
    <row r="272">
      <c r="A272" s="49" t="inlineStr">
        <is>
          <t>Consumables</t>
        </is>
      </c>
      <c r="B272" s="378">
        <f>B26+B67+B108+B149+B190+B231</f>
        <v/>
      </c>
      <c r="C272" s="249">
        <f>IF(B272&gt;0,D272/B272," ")</f>
        <v/>
      </c>
      <c r="D272" s="361">
        <f>D26+D67+D108+D149+D190+D231</f>
        <v/>
      </c>
    </row>
    <row r="273">
      <c r="A273" s="49" t="inlineStr">
        <is>
          <t>Services for meetings, seminars</t>
        </is>
      </c>
      <c r="B273" s="378">
        <f>B27+B68+B109+B150+B191+B232</f>
        <v/>
      </c>
      <c r="C273" s="249">
        <f>IF(B273&gt;0,D273/B273," ")</f>
        <v/>
      </c>
      <c r="D273" s="361">
        <f>D27+D68+D109+D150+D191+D232</f>
        <v/>
      </c>
    </row>
    <row r="274">
      <c r="A274" s="49" t="inlineStr">
        <is>
          <t>Services for dissemination activities (including website)</t>
        </is>
      </c>
      <c r="B274" s="378">
        <f>B28+B69+B110+B151+B192+B233</f>
        <v/>
      </c>
      <c r="C274" s="249">
        <f>IF(B274&gt;0,D274/B274," ")</f>
        <v/>
      </c>
      <c r="D274" s="361">
        <f>D28+D69+D110+D151+D192+D233</f>
        <v/>
      </c>
    </row>
    <row r="275">
      <c r="A275" s="49" t="inlineStr">
        <is>
          <t>Publication fees</t>
        </is>
      </c>
      <c r="B275" s="378">
        <f>B29+B70+B111+B152+B193+B234</f>
        <v/>
      </c>
      <c r="C275" s="249">
        <f>IF(B275&gt;0,D275/B275," ")</f>
        <v/>
      </c>
      <c r="D275" s="361">
        <f>D29+D70+D111+D152+D193+D234</f>
        <v/>
      </c>
    </row>
    <row r="276">
      <c r="A276" s="49" t="inlineStr">
        <is>
          <t>Other (shipment, insurance, translation, etc.)</t>
        </is>
      </c>
      <c r="B276" s="378">
        <f>B30+B71+B112+B153+B194+B235</f>
        <v/>
      </c>
      <c r="C276" s="249">
        <f>IF(B276&gt;0,D276/B276," ")</f>
        <v/>
      </c>
      <c r="D276" s="361">
        <f>D30+D71+D112+D153+D194+D235</f>
        <v/>
      </c>
    </row>
    <row r="277">
      <c r="A277" s="29" t="inlineStr">
        <is>
          <t>D. OTHER COST CATEGORIES</t>
        </is>
      </c>
      <c r="B277" s="380" t="n"/>
      <c r="C277" s="250" t="n"/>
      <c r="D277" s="359" t="n"/>
    </row>
    <row r="278">
      <c r="A278" s="50" t="inlineStr">
        <is>
          <t>D.1 Financial support to third parties (if applicable in the topic specific conditions)</t>
        </is>
      </c>
      <c r="B278" s="378">
        <f>B32+B73+B114+B155+B196+B237</f>
        <v/>
      </c>
      <c r="C278" s="249">
        <f>IF(B278&gt;0,D278/B278," ")</f>
        <v/>
      </c>
      <c r="D278" s="361">
        <f>D32+D73+D114+D155+D196+D237</f>
        <v/>
      </c>
    </row>
    <row r="279">
      <c r="A279" s="50" t="inlineStr">
        <is>
          <t>D.2 Internally invoiced goods and services</t>
        </is>
      </c>
      <c r="B279" s="378">
        <f>B33+B74+B115+B156+B197+B238</f>
        <v/>
      </c>
      <c r="C279" s="249">
        <f>IF(B279&gt;0,D279/B279," ")</f>
        <v/>
      </c>
      <c r="D279" s="361">
        <f>D33+D74+D115+D156+D197+D238</f>
        <v/>
      </c>
    </row>
    <row r="280">
      <c r="A280" s="50" t="inlineStr">
        <is>
          <t>D.3 Transnational access to research infrastructure unit costs (if mentioned as eligible in the topic specific conditions)</t>
        </is>
      </c>
      <c r="B280" s="378">
        <f>B34+B75+B116+B157+B198+B239</f>
        <v/>
      </c>
      <c r="C280" s="249">
        <f>IF(B280&gt;0,D280/B280," ")</f>
        <v/>
      </c>
      <c r="D280" s="361">
        <f>D34+D75+D116+D157+D198+D239</f>
        <v/>
      </c>
    </row>
    <row r="281">
      <c r="A281" s="50" t="inlineStr">
        <is>
          <t>D.4 Virtual access to research infrastructure unit costs (if mentioned as eligible in the topic specific conditions)</t>
        </is>
      </c>
      <c r="B281" s="378">
        <f>B35+B76+B117+B158+B199+B240</f>
        <v/>
      </c>
      <c r="C281" s="249">
        <f>IF(B281&gt;0,D281/B281," ")</f>
        <v/>
      </c>
      <c r="D281" s="361">
        <f>D35+D76+D117+D158+D199+D240</f>
        <v/>
      </c>
    </row>
    <row r="282">
      <c r="A282" s="50" t="inlineStr">
        <is>
          <t>D.5 PCP/PPI procurement costs (if mentioned as eligible in the topic specific conditions)</t>
        </is>
      </c>
      <c r="B282" s="378">
        <f>B36+B77+B118+B159+B200+B241</f>
        <v/>
      </c>
      <c r="C282" s="249">
        <f>IF(B282&gt;0,D282/B282," ")</f>
        <v/>
      </c>
      <c r="D282" s="361">
        <f>D36+D77+D118+D159+D200+D241</f>
        <v/>
      </c>
    </row>
    <row r="283">
      <c r="A283" s="51" t="n"/>
      <c r="B283" s="346" t="n"/>
      <c r="C283" s="111" t="n"/>
      <c r="D283" s="365" t="n"/>
    </row>
    <row r="284">
      <c r="A284" s="52" t="inlineStr">
        <is>
          <t>TOTAL DIRECT PERSONNEL COSTS AND PURCHASE COSTS (A+C)</t>
        </is>
      </c>
      <c r="B284" s="369" t="n"/>
      <c r="C284" s="230" t="n"/>
      <c r="D284" s="382">
        <f>D38+D79+D120+D161+D202+D243</f>
        <v/>
      </c>
    </row>
    <row r="285">
      <c r="A285" s="52" t="inlineStr">
        <is>
          <t>TOTAL DIRECT COSTS  (A+B+C+D)</t>
        </is>
      </c>
      <c r="B285" s="369" t="n"/>
      <c r="C285" s="230" t="n"/>
      <c r="D285" s="382">
        <f>D39+D80+D121+D162+D203+D244</f>
        <v/>
      </c>
    </row>
    <row r="286">
      <c r="A286" s="182" t="n"/>
      <c r="B286" s="383" t="n"/>
      <c r="C286" s="192" t="n"/>
      <c r="D286" s="191" t="n"/>
    </row>
    <row r="287">
      <c r="A287" s="29" t="inlineStr">
        <is>
          <t>E. INDIRECT COSTS (25% * (A+C))</t>
        </is>
      </c>
      <c r="B287" s="369" t="n"/>
      <c r="C287" s="230" t="n"/>
      <c r="D287" s="382">
        <f>D41+D82+D123+D164+D205+D246</f>
        <v/>
      </c>
    </row>
    <row r="288">
      <c r="A288" s="182" t="n"/>
      <c r="B288" s="383" t="n"/>
      <c r="C288" s="192" t="n"/>
      <c r="D288" s="191" t="n"/>
    </row>
    <row r="289">
      <c r="A289" s="29" t="inlineStr">
        <is>
          <t>F. TOTAL COSTS (A+B+C+D+E)</t>
        </is>
      </c>
      <c r="B289" s="369" t="n"/>
      <c r="C289" s="230" t="n"/>
      <c r="D289" s="382">
        <f>D43+D84+D125+D166+D207+D248</f>
        <v/>
      </c>
    </row>
  </sheetData>
  <sheetProtection selectLockedCells="0" selectUnlockedCells="0" algorithmName="SHA-512" sheet="1" objects="1" insertRows="1" insertHyperlinks="1" autoFilter="1" scenarios="1" formatColumns="1" deleteColumns="1" insertColumns="1" pivotTables="1" deleteRows="1" formatCells="1" saltValue="+0CJHNphGBezhQk8yBaKow==" formatRows="1" sort="1" spinCount="100000" hashValue="hA+n1CHGivYQ1zDL5mxIccQE64nbIRqGOYy7wR63w7XH6WGNq/HLxeOowdTU2QA67KoEuCfcTCVVozApiusEpw=="/>
  <mergeCells count="8">
    <mergeCell ref="A5:D5"/>
    <mergeCell ref="A210:D210"/>
    <mergeCell ref="A87:D87"/>
    <mergeCell ref="B2:D2"/>
    <mergeCell ref="A251:D251"/>
    <mergeCell ref="A128:D128"/>
    <mergeCell ref="A46:D46"/>
    <mergeCell ref="A169:D169"/>
  </mergeCells>
  <hyperlinks>
    <hyperlink ref="C1" location="A289" tooltip="Go to Summary section" display="A289"/>
  </hyperlinks>
  <pageMargins left="0.7" right="0.7" top="0.75" bottom="0.75" header="0.3" footer="0.3"/>
</worksheet>
</file>

<file path=xl/worksheets/sheet15.xml><?xml version="1.0" encoding="utf-8"?>
<worksheet xmlns="http://schemas.openxmlformats.org/spreadsheetml/2006/main">
  <sheetPr codeName="Sheet109">
    <tabColor theme="6" tint="0.5999938962981048"/>
    <outlinePr summaryBelow="1" summaryRight="1"/>
    <pageSetUpPr fitToPage="1"/>
  </sheetPr>
  <dimension ref="A1:L209"/>
  <sheetViews>
    <sheetView zoomScale="80" zoomScaleNormal="80" workbookViewId="0">
      <pane ySplit="2" topLeftCell="A3" activePane="bottomLeft" state="frozen"/>
      <selection pane="bottomLeft" activeCell="F9" sqref="F9"/>
      <selection activeCell="B7" sqref="B7"/>
    </sheetView>
  </sheetViews>
  <sheetFormatPr baseColWidth="8" defaultColWidth="9.28515625" defaultRowHeight="14.45"/>
  <cols>
    <col width="10.7109375" customWidth="1" min="1" max="1"/>
    <col width="33.7109375" customWidth="1" min="2" max="2"/>
    <col width="8.7109375" customWidth="1" min="3" max="3"/>
    <col width="33.7109375" customWidth="1" min="4" max="4"/>
    <col width="15.7109375" bestFit="1" customWidth="1" min="5" max="5"/>
    <col width="28.5703125" customWidth="1" min="6" max="6"/>
    <col width="14.7109375" customWidth="1" min="7" max="7"/>
    <col width="15.28515625" bestFit="1" customWidth="1" style="136" min="8" max="8"/>
    <col width="14.7109375" customWidth="1" style="143" min="9" max="10"/>
    <col width="19.7109375" bestFit="1" customWidth="1" min="11" max="11"/>
    <col width="50.7109375" customWidth="1" min="12" max="12"/>
  </cols>
  <sheetData>
    <row r="1" ht="24" customHeight="1" thickBot="1">
      <c r="A1" s="306" t="inlineStr">
        <is>
          <t>TOOL:   DEPRECIATION COSTS LIST</t>
        </is>
      </c>
    </row>
    <row r="2" ht="77.45" customFormat="1" customHeight="1" s="121">
      <c r="A2" s="117" t="inlineStr">
        <is>
          <t>BE nr</t>
        </is>
      </c>
      <c r="B2" s="118" t="inlineStr">
        <is>
          <t>Beneficiary name</t>
        </is>
      </c>
      <c r="C2" s="119" t="inlineStr">
        <is>
          <t>WP nr</t>
        </is>
      </c>
      <c r="D2" s="118" t="inlineStr">
        <is>
          <t>Work Package name</t>
        </is>
      </c>
      <c r="E2" s="118" t="inlineStr">
        <is>
          <t>Resource type</t>
        </is>
      </c>
      <c r="F2" s="118" t="inlineStr">
        <is>
          <t>Short name of the investments</t>
        </is>
      </c>
      <c r="G2" s="118" t="inlineStr">
        <is>
          <t>Date of purchase (real or planned date of purchase)</t>
        </is>
      </c>
      <c r="H2" s="133" t="inlineStr">
        <is>
          <t>Purchase cost</t>
        </is>
      </c>
      <c r="I2" s="137" t="inlineStr">
        <is>
          <t>% used for the project</t>
        </is>
      </c>
      <c r="J2" s="137" t="inlineStr">
        <is>
          <t>% of useful life of the equipment in the project</t>
        </is>
      </c>
      <c r="K2" s="118" t="inlineStr">
        <is>
          <t>Charged 
depreciation costs 
per investment</t>
        </is>
      </c>
      <c r="L2" s="120" t="inlineStr">
        <is>
          <t>Justification: Needed info for depreciation</t>
        </is>
      </c>
    </row>
    <row r="3">
      <c r="A3" s="122" t="n"/>
      <c r="B3" s="1">
        <f>IF($A3="","",VLOOKUP($A3,'BE list'!A:C,3,0))</f>
        <v/>
      </c>
      <c r="C3" s="8" t="n"/>
      <c r="D3" s="1">
        <f>IF($C3="","",VLOOKUP($C3,'WP list'!A:B,2,0))</f>
        <v/>
      </c>
      <c r="E3" s="10" t="n"/>
      <c r="F3" s="8" t="n"/>
      <c r="G3" s="123" t="n"/>
      <c r="H3" s="134" t="n"/>
      <c r="I3" s="138" t="n"/>
      <c r="J3" s="139" t="n"/>
      <c r="K3" s="384" t="n"/>
      <c r="L3" s="125" t="n"/>
    </row>
    <row r="4">
      <c r="A4" s="122" t="inlineStr">
        <is>
          <t>BE3</t>
        </is>
      </c>
      <c r="B4" s="1">
        <f>IF($A4="","",VLOOKUP($A4,'BE list'!A:C,3,0))</f>
        <v/>
      </c>
      <c r="C4" s="8" t="inlineStr">
        <is>
          <t>WP3</t>
        </is>
      </c>
      <c r="D4" s="1">
        <f>IF($C4="","",VLOOKUP($C4,'WP list'!A:B,2,0))</f>
        <v/>
      </c>
      <c r="E4" s="10" t="inlineStr">
        <is>
          <t>Equipment</t>
        </is>
      </c>
      <c r="F4" s="20" t="inlineStr">
        <is>
          <t>sensors for drones</t>
        </is>
      </c>
      <c r="G4" s="123" t="n">
        <v>46235</v>
      </c>
      <c r="H4" s="134" t="n">
        <v>40000</v>
      </c>
      <c r="I4" s="138" t="n">
        <v>1</v>
      </c>
      <c r="J4" s="140" t="n">
        <v>1</v>
      </c>
      <c r="K4" s="384">
        <f>+H4*I4*J4</f>
        <v/>
      </c>
      <c r="L4" s="125" t="inlineStr">
        <is>
          <t>A specialised sensor is required for autonomous drone inspections to collect visual and navigation data. Because drone payloads degrade quickly under frequent outdoor use, its expected lifetime is less than four years, which is shorter than the project duration.</t>
        </is>
      </c>
    </row>
    <row r="5">
      <c r="A5" s="122" t="inlineStr">
        <is>
          <t>BE5</t>
        </is>
      </c>
      <c r="B5" s="1">
        <f>IF($A5="","",VLOOKUP($A5,'BE list'!A:C,3,0))</f>
        <v/>
      </c>
      <c r="C5" s="8" t="inlineStr">
        <is>
          <t>WP3</t>
        </is>
      </c>
      <c r="D5" s="1">
        <f>IF($C5="","",VLOOKUP($C5,'WP list'!A:B,2,0))</f>
        <v/>
      </c>
      <c r="E5" s="10" t="inlineStr">
        <is>
          <t>Equipment</t>
        </is>
      </c>
      <c r="F5" s="20" t="inlineStr">
        <is>
          <t xml:space="preserve">sensors for stress, strain, loading, vibration measurement </t>
        </is>
      </c>
      <c r="G5" s="123" t="n">
        <v>46174</v>
      </c>
      <c r="H5" s="134" t="n">
        <v>23200</v>
      </c>
      <c r="I5" s="138" t="n">
        <v>1</v>
      </c>
      <c r="J5" s="140" t="n">
        <v>1</v>
      </c>
      <c r="K5" s="384">
        <f>+H5*I5*J5</f>
        <v/>
      </c>
      <c r="L5" s="125" t="inlineStr">
        <is>
          <t>These sensors are necessary to capture structural loads, strain, and vibration data for model validation and digital‑twin activities. Harsh environmental conditions shorten their useful life to less than four years, making replacement during the project necessary.</t>
        </is>
      </c>
    </row>
    <row r="6">
      <c r="A6" s="122" t="inlineStr">
        <is>
          <t>BE6</t>
        </is>
      </c>
      <c r="B6" s="1">
        <f>IF($A6="","",VLOOKUP($A6,'BE list'!A:C,3,0))</f>
        <v/>
      </c>
      <c r="C6" s="8" t="inlineStr">
        <is>
          <t>WP12</t>
        </is>
      </c>
      <c r="D6" s="1">
        <f>IF($C6="","",VLOOKUP($C6,'WP list'!A:B,2,0))</f>
        <v/>
      </c>
      <c r="E6" s="10" t="inlineStr">
        <is>
          <t>Equipment</t>
        </is>
      </c>
      <c r="F6" s="20" t="inlineStr">
        <is>
          <t>drones</t>
        </is>
      </c>
      <c r="G6" s="123" t="n">
        <v>46174</v>
      </c>
      <c r="H6" s="134" t="n">
        <v>20000</v>
      </c>
      <c r="I6" s="138" t="n">
        <v>0.75</v>
      </c>
      <c r="J6" s="140" t="n">
        <v>1</v>
      </c>
      <c r="K6" s="384">
        <f>+H6*I6*J6</f>
        <v/>
      </c>
      <c r="L6" s="125" t="inlineStr">
        <is>
          <t>The drone used for inspection and data collection has a typical service life of under five years due to battery wear, motor fatigue, and environmental exposure. A new platform is therefore required to ensure reliable operation throughout the project.</t>
        </is>
      </c>
    </row>
    <row r="7">
      <c r="A7" s="122" t="inlineStr">
        <is>
          <t>BE6</t>
        </is>
      </c>
      <c r="B7" s="1">
        <f>IF($A7="","",VLOOKUP($A7,'BE list'!A:C,3,0))</f>
        <v/>
      </c>
      <c r="C7" s="8" t="inlineStr">
        <is>
          <t>WP3</t>
        </is>
      </c>
      <c r="D7" s="1">
        <f>IF($C7="","",VLOOKUP($C7,'WP list'!A:B,2,0))</f>
        <v/>
      </c>
      <c r="E7" s="10" t="inlineStr">
        <is>
          <t>Equipment</t>
        </is>
      </c>
      <c r="F7" s="20" t="inlineStr">
        <is>
          <t xml:space="preserve">sensors for accoustic measurement </t>
        </is>
      </c>
      <c r="G7" s="123" t="n">
        <v>46208</v>
      </c>
      <c r="H7" s="134" t="n">
        <v>8750</v>
      </c>
      <c r="I7" s="138" t="n">
        <v>1</v>
      </c>
      <c r="J7" s="140" t="n">
        <v>1</v>
      </c>
      <c r="K7" s="384">
        <f>+H7*I7*J7</f>
        <v/>
      </c>
      <c r="L7" s="125" t="inlineStr">
        <is>
          <t>Acoustic sensors provide noise and structural‑borne sound data needed for fault detection and model validation. Their components degrade under outdoor, high‑wind conditions, giving them a lifespan of less than four years, requiring procurement within the project.</t>
        </is>
      </c>
    </row>
    <row r="8">
      <c r="A8" s="122" t="n"/>
      <c r="B8" s="1">
        <f>IF($A8="","",VLOOKUP($A8,'BE list'!A:C,3,0))</f>
        <v/>
      </c>
      <c r="C8" s="8" t="n"/>
      <c r="D8" s="1">
        <f>IF($C8="","",VLOOKUP($C8,'WP list'!A:B,2,0))</f>
        <v/>
      </c>
      <c r="E8" s="10" t="n"/>
      <c r="F8" s="20" t="n"/>
      <c r="G8" s="123" t="n"/>
      <c r="H8" s="134" t="n"/>
      <c r="I8" s="138" t="n"/>
      <c r="J8" s="140" t="n"/>
      <c r="K8" s="384" t="n"/>
      <c r="L8" s="125" t="n"/>
    </row>
    <row r="9">
      <c r="A9" s="122" t="n"/>
      <c r="B9" s="1">
        <f>IF($A9="","",VLOOKUP($A9,'BE list'!A:C,3,0))</f>
        <v/>
      </c>
      <c r="C9" s="8" t="n"/>
      <c r="D9" s="1">
        <f>IF($C9="","",VLOOKUP($C9,'WP list'!A:B,2,0))</f>
        <v/>
      </c>
      <c r="E9" s="10" t="n"/>
      <c r="F9" s="20" t="n"/>
      <c r="G9" s="123" t="n"/>
      <c r="H9" s="134" t="n"/>
      <c r="I9" s="138" t="n"/>
      <c r="J9" s="140" t="n"/>
      <c r="K9" s="384">
        <f>+H9*I9*J9</f>
        <v/>
      </c>
      <c r="L9" s="125" t="n"/>
    </row>
    <row r="10">
      <c r="A10" s="122" t="n"/>
      <c r="B10" s="1">
        <f>IF($A10="","",VLOOKUP($A10,'BE list'!A:C,3,0))</f>
        <v/>
      </c>
      <c r="C10" s="8" t="n"/>
      <c r="D10" s="1">
        <f>IF($C10="","",VLOOKUP($C10,'WP list'!A:B,2,0))</f>
        <v/>
      </c>
      <c r="E10" s="10" t="n"/>
      <c r="F10" s="20" t="n"/>
      <c r="G10" s="123" t="n"/>
      <c r="H10" s="134" t="n"/>
      <c r="I10" s="138" t="n"/>
      <c r="J10" s="140" t="n"/>
      <c r="K10" s="384">
        <f>+H10*I10*J10</f>
        <v/>
      </c>
      <c r="L10" s="125" t="n"/>
    </row>
    <row r="11">
      <c r="A11" s="122" t="n"/>
      <c r="B11" s="1">
        <f>IF($A11="","",VLOOKUP($A11,'BE list'!A:C,3,0))</f>
        <v/>
      </c>
      <c r="C11" s="8" t="n"/>
      <c r="D11" s="1">
        <f>IF($C11="","",VLOOKUP($C11,'WP list'!A:B,2,0))</f>
        <v/>
      </c>
      <c r="E11" s="10" t="n"/>
      <c r="F11" s="20" t="n"/>
      <c r="G11" s="123" t="n"/>
      <c r="H11" s="134" t="n"/>
      <c r="I11" s="138" t="n"/>
      <c r="J11" s="140" t="n"/>
      <c r="K11" s="384">
        <f>+H11*I11*J11</f>
        <v/>
      </c>
      <c r="L11" s="125" t="n"/>
    </row>
    <row r="12">
      <c r="A12" s="122" t="n"/>
      <c r="B12" s="1">
        <f>IF($A12="","",VLOOKUP($A12,'BE list'!A:C,3,0))</f>
        <v/>
      </c>
      <c r="C12" s="8" t="n"/>
      <c r="D12" s="1">
        <f>IF($C12="","",VLOOKUP($C12,'WP list'!A:B,2,0))</f>
        <v/>
      </c>
      <c r="E12" s="10" t="n"/>
      <c r="F12" s="20" t="n"/>
      <c r="G12" s="123" t="n"/>
      <c r="H12" s="134" t="n"/>
      <c r="I12" s="138" t="n"/>
      <c r="J12" s="140" t="n"/>
      <c r="K12" s="384">
        <f>+H12*I12*J12</f>
        <v/>
      </c>
      <c r="L12" s="125" t="n"/>
    </row>
    <row r="13">
      <c r="A13" s="122" t="n"/>
      <c r="B13" s="1">
        <f>IF($A13="","",VLOOKUP($A13,'BE list'!A:C,3,0))</f>
        <v/>
      </c>
      <c r="C13" s="8" t="n"/>
      <c r="D13" s="1">
        <f>IF($C13="","",VLOOKUP($C13,'WP list'!A:B,2,0))</f>
        <v/>
      </c>
      <c r="E13" s="10" t="n"/>
      <c r="F13" s="20" t="n"/>
      <c r="G13" s="123" t="n"/>
      <c r="H13" s="134" t="n"/>
      <c r="I13" s="138" t="n"/>
      <c r="J13" s="140" t="n"/>
      <c r="K13" s="384">
        <f>+H13*I13*J13</f>
        <v/>
      </c>
      <c r="L13" s="125" t="n"/>
    </row>
    <row r="14">
      <c r="A14" s="122" t="n"/>
      <c r="B14" s="1">
        <f>IF($A14="","",VLOOKUP($A14,'BE list'!A:C,3,0))</f>
        <v/>
      </c>
      <c r="C14" s="8" t="n"/>
      <c r="D14" s="1">
        <f>IF($C14="","",VLOOKUP($C14,'WP list'!A:B,2,0))</f>
        <v/>
      </c>
      <c r="E14" s="10" t="n"/>
      <c r="F14" s="20" t="n"/>
      <c r="G14" s="123" t="n"/>
      <c r="H14" s="134" t="n"/>
      <c r="I14" s="138" t="n"/>
      <c r="J14" s="140" t="n"/>
      <c r="K14" s="384">
        <f>+H14*I14*J14</f>
        <v/>
      </c>
      <c r="L14" s="125" t="n"/>
    </row>
    <row r="15">
      <c r="A15" s="122" t="n"/>
      <c r="B15" s="1">
        <f>IF($A15="","",VLOOKUP($A15,'BE list'!A:C,3,0))</f>
        <v/>
      </c>
      <c r="C15" s="8" t="n"/>
      <c r="D15" s="1">
        <f>IF($C15="","",VLOOKUP($C15,'WP list'!A:B,2,0))</f>
        <v/>
      </c>
      <c r="E15" s="10" t="n"/>
      <c r="F15" s="20" t="n"/>
      <c r="G15" s="123" t="n"/>
      <c r="H15" s="134" t="n"/>
      <c r="I15" s="138" t="n"/>
      <c r="J15" s="140" t="n"/>
      <c r="K15" s="384">
        <f>+H15*I15*J15</f>
        <v/>
      </c>
      <c r="L15" s="125" t="n"/>
    </row>
    <row r="16">
      <c r="A16" s="122" t="n"/>
      <c r="B16" s="1">
        <f>IF($A16="","",VLOOKUP($A16,'BE list'!A:C,3,0))</f>
        <v/>
      </c>
      <c r="C16" s="8" t="n"/>
      <c r="D16" s="1">
        <f>IF($C16="","",VLOOKUP($C16,'WP list'!A:B,2,0))</f>
        <v/>
      </c>
      <c r="E16" s="10" t="n"/>
      <c r="F16" s="20" t="n"/>
      <c r="G16" s="123" t="n"/>
      <c r="H16" s="134" t="n"/>
      <c r="I16" s="138" t="n"/>
      <c r="J16" s="140" t="n"/>
      <c r="K16" s="384">
        <f>+H16*I16*J16</f>
        <v/>
      </c>
      <c r="L16" s="125" t="n"/>
    </row>
    <row r="17">
      <c r="A17" s="122" t="n"/>
      <c r="B17" s="1">
        <f>IF($A17="","",VLOOKUP($A17,'BE list'!A:C,3,0))</f>
        <v/>
      </c>
      <c r="C17" s="8" t="n"/>
      <c r="D17" s="1">
        <f>IF($C17="","",VLOOKUP($C17,'WP list'!A:B,2,0))</f>
        <v/>
      </c>
      <c r="E17" s="10" t="n"/>
      <c r="F17" s="20" t="n"/>
      <c r="G17" s="123" t="n"/>
      <c r="H17" s="134" t="n"/>
      <c r="I17" s="138" t="n"/>
      <c r="J17" s="140" t="n"/>
      <c r="K17" s="384">
        <f>+H17*I17*J17</f>
        <v/>
      </c>
      <c r="L17" s="125" t="n"/>
    </row>
    <row r="18">
      <c r="A18" s="122" t="n"/>
      <c r="B18" s="1">
        <f>IF($A18="","",VLOOKUP($A18,'BE list'!A:C,3,0))</f>
        <v/>
      </c>
      <c r="C18" s="8" t="n"/>
      <c r="D18" s="1">
        <f>IF($C18="","",VLOOKUP($C18,'WP list'!A:B,2,0))</f>
        <v/>
      </c>
      <c r="E18" s="10" t="n"/>
      <c r="F18" s="20" t="n"/>
      <c r="G18" s="123" t="n"/>
      <c r="H18" s="134" t="n"/>
      <c r="I18" s="138" t="n"/>
      <c r="J18" s="140" t="n"/>
      <c r="K18" s="384">
        <f>+H18*I18*J18</f>
        <v/>
      </c>
      <c r="L18" s="125" t="n"/>
    </row>
    <row r="19">
      <c r="A19" s="122" t="n"/>
      <c r="B19" s="1">
        <f>IF($A19="","",VLOOKUP($A19,'BE list'!A:C,3,0))</f>
        <v/>
      </c>
      <c r="C19" s="8" t="n"/>
      <c r="D19" s="1">
        <f>IF($C19="","",VLOOKUP($C19,'WP list'!A:B,2,0))</f>
        <v/>
      </c>
      <c r="E19" s="10" t="n"/>
      <c r="F19" s="20" t="n"/>
      <c r="G19" s="123" t="n"/>
      <c r="H19" s="134" t="n"/>
      <c r="I19" s="138" t="n"/>
      <c r="J19" s="140" t="n"/>
      <c r="K19" s="384">
        <f>+H19*I19*J19</f>
        <v/>
      </c>
      <c r="L19" s="125" t="n"/>
    </row>
    <row r="20">
      <c r="A20" s="122" t="n"/>
      <c r="B20" s="1">
        <f>IF($A20="","",VLOOKUP($A20,'BE list'!A:C,3,0))</f>
        <v/>
      </c>
      <c r="C20" s="8" t="n"/>
      <c r="D20" s="1">
        <f>IF($C20="","",VLOOKUP($C20,'WP list'!A:B,2,0))</f>
        <v/>
      </c>
      <c r="E20" s="10" t="n"/>
      <c r="F20" s="20" t="n"/>
      <c r="G20" s="123" t="n"/>
      <c r="H20" s="134" t="n"/>
      <c r="I20" s="138" t="n"/>
      <c r="J20" s="140" t="n"/>
      <c r="K20" s="384">
        <f>+H20*I20*J20</f>
        <v/>
      </c>
      <c r="L20" s="125" t="n"/>
    </row>
    <row r="21">
      <c r="A21" s="122" t="n"/>
      <c r="B21" s="1">
        <f>IF($A21="","",VLOOKUP($A21,'BE list'!A:C,3,0))</f>
        <v/>
      </c>
      <c r="C21" s="8" t="n"/>
      <c r="D21" s="1">
        <f>IF($C21="","",VLOOKUP($C21,'WP list'!A:B,2,0))</f>
        <v/>
      </c>
      <c r="E21" s="10" t="n"/>
      <c r="F21" s="20" t="n"/>
      <c r="G21" s="123" t="n"/>
      <c r="H21" s="134" t="n"/>
      <c r="I21" s="138" t="n"/>
      <c r="J21" s="140" t="n"/>
      <c r="K21" s="384">
        <f>+H21*I21*J21</f>
        <v/>
      </c>
      <c r="L21" s="125" t="n"/>
    </row>
    <row r="22">
      <c r="A22" s="122" t="n"/>
      <c r="B22" s="1">
        <f>IF($A22="","",VLOOKUP($A22,'BE list'!A:C,3,0))</f>
        <v/>
      </c>
      <c r="C22" s="8" t="n"/>
      <c r="D22" s="1">
        <f>IF($C22="","",VLOOKUP($C22,'WP list'!A:B,2,0))</f>
        <v/>
      </c>
      <c r="E22" s="10" t="n"/>
      <c r="F22" s="20" t="n"/>
      <c r="G22" s="123" t="n"/>
      <c r="H22" s="134" t="n"/>
      <c r="I22" s="138" t="n"/>
      <c r="J22" s="140" t="n"/>
      <c r="K22" s="384">
        <f>+H22*I22*J22</f>
        <v/>
      </c>
      <c r="L22" s="125" t="n"/>
    </row>
    <row r="23">
      <c r="A23" s="122" t="n"/>
      <c r="B23" s="1">
        <f>IF($A23="","",VLOOKUP($A23,'BE list'!A:C,3,0))</f>
        <v/>
      </c>
      <c r="C23" s="8" t="n"/>
      <c r="D23" s="1">
        <f>IF($C23="","",VLOOKUP($C23,'WP list'!A:B,2,0))</f>
        <v/>
      </c>
      <c r="E23" s="10" t="n"/>
      <c r="F23" s="20" t="n"/>
      <c r="G23" s="123" t="n"/>
      <c r="H23" s="134" t="n"/>
      <c r="I23" s="138" t="n"/>
      <c r="J23" s="140" t="n"/>
      <c r="K23" s="384">
        <f>+H23*I23*J23</f>
        <v/>
      </c>
      <c r="L23" s="125" t="n"/>
    </row>
    <row r="24">
      <c r="A24" s="122" t="n"/>
      <c r="B24" s="1">
        <f>IF($A24="","",VLOOKUP($A24,'BE list'!A:C,3,0))</f>
        <v/>
      </c>
      <c r="C24" s="8" t="n"/>
      <c r="D24" s="1">
        <f>IF($C24="","",VLOOKUP($C24,'WP list'!A:B,2,0))</f>
        <v/>
      </c>
      <c r="E24" s="10" t="n"/>
      <c r="F24" s="20" t="n"/>
      <c r="G24" s="123" t="n"/>
      <c r="H24" s="134" t="n"/>
      <c r="I24" s="138" t="n"/>
      <c r="J24" s="140" t="n"/>
      <c r="K24" s="384">
        <f>+H24*I24*J24</f>
        <v/>
      </c>
      <c r="L24" s="125" t="n"/>
    </row>
    <row r="25">
      <c r="A25" s="122" t="n"/>
      <c r="B25" s="1">
        <f>IF($A25="","",VLOOKUP($A25,'BE list'!A:C,3,0))</f>
        <v/>
      </c>
      <c r="C25" s="8" t="n"/>
      <c r="D25" s="1">
        <f>IF($C25="","",VLOOKUP($C25,'WP list'!A:B,2,0))</f>
        <v/>
      </c>
      <c r="E25" s="10" t="n"/>
      <c r="F25" s="20" t="n"/>
      <c r="G25" s="123" t="n"/>
      <c r="H25" s="134" t="n"/>
      <c r="I25" s="138" t="n"/>
      <c r="J25" s="140" t="n"/>
      <c r="K25" s="384">
        <f>+H25*I25*J25</f>
        <v/>
      </c>
      <c r="L25" s="125" t="n"/>
    </row>
    <row r="26">
      <c r="A26" s="122" t="n"/>
      <c r="B26" s="1">
        <f>IF($A26="","",VLOOKUP($A26,'BE list'!A:C,3,0))</f>
        <v/>
      </c>
      <c r="C26" s="8" t="n"/>
      <c r="D26" s="1">
        <f>IF($C26="","",VLOOKUP($C26,'WP list'!A:B,2,0))</f>
        <v/>
      </c>
      <c r="E26" s="10" t="n"/>
      <c r="F26" s="20" t="n"/>
      <c r="G26" s="123" t="n"/>
      <c r="H26" s="134" t="n"/>
      <c r="I26" s="138" t="n"/>
      <c r="J26" s="140" t="n"/>
      <c r="K26" s="384">
        <f>+H26*I26*J26</f>
        <v/>
      </c>
      <c r="L26" s="125" t="n"/>
    </row>
    <row r="27">
      <c r="A27" s="122" t="n"/>
      <c r="B27" s="1">
        <f>IF($A27="","",VLOOKUP($A27,'BE list'!A:C,3,0))</f>
        <v/>
      </c>
      <c r="C27" s="8" t="n"/>
      <c r="D27" s="1">
        <f>IF($C27="","",VLOOKUP($C27,'WP list'!A:B,2,0))</f>
        <v/>
      </c>
      <c r="E27" s="10" t="n"/>
      <c r="F27" s="20" t="n"/>
      <c r="G27" s="123" t="n"/>
      <c r="H27" s="134" t="n"/>
      <c r="I27" s="138" t="n"/>
      <c r="J27" s="140" t="n"/>
      <c r="K27" s="384">
        <f>+H27*I27*J27</f>
        <v/>
      </c>
      <c r="L27" s="125" t="n"/>
    </row>
    <row r="28">
      <c r="A28" s="122" t="n"/>
      <c r="B28" s="1">
        <f>IF($A28="","",VLOOKUP($A28,'BE list'!A:C,3,0))</f>
        <v/>
      </c>
      <c r="C28" s="8" t="n"/>
      <c r="D28" s="1">
        <f>IF($C28="","",VLOOKUP($C28,'WP list'!A:B,2,0))</f>
        <v/>
      </c>
      <c r="E28" s="10" t="n"/>
      <c r="F28" s="20" t="n"/>
      <c r="G28" s="123" t="n"/>
      <c r="H28" s="134" t="n"/>
      <c r="I28" s="138" t="n"/>
      <c r="J28" s="140" t="n"/>
      <c r="K28" s="384">
        <f>+H28*I28*J28</f>
        <v/>
      </c>
      <c r="L28" s="125" t="n"/>
    </row>
    <row r="29">
      <c r="A29" s="122" t="n"/>
      <c r="B29" s="1">
        <f>IF($A29="","",VLOOKUP($A29,'BE list'!A:C,3,0))</f>
        <v/>
      </c>
      <c r="C29" s="8" t="n"/>
      <c r="D29" s="1">
        <f>IF($C29="","",VLOOKUP($C29,'WP list'!A:B,2,0))</f>
        <v/>
      </c>
      <c r="E29" s="10" t="n"/>
      <c r="F29" s="20" t="n"/>
      <c r="G29" s="123" t="n"/>
      <c r="H29" s="134" t="n"/>
      <c r="I29" s="138" t="n"/>
      <c r="J29" s="140" t="n"/>
      <c r="K29" s="384">
        <f>+H29*I29*J29</f>
        <v/>
      </c>
      <c r="L29" s="125" t="n"/>
    </row>
    <row r="30">
      <c r="A30" s="122" t="n"/>
      <c r="B30" s="1">
        <f>IF($A30="","",VLOOKUP($A30,'BE list'!A:C,3,0))</f>
        <v/>
      </c>
      <c r="C30" s="8" t="n"/>
      <c r="D30" s="1">
        <f>IF($C30="","",VLOOKUP($C30,'WP list'!A:B,2,0))</f>
        <v/>
      </c>
      <c r="E30" s="10" t="n"/>
      <c r="F30" s="20" t="n"/>
      <c r="G30" s="123" t="n"/>
      <c r="H30" s="134" t="n"/>
      <c r="I30" s="138" t="n"/>
      <c r="J30" s="140" t="n"/>
      <c r="K30" s="384">
        <f>+H30*I30*J30</f>
        <v/>
      </c>
      <c r="L30" s="125" t="n"/>
    </row>
    <row r="31">
      <c r="A31" s="122" t="n"/>
      <c r="B31" s="1">
        <f>IF($A31="","",VLOOKUP($A31,'BE list'!A:C,3,0))</f>
        <v/>
      </c>
      <c r="C31" s="8" t="n"/>
      <c r="D31" s="1">
        <f>IF($C31="","",VLOOKUP($C31,'WP list'!A:B,2,0))</f>
        <v/>
      </c>
      <c r="E31" s="10" t="n"/>
      <c r="F31" s="20" t="n"/>
      <c r="G31" s="123" t="n"/>
      <c r="H31" s="134" t="n"/>
      <c r="I31" s="138" t="n"/>
      <c r="J31" s="140" t="n"/>
      <c r="K31" s="384">
        <f>+H31*I31*J31</f>
        <v/>
      </c>
      <c r="L31" s="125" t="n"/>
    </row>
    <row r="32">
      <c r="A32" s="122" t="n"/>
      <c r="B32" s="1">
        <f>IF($A32="","",VLOOKUP($A32,'BE list'!A:C,3,0))</f>
        <v/>
      </c>
      <c r="C32" s="8" t="n"/>
      <c r="D32" s="1">
        <f>IF($C32="","",VLOOKUP($C32,'WP list'!A:B,2,0))</f>
        <v/>
      </c>
      <c r="E32" s="10" t="n"/>
      <c r="F32" s="20" t="n"/>
      <c r="G32" s="123" t="n"/>
      <c r="H32" s="134" t="n"/>
      <c r="I32" s="138" t="n"/>
      <c r="J32" s="140" t="n"/>
      <c r="K32" s="384">
        <f>+H32*I32*J32</f>
        <v/>
      </c>
      <c r="L32" s="125" t="n"/>
    </row>
    <row r="33">
      <c r="A33" s="122" t="n"/>
      <c r="B33" s="1">
        <f>IF($A33="","",VLOOKUP($A33,'BE list'!A:C,3,0))</f>
        <v/>
      </c>
      <c r="C33" s="8" t="n"/>
      <c r="D33" s="1">
        <f>IF($C33="","",VLOOKUP($C33,'WP list'!A:B,2,0))</f>
        <v/>
      </c>
      <c r="E33" s="10" t="n"/>
      <c r="F33" s="20" t="n"/>
      <c r="G33" s="123" t="n"/>
      <c r="H33" s="134" t="n"/>
      <c r="I33" s="138" t="n"/>
      <c r="J33" s="140" t="n"/>
      <c r="K33" s="384">
        <f>+H33*I33*J33</f>
        <v/>
      </c>
      <c r="L33" s="125" t="n"/>
    </row>
    <row r="34">
      <c r="A34" s="122" t="n"/>
      <c r="B34" s="1">
        <f>IF($A34="","",VLOOKUP($A34,'BE list'!A:C,3,0))</f>
        <v/>
      </c>
      <c r="C34" s="8" t="n"/>
      <c r="D34" s="1">
        <f>IF($C34="","",VLOOKUP($C34,'WP list'!A:B,2,0))</f>
        <v/>
      </c>
      <c r="E34" s="10" t="n"/>
      <c r="F34" s="20" t="n"/>
      <c r="G34" s="123" t="n"/>
      <c r="H34" s="134" t="n"/>
      <c r="I34" s="138" t="n"/>
      <c r="J34" s="140" t="n"/>
      <c r="K34" s="384">
        <f>+H34*I34*J34</f>
        <v/>
      </c>
      <c r="L34" s="125" t="n"/>
    </row>
    <row r="35">
      <c r="A35" s="122" t="n"/>
      <c r="B35" s="1">
        <f>IF($A35="","",VLOOKUP($A35,'BE list'!A:C,3,0))</f>
        <v/>
      </c>
      <c r="C35" s="8" t="n"/>
      <c r="D35" s="1">
        <f>IF($C35="","",VLOOKUP($C35,'WP list'!A:B,2,0))</f>
        <v/>
      </c>
      <c r="E35" s="10" t="n"/>
      <c r="F35" s="20" t="n"/>
      <c r="G35" s="123" t="n"/>
      <c r="H35" s="134" t="n"/>
      <c r="I35" s="138" t="n"/>
      <c r="J35" s="140" t="n"/>
      <c r="K35" s="384">
        <f>+H35*I35*J35</f>
        <v/>
      </c>
      <c r="L35" s="125" t="n"/>
    </row>
    <row r="36">
      <c r="A36" s="122" t="n"/>
      <c r="B36" s="1">
        <f>IF($A36="","",VLOOKUP($A36,'BE list'!A:C,3,0))</f>
        <v/>
      </c>
      <c r="C36" s="8" t="n"/>
      <c r="D36" s="1">
        <f>IF($C36="","",VLOOKUP($C36,'WP list'!A:B,2,0))</f>
        <v/>
      </c>
      <c r="E36" s="10" t="n"/>
      <c r="F36" s="20" t="n"/>
      <c r="G36" s="123" t="n"/>
      <c r="H36" s="134" t="n"/>
      <c r="I36" s="138" t="n"/>
      <c r="J36" s="140" t="n"/>
      <c r="K36" s="384">
        <f>+H36*I36*J36</f>
        <v/>
      </c>
      <c r="L36" s="125" t="n"/>
    </row>
    <row r="37">
      <c r="A37" s="122" t="n"/>
      <c r="B37" s="1">
        <f>IF($A37="","",VLOOKUP($A37,'BE list'!A:C,3,0))</f>
        <v/>
      </c>
      <c r="C37" s="8" t="n"/>
      <c r="D37" s="1">
        <f>IF($C37="","",VLOOKUP($C37,'WP list'!A:B,2,0))</f>
        <v/>
      </c>
      <c r="E37" s="10" t="n"/>
      <c r="F37" s="20" t="n"/>
      <c r="G37" s="123" t="n"/>
      <c r="H37" s="134" t="n"/>
      <c r="I37" s="138" t="n"/>
      <c r="J37" s="140" t="n"/>
      <c r="K37" s="384">
        <f>+H37*I37*J37</f>
        <v/>
      </c>
      <c r="L37" s="125" t="n"/>
    </row>
    <row r="38">
      <c r="A38" s="122" t="n"/>
      <c r="B38" s="1">
        <f>IF($A38="","",VLOOKUP($A38,'BE list'!A:C,3,0))</f>
        <v/>
      </c>
      <c r="C38" s="8" t="n"/>
      <c r="D38" s="1">
        <f>IF($C38="","",VLOOKUP($C38,'WP list'!A:B,2,0))</f>
        <v/>
      </c>
      <c r="E38" s="10" t="n"/>
      <c r="F38" s="20" t="n"/>
      <c r="G38" s="123" t="n"/>
      <c r="H38" s="134" t="n"/>
      <c r="I38" s="138" t="n"/>
      <c r="J38" s="140" t="n"/>
      <c r="K38" s="384">
        <f>+H38*I38*J38</f>
        <v/>
      </c>
      <c r="L38" s="125" t="n"/>
    </row>
    <row r="39">
      <c r="A39" s="122" t="n"/>
      <c r="B39" s="1">
        <f>IF($A39="","",VLOOKUP($A39,'BE list'!A:C,3,0))</f>
        <v/>
      </c>
      <c r="C39" s="8" t="n"/>
      <c r="D39" s="1">
        <f>IF($C39="","",VLOOKUP($C39,'WP list'!A:B,2,0))</f>
        <v/>
      </c>
      <c r="E39" s="10" t="n"/>
      <c r="F39" s="20" t="n"/>
      <c r="G39" s="123" t="n"/>
      <c r="H39" s="134" t="n"/>
      <c r="I39" s="138" t="n"/>
      <c r="J39" s="140" t="n"/>
      <c r="K39" s="384">
        <f>+H39*I39*J39</f>
        <v/>
      </c>
      <c r="L39" s="125" t="n"/>
    </row>
    <row r="40">
      <c r="A40" s="122" t="n"/>
      <c r="B40" s="1">
        <f>IF($A40="","",VLOOKUP($A40,'BE list'!A:C,3,0))</f>
        <v/>
      </c>
      <c r="C40" s="8" t="n"/>
      <c r="D40" s="1">
        <f>IF($C40="","",VLOOKUP($C40,'WP list'!A:B,2,0))</f>
        <v/>
      </c>
      <c r="E40" s="10" t="n"/>
      <c r="F40" s="20" t="n"/>
      <c r="G40" s="123" t="n"/>
      <c r="H40" s="134" t="n"/>
      <c r="I40" s="138" t="n"/>
      <c r="J40" s="140" t="n"/>
      <c r="K40" s="384">
        <f>+H40*I40*J40</f>
        <v/>
      </c>
      <c r="L40" s="125" t="n"/>
    </row>
    <row r="41">
      <c r="A41" s="122" t="n"/>
      <c r="B41" s="1">
        <f>IF($A41="","",VLOOKUP($A41,'BE list'!A:C,3,0))</f>
        <v/>
      </c>
      <c r="C41" s="8" t="n"/>
      <c r="D41" s="1">
        <f>IF($C41="","",VLOOKUP($C41,'WP list'!A:B,2,0))</f>
        <v/>
      </c>
      <c r="E41" s="10" t="n"/>
      <c r="F41" s="20" t="n"/>
      <c r="G41" s="123" t="n"/>
      <c r="H41" s="134" t="n"/>
      <c r="I41" s="138" t="n"/>
      <c r="J41" s="140" t="n"/>
      <c r="K41" s="384">
        <f>+H41*I41*J41</f>
        <v/>
      </c>
      <c r="L41" s="125" t="n"/>
    </row>
    <row r="42">
      <c r="A42" s="122" t="n"/>
      <c r="B42" s="1">
        <f>IF($A42="","",VLOOKUP($A42,'BE list'!A:C,3,0))</f>
        <v/>
      </c>
      <c r="C42" s="8" t="n"/>
      <c r="D42" s="1">
        <f>IF($C42="","",VLOOKUP($C42,'WP list'!A:B,2,0))</f>
        <v/>
      </c>
      <c r="E42" s="10" t="n"/>
      <c r="F42" s="20" t="n"/>
      <c r="G42" s="123" t="n"/>
      <c r="H42" s="134" t="n"/>
      <c r="I42" s="138" t="n"/>
      <c r="J42" s="140" t="n"/>
      <c r="K42" s="384">
        <f>+H42*I42*J42</f>
        <v/>
      </c>
      <c r="L42" s="125" t="n"/>
    </row>
    <row r="43">
      <c r="A43" s="122" t="n"/>
      <c r="B43" s="1">
        <f>IF($A43="","",VLOOKUP($A43,'BE list'!A:C,3,0))</f>
        <v/>
      </c>
      <c r="C43" s="8" t="n"/>
      <c r="D43" s="1">
        <f>IF($C43="","",VLOOKUP($C43,'WP list'!A:B,2,0))</f>
        <v/>
      </c>
      <c r="E43" s="10" t="n"/>
      <c r="F43" s="20" t="n"/>
      <c r="G43" s="123" t="n"/>
      <c r="H43" s="134" t="n"/>
      <c r="I43" s="138" t="n"/>
      <c r="J43" s="140" t="n"/>
      <c r="K43" s="384">
        <f>+H43*I43*J43</f>
        <v/>
      </c>
      <c r="L43" s="125" t="n"/>
    </row>
    <row r="44">
      <c r="A44" s="122" t="n"/>
      <c r="B44" s="1">
        <f>IF($A44="","",VLOOKUP($A44,'BE list'!A:C,3,0))</f>
        <v/>
      </c>
      <c r="C44" s="8" t="n"/>
      <c r="D44" s="1">
        <f>IF($C44="","",VLOOKUP($C44,'WP list'!A:B,2,0))</f>
        <v/>
      </c>
      <c r="E44" s="10" t="n"/>
      <c r="F44" s="20" t="n"/>
      <c r="G44" s="123" t="n"/>
      <c r="H44" s="134" t="n"/>
      <c r="I44" s="138" t="n"/>
      <c r="J44" s="140" t="n"/>
      <c r="K44" s="384">
        <f>+H44*I44*J44</f>
        <v/>
      </c>
      <c r="L44" s="125" t="n"/>
    </row>
    <row r="45">
      <c r="A45" s="122" t="n"/>
      <c r="B45" s="1">
        <f>IF($A45="","",VLOOKUP($A45,'BE list'!A:C,3,0))</f>
        <v/>
      </c>
      <c r="C45" s="8" t="n"/>
      <c r="D45" s="1">
        <f>IF($C45="","",VLOOKUP($C45,'WP list'!A:B,2,0))</f>
        <v/>
      </c>
      <c r="E45" s="10" t="n"/>
      <c r="F45" s="20" t="n"/>
      <c r="G45" s="123" t="n"/>
      <c r="H45" s="134" t="n"/>
      <c r="I45" s="138" t="n"/>
      <c r="J45" s="140" t="n"/>
      <c r="K45" s="384">
        <f>+H45*I45*J45</f>
        <v/>
      </c>
      <c r="L45" s="125" t="n"/>
    </row>
    <row r="46">
      <c r="A46" s="122" t="n"/>
      <c r="B46" s="1">
        <f>IF($A46="","",VLOOKUP($A46,'BE list'!A:C,3,0))</f>
        <v/>
      </c>
      <c r="C46" s="8" t="n"/>
      <c r="D46" s="1">
        <f>IF($C46="","",VLOOKUP($C46,'WP list'!A:B,2,0))</f>
        <v/>
      </c>
      <c r="E46" s="10" t="n"/>
      <c r="F46" s="20" t="n"/>
      <c r="G46" s="123" t="n"/>
      <c r="H46" s="134" t="n"/>
      <c r="I46" s="138" t="n"/>
      <c r="J46" s="140" t="n"/>
      <c r="K46" s="384">
        <f>+H46*I46*J46</f>
        <v/>
      </c>
      <c r="L46" s="125" t="n"/>
    </row>
    <row r="47">
      <c r="A47" s="122" t="n"/>
      <c r="B47" s="1">
        <f>IF($A47="","",VLOOKUP($A47,'BE list'!A:C,3,0))</f>
        <v/>
      </c>
      <c r="C47" s="8" t="n"/>
      <c r="D47" s="1">
        <f>IF($C47="","",VLOOKUP($C47,'WP list'!A:B,2,0))</f>
        <v/>
      </c>
      <c r="E47" s="10" t="n"/>
      <c r="F47" s="20" t="n"/>
      <c r="G47" s="123" t="n"/>
      <c r="H47" s="134" t="n"/>
      <c r="I47" s="138" t="n"/>
      <c r="J47" s="140" t="n"/>
      <c r="K47" s="384">
        <f>+H47*I47*J47</f>
        <v/>
      </c>
      <c r="L47" s="125" t="n"/>
    </row>
    <row r="48">
      <c r="A48" s="122" t="n"/>
      <c r="B48" s="1">
        <f>IF($A48="","",VLOOKUP($A48,'BE list'!A:C,3,0))</f>
        <v/>
      </c>
      <c r="C48" s="8" t="n"/>
      <c r="D48" s="1">
        <f>IF($C48="","",VLOOKUP($C48,'WP list'!A:B,2,0))</f>
        <v/>
      </c>
      <c r="E48" s="10" t="n"/>
      <c r="F48" s="20" t="n"/>
      <c r="G48" s="123" t="n"/>
      <c r="H48" s="134" t="n"/>
      <c r="I48" s="138" t="n"/>
      <c r="J48" s="140" t="n"/>
      <c r="K48" s="384">
        <f>+H48*I48*J48</f>
        <v/>
      </c>
      <c r="L48" s="125" t="n"/>
    </row>
    <row r="49">
      <c r="A49" s="122" t="n"/>
      <c r="B49" s="1">
        <f>IF($A49="","",VLOOKUP($A49,'BE list'!A:C,3,0))</f>
        <v/>
      </c>
      <c r="C49" s="8" t="n"/>
      <c r="D49" s="1">
        <f>IF($C49="","",VLOOKUP($C49,'WP list'!A:B,2,0))</f>
        <v/>
      </c>
      <c r="E49" s="10" t="n"/>
      <c r="F49" s="20" t="n"/>
      <c r="G49" s="123" t="n"/>
      <c r="H49" s="134" t="n"/>
      <c r="I49" s="138" t="n"/>
      <c r="J49" s="140" t="n"/>
      <c r="K49" s="384">
        <f>+H49*I49*J49</f>
        <v/>
      </c>
      <c r="L49" s="125" t="n"/>
    </row>
    <row r="50">
      <c r="A50" s="122" t="n"/>
      <c r="B50" s="1">
        <f>IF($A50="","",VLOOKUP($A50,'BE list'!A:C,3,0))</f>
        <v/>
      </c>
      <c r="C50" s="8" t="n"/>
      <c r="D50" s="1">
        <f>IF($C50="","",VLOOKUP($C50,'WP list'!A:B,2,0))</f>
        <v/>
      </c>
      <c r="E50" s="10" t="n"/>
      <c r="F50" s="20" t="n"/>
      <c r="G50" s="123" t="n"/>
      <c r="H50" s="134" t="n"/>
      <c r="I50" s="138" t="n"/>
      <c r="J50" s="140" t="n"/>
      <c r="K50" s="384">
        <f>+H50*I50*J50</f>
        <v/>
      </c>
      <c r="L50" s="125" t="n"/>
    </row>
    <row r="51">
      <c r="A51" s="122" t="n"/>
      <c r="B51" s="1">
        <f>IF($A51="","",VLOOKUP($A51,'BE list'!A:C,3,0))</f>
        <v/>
      </c>
      <c r="C51" s="8" t="n"/>
      <c r="D51" s="1">
        <f>IF($C51="","",VLOOKUP($C51,'WP list'!A:B,2,0))</f>
        <v/>
      </c>
      <c r="E51" s="10" t="n"/>
      <c r="F51" s="20" t="n"/>
      <c r="G51" s="123" t="n"/>
      <c r="H51" s="134" t="n"/>
      <c r="I51" s="138" t="n"/>
      <c r="J51" s="140" t="n"/>
      <c r="K51" s="384">
        <f>+H51*I51*J51</f>
        <v/>
      </c>
      <c r="L51" s="125" t="n"/>
    </row>
    <row r="52">
      <c r="A52" s="122" t="n"/>
      <c r="B52" s="1">
        <f>IF($A52="","",VLOOKUP($A52,'BE list'!A:C,3,0))</f>
        <v/>
      </c>
      <c r="C52" s="8" t="n"/>
      <c r="D52" s="1">
        <f>IF($C52="","",VLOOKUP($C52,'WP list'!A:B,2,0))</f>
        <v/>
      </c>
      <c r="E52" s="10" t="n"/>
      <c r="F52" s="20" t="n"/>
      <c r="G52" s="123" t="n"/>
      <c r="H52" s="134" t="n"/>
      <c r="I52" s="138" t="n"/>
      <c r="J52" s="140" t="n"/>
      <c r="K52" s="384">
        <f>+H52*I52*J52</f>
        <v/>
      </c>
      <c r="L52" s="125" t="n"/>
    </row>
    <row r="53">
      <c r="A53" s="122" t="n"/>
      <c r="B53" s="1">
        <f>IF($A53="","",VLOOKUP($A53,'BE list'!A:C,3,0))</f>
        <v/>
      </c>
      <c r="C53" s="8" t="n"/>
      <c r="D53" s="1">
        <f>IF($C53="","",VLOOKUP($C53,'WP list'!A:B,2,0))</f>
        <v/>
      </c>
      <c r="E53" s="10" t="n"/>
      <c r="F53" s="20" t="n"/>
      <c r="G53" s="123" t="n"/>
      <c r="H53" s="134" t="n"/>
      <c r="I53" s="138" t="n"/>
      <c r="J53" s="140" t="n"/>
      <c r="K53" s="384">
        <f>+H53*I53*J53</f>
        <v/>
      </c>
      <c r="L53" s="125" t="n"/>
    </row>
    <row r="54">
      <c r="A54" s="122" t="n"/>
      <c r="B54" s="1">
        <f>IF($A54="","",VLOOKUP($A54,'BE list'!A:C,3,0))</f>
        <v/>
      </c>
      <c r="C54" s="8" t="n"/>
      <c r="D54" s="1">
        <f>IF($C54="","",VLOOKUP($C54,'WP list'!A:B,2,0))</f>
        <v/>
      </c>
      <c r="E54" s="10" t="n"/>
      <c r="F54" s="20" t="n"/>
      <c r="G54" s="123" t="n"/>
      <c r="H54" s="134" t="n"/>
      <c r="I54" s="138" t="n"/>
      <c r="J54" s="140" t="n"/>
      <c r="K54" s="384">
        <f>+H54*I54*J54</f>
        <v/>
      </c>
      <c r="L54" s="125" t="n"/>
    </row>
    <row r="55">
      <c r="A55" s="122" t="n"/>
      <c r="B55" s="1">
        <f>IF($A55="","",VLOOKUP($A55,'BE list'!A:C,3,0))</f>
        <v/>
      </c>
      <c r="C55" s="8" t="n"/>
      <c r="D55" s="1">
        <f>IF($C55="","",VLOOKUP($C55,'WP list'!A:B,2,0))</f>
        <v/>
      </c>
      <c r="E55" s="10" t="n"/>
      <c r="F55" s="20" t="n"/>
      <c r="G55" s="123" t="n"/>
      <c r="H55" s="134" t="n"/>
      <c r="I55" s="138" t="n"/>
      <c r="J55" s="140" t="n"/>
      <c r="K55" s="384">
        <f>+H55*I55*J55</f>
        <v/>
      </c>
      <c r="L55" s="125" t="n"/>
    </row>
    <row r="56">
      <c r="A56" s="122" t="n"/>
      <c r="B56" s="1">
        <f>IF($A56="","",VLOOKUP($A56,'BE list'!A:C,3,0))</f>
        <v/>
      </c>
      <c r="C56" s="8" t="n"/>
      <c r="D56" s="1">
        <f>IF($C56="","",VLOOKUP($C56,'WP list'!A:B,2,0))</f>
        <v/>
      </c>
      <c r="E56" s="10" t="n"/>
      <c r="F56" s="20" t="n"/>
      <c r="G56" s="123" t="n"/>
      <c r="H56" s="134" t="n"/>
      <c r="I56" s="138" t="n"/>
      <c r="J56" s="140" t="n"/>
      <c r="K56" s="384">
        <f>+H56*I56*J56</f>
        <v/>
      </c>
      <c r="L56" s="125" t="n"/>
    </row>
    <row r="57">
      <c r="A57" s="122" t="n"/>
      <c r="B57" s="1">
        <f>IF($A57="","",VLOOKUP($A57,'BE list'!A:C,3,0))</f>
        <v/>
      </c>
      <c r="C57" s="8" t="n"/>
      <c r="D57" s="1">
        <f>IF($C57="","",VLOOKUP($C57,'WP list'!A:B,2,0))</f>
        <v/>
      </c>
      <c r="E57" s="10" t="n"/>
      <c r="F57" s="20" t="n"/>
      <c r="G57" s="123" t="n"/>
      <c r="H57" s="134" t="n"/>
      <c r="I57" s="138" t="n"/>
      <c r="J57" s="140" t="n"/>
      <c r="K57" s="384">
        <f>+H57*I57*J57</f>
        <v/>
      </c>
      <c r="L57" s="125" t="n"/>
    </row>
    <row r="58">
      <c r="A58" s="122" t="n"/>
      <c r="B58" s="1">
        <f>IF($A58="","",VLOOKUP($A58,'BE list'!A:C,3,0))</f>
        <v/>
      </c>
      <c r="C58" s="8" t="n"/>
      <c r="D58" s="1">
        <f>IF($C58="","",VLOOKUP($C58,'WP list'!A:B,2,0))</f>
        <v/>
      </c>
      <c r="E58" s="10" t="n"/>
      <c r="F58" s="20" t="n"/>
      <c r="G58" s="123" t="n"/>
      <c r="H58" s="134" t="n"/>
      <c r="I58" s="138" t="n"/>
      <c r="J58" s="140" t="n"/>
      <c r="K58" s="384">
        <f>+H58*I58*J58</f>
        <v/>
      </c>
      <c r="L58" s="125" t="n"/>
    </row>
    <row r="59">
      <c r="A59" s="122" t="n"/>
      <c r="B59" s="1">
        <f>IF($A59="","",VLOOKUP($A59,'BE list'!A:C,3,0))</f>
        <v/>
      </c>
      <c r="C59" s="8" t="n"/>
      <c r="D59" s="1">
        <f>IF($C59="","",VLOOKUP($C59,'WP list'!A:B,2,0))</f>
        <v/>
      </c>
      <c r="E59" s="10" t="n"/>
      <c r="F59" s="20" t="n"/>
      <c r="G59" s="123" t="n"/>
      <c r="H59" s="134" t="n"/>
      <c r="I59" s="138" t="n"/>
      <c r="J59" s="140" t="n"/>
      <c r="K59" s="384">
        <f>+H59*I59*J59</f>
        <v/>
      </c>
      <c r="L59" s="125" t="n"/>
    </row>
    <row r="60">
      <c r="A60" s="122" t="n"/>
      <c r="B60" s="1">
        <f>IF($A60="","",VLOOKUP($A60,'BE list'!A:C,3,0))</f>
        <v/>
      </c>
      <c r="C60" s="8" t="n"/>
      <c r="D60" s="1">
        <f>IF($C60="","",VLOOKUP($C60,'WP list'!A:B,2,0))</f>
        <v/>
      </c>
      <c r="E60" s="10" t="n"/>
      <c r="F60" s="20" t="n"/>
      <c r="G60" s="123" t="n"/>
      <c r="H60" s="134" t="n"/>
      <c r="I60" s="138" t="n"/>
      <c r="J60" s="140" t="n"/>
      <c r="K60" s="384">
        <f>+H60*I60*J60</f>
        <v/>
      </c>
      <c r="L60" s="125" t="n"/>
    </row>
    <row r="61">
      <c r="A61" s="122" t="n"/>
      <c r="B61" s="1">
        <f>IF($A61="","",VLOOKUP($A61,'BE list'!A:C,3,0))</f>
        <v/>
      </c>
      <c r="C61" s="8" t="n"/>
      <c r="D61" s="1">
        <f>IF($C61="","",VLOOKUP($C61,'WP list'!A:B,2,0))</f>
        <v/>
      </c>
      <c r="E61" s="10" t="n"/>
      <c r="F61" s="20" t="n"/>
      <c r="G61" s="123" t="n"/>
      <c r="H61" s="134" t="n"/>
      <c r="I61" s="138" t="n"/>
      <c r="J61" s="140" t="n"/>
      <c r="K61" s="384">
        <f>+H61*I61*J61</f>
        <v/>
      </c>
      <c r="L61" s="125" t="n"/>
    </row>
    <row r="62">
      <c r="A62" s="122" t="n"/>
      <c r="B62" s="1">
        <f>IF($A62="","",VLOOKUP($A62,'BE list'!A:C,3,0))</f>
        <v/>
      </c>
      <c r="C62" s="8" t="n"/>
      <c r="D62" s="1">
        <f>IF($C62="","",VLOOKUP($C62,'WP list'!A:B,2,0))</f>
        <v/>
      </c>
      <c r="E62" s="10" t="n"/>
      <c r="F62" s="20" t="n"/>
      <c r="G62" s="123" t="n"/>
      <c r="H62" s="134" t="n"/>
      <c r="I62" s="138" t="n"/>
      <c r="J62" s="140" t="n"/>
      <c r="K62" s="384">
        <f>+H62*I62*J62</f>
        <v/>
      </c>
      <c r="L62" s="125" t="n"/>
    </row>
    <row r="63">
      <c r="A63" s="122" t="n"/>
      <c r="B63" s="1">
        <f>IF($A63="","",VLOOKUP($A63,'BE list'!A:C,3,0))</f>
        <v/>
      </c>
      <c r="C63" s="8" t="n"/>
      <c r="D63" s="1">
        <f>IF($C63="","",VLOOKUP($C63,'WP list'!A:B,2,0))</f>
        <v/>
      </c>
      <c r="E63" s="10" t="n"/>
      <c r="F63" s="20" t="n"/>
      <c r="G63" s="123" t="n"/>
      <c r="H63" s="134" t="n"/>
      <c r="I63" s="138" t="n"/>
      <c r="J63" s="140" t="n"/>
      <c r="K63" s="384">
        <f>+H63*I63*J63</f>
        <v/>
      </c>
      <c r="L63" s="125" t="n"/>
    </row>
    <row r="64">
      <c r="A64" s="122" t="n"/>
      <c r="B64" s="1">
        <f>IF($A64="","",VLOOKUP($A64,'BE list'!A:C,3,0))</f>
        <v/>
      </c>
      <c r="C64" s="8" t="n"/>
      <c r="D64" s="1">
        <f>IF($C64="","",VLOOKUP($C64,'WP list'!A:B,2,0))</f>
        <v/>
      </c>
      <c r="E64" s="10" t="n"/>
      <c r="F64" s="20" t="n"/>
      <c r="G64" s="123" t="n"/>
      <c r="H64" s="134" t="n"/>
      <c r="I64" s="138" t="n"/>
      <c r="J64" s="140" t="n"/>
      <c r="K64" s="384">
        <f>+H64*I64*J64</f>
        <v/>
      </c>
      <c r="L64" s="125" t="n"/>
    </row>
    <row r="65">
      <c r="A65" s="122" t="n"/>
      <c r="B65" s="1">
        <f>IF($A65="","",VLOOKUP($A65,'BE list'!A:C,3,0))</f>
        <v/>
      </c>
      <c r="C65" s="8" t="n"/>
      <c r="D65" s="1">
        <f>IF($C65="","",VLOOKUP($C65,'WP list'!A:B,2,0))</f>
        <v/>
      </c>
      <c r="E65" s="10" t="n"/>
      <c r="F65" s="20" t="n"/>
      <c r="G65" s="123" t="n"/>
      <c r="H65" s="134" t="n"/>
      <c r="I65" s="138" t="n"/>
      <c r="J65" s="140" t="n"/>
      <c r="K65" s="384">
        <f>+H65*I65*J65</f>
        <v/>
      </c>
      <c r="L65" s="125" t="n"/>
    </row>
    <row r="66">
      <c r="A66" s="122" t="n"/>
      <c r="B66" s="1">
        <f>IF($A66="","",VLOOKUP($A66,'BE list'!A:C,3,0))</f>
        <v/>
      </c>
      <c r="C66" s="8" t="n"/>
      <c r="D66" s="1">
        <f>IF($C66="","",VLOOKUP($C66,'WP list'!A:B,2,0))</f>
        <v/>
      </c>
      <c r="E66" s="10" t="n"/>
      <c r="F66" s="20" t="n"/>
      <c r="G66" s="123" t="n"/>
      <c r="H66" s="134" t="n"/>
      <c r="I66" s="138" t="n"/>
      <c r="J66" s="140" t="n"/>
      <c r="K66" s="384">
        <f>+H66*I66*J66</f>
        <v/>
      </c>
      <c r="L66" s="125" t="n"/>
    </row>
    <row r="67">
      <c r="A67" s="122" t="n"/>
      <c r="B67" s="1">
        <f>IF($A67="","",VLOOKUP($A67,'BE list'!A:C,3,0))</f>
        <v/>
      </c>
      <c r="C67" s="8" t="n"/>
      <c r="D67" s="1">
        <f>IF($C67="","",VLOOKUP($C67,'WP list'!A:B,2,0))</f>
        <v/>
      </c>
      <c r="E67" s="10" t="n"/>
      <c r="F67" s="20" t="n"/>
      <c r="G67" s="123" t="n"/>
      <c r="H67" s="134" t="n"/>
      <c r="I67" s="138" t="n"/>
      <c r="J67" s="140" t="n"/>
      <c r="K67" s="384">
        <f>+H67*I67*J67</f>
        <v/>
      </c>
      <c r="L67" s="125" t="n"/>
    </row>
    <row r="68">
      <c r="A68" s="122" t="n"/>
      <c r="B68" s="1">
        <f>IF($A68="","",VLOOKUP($A68,'BE list'!A:C,3,0))</f>
        <v/>
      </c>
      <c r="C68" s="8" t="n"/>
      <c r="D68" s="1">
        <f>IF($C68="","",VLOOKUP($C68,'WP list'!A:B,2,0))</f>
        <v/>
      </c>
      <c r="E68" s="10" t="n"/>
      <c r="F68" s="20" t="n"/>
      <c r="G68" s="123" t="n"/>
      <c r="H68" s="134" t="n"/>
      <c r="I68" s="138" t="n"/>
      <c r="J68" s="140" t="n"/>
      <c r="K68" s="384">
        <f>+H68*I68*J68</f>
        <v/>
      </c>
      <c r="L68" s="125" t="n"/>
    </row>
    <row r="69">
      <c r="A69" s="122" t="n"/>
      <c r="B69" s="1">
        <f>IF($A69="","",VLOOKUP($A69,'BE list'!A:C,3,0))</f>
        <v/>
      </c>
      <c r="C69" s="8" t="n"/>
      <c r="D69" s="1">
        <f>IF($C69="","",VLOOKUP($C69,'WP list'!A:B,2,0))</f>
        <v/>
      </c>
      <c r="E69" s="10" t="n"/>
      <c r="F69" s="20" t="n"/>
      <c r="G69" s="123" t="n"/>
      <c r="H69" s="134" t="n"/>
      <c r="I69" s="138" t="n"/>
      <c r="J69" s="140" t="n"/>
      <c r="K69" s="384">
        <f>+H69*I69*J69</f>
        <v/>
      </c>
      <c r="L69" s="125" t="n"/>
    </row>
    <row r="70">
      <c r="A70" s="122" t="n"/>
      <c r="B70" s="1">
        <f>IF($A70="","",VLOOKUP($A70,'BE list'!A:C,3,0))</f>
        <v/>
      </c>
      <c r="C70" s="8" t="n"/>
      <c r="D70" s="1">
        <f>IF($C70="","",VLOOKUP($C70,'WP list'!A:B,2,0))</f>
        <v/>
      </c>
      <c r="E70" s="10" t="n"/>
      <c r="F70" s="20" t="n"/>
      <c r="G70" s="123" t="n"/>
      <c r="H70" s="134" t="n"/>
      <c r="I70" s="138" t="n"/>
      <c r="J70" s="140" t="n"/>
      <c r="K70" s="384">
        <f>+H70*I70*J70</f>
        <v/>
      </c>
      <c r="L70" s="125" t="n"/>
    </row>
    <row r="71">
      <c r="A71" s="122" t="n"/>
      <c r="B71" s="1">
        <f>IF($A71="","",VLOOKUP($A71,'BE list'!A:C,3,0))</f>
        <v/>
      </c>
      <c r="C71" s="8" t="n"/>
      <c r="D71" s="1">
        <f>IF($C71="","",VLOOKUP($C71,'WP list'!A:B,2,0))</f>
        <v/>
      </c>
      <c r="E71" s="10" t="n"/>
      <c r="F71" s="20" t="n"/>
      <c r="G71" s="123" t="n"/>
      <c r="H71" s="134" t="n"/>
      <c r="I71" s="138" t="n"/>
      <c r="J71" s="140" t="n"/>
      <c r="K71" s="384">
        <f>+H71*I71*J71</f>
        <v/>
      </c>
      <c r="L71" s="125" t="n"/>
    </row>
    <row r="72">
      <c r="A72" s="122" t="n"/>
      <c r="B72" s="1">
        <f>IF($A72="","",VLOOKUP($A72,'BE list'!A:C,3,0))</f>
        <v/>
      </c>
      <c r="C72" s="8" t="n"/>
      <c r="D72" s="1">
        <f>IF($C72="","",VLOOKUP($C72,'WP list'!A:B,2,0))</f>
        <v/>
      </c>
      <c r="E72" s="10" t="n"/>
      <c r="F72" s="20" t="n"/>
      <c r="G72" s="123" t="n"/>
      <c r="H72" s="134" t="n"/>
      <c r="I72" s="138" t="n"/>
      <c r="J72" s="140" t="n"/>
      <c r="K72" s="384">
        <f>+H72*I72*J72</f>
        <v/>
      </c>
      <c r="L72" s="125" t="n"/>
    </row>
    <row r="73">
      <c r="A73" s="122" t="n"/>
      <c r="B73" s="1">
        <f>IF($A73="","",VLOOKUP($A73,'BE list'!A:C,3,0))</f>
        <v/>
      </c>
      <c r="C73" s="8" t="n"/>
      <c r="D73" s="1">
        <f>IF($C73="","",VLOOKUP($C73,'WP list'!A:B,2,0))</f>
        <v/>
      </c>
      <c r="E73" s="10" t="n"/>
      <c r="F73" s="20" t="n"/>
      <c r="G73" s="123" t="n"/>
      <c r="H73" s="134" t="n"/>
      <c r="I73" s="138" t="n"/>
      <c r="J73" s="140" t="n"/>
      <c r="K73" s="384">
        <f>+H73*I73*J73</f>
        <v/>
      </c>
      <c r="L73" s="125" t="n"/>
    </row>
    <row r="74">
      <c r="A74" s="122" t="n"/>
      <c r="B74" s="1">
        <f>IF($A74="","",VLOOKUP($A74,'BE list'!A:C,3,0))</f>
        <v/>
      </c>
      <c r="C74" s="8" t="n"/>
      <c r="D74" s="1">
        <f>IF($C74="","",VLOOKUP($C74,'WP list'!A:B,2,0))</f>
        <v/>
      </c>
      <c r="E74" s="10" t="n"/>
      <c r="F74" s="20" t="n"/>
      <c r="G74" s="123" t="n"/>
      <c r="H74" s="134" t="n"/>
      <c r="I74" s="138" t="n"/>
      <c r="J74" s="140" t="n"/>
      <c r="K74" s="384">
        <f>+H74*I74*J74</f>
        <v/>
      </c>
      <c r="L74" s="125" t="n"/>
    </row>
    <row r="75">
      <c r="A75" s="122" t="n"/>
      <c r="B75" s="1">
        <f>IF($A75="","",VLOOKUP($A75,'BE list'!A:C,3,0))</f>
        <v/>
      </c>
      <c r="C75" s="8" t="n"/>
      <c r="D75" s="1">
        <f>IF($C75="","",VLOOKUP($C75,'WP list'!A:B,2,0))</f>
        <v/>
      </c>
      <c r="E75" s="10" t="n"/>
      <c r="F75" s="20" t="n"/>
      <c r="G75" s="123" t="n"/>
      <c r="H75" s="134" t="n"/>
      <c r="I75" s="138" t="n"/>
      <c r="J75" s="140" t="n"/>
      <c r="K75" s="384">
        <f>+H75*I75*J75</f>
        <v/>
      </c>
      <c r="L75" s="125" t="n"/>
    </row>
    <row r="76">
      <c r="A76" s="122" t="n"/>
      <c r="B76" s="1">
        <f>IF($A76="","",VLOOKUP($A76,'BE list'!A:C,3,0))</f>
        <v/>
      </c>
      <c r="C76" s="8" t="n"/>
      <c r="D76" s="1">
        <f>IF($C76="","",VLOOKUP($C76,'WP list'!A:B,2,0))</f>
        <v/>
      </c>
      <c r="E76" s="10" t="n"/>
      <c r="F76" s="20" t="n"/>
      <c r="G76" s="123" t="n"/>
      <c r="H76" s="134" t="n"/>
      <c r="I76" s="138" t="n"/>
      <c r="J76" s="140" t="n"/>
      <c r="K76" s="384">
        <f>+H76*I76*J76</f>
        <v/>
      </c>
      <c r="L76" s="125" t="n"/>
    </row>
    <row r="77">
      <c r="A77" s="122" t="n"/>
      <c r="B77" s="1">
        <f>IF($A77="","",VLOOKUP($A77,'BE list'!A:C,3,0))</f>
        <v/>
      </c>
      <c r="C77" s="8" t="n"/>
      <c r="D77" s="1">
        <f>IF($C77="","",VLOOKUP($C77,'WP list'!A:B,2,0))</f>
        <v/>
      </c>
      <c r="E77" s="10" t="n"/>
      <c r="F77" s="20" t="n"/>
      <c r="G77" s="123" t="n"/>
      <c r="H77" s="134" t="n"/>
      <c r="I77" s="138" t="n"/>
      <c r="J77" s="140" t="n"/>
      <c r="K77" s="384">
        <f>+H77*I77*J77</f>
        <v/>
      </c>
      <c r="L77" s="125" t="n"/>
    </row>
    <row r="78">
      <c r="A78" s="122" t="n"/>
      <c r="B78" s="1">
        <f>IF($A78="","",VLOOKUP($A78,'BE list'!A:C,3,0))</f>
        <v/>
      </c>
      <c r="C78" s="8" t="n"/>
      <c r="D78" s="1">
        <f>IF($C78="","",VLOOKUP($C78,'WP list'!A:B,2,0))</f>
        <v/>
      </c>
      <c r="E78" s="10" t="n"/>
      <c r="F78" s="20" t="n"/>
      <c r="G78" s="123" t="n"/>
      <c r="H78" s="134" t="n"/>
      <c r="I78" s="138" t="n"/>
      <c r="J78" s="140" t="n"/>
      <c r="K78" s="384">
        <f>+H78*I78*J78</f>
        <v/>
      </c>
      <c r="L78" s="125" t="n"/>
    </row>
    <row r="79">
      <c r="A79" s="122" t="n"/>
      <c r="B79" s="1">
        <f>IF($A79="","",VLOOKUP($A79,'BE list'!A:C,3,0))</f>
        <v/>
      </c>
      <c r="C79" s="8" t="n"/>
      <c r="D79" s="1">
        <f>IF($C79="","",VLOOKUP($C79,'WP list'!A:B,2,0))</f>
        <v/>
      </c>
      <c r="E79" s="10" t="n"/>
      <c r="F79" s="20" t="n"/>
      <c r="G79" s="123" t="n"/>
      <c r="H79" s="134" t="n"/>
      <c r="I79" s="138" t="n"/>
      <c r="J79" s="140" t="n"/>
      <c r="K79" s="384">
        <f>+H79*I79*J79</f>
        <v/>
      </c>
      <c r="L79" s="125" t="n"/>
    </row>
    <row r="80">
      <c r="A80" s="122" t="n"/>
      <c r="B80" s="1">
        <f>IF($A80="","",VLOOKUP($A80,'BE list'!A:C,3,0))</f>
        <v/>
      </c>
      <c r="C80" s="8" t="n"/>
      <c r="D80" s="1">
        <f>IF($C80="","",VLOOKUP($C80,'WP list'!A:B,2,0))</f>
        <v/>
      </c>
      <c r="E80" s="10" t="n"/>
      <c r="F80" s="20" t="n"/>
      <c r="G80" s="123" t="n"/>
      <c r="H80" s="134" t="n"/>
      <c r="I80" s="138" t="n"/>
      <c r="J80" s="140" t="n"/>
      <c r="K80" s="384">
        <f>+H80*I80*J80</f>
        <v/>
      </c>
      <c r="L80" s="125" t="n"/>
    </row>
    <row r="81">
      <c r="A81" s="122" t="n"/>
      <c r="B81" s="1">
        <f>IF($A81="","",VLOOKUP($A81,'BE list'!A:C,3,0))</f>
        <v/>
      </c>
      <c r="C81" s="8" t="n"/>
      <c r="D81" s="1">
        <f>IF($C81="","",VLOOKUP($C81,'WP list'!A:B,2,0))</f>
        <v/>
      </c>
      <c r="E81" s="10" t="n"/>
      <c r="F81" s="20" t="n"/>
      <c r="G81" s="123" t="n"/>
      <c r="H81" s="134" t="n"/>
      <c r="I81" s="138" t="n"/>
      <c r="J81" s="140" t="n"/>
      <c r="K81" s="384">
        <f>+H81*I81*J81</f>
        <v/>
      </c>
      <c r="L81" s="125" t="n"/>
    </row>
    <row r="82">
      <c r="A82" s="122" t="n"/>
      <c r="B82" s="1">
        <f>IF($A82="","",VLOOKUP($A82,'BE list'!A:C,3,0))</f>
        <v/>
      </c>
      <c r="C82" s="8" t="n"/>
      <c r="D82" s="1">
        <f>IF($C82="","",VLOOKUP($C82,'WP list'!A:B,2,0))</f>
        <v/>
      </c>
      <c r="E82" s="10" t="n"/>
      <c r="F82" s="20" t="n"/>
      <c r="G82" s="123" t="n"/>
      <c r="H82" s="134" t="n"/>
      <c r="I82" s="138" t="n"/>
      <c r="J82" s="140" t="n"/>
      <c r="K82" s="384">
        <f>+H82*I82*J82</f>
        <v/>
      </c>
      <c r="L82" s="125" t="n"/>
    </row>
    <row r="83">
      <c r="A83" s="122" t="n"/>
      <c r="B83" s="1">
        <f>IF($A83="","",VLOOKUP($A83,'BE list'!A:C,3,0))</f>
        <v/>
      </c>
      <c r="C83" s="8" t="n"/>
      <c r="D83" s="1">
        <f>IF($C83="","",VLOOKUP($C83,'WP list'!A:B,2,0))</f>
        <v/>
      </c>
      <c r="E83" s="10" t="n"/>
      <c r="F83" s="20" t="n"/>
      <c r="G83" s="123" t="n"/>
      <c r="H83" s="134" t="n"/>
      <c r="I83" s="138" t="n"/>
      <c r="J83" s="140" t="n"/>
      <c r="K83" s="384">
        <f>+H83*I83*J83</f>
        <v/>
      </c>
      <c r="L83" s="125" t="n"/>
    </row>
    <row r="84">
      <c r="A84" s="122" t="n"/>
      <c r="B84" s="1">
        <f>IF($A84="","",VLOOKUP($A84,'BE list'!A:C,3,0))</f>
        <v/>
      </c>
      <c r="C84" s="8" t="n"/>
      <c r="D84" s="1">
        <f>IF($C84="","",VLOOKUP($C84,'WP list'!A:B,2,0))</f>
        <v/>
      </c>
      <c r="E84" s="10" t="n"/>
      <c r="F84" s="20" t="n"/>
      <c r="G84" s="123" t="n"/>
      <c r="H84" s="134" t="n"/>
      <c r="I84" s="138" t="n"/>
      <c r="J84" s="140" t="n"/>
      <c r="K84" s="384">
        <f>+H84*I84*J84</f>
        <v/>
      </c>
      <c r="L84" s="125" t="n"/>
    </row>
    <row r="85">
      <c r="A85" s="122" t="n"/>
      <c r="B85" s="1">
        <f>IF($A85="","",VLOOKUP($A85,'BE list'!A:C,3,0))</f>
        <v/>
      </c>
      <c r="C85" s="8" t="n"/>
      <c r="D85" s="1">
        <f>IF($C85="","",VLOOKUP($C85,'WP list'!A:B,2,0))</f>
        <v/>
      </c>
      <c r="E85" s="10" t="n"/>
      <c r="F85" s="20" t="n"/>
      <c r="G85" s="123" t="n"/>
      <c r="H85" s="134" t="n"/>
      <c r="I85" s="138" t="n"/>
      <c r="J85" s="140" t="n"/>
      <c r="K85" s="384">
        <f>+H85*I85*J85</f>
        <v/>
      </c>
      <c r="L85" s="125" t="n"/>
    </row>
    <row r="86">
      <c r="A86" s="122" t="n"/>
      <c r="B86" s="1">
        <f>IF($A86="","",VLOOKUP($A86,'BE list'!A:C,3,0))</f>
        <v/>
      </c>
      <c r="C86" s="8" t="n"/>
      <c r="D86" s="1">
        <f>IF($C86="","",VLOOKUP($C86,'WP list'!A:B,2,0))</f>
        <v/>
      </c>
      <c r="E86" s="10" t="n"/>
      <c r="F86" s="20" t="n"/>
      <c r="G86" s="123" t="n"/>
      <c r="H86" s="134" t="n"/>
      <c r="I86" s="138" t="n"/>
      <c r="J86" s="140" t="n"/>
      <c r="K86" s="384">
        <f>+H86*I86*J86</f>
        <v/>
      </c>
      <c r="L86" s="125" t="n"/>
    </row>
    <row r="87">
      <c r="A87" s="122" t="n"/>
      <c r="B87" s="1">
        <f>IF($A87="","",VLOOKUP($A87,'BE list'!A:C,3,0))</f>
        <v/>
      </c>
      <c r="C87" s="8" t="n"/>
      <c r="D87" s="1">
        <f>IF($C87="","",VLOOKUP($C87,'WP list'!A:B,2,0))</f>
        <v/>
      </c>
      <c r="E87" s="10" t="n"/>
      <c r="F87" s="20" t="n"/>
      <c r="G87" s="123" t="n"/>
      <c r="H87" s="134" t="n"/>
      <c r="I87" s="138" t="n"/>
      <c r="J87" s="140" t="n"/>
      <c r="K87" s="384">
        <f>+H87*I87*J87</f>
        <v/>
      </c>
      <c r="L87" s="125" t="n"/>
    </row>
    <row r="88">
      <c r="A88" s="122" t="n"/>
      <c r="B88" s="1">
        <f>IF($A88="","",VLOOKUP($A88,'BE list'!A:C,3,0))</f>
        <v/>
      </c>
      <c r="C88" s="8" t="n"/>
      <c r="D88" s="1">
        <f>IF($C88="","",VLOOKUP($C88,'WP list'!A:B,2,0))</f>
        <v/>
      </c>
      <c r="E88" s="10" t="n"/>
      <c r="F88" s="20" t="n"/>
      <c r="G88" s="123" t="n"/>
      <c r="H88" s="134" t="n"/>
      <c r="I88" s="138" t="n"/>
      <c r="J88" s="140" t="n"/>
      <c r="K88" s="384">
        <f>+H88*I88*J88</f>
        <v/>
      </c>
      <c r="L88" s="125" t="n"/>
    </row>
    <row r="89">
      <c r="A89" s="122" t="n"/>
      <c r="B89" s="1">
        <f>IF($A89="","",VLOOKUP($A89,'BE list'!A:C,3,0))</f>
        <v/>
      </c>
      <c r="C89" s="8" t="n"/>
      <c r="D89" s="1">
        <f>IF($C89="","",VLOOKUP($C89,'WP list'!A:B,2,0))</f>
        <v/>
      </c>
      <c r="E89" s="10" t="n"/>
      <c r="F89" s="20" t="n"/>
      <c r="G89" s="123" t="n"/>
      <c r="H89" s="134" t="n"/>
      <c r="I89" s="138" t="n"/>
      <c r="J89" s="140" t="n"/>
      <c r="K89" s="384">
        <f>+H89*I89*J89</f>
        <v/>
      </c>
      <c r="L89" s="125" t="n"/>
    </row>
    <row r="90">
      <c r="A90" s="122" t="n"/>
      <c r="B90" s="1">
        <f>IF($A90="","",VLOOKUP($A90,'BE list'!A:C,3,0))</f>
        <v/>
      </c>
      <c r="C90" s="8" t="n"/>
      <c r="D90" s="1">
        <f>IF($C90="","",VLOOKUP($C90,'WP list'!A:B,2,0))</f>
        <v/>
      </c>
      <c r="E90" s="10" t="n"/>
      <c r="F90" s="20" t="n"/>
      <c r="G90" s="123" t="n"/>
      <c r="H90" s="134" t="n"/>
      <c r="I90" s="138" t="n"/>
      <c r="J90" s="140" t="n"/>
      <c r="K90" s="384">
        <f>+H90*I90*J90</f>
        <v/>
      </c>
      <c r="L90" s="125" t="n"/>
    </row>
    <row r="91">
      <c r="A91" s="122" t="n"/>
      <c r="B91" s="1">
        <f>IF($A91="","",VLOOKUP($A91,'BE list'!A:C,3,0))</f>
        <v/>
      </c>
      <c r="C91" s="8" t="n"/>
      <c r="D91" s="1">
        <f>IF($C91="","",VLOOKUP($C91,'WP list'!A:B,2,0))</f>
        <v/>
      </c>
      <c r="E91" s="10" t="n"/>
      <c r="F91" s="20" t="n"/>
      <c r="G91" s="123" t="n"/>
      <c r="H91" s="134" t="n"/>
      <c r="I91" s="138" t="n"/>
      <c r="J91" s="140" t="n"/>
      <c r="K91" s="384">
        <f>+H91*I91*J91</f>
        <v/>
      </c>
      <c r="L91" s="125" t="n"/>
    </row>
    <row r="92">
      <c r="A92" s="122" t="n"/>
      <c r="B92" s="1">
        <f>IF($A92="","",VLOOKUP($A92,'BE list'!A:C,3,0))</f>
        <v/>
      </c>
      <c r="C92" s="8" t="n"/>
      <c r="D92" s="1">
        <f>IF($C92="","",VLOOKUP($C92,'WP list'!A:B,2,0))</f>
        <v/>
      </c>
      <c r="E92" s="10" t="n"/>
      <c r="F92" s="20" t="n"/>
      <c r="G92" s="123" t="n"/>
      <c r="H92" s="134" t="n"/>
      <c r="I92" s="138" t="n"/>
      <c r="J92" s="140" t="n"/>
      <c r="K92" s="384">
        <f>+H92*I92*J92</f>
        <v/>
      </c>
      <c r="L92" s="125" t="n"/>
    </row>
    <row r="93">
      <c r="A93" s="122" t="n"/>
      <c r="B93" s="1">
        <f>IF($A93="","",VLOOKUP($A93,'BE list'!A:C,3,0))</f>
        <v/>
      </c>
      <c r="C93" s="8" t="n"/>
      <c r="D93" s="1">
        <f>IF($C93="","",VLOOKUP($C93,'WP list'!A:B,2,0))</f>
        <v/>
      </c>
      <c r="E93" s="10" t="n"/>
      <c r="F93" s="20" t="n"/>
      <c r="G93" s="123" t="n"/>
      <c r="H93" s="134" t="n"/>
      <c r="I93" s="138" t="n"/>
      <c r="J93" s="140" t="n"/>
      <c r="K93" s="384">
        <f>+H93*I93*J93</f>
        <v/>
      </c>
      <c r="L93" s="125" t="n"/>
    </row>
    <row r="94">
      <c r="A94" s="122" t="n"/>
      <c r="B94" s="1">
        <f>IF($A94="","",VLOOKUP($A94,'BE list'!A:C,3,0))</f>
        <v/>
      </c>
      <c r="C94" s="8" t="n"/>
      <c r="D94" s="1">
        <f>IF($C94="","",VLOOKUP($C94,'WP list'!A:B,2,0))</f>
        <v/>
      </c>
      <c r="E94" s="10" t="n"/>
      <c r="F94" s="20" t="n"/>
      <c r="G94" s="123" t="n"/>
      <c r="H94" s="134" t="n"/>
      <c r="I94" s="138" t="n"/>
      <c r="J94" s="140" t="n"/>
      <c r="K94" s="384">
        <f>+H94*I94*J94</f>
        <v/>
      </c>
      <c r="L94" s="125" t="n"/>
    </row>
    <row r="95">
      <c r="A95" s="122" t="n"/>
      <c r="B95" s="1">
        <f>IF($A95="","",VLOOKUP($A95,'BE list'!A:C,3,0))</f>
        <v/>
      </c>
      <c r="C95" s="8" t="n"/>
      <c r="D95" s="1">
        <f>IF($C95="","",VLOOKUP($C95,'WP list'!A:B,2,0))</f>
        <v/>
      </c>
      <c r="E95" s="10" t="n"/>
      <c r="F95" s="20" t="n"/>
      <c r="G95" s="123" t="n"/>
      <c r="H95" s="134" t="n"/>
      <c r="I95" s="138" t="n"/>
      <c r="J95" s="140" t="n"/>
      <c r="K95" s="384">
        <f>+H95*I95*J95</f>
        <v/>
      </c>
      <c r="L95" s="125" t="n"/>
    </row>
    <row r="96">
      <c r="A96" s="122" t="n"/>
      <c r="B96" s="1">
        <f>IF($A96="","",VLOOKUP($A96,'BE list'!A:C,3,0))</f>
        <v/>
      </c>
      <c r="C96" s="8" t="n"/>
      <c r="D96" s="1">
        <f>IF($C96="","",VLOOKUP($C96,'WP list'!A:B,2,0))</f>
        <v/>
      </c>
      <c r="E96" s="10" t="n"/>
      <c r="F96" s="20" t="n"/>
      <c r="G96" s="123" t="n"/>
      <c r="H96" s="134" t="n"/>
      <c r="I96" s="138" t="n"/>
      <c r="J96" s="140" t="n"/>
      <c r="K96" s="384">
        <f>+H96*I96*J96</f>
        <v/>
      </c>
      <c r="L96" s="125" t="n"/>
    </row>
    <row r="97">
      <c r="A97" s="122" t="n"/>
      <c r="B97" s="1">
        <f>IF($A97="","",VLOOKUP($A97,'BE list'!A:C,3,0))</f>
        <v/>
      </c>
      <c r="C97" s="8" t="n"/>
      <c r="D97" s="1">
        <f>IF($C97="","",VLOOKUP($C97,'WP list'!A:B,2,0))</f>
        <v/>
      </c>
      <c r="E97" s="10" t="n"/>
      <c r="F97" s="20" t="n"/>
      <c r="G97" s="123" t="n"/>
      <c r="H97" s="134" t="n"/>
      <c r="I97" s="138" t="n"/>
      <c r="J97" s="140" t="n"/>
      <c r="K97" s="384">
        <f>+H97*I97*J97</f>
        <v/>
      </c>
      <c r="L97" s="125" t="n"/>
    </row>
    <row r="98">
      <c r="A98" s="122" t="n"/>
      <c r="B98" s="1">
        <f>IF($A98="","",VLOOKUP($A98,'BE list'!A:C,3,0))</f>
        <v/>
      </c>
      <c r="C98" s="8" t="n"/>
      <c r="D98" s="1">
        <f>IF($C98="","",VLOOKUP($C98,'WP list'!A:B,2,0))</f>
        <v/>
      </c>
      <c r="E98" s="10" t="n"/>
      <c r="F98" s="20" t="n"/>
      <c r="G98" s="123" t="n"/>
      <c r="H98" s="134" t="n"/>
      <c r="I98" s="138" t="n"/>
      <c r="J98" s="140" t="n"/>
      <c r="K98" s="384">
        <f>+H98*I98*J98</f>
        <v/>
      </c>
      <c r="L98" s="125" t="n"/>
    </row>
    <row r="99">
      <c r="A99" s="122" t="n"/>
      <c r="B99" s="1">
        <f>IF($A99="","",VLOOKUP($A99,'BE list'!A:C,3,0))</f>
        <v/>
      </c>
      <c r="C99" s="8" t="n"/>
      <c r="D99" s="1">
        <f>IF($C99="","",VLOOKUP($C99,'WP list'!A:B,2,0))</f>
        <v/>
      </c>
      <c r="E99" s="10" t="n"/>
      <c r="F99" s="20" t="n"/>
      <c r="G99" s="123" t="n"/>
      <c r="H99" s="134" t="n"/>
      <c r="I99" s="138" t="n"/>
      <c r="J99" s="140" t="n"/>
      <c r="K99" s="384">
        <f>+H99*I99*J99</f>
        <v/>
      </c>
      <c r="L99" s="125" t="n"/>
    </row>
    <row r="100">
      <c r="A100" s="122" t="n"/>
      <c r="B100" s="1">
        <f>IF($A100="","",VLOOKUP($A100,'BE list'!A:C,3,0))</f>
        <v/>
      </c>
      <c r="C100" s="8" t="n"/>
      <c r="D100" s="1">
        <f>IF($C100="","",VLOOKUP($C100,'WP list'!A:B,2,0))</f>
        <v/>
      </c>
      <c r="E100" s="10" t="n"/>
      <c r="F100" s="20" t="n"/>
      <c r="G100" s="123" t="n"/>
      <c r="H100" s="134" t="n"/>
      <c r="I100" s="138" t="n"/>
      <c r="J100" s="140" t="n"/>
      <c r="K100" s="384">
        <f>+H100*I100*J100</f>
        <v/>
      </c>
      <c r="L100" s="125" t="n"/>
    </row>
    <row r="101">
      <c r="A101" s="122" t="n"/>
      <c r="B101" s="1">
        <f>IF($A101="","",VLOOKUP($A101,'BE list'!A:C,3,0))</f>
        <v/>
      </c>
      <c r="C101" s="8" t="n"/>
      <c r="D101" s="1">
        <f>IF($C101="","",VLOOKUP($C101,'WP list'!A:B,2,0))</f>
        <v/>
      </c>
      <c r="E101" s="10" t="n"/>
      <c r="F101" s="20" t="n"/>
      <c r="G101" s="123" t="n"/>
      <c r="H101" s="134" t="n"/>
      <c r="I101" s="138" t="n"/>
      <c r="J101" s="140" t="n"/>
      <c r="K101" s="384">
        <f>+H101*I101*J101</f>
        <v/>
      </c>
      <c r="L101" s="125" t="n"/>
    </row>
    <row r="102">
      <c r="A102" s="122" t="n"/>
      <c r="B102" s="1">
        <f>IF($A102="","",VLOOKUP($A102,'BE list'!A:C,3,0))</f>
        <v/>
      </c>
      <c r="C102" s="8" t="n"/>
      <c r="D102" s="1">
        <f>IF($C102="","",VLOOKUP($C102,'WP list'!A:B,2,0))</f>
        <v/>
      </c>
      <c r="E102" s="10" t="n"/>
      <c r="F102" s="20" t="n"/>
      <c r="G102" s="123" t="n"/>
      <c r="H102" s="134" t="n"/>
      <c r="I102" s="138" t="n"/>
      <c r="J102" s="140" t="n"/>
      <c r="K102" s="384">
        <f>+H102*I102*J102</f>
        <v/>
      </c>
      <c r="L102" s="125" t="n"/>
    </row>
    <row r="103">
      <c r="A103" s="122" t="n"/>
      <c r="B103" s="1">
        <f>IF($A103="","",VLOOKUP($A103,'BE list'!A:C,3,0))</f>
        <v/>
      </c>
      <c r="C103" s="8" t="n"/>
      <c r="D103" s="1">
        <f>IF($C103="","",VLOOKUP($C103,'WP list'!A:B,2,0))</f>
        <v/>
      </c>
      <c r="E103" s="10" t="n"/>
      <c r="F103" s="20" t="n"/>
      <c r="G103" s="123" t="n"/>
      <c r="H103" s="134" t="n"/>
      <c r="I103" s="138" t="n"/>
      <c r="J103" s="140" t="n"/>
      <c r="K103" s="384">
        <f>+H103*I103*J103</f>
        <v/>
      </c>
      <c r="L103" s="125" t="n"/>
    </row>
    <row r="104">
      <c r="A104" s="122" t="n"/>
      <c r="B104" s="1">
        <f>IF($A104="","",VLOOKUP($A104,'BE list'!A:C,3,0))</f>
        <v/>
      </c>
      <c r="C104" s="8" t="n"/>
      <c r="D104" s="1">
        <f>IF($C104="","",VLOOKUP($C104,'WP list'!A:B,2,0))</f>
        <v/>
      </c>
      <c r="E104" s="10" t="n"/>
      <c r="F104" s="20" t="n"/>
      <c r="G104" s="123" t="n"/>
      <c r="H104" s="134" t="n"/>
      <c r="I104" s="138" t="n"/>
      <c r="J104" s="140" t="n"/>
      <c r="K104" s="384">
        <f>+H104*I104*J104</f>
        <v/>
      </c>
      <c r="L104" s="125" t="n"/>
    </row>
    <row r="105">
      <c r="A105" s="122" t="n"/>
      <c r="B105" s="1">
        <f>IF($A105="","",VLOOKUP($A105,'BE list'!A:C,3,0))</f>
        <v/>
      </c>
      <c r="C105" s="8" t="n"/>
      <c r="D105" s="1">
        <f>IF($C105="","",VLOOKUP($C105,'WP list'!A:B,2,0))</f>
        <v/>
      </c>
      <c r="E105" s="10" t="n"/>
      <c r="F105" s="20" t="n"/>
      <c r="G105" s="123" t="n"/>
      <c r="H105" s="134" t="n"/>
      <c r="I105" s="138" t="n"/>
      <c r="J105" s="140" t="n"/>
      <c r="K105" s="384">
        <f>+H105*I105*J105</f>
        <v/>
      </c>
      <c r="L105" s="125" t="n"/>
    </row>
    <row r="106">
      <c r="A106" s="122" t="n"/>
      <c r="B106" s="1">
        <f>IF($A106="","",VLOOKUP($A106,'BE list'!A:C,3,0))</f>
        <v/>
      </c>
      <c r="C106" s="8" t="n"/>
      <c r="D106" s="1">
        <f>IF($C106="","",VLOOKUP($C106,'WP list'!A:B,2,0))</f>
        <v/>
      </c>
      <c r="E106" s="10" t="n"/>
      <c r="F106" s="20" t="n"/>
      <c r="G106" s="123" t="n"/>
      <c r="H106" s="134" t="n"/>
      <c r="I106" s="138" t="n"/>
      <c r="J106" s="140" t="n"/>
      <c r="K106" s="384">
        <f>+H106*I106*J106</f>
        <v/>
      </c>
      <c r="L106" s="125" t="n"/>
    </row>
    <row r="107">
      <c r="A107" s="122" t="n"/>
      <c r="B107" s="1">
        <f>IF($A107="","",VLOOKUP($A107,'BE list'!A:C,3,0))</f>
        <v/>
      </c>
      <c r="C107" s="8" t="n"/>
      <c r="D107" s="1">
        <f>IF($C107="","",VLOOKUP($C107,'WP list'!A:B,2,0))</f>
        <v/>
      </c>
      <c r="E107" s="10" t="n"/>
      <c r="F107" s="20" t="n"/>
      <c r="G107" s="123" t="n"/>
      <c r="H107" s="134" t="n"/>
      <c r="I107" s="138" t="n"/>
      <c r="J107" s="140" t="n"/>
      <c r="K107" s="384">
        <f>+H107*I107*J107</f>
        <v/>
      </c>
      <c r="L107" s="125" t="n"/>
    </row>
    <row r="108">
      <c r="A108" s="122" t="n"/>
      <c r="B108" s="1">
        <f>IF($A108="","",VLOOKUP($A108,'BE list'!A:C,3,0))</f>
        <v/>
      </c>
      <c r="C108" s="8" t="n"/>
      <c r="D108" s="1">
        <f>IF($C108="","",VLOOKUP($C108,'WP list'!A:B,2,0))</f>
        <v/>
      </c>
      <c r="E108" s="10" t="n"/>
      <c r="F108" s="20" t="n"/>
      <c r="G108" s="123" t="n"/>
      <c r="H108" s="134" t="n"/>
      <c r="I108" s="138" t="n"/>
      <c r="J108" s="140" t="n"/>
      <c r="K108" s="384">
        <f>+H108*I108*J108</f>
        <v/>
      </c>
      <c r="L108" s="125" t="n"/>
    </row>
    <row r="109">
      <c r="A109" s="122" t="n"/>
      <c r="B109" s="1">
        <f>IF($A109="","",VLOOKUP($A109,'BE list'!A:C,3,0))</f>
        <v/>
      </c>
      <c r="C109" s="8" t="n"/>
      <c r="D109" s="1">
        <f>IF($C109="","",VLOOKUP($C109,'WP list'!A:B,2,0))</f>
        <v/>
      </c>
      <c r="E109" s="10" t="n"/>
      <c r="F109" s="20" t="n"/>
      <c r="G109" s="123" t="n"/>
      <c r="H109" s="134" t="n"/>
      <c r="I109" s="138" t="n"/>
      <c r="J109" s="140" t="n"/>
      <c r="K109" s="384">
        <f>+H109*I109*J109</f>
        <v/>
      </c>
      <c r="L109" s="125" t="n"/>
    </row>
    <row r="110">
      <c r="A110" s="122" t="n"/>
      <c r="B110" s="1">
        <f>IF($A110="","",VLOOKUP($A110,'BE list'!A:C,3,0))</f>
        <v/>
      </c>
      <c r="C110" s="8" t="n"/>
      <c r="D110" s="1">
        <f>IF($C110="","",VLOOKUP($C110,'WP list'!A:B,2,0))</f>
        <v/>
      </c>
      <c r="E110" s="10" t="n"/>
      <c r="F110" s="20" t="n"/>
      <c r="G110" s="123" t="n"/>
      <c r="H110" s="134" t="n"/>
      <c r="I110" s="138" t="n"/>
      <c r="J110" s="140" t="n"/>
      <c r="K110" s="384">
        <f>+H110*I110*J110</f>
        <v/>
      </c>
      <c r="L110" s="125" t="n"/>
    </row>
    <row r="111">
      <c r="A111" s="122" t="n"/>
      <c r="B111" s="1">
        <f>IF($A111="","",VLOOKUP($A111,'BE list'!A:C,3,0))</f>
        <v/>
      </c>
      <c r="C111" s="8" t="n"/>
      <c r="D111" s="1">
        <f>IF($C111="","",VLOOKUP($C111,'WP list'!A:B,2,0))</f>
        <v/>
      </c>
      <c r="E111" s="10" t="n"/>
      <c r="F111" s="20" t="n"/>
      <c r="G111" s="123" t="n"/>
      <c r="H111" s="134" t="n"/>
      <c r="I111" s="138" t="n"/>
      <c r="J111" s="140" t="n"/>
      <c r="K111" s="384">
        <f>+H111*I111*J111</f>
        <v/>
      </c>
      <c r="L111" s="125" t="n"/>
    </row>
    <row r="112">
      <c r="A112" s="122" t="n"/>
      <c r="B112" s="1">
        <f>IF($A112="","",VLOOKUP($A112,'BE list'!A:C,3,0))</f>
        <v/>
      </c>
      <c r="C112" s="8" t="n"/>
      <c r="D112" s="1">
        <f>IF($C112="","",VLOOKUP($C112,'WP list'!A:B,2,0))</f>
        <v/>
      </c>
      <c r="E112" s="10" t="n"/>
      <c r="F112" s="20" t="n"/>
      <c r="G112" s="123" t="n"/>
      <c r="H112" s="134" t="n"/>
      <c r="I112" s="138" t="n"/>
      <c r="J112" s="140" t="n"/>
      <c r="K112" s="384">
        <f>+H112*I112*J112</f>
        <v/>
      </c>
      <c r="L112" s="125" t="n"/>
    </row>
    <row r="113">
      <c r="A113" s="122" t="n"/>
      <c r="B113" s="1">
        <f>IF($A113="","",VLOOKUP($A113,'BE list'!A:C,3,0))</f>
        <v/>
      </c>
      <c r="C113" s="8" t="n"/>
      <c r="D113" s="1">
        <f>IF($C113="","",VLOOKUP($C113,'WP list'!A:B,2,0))</f>
        <v/>
      </c>
      <c r="E113" s="10" t="n"/>
      <c r="F113" s="20" t="n"/>
      <c r="G113" s="123" t="n"/>
      <c r="H113" s="134" t="n"/>
      <c r="I113" s="138" t="n"/>
      <c r="J113" s="140" t="n"/>
      <c r="K113" s="384">
        <f>+H113*I113*J113</f>
        <v/>
      </c>
      <c r="L113" s="125" t="n"/>
    </row>
    <row r="114">
      <c r="A114" s="122" t="n"/>
      <c r="B114" s="1">
        <f>IF($A114="","",VLOOKUP($A114,'BE list'!A:C,3,0))</f>
        <v/>
      </c>
      <c r="C114" s="8" t="n"/>
      <c r="D114" s="1">
        <f>IF($C114="","",VLOOKUP($C114,'WP list'!A:B,2,0))</f>
        <v/>
      </c>
      <c r="E114" s="10" t="n"/>
      <c r="F114" s="20" t="n"/>
      <c r="G114" s="123" t="n"/>
      <c r="H114" s="134" t="n"/>
      <c r="I114" s="138" t="n"/>
      <c r="J114" s="140" t="n"/>
      <c r="K114" s="384">
        <f>+H114*I114*J114</f>
        <v/>
      </c>
      <c r="L114" s="125" t="n"/>
    </row>
    <row r="115">
      <c r="A115" s="122" t="n"/>
      <c r="B115" s="1">
        <f>IF($A115="","",VLOOKUP($A115,'BE list'!A:C,3,0))</f>
        <v/>
      </c>
      <c r="C115" s="8" t="n"/>
      <c r="D115" s="1">
        <f>IF($C115="","",VLOOKUP($C115,'WP list'!A:B,2,0))</f>
        <v/>
      </c>
      <c r="E115" s="10" t="n"/>
      <c r="F115" s="20" t="n"/>
      <c r="G115" s="123" t="n"/>
      <c r="H115" s="134" t="n"/>
      <c r="I115" s="138" t="n"/>
      <c r="J115" s="140" t="n"/>
      <c r="K115" s="384">
        <f>+H115*I115*J115</f>
        <v/>
      </c>
      <c r="L115" s="125" t="n"/>
    </row>
    <row r="116">
      <c r="A116" s="122" t="n"/>
      <c r="B116" s="1">
        <f>IF($A116="","",VLOOKUP($A116,'BE list'!A:C,3,0))</f>
        <v/>
      </c>
      <c r="C116" s="8" t="n"/>
      <c r="D116" s="1">
        <f>IF($C116="","",VLOOKUP($C116,'WP list'!A:B,2,0))</f>
        <v/>
      </c>
      <c r="E116" s="10" t="n"/>
      <c r="F116" s="20" t="n"/>
      <c r="G116" s="123" t="n"/>
      <c r="H116" s="134" t="n"/>
      <c r="I116" s="138" t="n"/>
      <c r="J116" s="140" t="n"/>
      <c r="K116" s="384">
        <f>+H116*I116*J116</f>
        <v/>
      </c>
      <c r="L116" s="125" t="n"/>
    </row>
    <row r="117">
      <c r="A117" s="122" t="n"/>
      <c r="B117" s="1">
        <f>IF($A117="","",VLOOKUP($A117,'BE list'!A:C,3,0))</f>
        <v/>
      </c>
      <c r="C117" s="8" t="n"/>
      <c r="D117" s="1">
        <f>IF($C117="","",VLOOKUP($C117,'WP list'!A:B,2,0))</f>
        <v/>
      </c>
      <c r="E117" s="10" t="n"/>
      <c r="F117" s="20" t="n"/>
      <c r="G117" s="123" t="n"/>
      <c r="H117" s="134" t="n"/>
      <c r="I117" s="138" t="n"/>
      <c r="J117" s="140" t="n"/>
      <c r="K117" s="384">
        <f>+H117*I117*J117</f>
        <v/>
      </c>
      <c r="L117" s="125" t="n"/>
    </row>
    <row r="118">
      <c r="A118" s="122" t="n"/>
      <c r="B118" s="1">
        <f>IF($A118="","",VLOOKUP($A118,'BE list'!A:C,3,0))</f>
        <v/>
      </c>
      <c r="C118" s="8" t="n"/>
      <c r="D118" s="1">
        <f>IF($C118="","",VLOOKUP($C118,'WP list'!A:B,2,0))</f>
        <v/>
      </c>
      <c r="E118" s="10" t="n"/>
      <c r="F118" s="20" t="n"/>
      <c r="G118" s="123" t="n"/>
      <c r="H118" s="134" t="n"/>
      <c r="I118" s="138" t="n"/>
      <c r="J118" s="140" t="n"/>
      <c r="K118" s="384">
        <f>+H118*I118*J118</f>
        <v/>
      </c>
      <c r="L118" s="125" t="n"/>
    </row>
    <row r="119">
      <c r="A119" s="122" t="n"/>
      <c r="B119" s="1">
        <f>IF($A119="","",VLOOKUP($A119,'BE list'!A:C,3,0))</f>
        <v/>
      </c>
      <c r="C119" s="8" t="n"/>
      <c r="D119" s="1">
        <f>IF($C119="","",VLOOKUP($C119,'WP list'!A:B,2,0))</f>
        <v/>
      </c>
      <c r="E119" s="10" t="n"/>
      <c r="F119" s="20" t="n"/>
      <c r="G119" s="123" t="n"/>
      <c r="H119" s="134" t="n"/>
      <c r="I119" s="138" t="n"/>
      <c r="J119" s="140" t="n"/>
      <c r="K119" s="384">
        <f>+H119*I119*J119</f>
        <v/>
      </c>
      <c r="L119" s="125" t="n"/>
    </row>
    <row r="120">
      <c r="A120" s="122" t="n"/>
      <c r="B120" s="1">
        <f>IF($A120="","",VLOOKUP($A120,'BE list'!A:C,3,0))</f>
        <v/>
      </c>
      <c r="C120" s="8" t="n"/>
      <c r="D120" s="1">
        <f>IF($C120="","",VLOOKUP($C120,'WP list'!A:B,2,0))</f>
        <v/>
      </c>
      <c r="E120" s="10" t="n"/>
      <c r="F120" s="20" t="n"/>
      <c r="G120" s="123" t="n"/>
      <c r="H120" s="134" t="n"/>
      <c r="I120" s="138" t="n"/>
      <c r="J120" s="140" t="n"/>
      <c r="K120" s="384">
        <f>+H120*I120*J120</f>
        <v/>
      </c>
      <c r="L120" s="125" t="n"/>
    </row>
    <row r="121">
      <c r="A121" s="122" t="n"/>
      <c r="B121" s="1">
        <f>IF($A121="","",VLOOKUP($A121,'BE list'!A:C,3,0))</f>
        <v/>
      </c>
      <c r="C121" s="8" t="n"/>
      <c r="D121" s="1">
        <f>IF($C121="","",VLOOKUP($C121,'WP list'!A:B,2,0))</f>
        <v/>
      </c>
      <c r="E121" s="10" t="n"/>
      <c r="F121" s="20" t="n"/>
      <c r="G121" s="123" t="n"/>
      <c r="H121" s="134" t="n"/>
      <c r="I121" s="138" t="n"/>
      <c r="J121" s="140" t="n"/>
      <c r="K121" s="384">
        <f>+H121*I121*J121</f>
        <v/>
      </c>
      <c r="L121" s="125" t="n"/>
    </row>
    <row r="122">
      <c r="A122" s="122" t="n"/>
      <c r="B122" s="1">
        <f>IF($A122="","",VLOOKUP($A122,'BE list'!A:C,3,0))</f>
        <v/>
      </c>
      <c r="C122" s="8" t="n"/>
      <c r="D122" s="1">
        <f>IF($C122="","",VLOOKUP($C122,'WP list'!A:B,2,0))</f>
        <v/>
      </c>
      <c r="E122" s="10" t="n"/>
      <c r="F122" s="20" t="n"/>
      <c r="G122" s="123" t="n"/>
      <c r="H122" s="134" t="n"/>
      <c r="I122" s="138" t="n"/>
      <c r="J122" s="140" t="n"/>
      <c r="K122" s="384">
        <f>+H122*I122*J122</f>
        <v/>
      </c>
      <c r="L122" s="125" t="n"/>
    </row>
    <row r="123">
      <c r="A123" s="122" t="n"/>
      <c r="B123" s="1">
        <f>IF($A123="","",VLOOKUP($A123,'BE list'!A:C,3,0))</f>
        <v/>
      </c>
      <c r="C123" s="8" t="n"/>
      <c r="D123" s="1">
        <f>IF($C123="","",VLOOKUP($C123,'WP list'!A:B,2,0))</f>
        <v/>
      </c>
      <c r="E123" s="10" t="n"/>
      <c r="F123" s="20" t="n"/>
      <c r="G123" s="123" t="n"/>
      <c r="H123" s="134" t="n"/>
      <c r="I123" s="138" t="n"/>
      <c r="J123" s="140" t="n"/>
      <c r="K123" s="384">
        <f>+H123*I123*J123</f>
        <v/>
      </c>
      <c r="L123" s="125" t="n"/>
    </row>
    <row r="124">
      <c r="A124" s="122" t="n"/>
      <c r="B124" s="1">
        <f>IF($A124="","",VLOOKUP($A124,'BE list'!A:C,3,0))</f>
        <v/>
      </c>
      <c r="C124" s="8" t="n"/>
      <c r="D124" s="1">
        <f>IF($C124="","",VLOOKUP($C124,'WP list'!A:B,2,0))</f>
        <v/>
      </c>
      <c r="E124" s="10" t="n"/>
      <c r="F124" s="20" t="n"/>
      <c r="G124" s="123" t="n"/>
      <c r="H124" s="134" t="n"/>
      <c r="I124" s="138" t="n"/>
      <c r="J124" s="140" t="n"/>
      <c r="K124" s="384">
        <f>+H124*I124*J124</f>
        <v/>
      </c>
      <c r="L124" s="125" t="n"/>
    </row>
    <row r="125">
      <c r="A125" s="122" t="n"/>
      <c r="B125" s="1">
        <f>IF($A125="","",VLOOKUP($A125,'BE list'!A:C,3,0))</f>
        <v/>
      </c>
      <c r="C125" s="8" t="n"/>
      <c r="D125" s="1">
        <f>IF($C125="","",VLOOKUP($C125,'WP list'!A:B,2,0))</f>
        <v/>
      </c>
      <c r="E125" s="10" t="n"/>
      <c r="F125" s="20" t="n"/>
      <c r="G125" s="123" t="n"/>
      <c r="H125" s="134" t="n"/>
      <c r="I125" s="138" t="n"/>
      <c r="J125" s="140" t="n"/>
      <c r="K125" s="384">
        <f>+H125*I125*J125</f>
        <v/>
      </c>
      <c r="L125" s="125" t="n"/>
    </row>
    <row r="126">
      <c r="A126" s="122" t="n"/>
      <c r="B126" s="1">
        <f>IF($A126="","",VLOOKUP($A126,'BE list'!A:C,3,0))</f>
        <v/>
      </c>
      <c r="C126" s="8" t="n"/>
      <c r="D126" s="1">
        <f>IF($C126="","",VLOOKUP($C126,'WP list'!A:B,2,0))</f>
        <v/>
      </c>
      <c r="E126" s="10" t="n"/>
      <c r="F126" s="20" t="n"/>
      <c r="G126" s="123" t="n"/>
      <c r="H126" s="134" t="n"/>
      <c r="I126" s="138" t="n"/>
      <c r="J126" s="140" t="n"/>
      <c r="K126" s="384">
        <f>+H126*I126*J126</f>
        <v/>
      </c>
      <c r="L126" s="125" t="n"/>
    </row>
    <row r="127">
      <c r="A127" s="122" t="n"/>
      <c r="B127" s="1">
        <f>IF($A127="","",VLOOKUP($A127,'BE list'!A:C,3,0))</f>
        <v/>
      </c>
      <c r="C127" s="8" t="n"/>
      <c r="D127" s="1">
        <f>IF($C127="","",VLOOKUP($C127,'WP list'!A:B,2,0))</f>
        <v/>
      </c>
      <c r="E127" s="10" t="n"/>
      <c r="F127" s="20" t="n"/>
      <c r="G127" s="123" t="n"/>
      <c r="H127" s="134" t="n"/>
      <c r="I127" s="138" t="n"/>
      <c r="J127" s="140" t="n"/>
      <c r="K127" s="384">
        <f>+H127*I127*J127</f>
        <v/>
      </c>
      <c r="L127" s="125" t="n"/>
    </row>
    <row r="128">
      <c r="A128" s="122" t="n"/>
      <c r="B128" s="1">
        <f>IF($A128="","",VLOOKUP($A128,'BE list'!A:C,3,0))</f>
        <v/>
      </c>
      <c r="C128" s="8" t="n"/>
      <c r="D128" s="1">
        <f>IF($C128="","",VLOOKUP($C128,'WP list'!A:B,2,0))</f>
        <v/>
      </c>
      <c r="E128" s="10" t="n"/>
      <c r="F128" s="20" t="n"/>
      <c r="G128" s="123" t="n"/>
      <c r="H128" s="134" t="n"/>
      <c r="I128" s="138" t="n"/>
      <c r="J128" s="140" t="n"/>
      <c r="K128" s="384">
        <f>+H128*I128*J128</f>
        <v/>
      </c>
      <c r="L128" s="125" t="n"/>
    </row>
    <row r="129">
      <c r="A129" s="122" t="n"/>
      <c r="B129" s="1">
        <f>IF($A129="","",VLOOKUP($A129,'BE list'!A:C,3,0))</f>
        <v/>
      </c>
      <c r="C129" s="8" t="n"/>
      <c r="D129" s="1">
        <f>IF($C129="","",VLOOKUP($C129,'WP list'!A:B,2,0))</f>
        <v/>
      </c>
      <c r="E129" s="10" t="n"/>
      <c r="F129" s="20" t="n"/>
      <c r="G129" s="123" t="n"/>
      <c r="H129" s="134" t="n"/>
      <c r="I129" s="138" t="n"/>
      <c r="J129" s="140" t="n"/>
      <c r="K129" s="384">
        <f>+H129*I129*J129</f>
        <v/>
      </c>
      <c r="L129" s="125" t="n"/>
    </row>
    <row r="130">
      <c r="A130" s="122" t="n"/>
      <c r="B130" s="1">
        <f>IF($A130="","",VLOOKUP($A130,'BE list'!A:C,3,0))</f>
        <v/>
      </c>
      <c r="C130" s="8" t="n"/>
      <c r="D130" s="1">
        <f>IF($C130="","",VLOOKUP($C130,'WP list'!A:B,2,0))</f>
        <v/>
      </c>
      <c r="E130" s="10" t="n"/>
      <c r="F130" s="20" t="n"/>
      <c r="G130" s="123" t="n"/>
      <c r="H130" s="134" t="n"/>
      <c r="I130" s="138" t="n"/>
      <c r="J130" s="140" t="n"/>
      <c r="K130" s="384">
        <f>+H130*I130*J130</f>
        <v/>
      </c>
      <c r="L130" s="125" t="n"/>
    </row>
    <row r="131">
      <c r="A131" s="122" t="n"/>
      <c r="B131" s="1">
        <f>IF($A131="","",VLOOKUP($A131,'BE list'!A:C,3,0))</f>
        <v/>
      </c>
      <c r="C131" s="8" t="n"/>
      <c r="D131" s="1">
        <f>IF($C131="","",VLOOKUP($C131,'WP list'!A:B,2,0))</f>
        <v/>
      </c>
      <c r="E131" s="10" t="n"/>
      <c r="F131" s="20" t="n"/>
      <c r="G131" s="123" t="n"/>
      <c r="H131" s="134" t="n"/>
      <c r="I131" s="138" t="n"/>
      <c r="J131" s="140" t="n"/>
      <c r="K131" s="384">
        <f>+H131*I131*J131</f>
        <v/>
      </c>
      <c r="L131" s="125" t="n"/>
    </row>
    <row r="132">
      <c r="A132" s="122" t="n"/>
      <c r="B132" s="1">
        <f>IF($A132="","",VLOOKUP($A132,'BE list'!A:C,3,0))</f>
        <v/>
      </c>
      <c r="C132" s="8" t="n"/>
      <c r="D132" s="1">
        <f>IF($C132="","",VLOOKUP($C132,'WP list'!A:B,2,0))</f>
        <v/>
      </c>
      <c r="E132" s="10" t="n"/>
      <c r="F132" s="20" t="n"/>
      <c r="G132" s="123" t="n"/>
      <c r="H132" s="134" t="n"/>
      <c r="I132" s="138" t="n"/>
      <c r="J132" s="140" t="n"/>
      <c r="K132" s="384">
        <f>+H132*I132*J132</f>
        <v/>
      </c>
      <c r="L132" s="125" t="n"/>
    </row>
    <row r="133">
      <c r="A133" s="122" t="n"/>
      <c r="B133" s="1">
        <f>IF($A133="","",VLOOKUP($A133,'BE list'!A:C,3,0))</f>
        <v/>
      </c>
      <c r="C133" s="8" t="n"/>
      <c r="D133" s="1">
        <f>IF($C133="","",VLOOKUP($C133,'WP list'!A:B,2,0))</f>
        <v/>
      </c>
      <c r="E133" s="10" t="n"/>
      <c r="F133" s="20" t="n"/>
      <c r="G133" s="123" t="n"/>
      <c r="H133" s="134" t="n"/>
      <c r="I133" s="138" t="n"/>
      <c r="J133" s="140" t="n"/>
      <c r="K133" s="384">
        <f>+H133*I133*J133</f>
        <v/>
      </c>
      <c r="L133" s="125" t="n"/>
    </row>
    <row r="134">
      <c r="A134" s="122" t="n"/>
      <c r="B134" s="1">
        <f>IF($A134="","",VLOOKUP($A134,'BE list'!A:C,3,0))</f>
        <v/>
      </c>
      <c r="C134" s="8" t="n"/>
      <c r="D134" s="1">
        <f>IF($C134="","",VLOOKUP($C134,'WP list'!A:B,2,0))</f>
        <v/>
      </c>
      <c r="E134" s="10" t="n"/>
      <c r="F134" s="20" t="n"/>
      <c r="G134" s="123" t="n"/>
      <c r="H134" s="134" t="n"/>
      <c r="I134" s="138" t="n"/>
      <c r="J134" s="140" t="n"/>
      <c r="K134" s="384">
        <f>+H134*I134*J134</f>
        <v/>
      </c>
      <c r="L134" s="125" t="n"/>
    </row>
    <row r="135">
      <c r="A135" s="122" t="n"/>
      <c r="B135" s="1">
        <f>IF($A135="","",VLOOKUP($A135,'BE list'!A:C,3,0))</f>
        <v/>
      </c>
      <c r="C135" s="8" t="n"/>
      <c r="D135" s="1">
        <f>IF($C135="","",VLOOKUP($C135,'WP list'!A:B,2,0))</f>
        <v/>
      </c>
      <c r="E135" s="10" t="n"/>
      <c r="F135" s="20" t="n"/>
      <c r="G135" s="123" t="n"/>
      <c r="H135" s="134" t="n"/>
      <c r="I135" s="138" t="n"/>
      <c r="J135" s="140" t="n"/>
      <c r="K135" s="384">
        <f>+H135*I135*J135</f>
        <v/>
      </c>
      <c r="L135" s="125" t="n"/>
    </row>
    <row r="136">
      <c r="A136" s="122" t="n"/>
      <c r="B136" s="1">
        <f>IF($A136="","",VLOOKUP($A136,'BE list'!A:C,3,0))</f>
        <v/>
      </c>
      <c r="C136" s="8" t="n"/>
      <c r="D136" s="1">
        <f>IF($C136="","",VLOOKUP($C136,'WP list'!A:B,2,0))</f>
        <v/>
      </c>
      <c r="E136" s="10" t="n"/>
      <c r="F136" s="20" t="n"/>
      <c r="G136" s="123" t="n"/>
      <c r="H136" s="134" t="n"/>
      <c r="I136" s="138" t="n"/>
      <c r="J136" s="140" t="n"/>
      <c r="K136" s="384">
        <f>+H136*I136*J136</f>
        <v/>
      </c>
      <c r="L136" s="125" t="n"/>
    </row>
    <row r="137">
      <c r="A137" s="122" t="n"/>
      <c r="B137" s="1">
        <f>IF($A137="","",VLOOKUP($A137,'BE list'!A:C,3,0))</f>
        <v/>
      </c>
      <c r="C137" s="8" t="n"/>
      <c r="D137" s="1">
        <f>IF($C137="","",VLOOKUP($C137,'WP list'!A:B,2,0))</f>
        <v/>
      </c>
      <c r="E137" s="10" t="n"/>
      <c r="F137" s="20" t="n"/>
      <c r="G137" s="123" t="n"/>
      <c r="H137" s="134" t="n"/>
      <c r="I137" s="138" t="n"/>
      <c r="J137" s="140" t="n"/>
      <c r="K137" s="384">
        <f>+H137*I137*J137</f>
        <v/>
      </c>
      <c r="L137" s="125" t="n"/>
    </row>
    <row r="138">
      <c r="A138" s="122" t="n"/>
      <c r="B138" s="1">
        <f>IF($A138="","",VLOOKUP($A138,'BE list'!A:C,3,0))</f>
        <v/>
      </c>
      <c r="C138" s="8" t="n"/>
      <c r="D138" s="1">
        <f>IF($C138="","",VLOOKUP($C138,'WP list'!A:B,2,0))</f>
        <v/>
      </c>
      <c r="E138" s="10" t="n"/>
      <c r="F138" s="20" t="n"/>
      <c r="G138" s="123" t="n"/>
      <c r="H138" s="134" t="n"/>
      <c r="I138" s="138" t="n"/>
      <c r="J138" s="140" t="n"/>
      <c r="K138" s="384">
        <f>+H138*I138*J138</f>
        <v/>
      </c>
      <c r="L138" s="125" t="n"/>
    </row>
    <row r="139">
      <c r="A139" s="122" t="n"/>
      <c r="B139" s="1">
        <f>IF($A139="","",VLOOKUP($A139,'BE list'!A:C,3,0))</f>
        <v/>
      </c>
      <c r="C139" s="8" t="n"/>
      <c r="D139" s="1">
        <f>IF($C139="","",VLOOKUP($C139,'WP list'!A:B,2,0))</f>
        <v/>
      </c>
      <c r="E139" s="10" t="n"/>
      <c r="F139" s="20" t="n"/>
      <c r="G139" s="123" t="n"/>
      <c r="H139" s="134" t="n"/>
      <c r="I139" s="138" t="n"/>
      <c r="J139" s="140" t="n"/>
      <c r="K139" s="384">
        <f>+H139*I139*J139</f>
        <v/>
      </c>
      <c r="L139" s="125" t="n"/>
    </row>
    <row r="140">
      <c r="A140" s="122" t="n"/>
      <c r="B140" s="1">
        <f>IF($A140="","",VLOOKUP($A140,'BE list'!A:C,3,0))</f>
        <v/>
      </c>
      <c r="C140" s="8" t="n"/>
      <c r="D140" s="1">
        <f>IF($C140="","",VLOOKUP($C140,'WP list'!A:B,2,0))</f>
        <v/>
      </c>
      <c r="E140" s="10" t="n"/>
      <c r="F140" s="20" t="n"/>
      <c r="G140" s="123" t="n"/>
      <c r="H140" s="134" t="n"/>
      <c r="I140" s="138" t="n"/>
      <c r="J140" s="140" t="n"/>
      <c r="K140" s="384">
        <f>+H140*I140*J140</f>
        <v/>
      </c>
      <c r="L140" s="125" t="n"/>
    </row>
    <row r="141">
      <c r="A141" s="122" t="n"/>
      <c r="B141" s="1">
        <f>IF($A141="","",VLOOKUP($A141,'BE list'!A:C,3,0))</f>
        <v/>
      </c>
      <c r="C141" s="8" t="n"/>
      <c r="D141" s="1">
        <f>IF($C141="","",VLOOKUP($C141,'WP list'!A:B,2,0))</f>
        <v/>
      </c>
      <c r="E141" s="10" t="n"/>
      <c r="F141" s="20" t="n"/>
      <c r="G141" s="123" t="n"/>
      <c r="H141" s="134" t="n"/>
      <c r="I141" s="138" t="n"/>
      <c r="J141" s="140" t="n"/>
      <c r="K141" s="384">
        <f>+H141*I141*J141</f>
        <v/>
      </c>
      <c r="L141" s="125" t="n"/>
    </row>
    <row r="142">
      <c r="A142" s="122" t="n"/>
      <c r="B142" s="1">
        <f>IF($A142="","",VLOOKUP($A142,'BE list'!A:C,3,0))</f>
        <v/>
      </c>
      <c r="C142" s="8" t="n"/>
      <c r="D142" s="1">
        <f>IF($C142="","",VLOOKUP($C142,'WP list'!A:B,2,0))</f>
        <v/>
      </c>
      <c r="E142" s="10" t="n"/>
      <c r="F142" s="20" t="n"/>
      <c r="G142" s="123" t="n"/>
      <c r="H142" s="134" t="n"/>
      <c r="I142" s="138" t="n"/>
      <c r="J142" s="140" t="n"/>
      <c r="K142" s="384">
        <f>+H142*I142*J142</f>
        <v/>
      </c>
      <c r="L142" s="125" t="n"/>
    </row>
    <row r="143">
      <c r="A143" s="122" t="n"/>
      <c r="B143" s="1">
        <f>IF($A143="","",VLOOKUP($A143,'BE list'!A:C,3,0))</f>
        <v/>
      </c>
      <c r="C143" s="8" t="n"/>
      <c r="D143" s="1">
        <f>IF($C143="","",VLOOKUP($C143,'WP list'!A:B,2,0))</f>
        <v/>
      </c>
      <c r="E143" s="10" t="n"/>
      <c r="F143" s="20" t="n"/>
      <c r="G143" s="123" t="n"/>
      <c r="H143" s="134" t="n"/>
      <c r="I143" s="138" t="n"/>
      <c r="J143" s="140" t="n"/>
      <c r="K143" s="384">
        <f>+H143*I143*J143</f>
        <v/>
      </c>
      <c r="L143" s="125" t="n"/>
    </row>
    <row r="144">
      <c r="A144" s="122" t="n"/>
      <c r="B144" s="1">
        <f>IF($A144="","",VLOOKUP($A144,'BE list'!A:C,3,0))</f>
        <v/>
      </c>
      <c r="C144" s="8" t="n"/>
      <c r="D144" s="1">
        <f>IF($C144="","",VLOOKUP($C144,'WP list'!A:B,2,0))</f>
        <v/>
      </c>
      <c r="E144" s="10" t="n"/>
      <c r="F144" s="20" t="n"/>
      <c r="G144" s="123" t="n"/>
      <c r="H144" s="134" t="n"/>
      <c r="I144" s="138" t="n"/>
      <c r="J144" s="140" t="n"/>
      <c r="K144" s="384">
        <f>+H144*I144*J144</f>
        <v/>
      </c>
      <c r="L144" s="125" t="n"/>
    </row>
    <row r="145">
      <c r="A145" s="122" t="n"/>
      <c r="B145" s="1">
        <f>IF($A145="","",VLOOKUP($A145,'BE list'!A:C,3,0))</f>
        <v/>
      </c>
      <c r="C145" s="8" t="n"/>
      <c r="D145" s="1">
        <f>IF($C145="","",VLOOKUP($C145,'WP list'!A:B,2,0))</f>
        <v/>
      </c>
      <c r="E145" s="10" t="n"/>
      <c r="F145" s="20" t="n"/>
      <c r="G145" s="123" t="n"/>
      <c r="H145" s="134" t="n"/>
      <c r="I145" s="138" t="n"/>
      <c r="J145" s="140" t="n"/>
      <c r="K145" s="384">
        <f>+H145*I145*J145</f>
        <v/>
      </c>
      <c r="L145" s="125" t="n"/>
    </row>
    <row r="146">
      <c r="A146" s="122" t="n"/>
      <c r="B146" s="1">
        <f>IF($A146="","",VLOOKUP($A146,'BE list'!A:C,3,0))</f>
        <v/>
      </c>
      <c r="C146" s="8" t="n"/>
      <c r="D146" s="1">
        <f>IF($C146="","",VLOOKUP($C146,'WP list'!A:B,2,0))</f>
        <v/>
      </c>
      <c r="E146" s="10" t="n"/>
      <c r="F146" s="20" t="n"/>
      <c r="G146" s="123" t="n"/>
      <c r="H146" s="134" t="n"/>
      <c r="I146" s="138" t="n"/>
      <c r="J146" s="140" t="n"/>
      <c r="K146" s="384">
        <f>+H146*I146*J146</f>
        <v/>
      </c>
      <c r="L146" s="125" t="n"/>
    </row>
    <row r="147">
      <c r="A147" s="122" t="n"/>
      <c r="B147" s="1">
        <f>IF($A147="","",VLOOKUP($A147,'BE list'!A:C,3,0))</f>
        <v/>
      </c>
      <c r="C147" s="8" t="n"/>
      <c r="D147" s="1">
        <f>IF($C147="","",VLOOKUP($C147,'WP list'!A:B,2,0))</f>
        <v/>
      </c>
      <c r="E147" s="10" t="n"/>
      <c r="F147" s="20" t="n"/>
      <c r="G147" s="123" t="n"/>
      <c r="H147" s="134" t="n"/>
      <c r="I147" s="138" t="n"/>
      <c r="J147" s="140" t="n"/>
      <c r="K147" s="384">
        <f>+H147*I147*J147</f>
        <v/>
      </c>
      <c r="L147" s="125" t="n"/>
    </row>
    <row r="148">
      <c r="A148" s="122" t="n"/>
      <c r="B148" s="1">
        <f>IF($A148="","",VLOOKUP($A148,'BE list'!A:C,3,0))</f>
        <v/>
      </c>
      <c r="C148" s="8" t="n"/>
      <c r="D148" s="1">
        <f>IF($C148="","",VLOOKUP($C148,'WP list'!A:B,2,0))</f>
        <v/>
      </c>
      <c r="E148" s="10" t="n"/>
      <c r="F148" s="20" t="n"/>
      <c r="G148" s="123" t="n"/>
      <c r="H148" s="134" t="n"/>
      <c r="I148" s="138" t="n"/>
      <c r="J148" s="140" t="n"/>
      <c r="K148" s="384">
        <f>+H148*I148*J148</f>
        <v/>
      </c>
      <c r="L148" s="125" t="n"/>
    </row>
    <row r="149">
      <c r="A149" s="122" t="n"/>
      <c r="B149" s="1">
        <f>IF($A149="","",VLOOKUP($A149,'BE list'!A:C,3,0))</f>
        <v/>
      </c>
      <c r="C149" s="8" t="n"/>
      <c r="D149" s="1">
        <f>IF($C149="","",VLOOKUP($C149,'WP list'!A:B,2,0))</f>
        <v/>
      </c>
      <c r="E149" s="10" t="n"/>
      <c r="F149" s="20" t="n"/>
      <c r="G149" s="123" t="n"/>
      <c r="H149" s="134" t="n"/>
      <c r="I149" s="138" t="n"/>
      <c r="J149" s="140" t="n"/>
      <c r="K149" s="384">
        <f>+H149*I149*J149</f>
        <v/>
      </c>
      <c r="L149" s="125" t="n"/>
    </row>
    <row r="150">
      <c r="A150" s="122" t="n"/>
      <c r="B150" s="1">
        <f>IF($A150="","",VLOOKUP($A150,'BE list'!A:C,3,0))</f>
        <v/>
      </c>
      <c r="C150" s="8" t="n"/>
      <c r="D150" s="1">
        <f>IF($C150="","",VLOOKUP($C150,'WP list'!A:B,2,0))</f>
        <v/>
      </c>
      <c r="E150" s="10" t="n"/>
      <c r="F150" s="20" t="n"/>
      <c r="G150" s="123" t="n"/>
      <c r="H150" s="134" t="n"/>
      <c r="I150" s="138" t="n"/>
      <c r="J150" s="140" t="n"/>
      <c r="K150" s="384">
        <f>+H150*I150*J150</f>
        <v/>
      </c>
      <c r="L150" s="125" t="n"/>
    </row>
    <row r="151">
      <c r="A151" s="122" t="n"/>
      <c r="B151" s="1">
        <f>IF($A151="","",VLOOKUP($A151,'BE list'!A:C,3,0))</f>
        <v/>
      </c>
      <c r="C151" s="8" t="n"/>
      <c r="D151" s="1">
        <f>IF($C151="","",VLOOKUP($C151,'WP list'!A:B,2,0))</f>
        <v/>
      </c>
      <c r="E151" s="10" t="n"/>
      <c r="F151" s="20" t="n"/>
      <c r="G151" s="123" t="n"/>
      <c r="H151" s="134" t="n"/>
      <c r="I151" s="138" t="n"/>
      <c r="J151" s="140" t="n"/>
      <c r="K151" s="384">
        <f>+H151*I151*J151</f>
        <v/>
      </c>
      <c r="L151" s="125" t="n"/>
    </row>
    <row r="152">
      <c r="A152" s="122" t="n"/>
      <c r="B152" s="1">
        <f>IF($A152="","",VLOOKUP($A152,'BE list'!A:C,3,0))</f>
        <v/>
      </c>
      <c r="C152" s="8" t="n"/>
      <c r="D152" s="1">
        <f>IF($C152="","",VLOOKUP($C152,'WP list'!A:B,2,0))</f>
        <v/>
      </c>
      <c r="E152" s="10" t="n"/>
      <c r="F152" s="20" t="n"/>
      <c r="G152" s="123" t="n"/>
      <c r="H152" s="134" t="n"/>
      <c r="I152" s="138" t="n"/>
      <c r="J152" s="140" t="n"/>
      <c r="K152" s="384">
        <f>+H152*I152*J152</f>
        <v/>
      </c>
      <c r="L152" s="125" t="n"/>
    </row>
    <row r="153">
      <c r="A153" s="122" t="n"/>
      <c r="B153" s="1">
        <f>IF($A153="","",VLOOKUP($A153,'BE list'!A:C,3,0))</f>
        <v/>
      </c>
      <c r="C153" s="8" t="n"/>
      <c r="D153" s="1">
        <f>IF($C153="","",VLOOKUP($C153,'WP list'!A:B,2,0))</f>
        <v/>
      </c>
      <c r="E153" s="10" t="n"/>
      <c r="F153" s="20" t="n"/>
      <c r="G153" s="123" t="n"/>
      <c r="H153" s="134" t="n"/>
      <c r="I153" s="138" t="n"/>
      <c r="J153" s="140" t="n"/>
      <c r="K153" s="384">
        <f>+H153*I153*J153</f>
        <v/>
      </c>
      <c r="L153" s="125" t="n"/>
    </row>
    <row r="154">
      <c r="A154" s="122" t="n"/>
      <c r="B154" s="1">
        <f>IF($A154="","",VLOOKUP($A154,'BE list'!A:C,3,0))</f>
        <v/>
      </c>
      <c r="C154" s="8" t="n"/>
      <c r="D154" s="1">
        <f>IF($C154="","",VLOOKUP($C154,'WP list'!A:B,2,0))</f>
        <v/>
      </c>
      <c r="E154" s="10" t="n"/>
      <c r="F154" s="20" t="n"/>
      <c r="G154" s="123" t="n"/>
      <c r="H154" s="134" t="n"/>
      <c r="I154" s="138" t="n"/>
      <c r="J154" s="140" t="n"/>
      <c r="K154" s="384">
        <f>+H154*I154*J154</f>
        <v/>
      </c>
      <c r="L154" s="125" t="n"/>
    </row>
    <row r="155">
      <c r="A155" s="122" t="n"/>
      <c r="B155" s="1">
        <f>IF($A155="","",VLOOKUP($A155,'BE list'!A:C,3,0))</f>
        <v/>
      </c>
      <c r="C155" s="8" t="n"/>
      <c r="D155" s="1">
        <f>IF($C155="","",VLOOKUP($C155,'WP list'!A:B,2,0))</f>
        <v/>
      </c>
      <c r="E155" s="10" t="n"/>
      <c r="F155" s="20" t="n"/>
      <c r="G155" s="123" t="n"/>
      <c r="H155" s="134" t="n"/>
      <c r="I155" s="138" t="n"/>
      <c r="J155" s="140" t="n"/>
      <c r="K155" s="384">
        <f>+H155*I155*J155</f>
        <v/>
      </c>
      <c r="L155" s="125" t="n"/>
    </row>
    <row r="156">
      <c r="A156" s="122" t="n"/>
      <c r="B156" s="1">
        <f>IF($A156="","",VLOOKUP($A156,'BE list'!A:C,3,0))</f>
        <v/>
      </c>
      <c r="C156" s="8" t="n"/>
      <c r="D156" s="1">
        <f>IF($C156="","",VLOOKUP($C156,'WP list'!A:B,2,0))</f>
        <v/>
      </c>
      <c r="E156" s="10" t="n"/>
      <c r="F156" s="20" t="n"/>
      <c r="G156" s="123" t="n"/>
      <c r="H156" s="134" t="n"/>
      <c r="I156" s="138" t="n"/>
      <c r="J156" s="140" t="n"/>
      <c r="K156" s="384">
        <f>+H156*I156*J156</f>
        <v/>
      </c>
      <c r="L156" s="125" t="n"/>
    </row>
    <row r="157">
      <c r="A157" s="122" t="n"/>
      <c r="B157" s="1">
        <f>IF($A157="","",VLOOKUP($A157,'BE list'!A:C,3,0))</f>
        <v/>
      </c>
      <c r="C157" s="8" t="n"/>
      <c r="D157" s="1">
        <f>IF($C157="","",VLOOKUP($C157,'WP list'!A:B,2,0))</f>
        <v/>
      </c>
      <c r="E157" s="10" t="n"/>
      <c r="F157" s="20" t="n"/>
      <c r="G157" s="123" t="n"/>
      <c r="H157" s="134" t="n"/>
      <c r="I157" s="138" t="n"/>
      <c r="J157" s="140" t="n"/>
      <c r="K157" s="384">
        <f>+H157*I157*J157</f>
        <v/>
      </c>
      <c r="L157" s="125" t="n"/>
    </row>
    <row r="158">
      <c r="A158" s="122" t="n"/>
      <c r="B158" s="1">
        <f>IF($A158="","",VLOOKUP($A158,'BE list'!A:C,3,0))</f>
        <v/>
      </c>
      <c r="C158" s="8" t="n"/>
      <c r="D158" s="1">
        <f>IF($C158="","",VLOOKUP($C158,'WP list'!A:B,2,0))</f>
        <v/>
      </c>
      <c r="E158" s="10" t="n"/>
      <c r="F158" s="20" t="n"/>
      <c r="G158" s="123" t="n"/>
      <c r="H158" s="134" t="n"/>
      <c r="I158" s="138" t="n"/>
      <c r="J158" s="140" t="n"/>
      <c r="K158" s="384">
        <f>+H158*I158*J158</f>
        <v/>
      </c>
      <c r="L158" s="125" t="n"/>
    </row>
    <row r="159">
      <c r="A159" s="122" t="n"/>
      <c r="B159" s="1">
        <f>IF($A159="","",VLOOKUP($A159,'BE list'!A:C,3,0))</f>
        <v/>
      </c>
      <c r="C159" s="8" t="n"/>
      <c r="D159" s="1">
        <f>IF($C159="","",VLOOKUP($C159,'WP list'!A:B,2,0))</f>
        <v/>
      </c>
      <c r="E159" s="10" t="n"/>
      <c r="F159" s="20" t="n"/>
      <c r="G159" s="123" t="n"/>
      <c r="H159" s="134" t="n"/>
      <c r="I159" s="138" t="n"/>
      <c r="J159" s="140" t="n"/>
      <c r="K159" s="384">
        <f>+H159*I159*J159</f>
        <v/>
      </c>
      <c r="L159" s="125" t="n"/>
    </row>
    <row r="160">
      <c r="A160" s="122" t="n"/>
      <c r="B160" s="1">
        <f>IF($A160="","",VLOOKUP($A160,'BE list'!A:C,3,0))</f>
        <v/>
      </c>
      <c r="C160" s="8" t="n"/>
      <c r="D160" s="1">
        <f>IF($C160="","",VLOOKUP($C160,'WP list'!A:B,2,0))</f>
        <v/>
      </c>
      <c r="E160" s="10" t="n"/>
      <c r="F160" s="20" t="n"/>
      <c r="G160" s="123" t="n"/>
      <c r="H160" s="134" t="n"/>
      <c r="I160" s="138" t="n"/>
      <c r="J160" s="140" t="n"/>
      <c r="K160" s="384">
        <f>+H160*I160*J160</f>
        <v/>
      </c>
      <c r="L160" s="125" t="n"/>
    </row>
    <row r="161">
      <c r="A161" s="122" t="n"/>
      <c r="B161" s="1">
        <f>IF($A161="","",VLOOKUP($A161,'BE list'!A:C,3,0))</f>
        <v/>
      </c>
      <c r="C161" s="8" t="n"/>
      <c r="D161" s="1">
        <f>IF($C161="","",VLOOKUP($C161,'WP list'!A:B,2,0))</f>
        <v/>
      </c>
      <c r="E161" s="10" t="n"/>
      <c r="F161" s="20" t="n"/>
      <c r="G161" s="123" t="n"/>
      <c r="H161" s="134" t="n"/>
      <c r="I161" s="138" t="n"/>
      <c r="J161" s="140" t="n"/>
      <c r="K161" s="384">
        <f>+H161*I161*J161</f>
        <v/>
      </c>
      <c r="L161" s="125" t="n"/>
    </row>
    <row r="162">
      <c r="A162" s="122" t="n"/>
      <c r="B162" s="1">
        <f>IF($A162="","",VLOOKUP($A162,'BE list'!A:C,3,0))</f>
        <v/>
      </c>
      <c r="C162" s="8" t="n"/>
      <c r="D162" s="1">
        <f>IF($C162="","",VLOOKUP($C162,'WP list'!A:B,2,0))</f>
        <v/>
      </c>
      <c r="E162" s="10" t="n"/>
      <c r="F162" s="20" t="n"/>
      <c r="G162" s="123" t="n"/>
      <c r="H162" s="134" t="n"/>
      <c r="I162" s="138" t="n"/>
      <c r="J162" s="140" t="n"/>
      <c r="K162" s="384">
        <f>+H162*I162*J162</f>
        <v/>
      </c>
      <c r="L162" s="125" t="n"/>
    </row>
    <row r="163">
      <c r="A163" s="122" t="n"/>
      <c r="B163" s="1">
        <f>IF($A163="","",VLOOKUP($A163,'BE list'!A:C,3,0))</f>
        <v/>
      </c>
      <c r="C163" s="8" t="n"/>
      <c r="D163" s="1">
        <f>IF($C163="","",VLOOKUP($C163,'WP list'!A:B,2,0))</f>
        <v/>
      </c>
      <c r="E163" s="10" t="n"/>
      <c r="F163" s="20" t="n"/>
      <c r="G163" s="123" t="n"/>
      <c r="H163" s="134" t="n"/>
      <c r="I163" s="138" t="n"/>
      <c r="J163" s="140" t="n"/>
      <c r="K163" s="384">
        <f>+H163*I163*J163</f>
        <v/>
      </c>
      <c r="L163" s="125" t="n"/>
    </row>
    <row r="164">
      <c r="A164" s="122" t="n"/>
      <c r="B164" s="1">
        <f>IF($A164="","",VLOOKUP($A164,'BE list'!A:C,3,0))</f>
        <v/>
      </c>
      <c r="C164" s="8" t="n"/>
      <c r="D164" s="1">
        <f>IF($C164="","",VLOOKUP($C164,'WP list'!A:B,2,0))</f>
        <v/>
      </c>
      <c r="E164" s="10" t="n"/>
      <c r="F164" s="20" t="n"/>
      <c r="G164" s="123" t="n"/>
      <c r="H164" s="134" t="n"/>
      <c r="I164" s="138" t="n"/>
      <c r="J164" s="140" t="n"/>
      <c r="K164" s="384">
        <f>+H164*I164*J164</f>
        <v/>
      </c>
      <c r="L164" s="125" t="n"/>
    </row>
    <row r="165">
      <c r="A165" s="122" t="n"/>
      <c r="B165" s="1">
        <f>IF($A165="","",VLOOKUP($A165,'BE list'!A:C,3,0))</f>
        <v/>
      </c>
      <c r="C165" s="8" t="n"/>
      <c r="D165" s="1">
        <f>IF($C165="","",VLOOKUP($C165,'WP list'!A:B,2,0))</f>
        <v/>
      </c>
      <c r="E165" s="10" t="n"/>
      <c r="F165" s="20" t="n"/>
      <c r="G165" s="123" t="n"/>
      <c r="H165" s="134" t="n"/>
      <c r="I165" s="138" t="n"/>
      <c r="J165" s="140" t="n"/>
      <c r="K165" s="384">
        <f>+H165*I165*J165</f>
        <v/>
      </c>
      <c r="L165" s="125" t="n"/>
    </row>
    <row r="166">
      <c r="A166" s="122" t="n"/>
      <c r="B166" s="1">
        <f>IF($A166="","",VLOOKUP($A166,'BE list'!A:C,3,0))</f>
        <v/>
      </c>
      <c r="C166" s="8" t="n"/>
      <c r="D166" s="1">
        <f>IF($C166="","",VLOOKUP($C166,'WP list'!A:B,2,0))</f>
        <v/>
      </c>
      <c r="E166" s="10" t="n"/>
      <c r="F166" s="20" t="n"/>
      <c r="G166" s="123" t="n"/>
      <c r="H166" s="134" t="n"/>
      <c r="I166" s="138" t="n"/>
      <c r="J166" s="140" t="n"/>
      <c r="K166" s="384">
        <f>+H166*I166*J166</f>
        <v/>
      </c>
      <c r="L166" s="125" t="n"/>
    </row>
    <row r="167">
      <c r="A167" s="122" t="n"/>
      <c r="B167" s="1">
        <f>IF($A167="","",VLOOKUP($A167,'BE list'!A:C,3,0))</f>
        <v/>
      </c>
      <c r="C167" s="8" t="n"/>
      <c r="D167" s="1">
        <f>IF($C167="","",VLOOKUP($C167,'WP list'!A:B,2,0))</f>
        <v/>
      </c>
      <c r="E167" s="10" t="n"/>
      <c r="F167" s="20" t="n"/>
      <c r="G167" s="123" t="n"/>
      <c r="H167" s="134" t="n"/>
      <c r="I167" s="138" t="n"/>
      <c r="J167" s="140" t="n"/>
      <c r="K167" s="384">
        <f>+H167*I167*J167</f>
        <v/>
      </c>
      <c r="L167" s="125" t="n"/>
    </row>
    <row r="168">
      <c r="A168" s="122" t="n"/>
      <c r="B168" s="1">
        <f>IF($A168="","",VLOOKUP($A168,'BE list'!A:C,3,0))</f>
        <v/>
      </c>
      <c r="C168" s="8" t="n"/>
      <c r="D168" s="1">
        <f>IF($C168="","",VLOOKUP($C168,'WP list'!A:B,2,0))</f>
        <v/>
      </c>
      <c r="E168" s="10" t="n"/>
      <c r="F168" s="20" t="n"/>
      <c r="G168" s="123" t="n"/>
      <c r="H168" s="134" t="n"/>
      <c r="I168" s="138" t="n"/>
      <c r="J168" s="140" t="n"/>
      <c r="K168" s="384">
        <f>+H168*I168*J168</f>
        <v/>
      </c>
      <c r="L168" s="125" t="n"/>
    </row>
    <row r="169">
      <c r="A169" s="122" t="n"/>
      <c r="B169" s="1">
        <f>IF($A169="","",VLOOKUP($A169,'BE list'!A:C,3,0))</f>
        <v/>
      </c>
      <c r="C169" s="8" t="n"/>
      <c r="D169" s="1">
        <f>IF($C169="","",VLOOKUP($C169,'WP list'!A:B,2,0))</f>
        <v/>
      </c>
      <c r="E169" s="10" t="n"/>
      <c r="F169" s="20" t="n"/>
      <c r="G169" s="123" t="n"/>
      <c r="H169" s="134" t="n"/>
      <c r="I169" s="138" t="n"/>
      <c r="J169" s="140" t="n"/>
      <c r="K169" s="384">
        <f>+H169*I169*J169</f>
        <v/>
      </c>
      <c r="L169" s="125" t="n"/>
    </row>
    <row r="170">
      <c r="A170" s="122" t="n"/>
      <c r="B170" s="1">
        <f>IF($A170="","",VLOOKUP($A170,'BE list'!A:C,3,0))</f>
        <v/>
      </c>
      <c r="C170" s="8" t="n"/>
      <c r="D170" s="1">
        <f>IF($C170="","",VLOOKUP($C170,'WP list'!A:B,2,0))</f>
        <v/>
      </c>
      <c r="E170" s="10" t="n"/>
      <c r="F170" s="20" t="n"/>
      <c r="G170" s="123" t="n"/>
      <c r="H170" s="134" t="n"/>
      <c r="I170" s="138" t="n"/>
      <c r="J170" s="140" t="n"/>
      <c r="K170" s="384">
        <f>+H170*I170*J170</f>
        <v/>
      </c>
      <c r="L170" s="125" t="n"/>
    </row>
    <row r="171">
      <c r="A171" s="122" t="n"/>
      <c r="B171" s="1">
        <f>IF($A171="","",VLOOKUP($A171,'BE list'!A:C,3,0))</f>
        <v/>
      </c>
      <c r="C171" s="8" t="n"/>
      <c r="D171" s="1">
        <f>IF($C171="","",VLOOKUP($C171,'WP list'!A:B,2,0))</f>
        <v/>
      </c>
      <c r="E171" s="10" t="n"/>
      <c r="F171" s="20" t="n"/>
      <c r="G171" s="123" t="n"/>
      <c r="H171" s="134" t="n"/>
      <c r="I171" s="138" t="n"/>
      <c r="J171" s="140" t="n"/>
      <c r="K171" s="384">
        <f>+H171*I171*J171</f>
        <v/>
      </c>
      <c r="L171" s="125" t="n"/>
    </row>
    <row r="172">
      <c r="A172" s="122" t="n"/>
      <c r="B172" s="1">
        <f>IF($A172="","",VLOOKUP($A172,'BE list'!A:C,3,0))</f>
        <v/>
      </c>
      <c r="C172" s="8" t="n"/>
      <c r="D172" s="1">
        <f>IF($C172="","",VLOOKUP($C172,'WP list'!A:B,2,0))</f>
        <v/>
      </c>
      <c r="E172" s="10" t="n"/>
      <c r="F172" s="20" t="n"/>
      <c r="G172" s="123" t="n"/>
      <c r="H172" s="134" t="n"/>
      <c r="I172" s="138" t="n"/>
      <c r="J172" s="140" t="n"/>
      <c r="K172" s="384">
        <f>+H172*I172*J172</f>
        <v/>
      </c>
      <c r="L172" s="125" t="n"/>
    </row>
    <row r="173">
      <c r="A173" s="122" t="n"/>
      <c r="B173" s="1">
        <f>IF($A173="","",VLOOKUP($A173,'BE list'!A:C,3,0))</f>
        <v/>
      </c>
      <c r="C173" s="8" t="n"/>
      <c r="D173" s="1">
        <f>IF($C173="","",VLOOKUP($C173,'WP list'!A:B,2,0))</f>
        <v/>
      </c>
      <c r="E173" s="10" t="n"/>
      <c r="F173" s="20" t="n"/>
      <c r="G173" s="123" t="n"/>
      <c r="H173" s="134" t="n"/>
      <c r="I173" s="138" t="n"/>
      <c r="J173" s="140" t="n"/>
      <c r="K173" s="384">
        <f>+H173*I173*J173</f>
        <v/>
      </c>
      <c r="L173" s="125" t="n"/>
    </row>
    <row r="174">
      <c r="A174" s="122" t="n"/>
      <c r="B174" s="1">
        <f>IF($A174="","",VLOOKUP($A174,'BE list'!A:C,3,0))</f>
        <v/>
      </c>
      <c r="C174" s="8" t="n"/>
      <c r="D174" s="1">
        <f>IF($C174="","",VLOOKUP($C174,'WP list'!A:B,2,0))</f>
        <v/>
      </c>
      <c r="E174" s="10" t="n"/>
      <c r="F174" s="20" t="n"/>
      <c r="G174" s="123" t="n"/>
      <c r="H174" s="134" t="n"/>
      <c r="I174" s="138" t="n"/>
      <c r="J174" s="140" t="n"/>
      <c r="K174" s="384">
        <f>+H174*I174*J174</f>
        <v/>
      </c>
      <c r="L174" s="125" t="n"/>
    </row>
    <row r="175">
      <c r="A175" s="122" t="n"/>
      <c r="B175" s="1">
        <f>IF($A175="","",VLOOKUP($A175,'BE list'!A:C,3,0))</f>
        <v/>
      </c>
      <c r="C175" s="8" t="n"/>
      <c r="D175" s="1">
        <f>IF($C175="","",VLOOKUP($C175,'WP list'!A:B,2,0))</f>
        <v/>
      </c>
      <c r="E175" s="10" t="n"/>
      <c r="F175" s="20" t="n"/>
      <c r="G175" s="123" t="n"/>
      <c r="H175" s="134" t="n"/>
      <c r="I175" s="138" t="n"/>
      <c r="J175" s="140" t="n"/>
      <c r="K175" s="384">
        <f>+H175*I175*J175</f>
        <v/>
      </c>
      <c r="L175" s="125" t="n"/>
    </row>
    <row r="176">
      <c r="A176" s="122" t="n"/>
      <c r="B176" s="1">
        <f>IF($A176="","",VLOOKUP($A176,'BE list'!A:C,3,0))</f>
        <v/>
      </c>
      <c r="C176" s="8" t="n"/>
      <c r="D176" s="1">
        <f>IF($C176="","",VLOOKUP($C176,'WP list'!A:B,2,0))</f>
        <v/>
      </c>
      <c r="E176" s="10" t="n"/>
      <c r="F176" s="20" t="n"/>
      <c r="G176" s="123" t="n"/>
      <c r="H176" s="134" t="n"/>
      <c r="I176" s="138" t="n"/>
      <c r="J176" s="140" t="n"/>
      <c r="K176" s="384">
        <f>+H176*I176*J176</f>
        <v/>
      </c>
      <c r="L176" s="125" t="n"/>
    </row>
    <row r="177">
      <c r="A177" s="122" t="n"/>
      <c r="B177" s="1">
        <f>IF($A177="","",VLOOKUP($A177,'BE list'!A:C,3,0))</f>
        <v/>
      </c>
      <c r="C177" s="8" t="n"/>
      <c r="D177" s="1">
        <f>IF($C177="","",VLOOKUP($C177,'WP list'!A:B,2,0))</f>
        <v/>
      </c>
      <c r="E177" s="10" t="n"/>
      <c r="F177" s="20" t="n"/>
      <c r="G177" s="123" t="n"/>
      <c r="H177" s="134" t="n"/>
      <c r="I177" s="138" t="n"/>
      <c r="J177" s="140" t="n"/>
      <c r="K177" s="384">
        <f>+H177*I177*J177</f>
        <v/>
      </c>
      <c r="L177" s="125" t="n"/>
    </row>
    <row r="178">
      <c r="A178" s="122" t="n"/>
      <c r="B178" s="1">
        <f>IF($A178="","",VLOOKUP($A178,'BE list'!A:C,3,0))</f>
        <v/>
      </c>
      <c r="C178" s="8" t="n"/>
      <c r="D178" s="1">
        <f>IF($C178="","",VLOOKUP($C178,'WP list'!A:B,2,0))</f>
        <v/>
      </c>
      <c r="E178" s="10" t="n"/>
      <c r="F178" s="20" t="n"/>
      <c r="G178" s="123" t="n"/>
      <c r="H178" s="134" t="n"/>
      <c r="I178" s="138" t="n"/>
      <c r="J178" s="140" t="n"/>
      <c r="K178" s="384">
        <f>+H178*I178*J178</f>
        <v/>
      </c>
      <c r="L178" s="125" t="n"/>
    </row>
    <row r="179">
      <c r="A179" s="122" t="n"/>
      <c r="B179" s="1">
        <f>IF($A179="","",VLOOKUP($A179,'BE list'!A:C,3,0))</f>
        <v/>
      </c>
      <c r="C179" s="8" t="n"/>
      <c r="D179" s="1">
        <f>IF($C179="","",VLOOKUP($C179,'WP list'!A:B,2,0))</f>
        <v/>
      </c>
      <c r="E179" s="10" t="n"/>
      <c r="F179" s="20" t="n"/>
      <c r="G179" s="123" t="n"/>
      <c r="H179" s="134" t="n"/>
      <c r="I179" s="138" t="n"/>
      <c r="J179" s="140" t="n"/>
      <c r="K179" s="384">
        <f>+H179*I179*J179</f>
        <v/>
      </c>
      <c r="L179" s="125" t="n"/>
    </row>
    <row r="180">
      <c r="A180" s="122" t="n"/>
      <c r="B180" s="1">
        <f>IF($A180="","",VLOOKUP($A180,'BE list'!A:C,3,0))</f>
        <v/>
      </c>
      <c r="C180" s="8" t="n"/>
      <c r="D180" s="1">
        <f>IF($C180="","",VLOOKUP($C180,'WP list'!A:B,2,0))</f>
        <v/>
      </c>
      <c r="E180" s="10" t="n"/>
      <c r="F180" s="20" t="n"/>
      <c r="G180" s="123" t="n"/>
      <c r="H180" s="134" t="n"/>
      <c r="I180" s="138" t="n"/>
      <c r="J180" s="140" t="n"/>
      <c r="K180" s="384">
        <f>+H180*I180*J180</f>
        <v/>
      </c>
      <c r="L180" s="125" t="n"/>
    </row>
    <row r="181">
      <c r="A181" s="122" t="n"/>
      <c r="B181" s="1">
        <f>IF($A181="","",VLOOKUP($A181,'BE list'!A:C,3,0))</f>
        <v/>
      </c>
      <c r="C181" s="8" t="n"/>
      <c r="D181" s="1">
        <f>IF($C181="","",VLOOKUP($C181,'WP list'!A:B,2,0))</f>
        <v/>
      </c>
      <c r="E181" s="10" t="n"/>
      <c r="F181" s="20" t="n"/>
      <c r="G181" s="123" t="n"/>
      <c r="H181" s="134" t="n"/>
      <c r="I181" s="138" t="n"/>
      <c r="J181" s="140" t="n"/>
      <c r="K181" s="384">
        <f>+H181*I181*J181</f>
        <v/>
      </c>
      <c r="L181" s="125" t="n"/>
    </row>
    <row r="182">
      <c r="A182" s="122" t="n"/>
      <c r="B182" s="1">
        <f>IF($A182="","",VLOOKUP($A182,'BE list'!A:C,3,0))</f>
        <v/>
      </c>
      <c r="C182" s="8" t="n"/>
      <c r="D182" s="1">
        <f>IF($C182="","",VLOOKUP($C182,'WP list'!A:B,2,0))</f>
        <v/>
      </c>
      <c r="E182" s="10" t="n"/>
      <c r="F182" s="20" t="n"/>
      <c r="G182" s="123" t="n"/>
      <c r="H182" s="134" t="n"/>
      <c r="I182" s="138" t="n"/>
      <c r="J182" s="140" t="n"/>
      <c r="K182" s="384">
        <f>+H182*I182*J182</f>
        <v/>
      </c>
      <c r="L182" s="125" t="n"/>
    </row>
    <row r="183">
      <c r="A183" s="122" t="n"/>
      <c r="B183" s="1">
        <f>IF($A183="","",VLOOKUP($A183,'BE list'!A:C,3,0))</f>
        <v/>
      </c>
      <c r="C183" s="8" t="n"/>
      <c r="D183" s="1">
        <f>IF($C183="","",VLOOKUP($C183,'WP list'!A:B,2,0))</f>
        <v/>
      </c>
      <c r="E183" s="10" t="n"/>
      <c r="F183" s="20" t="n"/>
      <c r="G183" s="123" t="n"/>
      <c r="H183" s="134" t="n"/>
      <c r="I183" s="138" t="n"/>
      <c r="J183" s="140" t="n"/>
      <c r="K183" s="384">
        <f>+H183*I183*J183</f>
        <v/>
      </c>
      <c r="L183" s="125" t="n"/>
    </row>
    <row r="184">
      <c r="A184" s="122" t="n"/>
      <c r="B184" s="1">
        <f>IF($A184="","",VLOOKUP($A184,'BE list'!A:C,3,0))</f>
        <v/>
      </c>
      <c r="C184" s="8" t="n"/>
      <c r="D184" s="1">
        <f>IF($C184="","",VLOOKUP($C184,'WP list'!A:B,2,0))</f>
        <v/>
      </c>
      <c r="E184" s="10" t="n"/>
      <c r="F184" s="20" t="n"/>
      <c r="G184" s="123" t="n"/>
      <c r="H184" s="134" t="n"/>
      <c r="I184" s="138" t="n"/>
      <c r="J184" s="140" t="n"/>
      <c r="K184" s="384">
        <f>+H184*I184*J184</f>
        <v/>
      </c>
      <c r="L184" s="125" t="n"/>
    </row>
    <row r="185">
      <c r="A185" s="122" t="n"/>
      <c r="B185" s="1">
        <f>IF($A185="","",VLOOKUP($A185,'BE list'!A:C,3,0))</f>
        <v/>
      </c>
      <c r="C185" s="8" t="n"/>
      <c r="D185" s="1">
        <f>IF($C185="","",VLOOKUP($C185,'WP list'!A:B,2,0))</f>
        <v/>
      </c>
      <c r="E185" s="10" t="n"/>
      <c r="F185" s="20" t="n"/>
      <c r="G185" s="123" t="n"/>
      <c r="H185" s="134" t="n"/>
      <c r="I185" s="138" t="n"/>
      <c r="J185" s="140" t="n"/>
      <c r="K185" s="384">
        <f>+H185*I185*J185</f>
        <v/>
      </c>
      <c r="L185" s="125" t="n"/>
    </row>
    <row r="186">
      <c r="A186" s="122" t="n"/>
      <c r="B186" s="1">
        <f>IF($A186="","",VLOOKUP($A186,'BE list'!A:C,3,0))</f>
        <v/>
      </c>
      <c r="C186" s="8" t="n"/>
      <c r="D186" s="1">
        <f>IF($C186="","",VLOOKUP($C186,'WP list'!A:B,2,0))</f>
        <v/>
      </c>
      <c r="E186" s="10" t="n"/>
      <c r="F186" s="20" t="n"/>
      <c r="G186" s="123" t="n"/>
      <c r="H186" s="134" t="n"/>
      <c r="I186" s="138" t="n"/>
      <c r="J186" s="140" t="n"/>
      <c r="K186" s="384">
        <f>+H186*I186*J186</f>
        <v/>
      </c>
      <c r="L186" s="125" t="n"/>
    </row>
    <row r="187">
      <c r="A187" s="122" t="n"/>
      <c r="B187" s="1">
        <f>IF($A187="","",VLOOKUP($A187,'BE list'!A:C,3,0))</f>
        <v/>
      </c>
      <c r="C187" s="8" t="n"/>
      <c r="D187" s="1">
        <f>IF($C187="","",VLOOKUP($C187,'WP list'!A:B,2,0))</f>
        <v/>
      </c>
      <c r="E187" s="10" t="n"/>
      <c r="F187" s="20" t="n"/>
      <c r="G187" s="123" t="n"/>
      <c r="H187" s="134" t="n"/>
      <c r="I187" s="138" t="n"/>
      <c r="J187" s="140" t="n"/>
      <c r="K187" s="384">
        <f>+H187*I187*J187</f>
        <v/>
      </c>
      <c r="L187" s="125" t="n"/>
    </row>
    <row r="188">
      <c r="A188" s="122" t="n"/>
      <c r="B188" s="1">
        <f>IF($A188="","",VLOOKUP($A188,'BE list'!A:C,3,0))</f>
        <v/>
      </c>
      <c r="C188" s="8" t="n"/>
      <c r="D188" s="1">
        <f>IF($C188="","",VLOOKUP($C188,'WP list'!A:B,2,0))</f>
        <v/>
      </c>
      <c r="E188" s="10" t="n"/>
      <c r="F188" s="20" t="n"/>
      <c r="G188" s="123" t="n"/>
      <c r="H188" s="134" t="n"/>
      <c r="I188" s="138" t="n"/>
      <c r="J188" s="140" t="n"/>
      <c r="K188" s="384">
        <f>+H188*I188*J188</f>
        <v/>
      </c>
      <c r="L188" s="125" t="n"/>
    </row>
    <row r="189">
      <c r="A189" s="122" t="n"/>
      <c r="B189" s="1">
        <f>IF($A189="","",VLOOKUP($A189,'BE list'!A:C,3,0))</f>
        <v/>
      </c>
      <c r="C189" s="8" t="n"/>
      <c r="D189" s="1">
        <f>IF($C189="","",VLOOKUP($C189,'WP list'!A:B,2,0))</f>
        <v/>
      </c>
      <c r="E189" s="10" t="n"/>
      <c r="F189" s="20" t="n"/>
      <c r="G189" s="123" t="n"/>
      <c r="H189" s="134" t="n"/>
      <c r="I189" s="138" t="n"/>
      <c r="J189" s="140" t="n"/>
      <c r="K189" s="384">
        <f>+H189*I189*J189</f>
        <v/>
      </c>
      <c r="L189" s="125" t="n"/>
    </row>
    <row r="190">
      <c r="A190" s="122" t="n"/>
      <c r="B190" s="1">
        <f>IF($A190="","",VLOOKUP($A190,'BE list'!A:C,3,0))</f>
        <v/>
      </c>
      <c r="C190" s="8" t="n"/>
      <c r="D190" s="1">
        <f>IF($C190="","",VLOOKUP($C190,'WP list'!A:B,2,0))</f>
        <v/>
      </c>
      <c r="E190" s="10" t="n"/>
      <c r="F190" s="20" t="n"/>
      <c r="G190" s="123" t="n"/>
      <c r="H190" s="134" t="n"/>
      <c r="I190" s="138" t="n"/>
      <c r="J190" s="140" t="n"/>
      <c r="K190" s="384">
        <f>+H190*I190*J190</f>
        <v/>
      </c>
      <c r="L190" s="125" t="n"/>
    </row>
    <row r="191">
      <c r="A191" s="122" t="n"/>
      <c r="B191" s="1">
        <f>IF($A191="","",VLOOKUP($A191,'BE list'!A:C,3,0))</f>
        <v/>
      </c>
      <c r="C191" s="8" t="n"/>
      <c r="D191" s="1">
        <f>IF($C191="","",VLOOKUP($C191,'WP list'!A:B,2,0))</f>
        <v/>
      </c>
      <c r="E191" s="10" t="n"/>
      <c r="F191" s="20" t="n"/>
      <c r="G191" s="123" t="n"/>
      <c r="H191" s="134" t="n"/>
      <c r="I191" s="138" t="n"/>
      <c r="J191" s="140" t="n"/>
      <c r="K191" s="384">
        <f>+H191*I191*J191</f>
        <v/>
      </c>
      <c r="L191" s="125" t="n"/>
    </row>
    <row r="192">
      <c r="A192" s="122" t="n"/>
      <c r="B192" s="1">
        <f>IF($A192="","",VLOOKUP($A192,'BE list'!A:C,3,0))</f>
        <v/>
      </c>
      <c r="C192" s="8" t="n"/>
      <c r="D192" s="1">
        <f>IF($C192="","",VLOOKUP($C192,'WP list'!A:B,2,0))</f>
        <v/>
      </c>
      <c r="E192" s="10" t="n"/>
      <c r="F192" s="20" t="n"/>
      <c r="G192" s="123" t="n"/>
      <c r="H192" s="134" t="n"/>
      <c r="I192" s="138" t="n"/>
      <c r="J192" s="140" t="n"/>
      <c r="K192" s="384">
        <f>+H192*I192*J192</f>
        <v/>
      </c>
      <c r="L192" s="125" t="n"/>
    </row>
    <row r="193">
      <c r="A193" s="122" t="n"/>
      <c r="B193" s="1">
        <f>IF($A193="","",VLOOKUP($A193,'BE list'!A:C,3,0))</f>
        <v/>
      </c>
      <c r="C193" s="8" t="n"/>
      <c r="D193" s="1">
        <f>IF($C193="","",VLOOKUP($C193,'WP list'!A:B,2,0))</f>
        <v/>
      </c>
      <c r="E193" s="10" t="n"/>
      <c r="F193" s="20" t="n"/>
      <c r="G193" s="123" t="n"/>
      <c r="H193" s="134" t="n"/>
      <c r="I193" s="138" t="n"/>
      <c r="J193" s="140" t="n"/>
      <c r="K193" s="384">
        <f>+H193*I193*J193</f>
        <v/>
      </c>
      <c r="L193" s="125" t="n"/>
    </row>
    <row r="194">
      <c r="A194" s="122" t="n"/>
      <c r="B194" s="1">
        <f>IF($A194="","",VLOOKUP($A194,'BE list'!A:C,3,0))</f>
        <v/>
      </c>
      <c r="C194" s="8" t="n"/>
      <c r="D194" s="1">
        <f>IF($C194="","",VLOOKUP($C194,'WP list'!A:B,2,0))</f>
        <v/>
      </c>
      <c r="E194" s="10" t="n"/>
      <c r="F194" s="20" t="n"/>
      <c r="G194" s="123" t="n"/>
      <c r="H194" s="134" t="n"/>
      <c r="I194" s="138" t="n"/>
      <c r="J194" s="140" t="n"/>
      <c r="K194" s="384">
        <f>+H194*I194*J194</f>
        <v/>
      </c>
      <c r="L194" s="125" t="n"/>
    </row>
    <row r="195">
      <c r="A195" s="122" t="n"/>
      <c r="B195" s="1">
        <f>IF($A195="","",VLOOKUP($A195,'BE list'!A:C,3,0))</f>
        <v/>
      </c>
      <c r="C195" s="8" t="n"/>
      <c r="D195" s="1">
        <f>IF($C195="","",VLOOKUP($C195,'WP list'!A:B,2,0))</f>
        <v/>
      </c>
      <c r="E195" s="10" t="n"/>
      <c r="F195" s="20" t="n"/>
      <c r="G195" s="123" t="n"/>
      <c r="H195" s="134" t="n"/>
      <c r="I195" s="138" t="n"/>
      <c r="J195" s="140" t="n"/>
      <c r="K195" s="384">
        <f>+H195*I195*J195</f>
        <v/>
      </c>
      <c r="L195" s="125" t="n"/>
    </row>
    <row r="196">
      <c r="A196" s="122" t="n"/>
      <c r="B196" s="1">
        <f>IF($A196="","",VLOOKUP($A196,'BE list'!A:C,3,0))</f>
        <v/>
      </c>
      <c r="C196" s="8" t="n"/>
      <c r="D196" s="1">
        <f>IF($C196="","",VLOOKUP($C196,'WP list'!A:B,2,0))</f>
        <v/>
      </c>
      <c r="E196" s="10" t="n"/>
      <c r="F196" s="20" t="n"/>
      <c r="G196" s="123" t="n"/>
      <c r="H196" s="134" t="n"/>
      <c r="I196" s="138" t="n"/>
      <c r="J196" s="140" t="n"/>
      <c r="K196" s="384">
        <f>+H196*I196*J196</f>
        <v/>
      </c>
      <c r="L196" s="125" t="n"/>
    </row>
    <row r="197">
      <c r="A197" s="122" t="n"/>
      <c r="B197" s="1">
        <f>IF($A197="","",VLOOKUP($A197,'BE list'!A:C,3,0))</f>
        <v/>
      </c>
      <c r="C197" s="8" t="n"/>
      <c r="D197" s="1">
        <f>IF($C197="","",VLOOKUP($C197,'WP list'!A:B,2,0))</f>
        <v/>
      </c>
      <c r="E197" s="10" t="n"/>
      <c r="F197" s="20" t="n"/>
      <c r="G197" s="123" t="n"/>
      <c r="H197" s="134" t="n"/>
      <c r="I197" s="138" t="n"/>
      <c r="J197" s="140" t="n"/>
      <c r="K197" s="384">
        <f>+H197*I197*J197</f>
        <v/>
      </c>
      <c r="L197" s="125" t="n"/>
    </row>
    <row r="198">
      <c r="A198" s="122" t="n"/>
      <c r="B198" s="1">
        <f>IF($A198="","",VLOOKUP($A198,'BE list'!A:C,3,0))</f>
        <v/>
      </c>
      <c r="C198" s="8" t="n"/>
      <c r="D198" s="1">
        <f>IF($C198="","",VLOOKUP($C198,'WP list'!A:B,2,0))</f>
        <v/>
      </c>
      <c r="E198" s="10" t="n"/>
      <c r="F198" s="20" t="n"/>
      <c r="G198" s="123" t="n"/>
      <c r="H198" s="134" t="n"/>
      <c r="I198" s="138" t="n"/>
      <c r="J198" s="140" t="n"/>
      <c r="K198" s="384">
        <f>+H198*I198*J198</f>
        <v/>
      </c>
      <c r="L198" s="125" t="n"/>
    </row>
    <row r="199">
      <c r="A199" s="122" t="n"/>
      <c r="B199" s="1">
        <f>IF($A199="","",VLOOKUP($A199,'BE list'!A:C,3,0))</f>
        <v/>
      </c>
      <c r="C199" s="8" t="n"/>
      <c r="D199" s="1">
        <f>IF($C199="","",VLOOKUP($C199,'WP list'!A:B,2,0))</f>
        <v/>
      </c>
      <c r="E199" s="10" t="n"/>
      <c r="F199" s="20" t="n"/>
      <c r="G199" s="123" t="n"/>
      <c r="H199" s="134" t="n"/>
      <c r="I199" s="138" t="n"/>
      <c r="J199" s="140" t="n"/>
      <c r="K199" s="384">
        <f>+H199*I199*J199</f>
        <v/>
      </c>
      <c r="L199" s="125" t="n"/>
    </row>
    <row r="200">
      <c r="A200" s="122" t="n"/>
      <c r="B200" s="1">
        <f>IF($A200="","",VLOOKUP($A200,'BE list'!A:C,3,0))</f>
        <v/>
      </c>
      <c r="C200" s="8" t="n"/>
      <c r="D200" s="1">
        <f>IF($C200="","",VLOOKUP($C200,'WP list'!A:B,2,0))</f>
        <v/>
      </c>
      <c r="E200" s="10" t="n"/>
      <c r="F200" s="20" t="n"/>
      <c r="G200" s="123" t="n"/>
      <c r="H200" s="134" t="n"/>
      <c r="I200" s="138" t="n"/>
      <c r="J200" s="140" t="n"/>
      <c r="K200" s="384">
        <f>+H200*I200*J200</f>
        <v/>
      </c>
      <c r="L200" s="125" t="n"/>
    </row>
    <row r="201">
      <c r="A201" s="122" t="n"/>
      <c r="B201" s="1">
        <f>IF($A201="","",VLOOKUP($A201,'BE list'!A:C,3,0))</f>
        <v/>
      </c>
      <c r="C201" s="8" t="n"/>
      <c r="D201" s="1">
        <f>IF($C201="","",VLOOKUP($C201,'WP list'!A:B,2,0))</f>
        <v/>
      </c>
      <c r="E201" s="10" t="n"/>
      <c r="F201" s="20" t="n"/>
      <c r="G201" s="123" t="n"/>
      <c r="H201" s="134" t="n"/>
      <c r="I201" s="138" t="n"/>
      <c r="J201" s="140" t="n"/>
      <c r="K201" s="384">
        <f>+H201*I201*J201</f>
        <v/>
      </c>
      <c r="L201" s="125" t="n"/>
    </row>
    <row r="202">
      <c r="A202" s="122" t="n"/>
      <c r="B202" s="1">
        <f>IF($A202="","",VLOOKUP($A202,'BE list'!A:C,3,0))</f>
        <v/>
      </c>
      <c r="C202" s="8" t="n"/>
      <c r="D202" s="1">
        <f>IF($C202="","",VLOOKUP($C202,'WP list'!A:B,2,0))</f>
        <v/>
      </c>
      <c r="E202" s="10" t="n"/>
      <c r="F202" s="20" t="n"/>
      <c r="G202" s="123" t="n"/>
      <c r="H202" s="134" t="n"/>
      <c r="I202" s="138" t="n"/>
      <c r="J202" s="140" t="n"/>
      <c r="K202" s="384">
        <f>+H202*I202*J202</f>
        <v/>
      </c>
      <c r="L202" s="125" t="n"/>
    </row>
    <row r="203">
      <c r="A203" s="122" t="n"/>
      <c r="B203" s="1">
        <f>IF($A203="","",VLOOKUP($A203,'BE list'!A:C,3,0))</f>
        <v/>
      </c>
      <c r="C203" s="8" t="n"/>
      <c r="D203" s="1">
        <f>IF($C203="","",VLOOKUP($C203,'WP list'!A:B,2,0))</f>
        <v/>
      </c>
      <c r="E203" s="10" t="n"/>
      <c r="F203" s="20" t="n"/>
      <c r="G203" s="123" t="n"/>
      <c r="H203" s="134" t="n"/>
      <c r="I203" s="138" t="n"/>
      <c r="J203" s="140" t="n"/>
      <c r="K203" s="384">
        <f>+H203*I203*J203</f>
        <v/>
      </c>
      <c r="L203" s="125" t="n"/>
    </row>
    <row r="204">
      <c r="A204" s="122" t="n"/>
      <c r="B204" s="1">
        <f>IF($A204="","",VLOOKUP($A204,'BE list'!A:C,3,0))</f>
        <v/>
      </c>
      <c r="C204" s="8" t="n"/>
      <c r="D204" s="1">
        <f>IF($C204="","",VLOOKUP($C204,'WP list'!A:B,2,0))</f>
        <v/>
      </c>
      <c r="E204" s="10" t="n"/>
      <c r="F204" s="20" t="n"/>
      <c r="G204" s="123" t="n"/>
      <c r="H204" s="134" t="n"/>
      <c r="I204" s="138" t="n"/>
      <c r="J204" s="140" t="n"/>
      <c r="K204" s="384">
        <f>+H204*I204*J204</f>
        <v/>
      </c>
      <c r="L204" s="125" t="n"/>
    </row>
    <row r="205">
      <c r="A205" s="122" t="n"/>
      <c r="B205" s="1">
        <f>IF($A205="","",VLOOKUP($A205,'BE list'!A:C,3,0))</f>
        <v/>
      </c>
      <c r="C205" s="8" t="n"/>
      <c r="D205" s="1">
        <f>IF($C205="","",VLOOKUP($C205,'WP list'!A:B,2,0))</f>
        <v/>
      </c>
      <c r="E205" s="10" t="n"/>
      <c r="F205" s="20" t="n"/>
      <c r="G205" s="123" t="n"/>
      <c r="H205" s="134" t="n"/>
      <c r="I205" s="138" t="n"/>
      <c r="J205" s="140" t="n"/>
      <c r="K205" s="384">
        <f>+H205*I205*J205</f>
        <v/>
      </c>
      <c r="L205" s="125" t="n"/>
    </row>
    <row r="206">
      <c r="A206" s="122" t="n"/>
      <c r="B206" s="1">
        <f>IF($A206="","",VLOOKUP($A206,'BE list'!A:C,3,0))</f>
        <v/>
      </c>
      <c r="C206" s="8" t="n"/>
      <c r="D206" s="1">
        <f>IF($C206="","",VLOOKUP($C206,'WP list'!A:B,2,0))</f>
        <v/>
      </c>
      <c r="E206" s="10" t="n"/>
      <c r="F206" s="20" t="n"/>
      <c r="G206" s="123" t="n"/>
      <c r="H206" s="134" t="n"/>
      <c r="I206" s="138" t="n"/>
      <c r="J206" s="140" t="n"/>
      <c r="K206" s="384">
        <f>+H206*I206*J206</f>
        <v/>
      </c>
      <c r="L206" s="125" t="n"/>
    </row>
    <row r="207">
      <c r="A207" s="122" t="n"/>
      <c r="B207" s="1">
        <f>IF($A207="","",VLOOKUP($A207,'BE list'!A:C,3,0))</f>
        <v/>
      </c>
      <c r="C207" s="8" t="n"/>
      <c r="D207" s="1">
        <f>IF($C207="","",VLOOKUP($C207,'WP list'!A:B,2,0))</f>
        <v/>
      </c>
      <c r="E207" s="10" t="n"/>
      <c r="F207" s="20" t="n"/>
      <c r="G207" s="123" t="n"/>
      <c r="H207" s="134" t="n"/>
      <c r="I207" s="138" t="n"/>
      <c r="J207" s="140" t="n"/>
      <c r="K207" s="384">
        <f>+H207*I207*J207</f>
        <v/>
      </c>
      <c r="L207" s="125" t="n"/>
    </row>
    <row r="208">
      <c r="A208" s="122" t="n"/>
      <c r="B208" s="1">
        <f>IF($A208="","",VLOOKUP($A208,'BE list'!A:C,3,0))</f>
        <v/>
      </c>
      <c r="C208" s="8" t="n"/>
      <c r="D208" s="1">
        <f>IF($C208="","",VLOOKUP($C208,'WP list'!A:B,2,0))</f>
        <v/>
      </c>
      <c r="E208" s="10" t="n"/>
      <c r="F208" s="20" t="n"/>
      <c r="G208" s="123" t="n"/>
      <c r="H208" s="134" t="n"/>
      <c r="I208" s="138" t="n"/>
      <c r="J208" s="140" t="n"/>
      <c r="K208" s="384">
        <f>+H208*I208*J208</f>
        <v/>
      </c>
      <c r="L208" s="125" t="n"/>
    </row>
    <row r="209" ht="15" customHeight="1" thickBot="1">
      <c r="A209" s="122" t="n"/>
      <c r="B209" s="1">
        <f>IF($A209="","",VLOOKUP($A209,'BE list'!A:C,3,0))</f>
        <v/>
      </c>
      <c r="C209" s="8" t="n"/>
      <c r="D209" s="1">
        <f>IF($C209="","",VLOOKUP($C209,'WP list'!A:B,2,0))</f>
        <v/>
      </c>
      <c r="E209" s="126" t="n"/>
      <c r="F209" s="127" t="n"/>
      <c r="G209" s="128" t="n"/>
      <c r="H209" s="135" t="n"/>
      <c r="I209" s="141" t="n"/>
      <c r="J209" s="142" t="n"/>
      <c r="K209" s="385">
        <f>+H209*I209*J209</f>
        <v/>
      </c>
      <c r="L209" s="130" t="n"/>
    </row>
  </sheetData>
  <sheetProtection selectLockedCells="1" selectUnlockedCells="0" algorithmName="SHA-512" sheet="1" objects="0" insertRows="1" insertHyperlinks="1" autoFilter="1" scenarios="0" formatColumns="1" deleteColumns="1" insertColumns="1" pivotTables="1" deleteRows="1" formatCells="1" saltValue="LuwufcngoiEOnDrj6dOPZg==" formatRows="1" sort="1" spinCount="100000" hashValue="5FObuCWl3wnJJwPKX/KbOR7ykInoA6v6NGSrQ7x9w6UdO/5Wov+MDsHdFeDS2tj8ZHPsLvapwOE5Ix26+RaKAw=="/>
  <mergeCells count="1">
    <mergeCell ref="A1:L1"/>
  </mergeCells>
  <dataValidations disablePrompts="1" count="2">
    <dataValidation sqref="E3:E209" showDropDown="0" showInputMessage="1" showErrorMessage="1" allowBlank="1" promptTitle="Ressources type" prompt="Make your choice" type="list">
      <formula1>" Equipment,Infrastructures,Other assets"</formula1>
    </dataValidation>
    <dataValidation sqref="G3" showDropDown="0" showInputMessage="1" showErrorMessage="1" allowBlank="1" type="date">
      <formula1>1</formula1>
      <formula2>73415</formula2>
    </dataValidation>
  </dataValidations>
  <pageMargins left="0.25" right="0.25" top="0.75" bottom="0.75" header="0.3" footer="0.3"/>
  <pageSetup orientation="landscape" paperSize="9" scale="60" fitToHeight="0"/>
</worksheet>
</file>

<file path=xl/worksheets/sheet16.xml><?xml version="1.0" encoding="utf-8"?>
<worksheet xmlns="http://schemas.openxmlformats.org/spreadsheetml/2006/main">
  <sheetPr codeName="Sheet110">
    <tabColor theme="6" tint="0.5999938962981048"/>
    <outlinePr summaryBelow="1" summaryRight="1"/>
    <pageSetUpPr fitToPage="1"/>
  </sheetPr>
  <dimension ref="A1:K111"/>
  <sheetViews>
    <sheetView workbookViewId="0">
      <pane ySplit="2" topLeftCell="A3" activePane="bottomLeft" state="frozenSplit"/>
      <selection pane="bottomLeft" activeCell="A3" sqref="A3"/>
      <selection activeCell="B7" sqref="B7"/>
    </sheetView>
  </sheetViews>
  <sheetFormatPr baseColWidth="8" defaultColWidth="8.7109375" defaultRowHeight="14.45"/>
  <cols>
    <col width="7.7109375" customWidth="1" style="45" min="1" max="1"/>
    <col width="14.7109375" customWidth="1" style="35" min="2" max="3"/>
    <col width="75.7109375" customWidth="1" style="35" min="4" max="4"/>
  </cols>
  <sheetData>
    <row r="1" ht="21" customFormat="1" customHeight="1" s="45">
      <c r="A1" s="307" t="inlineStr">
        <is>
          <t>Any comments</t>
        </is>
      </c>
      <c r="B1" s="386" t="n"/>
      <c r="C1" s="386" t="n"/>
      <c r="D1" s="387" t="n"/>
      <c r="E1" s="240" t="n"/>
      <c r="F1" s="240" t="n"/>
      <c r="G1" s="240" t="n"/>
      <c r="H1" s="240" t="n"/>
      <c r="I1" s="240" t="n"/>
      <c r="J1" s="240" t="n"/>
      <c r="K1" s="240" t="n"/>
    </row>
    <row r="2" ht="15" customFormat="1" customHeight="1" s="61" thickBot="1">
      <c r="A2" s="236" t="inlineStr">
        <is>
          <t>nr</t>
        </is>
      </c>
      <c r="B2" s="237" t="inlineStr">
        <is>
          <t>BE ref</t>
        </is>
      </c>
      <c r="C2" s="238" t="inlineStr">
        <is>
          <t>WP ref</t>
        </is>
      </c>
      <c r="D2" s="239" t="inlineStr">
        <is>
          <t>Comments</t>
        </is>
      </c>
    </row>
    <row r="3">
      <c r="A3" s="241" t="n">
        <v>1</v>
      </c>
      <c r="B3" s="65" t="inlineStr">
        <is>
          <t>BE2</t>
        </is>
      </c>
      <c r="C3" s="65" t="inlineStr">
        <is>
          <t>all</t>
        </is>
      </c>
      <c r="D3" s="65" t="inlineStr">
        <is>
          <t>Sunlit Sea equipment costs (torque sensors under WP3; multi-sensor condition monitoring under WP6; PV modules and production tooling under WP4) are declared as full capitalised costs, not depreciation. The assets are dedicated to the project build and monitoring campaign and are not reused outside the project duration. The Depreciation costs sheet therefore contains no Sunlit Sea rows.</t>
        </is>
      </c>
    </row>
    <row r="4">
      <c r="A4" s="241" t="n"/>
      <c r="B4" s="65" t="n"/>
      <c r="C4" s="65" t="n"/>
      <c r="D4" s="66" t="n"/>
    </row>
    <row r="5">
      <c r="A5" s="241" t="n"/>
      <c r="B5" s="65" t="n"/>
      <c r="C5" s="65" t="n"/>
      <c r="D5" s="66" t="n"/>
    </row>
    <row r="6">
      <c r="A6" s="241" t="n"/>
      <c r="B6" s="65" t="n"/>
      <c r="C6" s="65" t="n"/>
      <c r="D6" s="66" t="n"/>
    </row>
    <row r="7">
      <c r="A7" s="241" t="n"/>
      <c r="B7" s="65" t="n"/>
      <c r="C7" s="65" t="n"/>
      <c r="D7" s="66" t="n"/>
    </row>
    <row r="8">
      <c r="A8" s="241" t="n"/>
      <c r="B8" s="65" t="n"/>
      <c r="C8" s="65" t="n"/>
      <c r="D8" s="66" t="n"/>
    </row>
    <row r="9">
      <c r="A9" s="241" t="n"/>
      <c r="B9" s="65" t="n"/>
      <c r="C9" s="65" t="n"/>
      <c r="D9" s="66" t="n"/>
    </row>
    <row r="10">
      <c r="A10" s="241" t="n"/>
      <c r="B10" s="65" t="n"/>
      <c r="C10" s="65" t="n"/>
      <c r="D10" s="66" t="n"/>
    </row>
    <row r="11">
      <c r="A11" s="241" t="n"/>
      <c r="B11" s="65" t="n"/>
      <c r="C11" s="65" t="n"/>
      <c r="D11" s="66" t="n"/>
    </row>
    <row r="12">
      <c r="A12" s="241" t="n"/>
      <c r="B12" s="65" t="n"/>
      <c r="C12" s="65" t="n"/>
      <c r="D12" s="66" t="n"/>
    </row>
    <row r="13">
      <c r="A13" s="241" t="n"/>
      <c r="B13" s="65" t="n"/>
      <c r="C13" s="65" t="n"/>
      <c r="D13" s="66" t="n"/>
    </row>
    <row r="14">
      <c r="A14" s="241" t="n"/>
      <c r="B14" s="65" t="n"/>
      <c r="C14" s="65" t="n"/>
      <c r="D14" s="66" t="n"/>
    </row>
    <row r="15">
      <c r="A15" s="241" t="n"/>
      <c r="B15" s="65" t="n"/>
      <c r="C15" s="65" t="n"/>
      <c r="D15" s="66" t="n"/>
    </row>
    <row r="16">
      <c r="A16" s="241" t="n"/>
      <c r="B16" s="65" t="n"/>
      <c r="C16" s="65" t="n"/>
      <c r="D16" s="66" t="n"/>
    </row>
    <row r="17">
      <c r="A17" s="241" t="n"/>
      <c r="B17" s="65" t="n"/>
      <c r="C17" s="65" t="n"/>
      <c r="D17" s="66" t="n"/>
    </row>
    <row r="18">
      <c r="A18" s="241" t="n"/>
      <c r="B18" s="65" t="n"/>
      <c r="C18" s="65" t="n"/>
      <c r="D18" s="66" t="n"/>
    </row>
    <row r="19">
      <c r="A19" s="241" t="n"/>
      <c r="B19" s="65" t="n"/>
      <c r="C19" s="65" t="n"/>
      <c r="D19" s="66" t="n"/>
    </row>
    <row r="20">
      <c r="A20" s="241" t="n"/>
      <c r="B20" s="65" t="n"/>
      <c r="C20" s="65" t="n"/>
      <c r="D20" s="66" t="n"/>
    </row>
    <row r="21">
      <c r="A21" s="241" t="n"/>
      <c r="B21" s="65" t="n"/>
      <c r="C21" s="65" t="n"/>
      <c r="D21" s="66" t="n"/>
    </row>
    <row r="22">
      <c r="A22" s="241" t="n"/>
      <c r="B22" s="65" t="n"/>
      <c r="C22" s="65" t="n"/>
      <c r="D22" s="66" t="n"/>
    </row>
    <row r="23">
      <c r="A23" s="241" t="n"/>
      <c r="B23" s="65" t="n"/>
      <c r="C23" s="65" t="n"/>
      <c r="D23" s="66" t="n"/>
    </row>
    <row r="24">
      <c r="A24" s="241" t="n"/>
      <c r="B24" s="65" t="n"/>
      <c r="C24" s="65" t="n"/>
      <c r="D24" s="66" t="n"/>
    </row>
    <row r="25">
      <c r="A25" s="241" t="n"/>
      <c r="B25" s="65" t="n"/>
      <c r="C25" s="65" t="n"/>
      <c r="D25" s="66" t="n"/>
    </row>
    <row r="26">
      <c r="A26" s="241" t="n"/>
      <c r="B26" s="65" t="n"/>
      <c r="C26" s="65" t="n"/>
      <c r="D26" s="66" t="n"/>
    </row>
    <row r="27">
      <c r="A27" s="241" t="n"/>
      <c r="B27" s="65" t="n"/>
      <c r="C27" s="65" t="n"/>
      <c r="D27" s="66" t="n"/>
    </row>
    <row r="28">
      <c r="A28" s="241" t="n"/>
      <c r="B28" s="65" t="n"/>
      <c r="C28" s="65" t="n"/>
      <c r="D28" s="66" t="n"/>
    </row>
    <row r="29">
      <c r="A29" s="241" t="n"/>
      <c r="B29" s="65" t="n"/>
      <c r="C29" s="65" t="n"/>
      <c r="D29" s="66" t="n"/>
    </row>
    <row r="30">
      <c r="A30" s="241" t="n"/>
      <c r="B30" s="65" t="n"/>
      <c r="C30" s="65" t="n"/>
      <c r="D30" s="66" t="n"/>
    </row>
    <row r="31">
      <c r="A31" s="241" t="n"/>
      <c r="B31" s="65" t="n"/>
      <c r="C31" s="65" t="n"/>
      <c r="D31" s="66" t="n"/>
    </row>
    <row r="32">
      <c r="A32" s="241" t="n"/>
      <c r="B32" s="65" t="n"/>
      <c r="C32" s="65" t="n"/>
      <c r="D32" s="66" t="n"/>
    </row>
    <row r="33">
      <c r="A33" s="241" t="n"/>
      <c r="B33" s="65" t="n"/>
      <c r="C33" s="65" t="n"/>
      <c r="D33" s="66" t="n"/>
    </row>
    <row r="34">
      <c r="A34" s="241" t="n"/>
      <c r="B34" s="65" t="n"/>
      <c r="C34" s="65" t="n"/>
      <c r="D34" s="66" t="n"/>
    </row>
    <row r="35">
      <c r="A35" s="241" t="n"/>
      <c r="B35" s="65" t="n"/>
      <c r="C35" s="65" t="n"/>
      <c r="D35" s="66" t="n"/>
    </row>
    <row r="36">
      <c r="A36" s="241" t="n"/>
      <c r="B36" s="65" t="n"/>
      <c r="C36" s="65" t="n"/>
      <c r="D36" s="66" t="n"/>
    </row>
    <row r="37">
      <c r="A37" s="241" t="n"/>
      <c r="B37" s="65" t="n"/>
      <c r="C37" s="65" t="n"/>
      <c r="D37" s="66" t="n"/>
    </row>
    <row r="38">
      <c r="A38" s="241" t="n"/>
      <c r="B38" s="65" t="n"/>
      <c r="C38" s="65" t="n"/>
      <c r="D38" s="66" t="n"/>
    </row>
    <row r="39">
      <c r="A39" s="241" t="n"/>
      <c r="B39" s="65" t="n"/>
      <c r="C39" s="65" t="n"/>
      <c r="D39" s="66" t="n"/>
    </row>
    <row r="40">
      <c r="A40" s="241" t="n"/>
      <c r="B40" s="65" t="n"/>
      <c r="C40" s="65" t="n"/>
      <c r="D40" s="66" t="n"/>
    </row>
    <row r="41">
      <c r="A41" s="241" t="n"/>
      <c r="B41" s="65" t="n"/>
      <c r="C41" s="65" t="n"/>
      <c r="D41" s="66" t="n"/>
    </row>
    <row r="42">
      <c r="A42" s="241" t="n"/>
      <c r="B42" s="65" t="n"/>
      <c r="C42" s="65" t="n"/>
      <c r="D42" s="66" t="n"/>
    </row>
    <row r="43">
      <c r="A43" s="241" t="n"/>
      <c r="B43" s="65" t="n"/>
      <c r="C43" s="65" t="n"/>
      <c r="D43" s="66" t="n"/>
    </row>
    <row r="44">
      <c r="A44" s="241" t="n"/>
      <c r="B44" s="65" t="n"/>
      <c r="C44" s="65" t="n"/>
      <c r="D44" s="66" t="n"/>
    </row>
    <row r="45">
      <c r="A45" s="241" t="n"/>
      <c r="B45" s="65" t="n"/>
      <c r="C45" s="65" t="n"/>
      <c r="D45" s="66" t="n"/>
    </row>
    <row r="46">
      <c r="A46" s="241" t="n"/>
      <c r="B46" s="65" t="n"/>
      <c r="C46" s="65" t="n"/>
      <c r="D46" s="66" t="n"/>
    </row>
    <row r="47">
      <c r="A47" s="241" t="n"/>
      <c r="B47" s="65" t="n"/>
      <c r="C47" s="65" t="n"/>
      <c r="D47" s="66" t="n"/>
    </row>
    <row r="48">
      <c r="A48" s="241" t="n"/>
      <c r="B48" s="65" t="n"/>
      <c r="C48" s="65" t="n"/>
      <c r="D48" s="66" t="n"/>
    </row>
    <row r="49">
      <c r="A49" s="241" t="n"/>
      <c r="B49" s="65" t="n"/>
      <c r="C49" s="65" t="n"/>
      <c r="D49" s="66" t="n"/>
    </row>
    <row r="50">
      <c r="A50" s="241" t="n"/>
      <c r="B50" s="65" t="n"/>
      <c r="C50" s="65" t="n"/>
      <c r="D50" s="66" t="n"/>
    </row>
    <row r="51">
      <c r="A51" s="241" t="n"/>
      <c r="B51" s="65" t="n"/>
      <c r="C51" s="65" t="n"/>
      <c r="D51" s="66" t="n"/>
    </row>
    <row r="52">
      <c r="A52" s="241" t="n"/>
      <c r="B52" s="65" t="n"/>
      <c r="C52" s="65" t="n"/>
      <c r="D52" s="66" t="n"/>
    </row>
    <row r="53">
      <c r="A53" s="241" t="n"/>
      <c r="B53" s="65" t="n"/>
      <c r="C53" s="65" t="n"/>
      <c r="D53" s="66" t="n"/>
    </row>
    <row r="54">
      <c r="A54" s="241" t="n"/>
      <c r="B54" s="65" t="n"/>
      <c r="C54" s="65" t="n"/>
      <c r="D54" s="66" t="n"/>
    </row>
    <row r="55">
      <c r="A55" s="241" t="n"/>
      <c r="B55" s="65" t="n"/>
      <c r="C55" s="65" t="n"/>
      <c r="D55" s="66" t="n"/>
    </row>
    <row r="56">
      <c r="A56" s="241" t="n"/>
      <c r="B56" s="65" t="n"/>
      <c r="C56" s="65" t="n"/>
      <c r="D56" s="66" t="n"/>
    </row>
    <row r="57">
      <c r="A57" s="241" t="n"/>
      <c r="B57" s="65" t="n"/>
      <c r="C57" s="65" t="n"/>
      <c r="D57" s="66" t="n"/>
    </row>
    <row r="58">
      <c r="A58" s="241" t="n"/>
      <c r="B58" s="65" t="n"/>
      <c r="C58" s="65" t="n"/>
      <c r="D58" s="66" t="n"/>
    </row>
    <row r="59">
      <c r="A59" s="241" t="n"/>
      <c r="B59" s="65" t="n"/>
      <c r="C59" s="65" t="n"/>
      <c r="D59" s="66" t="n"/>
    </row>
    <row r="60">
      <c r="A60" s="241" t="n"/>
      <c r="B60" s="65" t="n"/>
      <c r="C60" s="65" t="n"/>
      <c r="D60" s="66" t="n"/>
    </row>
    <row r="61">
      <c r="A61" s="241" t="n"/>
      <c r="B61" s="65" t="n"/>
      <c r="C61" s="65" t="n"/>
      <c r="D61" s="66" t="n"/>
    </row>
    <row r="62">
      <c r="A62" s="241" t="n"/>
      <c r="B62" s="65" t="n"/>
      <c r="C62" s="65" t="n"/>
      <c r="D62" s="66" t="n"/>
    </row>
    <row r="63">
      <c r="A63" s="241" t="n"/>
      <c r="B63" s="65" t="n"/>
      <c r="C63" s="65" t="n"/>
      <c r="D63" s="66" t="n"/>
    </row>
    <row r="64">
      <c r="A64" s="241" t="n"/>
      <c r="B64" s="65" t="n"/>
      <c r="C64" s="65" t="n"/>
      <c r="D64" s="66" t="n"/>
    </row>
    <row r="65">
      <c r="A65" s="241" t="n"/>
      <c r="B65" s="65" t="n"/>
      <c r="C65" s="65" t="n"/>
      <c r="D65" s="66" t="n"/>
    </row>
    <row r="66">
      <c r="A66" s="241" t="n"/>
      <c r="B66" s="65" t="n"/>
      <c r="C66" s="65" t="n"/>
      <c r="D66" s="66" t="n"/>
    </row>
    <row r="67">
      <c r="A67" s="241" t="n"/>
      <c r="B67" s="65" t="n"/>
      <c r="C67" s="65" t="n"/>
      <c r="D67" s="66" t="n"/>
    </row>
    <row r="68">
      <c r="A68" s="241" t="n"/>
      <c r="B68" s="65" t="n"/>
      <c r="C68" s="65" t="n"/>
      <c r="D68" s="66" t="n"/>
    </row>
    <row r="69">
      <c r="A69" s="241" t="n"/>
      <c r="B69" s="65" t="n"/>
      <c r="C69" s="65" t="n"/>
      <c r="D69" s="66" t="n"/>
    </row>
    <row r="70">
      <c r="A70" s="241" t="n"/>
      <c r="B70" s="65" t="n"/>
      <c r="C70" s="65" t="n"/>
      <c r="D70" s="66" t="n"/>
    </row>
    <row r="71">
      <c r="A71" s="241" t="n"/>
      <c r="B71" s="65" t="n"/>
      <c r="C71" s="65" t="n"/>
      <c r="D71" s="66" t="n"/>
    </row>
    <row r="72">
      <c r="A72" s="241" t="n"/>
      <c r="B72" s="65" t="n"/>
      <c r="C72" s="65" t="n"/>
      <c r="D72" s="66" t="n"/>
    </row>
    <row r="73">
      <c r="A73" s="241" t="n"/>
      <c r="B73" s="65" t="n"/>
      <c r="C73" s="65" t="n"/>
      <c r="D73" s="66" t="n"/>
    </row>
    <row r="74">
      <c r="A74" s="241" t="n"/>
      <c r="B74" s="65" t="n"/>
      <c r="C74" s="65" t="n"/>
      <c r="D74" s="66" t="n"/>
    </row>
    <row r="75">
      <c r="A75" s="241" t="n"/>
      <c r="B75" s="65" t="n"/>
      <c r="C75" s="65" t="n"/>
      <c r="D75" s="66" t="n"/>
    </row>
    <row r="76">
      <c r="A76" s="241" t="n"/>
      <c r="B76" s="65" t="n"/>
      <c r="C76" s="65" t="n"/>
      <c r="D76" s="66" t="n"/>
    </row>
    <row r="77">
      <c r="A77" s="241" t="n"/>
      <c r="B77" s="65" t="n"/>
      <c r="C77" s="65" t="n"/>
      <c r="D77" s="66" t="n"/>
    </row>
    <row r="78">
      <c r="A78" s="241" t="n"/>
      <c r="B78" s="65" t="n"/>
      <c r="C78" s="65" t="n"/>
      <c r="D78" s="66" t="n"/>
    </row>
    <row r="79">
      <c r="A79" s="241" t="n"/>
      <c r="B79" s="65" t="n"/>
      <c r="C79" s="65" t="n"/>
      <c r="D79" s="66" t="n"/>
    </row>
    <row r="80">
      <c r="A80" s="241" t="n"/>
      <c r="B80" s="65" t="n"/>
      <c r="C80" s="65" t="n"/>
      <c r="D80" s="66" t="n"/>
    </row>
    <row r="81">
      <c r="A81" s="241" t="n"/>
      <c r="B81" s="65" t="n"/>
      <c r="C81" s="65" t="n"/>
      <c r="D81" s="66" t="n"/>
    </row>
    <row r="82">
      <c r="A82" s="241" t="n"/>
      <c r="B82" s="65" t="n"/>
      <c r="C82" s="65" t="n"/>
      <c r="D82" s="66" t="n"/>
    </row>
    <row r="83">
      <c r="A83" s="241" t="n"/>
      <c r="B83" s="65" t="n"/>
      <c r="C83" s="65" t="n"/>
      <c r="D83" s="66" t="n"/>
    </row>
    <row r="84">
      <c r="A84" s="241" t="n"/>
      <c r="B84" s="65" t="n"/>
      <c r="C84" s="65" t="n"/>
      <c r="D84" s="66" t="n"/>
    </row>
    <row r="85">
      <c r="A85" s="241" t="n"/>
      <c r="B85" s="65" t="n"/>
      <c r="C85" s="65" t="n"/>
      <c r="D85" s="66" t="n"/>
    </row>
    <row r="86">
      <c r="A86" s="241" t="n"/>
      <c r="B86" s="65" t="n"/>
      <c r="C86" s="65" t="n"/>
      <c r="D86" s="66" t="n"/>
    </row>
    <row r="87">
      <c r="A87" s="241" t="n"/>
      <c r="B87" s="65" t="n"/>
      <c r="C87" s="65" t="n"/>
      <c r="D87" s="66" t="n"/>
    </row>
    <row r="88">
      <c r="A88" s="241" t="n"/>
      <c r="B88" s="65" t="n"/>
      <c r="C88" s="65" t="n"/>
      <c r="D88" s="66" t="n"/>
    </row>
    <row r="89">
      <c r="A89" s="241" t="n"/>
      <c r="B89" s="65" t="n"/>
      <c r="C89" s="65" t="n"/>
      <c r="D89" s="66" t="n"/>
    </row>
    <row r="90">
      <c r="A90" s="241" t="n"/>
      <c r="B90" s="65" t="n"/>
      <c r="C90" s="65" t="n"/>
      <c r="D90" s="66" t="n"/>
    </row>
    <row r="91">
      <c r="A91" s="241" t="n"/>
      <c r="B91" s="65" t="n"/>
      <c r="C91" s="65" t="n"/>
      <c r="D91" s="66" t="n"/>
    </row>
    <row r="92">
      <c r="A92" s="241" t="n"/>
      <c r="B92" s="65" t="n"/>
      <c r="C92" s="65" t="n"/>
      <c r="D92" s="66" t="n"/>
    </row>
    <row r="93">
      <c r="A93" s="241" t="n"/>
      <c r="B93" s="65" t="n"/>
      <c r="C93" s="65" t="n"/>
      <c r="D93" s="66" t="n"/>
    </row>
    <row r="94">
      <c r="A94" s="241" t="n"/>
      <c r="B94" s="65" t="n"/>
      <c r="C94" s="65" t="n"/>
      <c r="D94" s="66" t="n"/>
    </row>
    <row r="95">
      <c r="A95" s="241" t="n"/>
      <c r="B95" s="65" t="n"/>
      <c r="C95" s="65" t="n"/>
      <c r="D95" s="66" t="n"/>
    </row>
    <row r="96">
      <c r="A96" s="241" t="n"/>
      <c r="B96" s="65" t="n"/>
      <c r="C96" s="65" t="n"/>
      <c r="D96" s="66" t="n"/>
    </row>
    <row r="97">
      <c r="A97" s="241" t="n"/>
      <c r="B97" s="65" t="n"/>
      <c r="C97" s="65" t="n"/>
      <c r="D97" s="66" t="n"/>
    </row>
    <row r="98">
      <c r="A98" s="241" t="n"/>
      <c r="B98" s="65" t="n"/>
      <c r="C98" s="65" t="n"/>
      <c r="D98" s="66" t="n"/>
    </row>
    <row r="99">
      <c r="A99" s="241" t="n"/>
      <c r="B99" s="65" t="n"/>
      <c r="C99" s="65" t="n"/>
      <c r="D99" s="66" t="n"/>
    </row>
    <row r="100">
      <c r="A100" s="241" t="n"/>
      <c r="B100" s="65" t="n"/>
      <c r="C100" s="65" t="n"/>
      <c r="D100" s="66" t="n"/>
    </row>
    <row r="101">
      <c r="A101" s="241" t="n"/>
      <c r="B101" s="65" t="n"/>
      <c r="C101" s="65" t="n"/>
      <c r="D101" s="66" t="n"/>
    </row>
    <row r="102">
      <c r="A102" s="241" t="n"/>
      <c r="B102" s="65" t="n"/>
      <c r="C102" s="65" t="n"/>
      <c r="D102" s="66" t="n"/>
    </row>
    <row r="103">
      <c r="A103" s="241" t="n"/>
      <c r="B103" s="65" t="n"/>
      <c r="C103" s="65" t="n"/>
      <c r="D103" s="66" t="n"/>
    </row>
    <row r="104">
      <c r="A104" s="241" t="n"/>
      <c r="B104" s="65" t="n"/>
      <c r="C104" s="65" t="n"/>
      <c r="D104" s="66" t="n"/>
    </row>
    <row r="105">
      <c r="A105" s="241" t="n"/>
      <c r="B105" s="65" t="n"/>
      <c r="C105" s="65" t="n"/>
      <c r="D105" s="66" t="n"/>
    </row>
    <row r="106">
      <c r="A106" s="241" t="n"/>
      <c r="B106" s="65" t="n"/>
      <c r="C106" s="65" t="n"/>
      <c r="D106" s="66" t="n"/>
    </row>
    <row r="107">
      <c r="A107" s="241" t="n"/>
      <c r="B107" s="65" t="n"/>
      <c r="C107" s="65" t="n"/>
      <c r="D107" s="66" t="n"/>
    </row>
    <row r="108">
      <c r="A108" s="241" t="n"/>
      <c r="B108" s="65" t="n"/>
      <c r="C108" s="65" t="n"/>
      <c r="D108" s="66" t="n"/>
    </row>
    <row r="109">
      <c r="A109" s="241" t="n"/>
      <c r="B109" s="65" t="n"/>
      <c r="C109" s="65" t="n"/>
      <c r="D109" s="66" t="n"/>
    </row>
    <row r="110">
      <c r="A110" s="241" t="n"/>
      <c r="B110" s="65" t="n"/>
      <c r="C110" s="65" t="n"/>
      <c r="D110" s="66" t="n"/>
    </row>
    <row r="111">
      <c r="A111" s="241" t="n"/>
      <c r="B111" s="65" t="n"/>
      <c r="C111" s="65" t="n"/>
      <c r="D111" s="66" t="n"/>
    </row>
  </sheetData>
  <sheetProtection selectLockedCells="1" selectUnlockedCells="0" algorithmName="SHA-512" sheet="1" objects="0" insertRows="1" insertHyperlinks="1" autoFilter="1" scenarios="0" formatColumns="1" deleteColumns="1" insertColumns="1" pivotTables="1" deleteRows="1" formatCells="1" saltValue="PidzV3l4DDZltbm+okuUDA==" formatRows="1" sort="1" spinCount="100000" hashValue="CuJjnmz5prxO85Ep0H98xyMAj2NZ/yemnGVg1bBVMNe7ePqX2dNWLYwpc0WFmX4/b+WFcKwKveX/Dr4mcdFKzg=="/>
  <mergeCells count="1">
    <mergeCell ref="A1:D1"/>
  </mergeCells>
  <pageMargins left="0.25" right="0.25" top="0.75" bottom="0.75" header="0.3" footer="0.3"/>
  <pageSetup orientation="portrait" paperSize="9" fitToHeight="0"/>
</worksheet>
</file>

<file path=xl/worksheets/sheet17.xml><?xml version="1.0" encoding="utf-8"?>
<worksheet xmlns="http://schemas.openxmlformats.org/spreadsheetml/2006/main">
  <sheetPr>
    <tabColor rgb="FFFF0000"/>
    <outlinePr summaryBelow="1" summaryRight="1"/>
    <pageSetUpPr/>
  </sheetPr>
  <dimension ref="A1:D658"/>
  <sheetViews>
    <sheetView zoomScale="80" zoomScaleNormal="80" workbookViewId="0">
      <pane xSplit="1" ySplit="3" topLeftCell="B4" activePane="bottomRight" state="frozenSplit"/>
      <selection pane="bottomRight" activeCell="A3" sqref="A3"/>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BE9 - BUDGET SHEET</t>
        </is>
      </c>
      <c r="B1" s="33" t="n"/>
      <c r="C1" s="242" t="inlineStr">
        <is>
          <t>View Summary</t>
        </is>
      </c>
      <c r="D1" s="34" t="n"/>
    </row>
    <row r="2" ht="18.6" customHeight="1">
      <c r="A2" s="262" t="inlineStr">
        <is>
          <t>12e70983-f630-4472-8ee6-9c6b5c2622f5</t>
        </is>
      </c>
      <c r="B2" s="273" t="inlineStr">
        <is>
          <t>Pangeanic</t>
        </is>
      </c>
      <c r="C2" s="314" t="n"/>
      <c r="D2" s="315" t="n"/>
    </row>
    <row r="3" ht="18.6" customHeight="1">
      <c r="A3" s="263"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272">
        <f>CONCATENATE("COSTS WORK PACKAGE 1:"," ","Project management and coordination")</f>
        <v/>
      </c>
      <c r="B5" s="314" t="n"/>
      <c r="C5" s="314" t="n"/>
      <c r="D5" s="315" t="n"/>
    </row>
    <row r="6">
      <c r="A6" s="182" t="n"/>
      <c r="B6" s="191" t="n"/>
      <c r="C6" s="192" t="n"/>
      <c r="D6" s="191" t="n"/>
    </row>
    <row r="7">
      <c r="A7" s="29" t="inlineStr">
        <is>
          <t>A. DIRECT PERSONNEL COSTS</t>
        </is>
      </c>
      <c r="B7" s="30" t="n"/>
      <c r="C7" s="110" t="n"/>
      <c r="D7" s="354" t="n"/>
    </row>
    <row r="8">
      <c r="A8" s="28" t="inlineStr">
        <is>
          <t>A.1 Employees (or equivalent)</t>
        </is>
      </c>
      <c r="B8" s="89" t="n"/>
      <c r="C8" s="111" t="n"/>
      <c r="D8" s="355" t="n"/>
    </row>
    <row r="9">
      <c r="A9" s="48" t="inlineStr">
        <is>
          <t>SENIOR SCIENTISTS (or equivalent in the private sector)</t>
        </is>
      </c>
      <c r="B9" s="357" t="n"/>
      <c r="C9" s="248" t="n"/>
      <c r="D9" s="232">
        <f>B9*C9</f>
        <v/>
      </c>
    </row>
    <row r="10">
      <c r="A10" s="48" t="inlineStr">
        <is>
          <t>JUNIOR SCIENTISTS (or equivalent in the private sector)</t>
        </is>
      </c>
      <c r="B10" s="357" t="n"/>
      <c r="C10" s="248" t="n"/>
      <c r="D10" s="232">
        <f>B10*C10</f>
        <v/>
      </c>
    </row>
    <row r="11">
      <c r="A11" s="48" t="inlineStr">
        <is>
          <t>TECHNICAL PERSONNEL (or equivalent in the private sector)</t>
        </is>
      </c>
      <c r="B11" s="357" t="n"/>
      <c r="C11" s="248" t="n"/>
      <c r="D11" s="232">
        <f>B11*C11</f>
        <v/>
      </c>
    </row>
    <row r="12">
      <c r="A12" s="48" t="inlineStr">
        <is>
          <t>ADMINISTRATIVE PERSONNEL (or equivalent in the private sector)</t>
        </is>
      </c>
      <c r="B12" s="357" t="n"/>
      <c r="C12" s="248" t="n"/>
      <c r="D12" s="232">
        <f>B12*C12</f>
        <v/>
      </c>
    </row>
    <row r="13">
      <c r="A13" s="48" t="inlineStr">
        <is>
          <t>OTHERS</t>
        </is>
      </c>
      <c r="B13" s="357" t="n"/>
      <c r="C13" s="248" t="n"/>
      <c r="D13" s="232">
        <f>B13*C13</f>
        <v/>
      </c>
    </row>
    <row r="14">
      <c r="A14" s="28" t="inlineStr">
        <is>
          <t>A.2 Natural Persons under direct contract</t>
        </is>
      </c>
      <c r="B14" s="357" t="n"/>
      <c r="C14" s="248" t="n"/>
      <c r="D14" s="232">
        <f>B14*C14</f>
        <v/>
      </c>
    </row>
    <row r="15">
      <c r="A15" s="28" t="inlineStr">
        <is>
          <t>A.3 Seconded Persons</t>
        </is>
      </c>
      <c r="B15" s="357" t="n"/>
      <c r="C15" s="248" t="n"/>
      <c r="D15" s="232">
        <f>B15*C15</f>
        <v/>
      </c>
    </row>
    <row r="16">
      <c r="A16" s="28" t="inlineStr">
        <is>
          <t>A.4 SME owners and natural person beneficiaries</t>
        </is>
      </c>
      <c r="B16" s="357" t="n"/>
      <c r="C16" s="256" t="n">
        <v>8360.6024</v>
      </c>
      <c r="D16" s="232">
        <f>B16*C16</f>
        <v/>
      </c>
    </row>
    <row r="17">
      <c r="A17" s="29" t="inlineStr">
        <is>
          <t>B. DIRECT SUBCONTRACTING COSTS</t>
        </is>
      </c>
      <c r="B17" s="358" t="n"/>
      <c r="C17" s="110" t="n"/>
      <c r="D17" s="359" t="n"/>
    </row>
    <row r="18">
      <c r="A18" s="53" t="n"/>
      <c r="B18" s="357" t="n"/>
      <c r="C18" s="248" t="n"/>
      <c r="D18" s="361">
        <f>B18*C18</f>
        <v/>
      </c>
    </row>
    <row r="19">
      <c r="A19" s="29" t="inlineStr">
        <is>
          <t>C. DIRECT PURCHASE COSTS</t>
        </is>
      </c>
      <c r="B19" s="358" t="n"/>
      <c r="C19" s="110" t="n"/>
      <c r="D19" s="359" t="n"/>
    </row>
    <row r="20">
      <c r="A20" s="28" t="inlineStr">
        <is>
          <t>C.1 Travel and subsistence</t>
        </is>
      </c>
      <c r="B20" s="357" t="n"/>
      <c r="C20" s="248" t="n"/>
      <c r="D20" s="361">
        <f>B20*C20</f>
        <v/>
      </c>
    </row>
    <row r="21">
      <c r="A21" s="28" t="inlineStr">
        <is>
          <t>C.2 Equipment (complete 'Depreciation costs' sheet)</t>
        </is>
      </c>
      <c r="B21" s="346" t="n"/>
      <c r="C21" s="111" t="n"/>
      <c r="D21" s="364" t="n"/>
    </row>
    <row r="22">
      <c r="A22" s="49" t="inlineStr">
        <is>
          <t>Equipment</t>
        </is>
      </c>
      <c r="B22" s="357" t="n"/>
      <c r="C22" s="248" t="n"/>
      <c r="D22" s="361">
        <f>B22*C22</f>
        <v/>
      </c>
    </row>
    <row r="23">
      <c r="A23" s="49" t="inlineStr">
        <is>
          <t>Infrastructure</t>
        </is>
      </c>
      <c r="B23" s="357" t="n"/>
      <c r="C23" s="248" t="n"/>
      <c r="D23" s="361">
        <f>B23*C23</f>
        <v/>
      </c>
    </row>
    <row r="24">
      <c r="A24" s="49" t="inlineStr">
        <is>
          <t>Other assets</t>
        </is>
      </c>
      <c r="B24" s="357" t="n"/>
      <c r="C24" s="248" t="n"/>
      <c r="D24" s="361">
        <f>B24*C24</f>
        <v/>
      </c>
    </row>
    <row r="25">
      <c r="A25" s="28" t="inlineStr">
        <is>
          <t>C.3 Other goods, works and services</t>
        </is>
      </c>
      <c r="B25" s="346" t="n"/>
      <c r="C25" s="111" t="n"/>
      <c r="D25" s="364" t="n"/>
    </row>
    <row r="26">
      <c r="A26" s="49" t="inlineStr">
        <is>
          <t>Consumables</t>
        </is>
      </c>
      <c r="B26" s="357" t="n"/>
      <c r="C26" s="248" t="n"/>
      <c r="D26" s="361">
        <f>B26*C26</f>
        <v/>
      </c>
    </row>
    <row r="27">
      <c r="A27" s="49" t="inlineStr">
        <is>
          <t>Services for meetings, seminars</t>
        </is>
      </c>
      <c r="B27" s="357" t="n"/>
      <c r="C27" s="248" t="n"/>
      <c r="D27" s="361">
        <f>B27*C27</f>
        <v/>
      </c>
    </row>
    <row r="28">
      <c r="A28" s="49" t="inlineStr">
        <is>
          <t>Services for dissemination activities (including website)</t>
        </is>
      </c>
      <c r="B28" s="357" t="n"/>
      <c r="C28" s="248" t="n"/>
      <c r="D28" s="361">
        <f>B28*C28</f>
        <v/>
      </c>
    </row>
    <row r="29">
      <c r="A29" s="49" t="inlineStr">
        <is>
          <t>Publication fees</t>
        </is>
      </c>
      <c r="B29" s="357" t="n"/>
      <c r="C29" s="248" t="n"/>
      <c r="D29" s="361">
        <f>B29*C29</f>
        <v/>
      </c>
    </row>
    <row r="30">
      <c r="A30" s="49" t="inlineStr">
        <is>
          <t>Other (shipment, insurance, translation, etc.)</t>
        </is>
      </c>
      <c r="B30" s="357" t="n"/>
      <c r="C30" s="248" t="n"/>
      <c r="D30" s="361">
        <f>B30*C30</f>
        <v/>
      </c>
    </row>
    <row r="31">
      <c r="A31" s="29" t="inlineStr">
        <is>
          <t>D. OTHER COST CATEGORIES</t>
        </is>
      </c>
      <c r="B31" s="358" t="n"/>
      <c r="C31" s="110" t="n"/>
      <c r="D31" s="359" t="n"/>
    </row>
    <row r="32">
      <c r="A32" s="50" t="inlineStr">
        <is>
          <t>D.1 Financial support to third parties (if applicable in the topic specific conditions)</t>
        </is>
      </c>
      <c r="B32" s="357" t="n"/>
      <c r="C32" s="248" t="n"/>
      <c r="D32" s="361">
        <f>B32*C32</f>
        <v/>
      </c>
    </row>
    <row r="33">
      <c r="A33" s="50" t="inlineStr">
        <is>
          <t>D.2 Internally invoiced goods and services</t>
        </is>
      </c>
      <c r="B33" s="357" t="n"/>
      <c r="C33" s="248" t="n"/>
      <c r="D33" s="361">
        <f>B33*C33</f>
        <v/>
      </c>
    </row>
    <row r="34">
      <c r="A34" s="50" t="inlineStr">
        <is>
          <t>D.3 Transnational access to research infrastructure unit costs (if mentioned as eligible in the topic specific conditions)</t>
        </is>
      </c>
      <c r="B34" s="357" t="n"/>
      <c r="C34" s="248" t="n"/>
      <c r="D34" s="361">
        <f>B34*C34</f>
        <v/>
      </c>
    </row>
    <row r="35">
      <c r="A35" s="50" t="inlineStr">
        <is>
          <t>D.4 Virtual access to research infrastructure unit costs (if mentioned as eligible in the topic specific conditions)</t>
        </is>
      </c>
      <c r="B35" s="357" t="n"/>
      <c r="C35" s="248" t="n"/>
      <c r="D35" s="361">
        <f>B35*C35</f>
        <v/>
      </c>
    </row>
    <row r="36">
      <c r="A36" s="50" t="inlineStr">
        <is>
          <t>D.5 PCP/PPI procurement costs (if mentioned as eligible in the topic specific conditions)</t>
        </is>
      </c>
      <c r="B36" s="357" t="n"/>
      <c r="C36" s="248" t="n"/>
      <c r="D36" s="361">
        <f>B36*C36</f>
        <v/>
      </c>
    </row>
    <row r="37">
      <c r="A37" s="50" t="n"/>
      <c r="B37" s="346" t="n"/>
      <c r="C37" s="111" t="n"/>
      <c r="D37" s="365" t="n"/>
    </row>
    <row r="38">
      <c r="A38" s="52" t="inlineStr">
        <is>
          <t>TOTAL DIRECT PERSONNEL COSTS AND PURCHASE COSTS (A+C)</t>
        </is>
      </c>
      <c r="B38" s="369" t="n"/>
      <c r="C38" s="230" t="n"/>
      <c r="D38" s="360">
        <f>SUM(D9:D16,D20:D30)</f>
        <v/>
      </c>
    </row>
    <row r="39">
      <c r="A39" s="52" t="inlineStr">
        <is>
          <t>TOTAL DIRECT COSTS  (A+B+C+D)</t>
        </is>
      </c>
      <c r="B39" s="369" t="n"/>
      <c r="C39" s="230" t="n"/>
      <c r="D39" s="360">
        <f>SUM(D9:D36)</f>
        <v/>
      </c>
    </row>
    <row r="40">
      <c r="A40" s="180" t="n"/>
      <c r="B40" s="372" t="n"/>
      <c r="C40" s="176" t="n"/>
      <c r="D40" s="373" t="n"/>
    </row>
    <row r="41">
      <c r="A41" s="29" t="inlineStr">
        <is>
          <t>E. INDIRECT COSTS (25% * (A+C))</t>
        </is>
      </c>
      <c r="B41" s="358" t="n"/>
      <c r="C41" s="110" t="n"/>
      <c r="D41" s="360">
        <f>D38*0.25</f>
        <v/>
      </c>
    </row>
    <row r="42">
      <c r="A42" s="32" t="n"/>
      <c r="B42" s="372" t="n"/>
      <c r="C42" s="176" t="n"/>
      <c r="D42" s="377" t="n"/>
    </row>
    <row r="43">
      <c r="A43" s="29" t="inlineStr">
        <is>
          <t>F. TOTAL COSTS (A+B+C+D+E)</t>
        </is>
      </c>
      <c r="B43" s="369" t="n"/>
      <c r="C43" s="230" t="n"/>
      <c r="D43" s="360">
        <f>D39+D41</f>
        <v/>
      </c>
    </row>
    <row r="44">
      <c r="A44" s="182" t="n"/>
      <c r="B44" s="183" t="n"/>
      <c r="C44" s="184" t="n"/>
      <c r="D44" s="183" t="n"/>
    </row>
    <row r="45">
      <c r="A45" s="190" t="n"/>
      <c r="B45" s="185" t="n"/>
      <c r="C45" s="186" t="n"/>
      <c r="D45" s="187" t="n"/>
    </row>
    <row r="46" ht="21" customHeight="1">
      <c r="A46" s="272">
        <f>CONCATENATE("COSTS WORK PACKAGE 2:"," ","System definition and use case identification")</f>
        <v/>
      </c>
      <c r="B46" s="314" t="n"/>
      <c r="C46" s="314" t="n"/>
      <c r="D46" s="315" t="n"/>
    </row>
    <row r="47">
      <c r="A47" s="182" t="n"/>
      <c r="B47" s="191" t="n"/>
      <c r="C47" s="192" t="n"/>
      <c r="D47" s="191" t="n"/>
    </row>
    <row r="48">
      <c r="A48" s="29" t="inlineStr">
        <is>
          <t>A. DIRECT PERSONNEL COSTS</t>
        </is>
      </c>
      <c r="B48" s="30" t="n"/>
      <c r="C48" s="110" t="n"/>
      <c r="D48" s="354" t="n"/>
    </row>
    <row r="49">
      <c r="A49" s="28" t="inlineStr">
        <is>
          <t>A.1 Employees (or equivalent)</t>
        </is>
      </c>
      <c r="B49" s="89" t="n"/>
      <c r="C49" s="111" t="n"/>
      <c r="D49" s="355" t="n"/>
    </row>
    <row r="50">
      <c r="A50" s="48" t="inlineStr">
        <is>
          <t>SENIOR SCIENTISTS (or equivalent in the private sector)</t>
        </is>
      </c>
      <c r="B50" s="357" t="n"/>
      <c r="C50" s="248" t="n"/>
      <c r="D50" s="232">
        <f>B50*C50</f>
        <v/>
      </c>
    </row>
    <row r="51">
      <c r="A51" s="48" t="inlineStr">
        <is>
          <t>JUNIOR SCIENTISTS (or equivalent in the private sector)</t>
        </is>
      </c>
      <c r="B51" s="357" t="n"/>
      <c r="C51" s="248" t="n"/>
      <c r="D51" s="232">
        <f>B51*C51</f>
        <v/>
      </c>
    </row>
    <row r="52">
      <c r="A52" s="48" t="inlineStr">
        <is>
          <t>TECHNICAL PERSONNEL (or equivalent in the private sector)</t>
        </is>
      </c>
      <c r="B52" s="357" t="n"/>
      <c r="C52" s="248" t="n"/>
      <c r="D52" s="232">
        <f>B52*C52</f>
        <v/>
      </c>
    </row>
    <row r="53">
      <c r="A53" s="48" t="inlineStr">
        <is>
          <t>ADMINISTRATIVE PERSONNEL (or equivalent in the private sector)</t>
        </is>
      </c>
      <c r="B53" s="357" t="n"/>
      <c r="C53" s="248" t="n"/>
      <c r="D53" s="232">
        <f>B53*C53</f>
        <v/>
      </c>
    </row>
    <row r="54">
      <c r="A54" s="48" t="inlineStr">
        <is>
          <t>OTHERS</t>
        </is>
      </c>
      <c r="B54" s="357" t="n"/>
      <c r="C54" s="248" t="n"/>
      <c r="D54" s="232">
        <f>B54*C54</f>
        <v/>
      </c>
    </row>
    <row r="55">
      <c r="A55" s="28" t="inlineStr">
        <is>
          <t>A.2 Natural Persons under direct contract</t>
        </is>
      </c>
      <c r="B55" s="357" t="n"/>
      <c r="C55" s="248" t="n"/>
      <c r="D55" s="232">
        <f>B55*C55</f>
        <v/>
      </c>
    </row>
    <row r="56">
      <c r="A56" s="28" t="inlineStr">
        <is>
          <t>A.3 Seconded Persons</t>
        </is>
      </c>
      <c r="B56" s="357" t="n"/>
      <c r="C56" s="248" t="n"/>
      <c r="D56" s="232">
        <f>B56*C56</f>
        <v/>
      </c>
    </row>
    <row r="57">
      <c r="A57" s="28" t="inlineStr">
        <is>
          <t>A.4 SME owners and natural person beneficiaries</t>
        </is>
      </c>
      <c r="B57" s="357" t="n"/>
      <c r="C57" s="256" t="n">
        <v>8360.6024</v>
      </c>
      <c r="D57" s="232">
        <f>B57*C57</f>
        <v/>
      </c>
    </row>
    <row r="58">
      <c r="A58" s="29" t="inlineStr">
        <is>
          <t>B. DIRECT SUBCONTRACTING COSTS</t>
        </is>
      </c>
      <c r="B58" s="358" t="n"/>
      <c r="C58" s="110" t="n"/>
      <c r="D58" s="359" t="n"/>
    </row>
    <row r="59">
      <c r="A59" s="53" t="n"/>
      <c r="B59" s="357" t="n"/>
      <c r="C59" s="248" t="n"/>
      <c r="D59" s="361">
        <f>B59*C59</f>
        <v/>
      </c>
    </row>
    <row r="60">
      <c r="A60" s="29" t="inlineStr">
        <is>
          <t>C. DIRECT PURCHASE COSTS</t>
        </is>
      </c>
      <c r="B60" s="358" t="n"/>
      <c r="C60" s="110" t="n"/>
      <c r="D60" s="359" t="n"/>
    </row>
    <row r="61">
      <c r="A61" s="28" t="inlineStr">
        <is>
          <t>C.1 Travel and subsistence</t>
        </is>
      </c>
      <c r="B61" s="357" t="n"/>
      <c r="C61" s="248" t="n"/>
      <c r="D61" s="361">
        <f>B61*C61</f>
        <v/>
      </c>
    </row>
    <row r="62">
      <c r="A62" s="28" t="inlineStr">
        <is>
          <t>C.2 Equipment (complete 'Depreciation costs' sheet)</t>
        </is>
      </c>
      <c r="B62" s="346" t="n"/>
      <c r="C62" s="111" t="n"/>
      <c r="D62" s="364" t="n"/>
    </row>
    <row r="63">
      <c r="A63" s="49" t="inlineStr">
        <is>
          <t>Equipment</t>
        </is>
      </c>
      <c r="B63" s="357" t="n"/>
      <c r="C63" s="248" t="n"/>
      <c r="D63" s="361">
        <f>B63*C63</f>
        <v/>
      </c>
    </row>
    <row r="64">
      <c r="A64" s="49" t="inlineStr">
        <is>
          <t>Infrastructure</t>
        </is>
      </c>
      <c r="B64" s="357" t="n"/>
      <c r="C64" s="248" t="n"/>
      <c r="D64" s="361">
        <f>B64*C64</f>
        <v/>
      </c>
    </row>
    <row r="65">
      <c r="A65" s="49" t="inlineStr">
        <is>
          <t>Other assets</t>
        </is>
      </c>
      <c r="B65" s="357" t="n"/>
      <c r="C65" s="248" t="n"/>
      <c r="D65" s="361">
        <f>B65*C65</f>
        <v/>
      </c>
    </row>
    <row r="66">
      <c r="A66" s="28" t="inlineStr">
        <is>
          <t>C.3 Other goods, works and services</t>
        </is>
      </c>
      <c r="B66" s="346" t="n"/>
      <c r="C66" s="111" t="n"/>
      <c r="D66" s="364" t="n"/>
    </row>
    <row r="67">
      <c r="A67" s="49" t="inlineStr">
        <is>
          <t>Consumables</t>
        </is>
      </c>
      <c r="B67" s="357" t="n"/>
      <c r="C67" s="248" t="n"/>
      <c r="D67" s="361">
        <f>B67*C67</f>
        <v/>
      </c>
    </row>
    <row r="68">
      <c r="A68" s="49" t="inlineStr">
        <is>
          <t>Services for meetings, seminars</t>
        </is>
      </c>
      <c r="B68" s="357" t="n"/>
      <c r="C68" s="248" t="n"/>
      <c r="D68" s="361">
        <f>B68*C68</f>
        <v/>
      </c>
    </row>
    <row r="69">
      <c r="A69" s="49" t="inlineStr">
        <is>
          <t>Services for dissemination activities (including website)</t>
        </is>
      </c>
      <c r="B69" s="357" t="n"/>
      <c r="C69" s="248" t="n"/>
      <c r="D69" s="361">
        <f>B69*C69</f>
        <v/>
      </c>
    </row>
    <row r="70">
      <c r="A70" s="49" t="inlineStr">
        <is>
          <t>Publication fees</t>
        </is>
      </c>
      <c r="B70" s="357" t="n"/>
      <c r="C70" s="248" t="n"/>
      <c r="D70" s="361">
        <f>B70*C70</f>
        <v/>
      </c>
    </row>
    <row r="71">
      <c r="A71" s="49" t="inlineStr">
        <is>
          <t>Other (shipment, insurance, translation, etc.)</t>
        </is>
      </c>
      <c r="B71" s="357" t="n"/>
      <c r="C71" s="248" t="n"/>
      <c r="D71" s="361">
        <f>B71*C71</f>
        <v/>
      </c>
    </row>
    <row r="72">
      <c r="A72" s="29" t="inlineStr">
        <is>
          <t>D. OTHER COST CATEGORIES</t>
        </is>
      </c>
      <c r="B72" s="358" t="n"/>
      <c r="C72" s="110" t="n"/>
      <c r="D72" s="359" t="n"/>
    </row>
    <row r="73">
      <c r="A73" s="50" t="inlineStr">
        <is>
          <t>D.1 Financial support to third parties (if applicable in the topic specific conditions)</t>
        </is>
      </c>
      <c r="B73" s="357" t="n"/>
      <c r="C73" s="248" t="n"/>
      <c r="D73" s="361">
        <f>B73*C73</f>
        <v/>
      </c>
    </row>
    <row r="74">
      <c r="A74" s="50" t="inlineStr">
        <is>
          <t>D.2 Internally invoiced goods and services</t>
        </is>
      </c>
      <c r="B74" s="357" t="n"/>
      <c r="C74" s="248" t="n"/>
      <c r="D74" s="361">
        <f>B74*C74</f>
        <v/>
      </c>
    </row>
    <row r="75">
      <c r="A75" s="50" t="inlineStr">
        <is>
          <t>D.3 Transnational access to research infrastructure unit costs (if mentioned as eligible in the topic specific conditions)</t>
        </is>
      </c>
      <c r="B75" s="357" t="n"/>
      <c r="C75" s="248" t="n"/>
      <c r="D75" s="361">
        <f>B75*C75</f>
        <v/>
      </c>
    </row>
    <row r="76">
      <c r="A76" s="50" t="inlineStr">
        <is>
          <t>D.4 Virtual access to research infrastructure unit costs (if mentioned as eligible in the topic specific conditions)</t>
        </is>
      </c>
      <c r="B76" s="357" t="n"/>
      <c r="C76" s="248" t="n"/>
      <c r="D76" s="361">
        <f>B76*C76</f>
        <v/>
      </c>
    </row>
    <row r="77">
      <c r="A77" s="50" t="inlineStr">
        <is>
          <t>D.5 PCP/PPI procurement costs (if mentioned as eligible in the topic specific conditions)</t>
        </is>
      </c>
      <c r="B77" s="357" t="n"/>
      <c r="C77" s="248" t="n"/>
      <c r="D77" s="361">
        <f>B77*C77</f>
        <v/>
      </c>
    </row>
    <row r="78">
      <c r="A78" s="50" t="n"/>
      <c r="B78" s="346" t="n"/>
      <c r="C78" s="111" t="n"/>
      <c r="D78" s="365" t="n"/>
    </row>
    <row r="79">
      <c r="A79" s="52" t="inlineStr">
        <is>
          <t>TOTAL DIRECT PERSONNEL COSTS AND PURCHASE COSTS (A+C)</t>
        </is>
      </c>
      <c r="B79" s="369" t="n"/>
      <c r="C79" s="230" t="n"/>
      <c r="D79" s="360">
        <f>SUM(D50:D57,D61:D71)</f>
        <v/>
      </c>
    </row>
    <row r="80">
      <c r="A80" s="52" t="inlineStr">
        <is>
          <t>TOTAL DIRECT COSTS  (A+B+C+D)</t>
        </is>
      </c>
      <c r="B80" s="369" t="n"/>
      <c r="C80" s="230" t="n"/>
      <c r="D80" s="360">
        <f>SUM(D50:D77)</f>
        <v/>
      </c>
    </row>
    <row r="81">
      <c r="A81" s="180" t="n"/>
      <c r="B81" s="372" t="n"/>
      <c r="C81" s="176" t="n"/>
      <c r="D81" s="373" t="n"/>
    </row>
    <row r="82">
      <c r="A82" s="29" t="inlineStr">
        <is>
          <t>E. INDIRECT COSTS (25% * (A+C))</t>
        </is>
      </c>
      <c r="B82" s="358" t="n"/>
      <c r="C82" s="110" t="n"/>
      <c r="D82" s="360">
        <f>D79*0.25</f>
        <v/>
      </c>
    </row>
    <row r="83">
      <c r="A83" s="32" t="n"/>
      <c r="B83" s="372" t="n"/>
      <c r="C83" s="176" t="n"/>
      <c r="D83" s="377" t="n"/>
    </row>
    <row r="84">
      <c r="A84" s="29" t="inlineStr">
        <is>
          <t>F. TOTAL COSTS (A+B+C+D+E)</t>
        </is>
      </c>
      <c r="B84" s="369" t="n"/>
      <c r="C84" s="230" t="n"/>
      <c r="D84" s="360">
        <f>D80+D82</f>
        <v/>
      </c>
    </row>
    <row r="85">
      <c r="A85" s="182" t="n"/>
      <c r="B85" s="183" t="n"/>
      <c r="C85" s="184" t="n"/>
      <c r="D85" s="183" t="n"/>
    </row>
    <row r="86">
      <c r="A86" s="190" t="n"/>
      <c r="B86" s="185" t="n"/>
      <c r="C86" s="186" t="n"/>
      <c r="D86" s="187" t="n"/>
    </row>
    <row r="87" ht="21" customHeight="1">
      <c r="A87" s="272">
        <f>CONCATENATE("COSTS WORK PACKAGE 3:"," ","Sensor deployment and analytics  ")</f>
        <v/>
      </c>
      <c r="B87" s="314" t="n"/>
      <c r="C87" s="314" t="n"/>
      <c r="D87" s="315" t="n"/>
    </row>
    <row r="88">
      <c r="A88" s="182" t="n"/>
      <c r="B88" s="191" t="n"/>
      <c r="C88" s="192" t="n"/>
      <c r="D88" s="191" t="n"/>
    </row>
    <row r="89">
      <c r="A89" s="29" t="inlineStr">
        <is>
          <t>A. DIRECT PERSONNEL COSTS</t>
        </is>
      </c>
      <c r="B89" s="30" t="n"/>
      <c r="C89" s="110" t="n"/>
      <c r="D89" s="354" t="n"/>
    </row>
    <row r="90">
      <c r="A90" s="28" t="inlineStr">
        <is>
          <t>A.1 Employees (or equivalent)</t>
        </is>
      </c>
      <c r="B90" s="89" t="n"/>
      <c r="C90" s="111" t="n"/>
      <c r="D90" s="355" t="n"/>
    </row>
    <row r="91">
      <c r="A91" s="48" t="inlineStr">
        <is>
          <t>SENIOR SCIENTISTS (or equivalent in the private sector)</t>
        </is>
      </c>
      <c r="B91" s="357" t="n"/>
      <c r="C91" s="248" t="n"/>
      <c r="D91" s="232">
        <f>B91*C91</f>
        <v/>
      </c>
    </row>
    <row r="92">
      <c r="A92" s="48" t="inlineStr">
        <is>
          <t>JUNIOR SCIENTISTS (or equivalent in the private sector)</t>
        </is>
      </c>
      <c r="B92" s="357" t="n"/>
      <c r="C92" s="248" t="n"/>
      <c r="D92" s="232">
        <f>B92*C92</f>
        <v/>
      </c>
    </row>
    <row r="93">
      <c r="A93" s="48" t="inlineStr">
        <is>
          <t>TECHNICAL PERSONNEL (or equivalent in the private sector)</t>
        </is>
      </c>
      <c r="B93" s="357" t="n"/>
      <c r="C93" s="248" t="n"/>
      <c r="D93" s="232">
        <f>B93*C93</f>
        <v/>
      </c>
    </row>
    <row r="94">
      <c r="A94" s="48" t="inlineStr">
        <is>
          <t>ADMINISTRATIVE PERSONNEL (or equivalent in the private sector)</t>
        </is>
      </c>
      <c r="B94" s="357" t="n"/>
      <c r="C94" s="248" t="n"/>
      <c r="D94" s="232">
        <f>B94*C94</f>
        <v/>
      </c>
    </row>
    <row r="95">
      <c r="A95" s="48" t="inlineStr">
        <is>
          <t>OTHERS</t>
        </is>
      </c>
      <c r="B95" s="357" t="n"/>
      <c r="C95" s="248" t="n"/>
      <c r="D95" s="232">
        <f>B95*C95</f>
        <v/>
      </c>
    </row>
    <row r="96">
      <c r="A96" s="28" t="inlineStr">
        <is>
          <t>A.2 Natural Persons under direct contract</t>
        </is>
      </c>
      <c r="B96" s="357" t="n"/>
      <c r="C96" s="248" t="n"/>
      <c r="D96" s="232">
        <f>B96*C96</f>
        <v/>
      </c>
    </row>
    <row r="97">
      <c r="A97" s="28" t="inlineStr">
        <is>
          <t>A.3 Seconded Persons</t>
        </is>
      </c>
      <c r="B97" s="357" t="n"/>
      <c r="C97" s="248" t="n"/>
      <c r="D97" s="232">
        <f>B97*C97</f>
        <v/>
      </c>
    </row>
    <row r="98">
      <c r="A98" s="28" t="inlineStr">
        <is>
          <t>A.4 SME owners and natural person beneficiaries</t>
        </is>
      </c>
      <c r="B98" s="357" t="n"/>
      <c r="C98" s="256" t="n">
        <v>8360.6024</v>
      </c>
      <c r="D98" s="232">
        <f>B98*C98</f>
        <v/>
      </c>
    </row>
    <row r="99">
      <c r="A99" s="29" t="inlineStr">
        <is>
          <t>B. DIRECT SUBCONTRACTING COSTS</t>
        </is>
      </c>
      <c r="B99" s="358" t="n"/>
      <c r="C99" s="110" t="n"/>
      <c r="D99" s="359" t="n"/>
    </row>
    <row r="100">
      <c r="A100" s="53" t="n"/>
      <c r="B100" s="357" t="n"/>
      <c r="C100" s="248" t="n"/>
      <c r="D100" s="361">
        <f>B100*C100</f>
        <v/>
      </c>
    </row>
    <row r="101">
      <c r="A101" s="29" t="inlineStr">
        <is>
          <t>C. DIRECT PURCHASE COSTS</t>
        </is>
      </c>
      <c r="B101" s="358" t="n"/>
      <c r="C101" s="110" t="n"/>
      <c r="D101" s="359" t="n"/>
    </row>
    <row r="102">
      <c r="A102" s="28" t="inlineStr">
        <is>
          <t>C.1 Travel and subsistence</t>
        </is>
      </c>
      <c r="B102" s="357" t="n"/>
      <c r="C102" s="248" t="n"/>
      <c r="D102" s="361">
        <f>B102*C102</f>
        <v/>
      </c>
    </row>
    <row r="103">
      <c r="A103" s="28" t="inlineStr">
        <is>
          <t>C.2 Equipment (complete 'Depreciation costs' sheet)</t>
        </is>
      </c>
      <c r="B103" s="346" t="n"/>
      <c r="C103" s="111" t="n"/>
      <c r="D103" s="364" t="n"/>
    </row>
    <row r="104">
      <c r="A104" s="49" t="inlineStr">
        <is>
          <t>Equipment</t>
        </is>
      </c>
      <c r="B104" s="357" t="n"/>
      <c r="C104" s="248" t="n"/>
      <c r="D104" s="361">
        <f>B104*C104</f>
        <v/>
      </c>
    </row>
    <row r="105">
      <c r="A105" s="49" t="inlineStr">
        <is>
          <t>Infrastructure</t>
        </is>
      </c>
      <c r="B105" s="357" t="n"/>
      <c r="C105" s="248" t="n"/>
      <c r="D105" s="361">
        <f>B105*C105</f>
        <v/>
      </c>
    </row>
    <row r="106">
      <c r="A106" s="49" t="inlineStr">
        <is>
          <t>Other assets</t>
        </is>
      </c>
      <c r="B106" s="357" t="n"/>
      <c r="C106" s="248" t="n"/>
      <c r="D106" s="361">
        <f>B106*C106</f>
        <v/>
      </c>
    </row>
    <row r="107">
      <c r="A107" s="28" t="inlineStr">
        <is>
          <t>C.3 Other goods, works and services</t>
        </is>
      </c>
      <c r="B107" s="346" t="n"/>
      <c r="C107" s="111" t="n"/>
      <c r="D107" s="364" t="n"/>
    </row>
    <row r="108">
      <c r="A108" s="49" t="inlineStr">
        <is>
          <t>Consumables</t>
        </is>
      </c>
      <c r="B108" s="357" t="n"/>
      <c r="C108" s="248" t="n"/>
      <c r="D108" s="361">
        <f>B108*C108</f>
        <v/>
      </c>
    </row>
    <row r="109">
      <c r="A109" s="49" t="inlineStr">
        <is>
          <t>Services for meetings, seminars</t>
        </is>
      </c>
      <c r="B109" s="357" t="n"/>
      <c r="C109" s="248" t="n"/>
      <c r="D109" s="361">
        <f>B109*C109</f>
        <v/>
      </c>
    </row>
    <row r="110">
      <c r="A110" s="49" t="inlineStr">
        <is>
          <t>Services for dissemination activities (including website)</t>
        </is>
      </c>
      <c r="B110" s="357" t="n"/>
      <c r="C110" s="248" t="n"/>
      <c r="D110" s="361">
        <f>B110*C110</f>
        <v/>
      </c>
    </row>
    <row r="111">
      <c r="A111" s="49" t="inlineStr">
        <is>
          <t>Publication fees</t>
        </is>
      </c>
      <c r="B111" s="357" t="n"/>
      <c r="C111" s="248" t="n"/>
      <c r="D111" s="361">
        <f>B111*C111</f>
        <v/>
      </c>
    </row>
    <row r="112">
      <c r="A112" s="49" t="inlineStr">
        <is>
          <t>Other (shipment, insurance, translation, etc.)</t>
        </is>
      </c>
      <c r="B112" s="357" t="n"/>
      <c r="C112" s="248" t="n"/>
      <c r="D112" s="361">
        <f>B112*C112</f>
        <v/>
      </c>
    </row>
    <row r="113">
      <c r="A113" s="29" t="inlineStr">
        <is>
          <t>D. OTHER COST CATEGORIES</t>
        </is>
      </c>
      <c r="B113" s="358" t="n"/>
      <c r="C113" s="110" t="n"/>
      <c r="D113" s="359" t="n"/>
    </row>
    <row r="114">
      <c r="A114" s="50" t="inlineStr">
        <is>
          <t>D.1 Financial support to third parties (if applicable in the topic specific conditions)</t>
        </is>
      </c>
      <c r="B114" s="357" t="n"/>
      <c r="C114" s="248" t="n"/>
      <c r="D114" s="361">
        <f>B114*C114</f>
        <v/>
      </c>
    </row>
    <row r="115">
      <c r="A115" s="50" t="inlineStr">
        <is>
          <t>D.2 Internally invoiced goods and services</t>
        </is>
      </c>
      <c r="B115" s="357" t="n"/>
      <c r="C115" s="248" t="n"/>
      <c r="D115" s="361">
        <f>B115*C115</f>
        <v/>
      </c>
    </row>
    <row r="116">
      <c r="A116" s="50" t="inlineStr">
        <is>
          <t>D.3 Transnational access to research infrastructure unit costs (if mentioned as eligible in the topic specific conditions)</t>
        </is>
      </c>
      <c r="B116" s="357" t="n"/>
      <c r="C116" s="248" t="n"/>
      <c r="D116" s="361">
        <f>B116*C116</f>
        <v/>
      </c>
    </row>
    <row r="117">
      <c r="A117" s="50" t="inlineStr">
        <is>
          <t>D.4 Virtual access to research infrastructure unit costs (if mentioned as eligible in the topic specific conditions)</t>
        </is>
      </c>
      <c r="B117" s="357" t="n"/>
      <c r="C117" s="248" t="n"/>
      <c r="D117" s="361">
        <f>B117*C117</f>
        <v/>
      </c>
    </row>
    <row r="118">
      <c r="A118" s="50" t="inlineStr">
        <is>
          <t>D.5 PCP/PPI procurement costs (if mentioned as eligible in the topic specific conditions)</t>
        </is>
      </c>
      <c r="B118" s="357" t="n"/>
      <c r="C118" s="248" t="n"/>
      <c r="D118" s="361">
        <f>B118*C118</f>
        <v/>
      </c>
    </row>
    <row r="119">
      <c r="A119" s="50" t="n"/>
      <c r="B119" s="346" t="n"/>
      <c r="C119" s="111" t="n"/>
      <c r="D119" s="365" t="n"/>
    </row>
    <row r="120">
      <c r="A120" s="52" t="inlineStr">
        <is>
          <t>TOTAL DIRECT PERSONNEL COSTS AND PURCHASE COSTS (A+C)</t>
        </is>
      </c>
      <c r="B120" s="369" t="n"/>
      <c r="C120" s="230" t="n"/>
      <c r="D120" s="360">
        <f>SUM(D91:D98,D102:D112)</f>
        <v/>
      </c>
    </row>
    <row r="121">
      <c r="A121" s="52" t="inlineStr">
        <is>
          <t>TOTAL DIRECT COSTS  (A+B+C+D)</t>
        </is>
      </c>
      <c r="B121" s="369" t="n"/>
      <c r="C121" s="230" t="n"/>
      <c r="D121" s="360">
        <f>SUM(D91:D118)</f>
        <v/>
      </c>
    </row>
    <row r="122">
      <c r="A122" s="180" t="n"/>
      <c r="B122" s="372" t="n"/>
      <c r="C122" s="176" t="n"/>
      <c r="D122" s="373" t="n"/>
    </row>
    <row r="123">
      <c r="A123" s="29" t="inlineStr">
        <is>
          <t>E. INDIRECT COSTS (25% * (A+C))</t>
        </is>
      </c>
      <c r="B123" s="358" t="n"/>
      <c r="C123" s="110" t="n"/>
      <c r="D123" s="360">
        <f>D120*0.25</f>
        <v/>
      </c>
    </row>
    <row r="124">
      <c r="A124" s="32" t="n"/>
      <c r="B124" s="372" t="n"/>
      <c r="C124" s="176" t="n"/>
      <c r="D124" s="377" t="n"/>
    </row>
    <row r="125">
      <c r="A125" s="29" t="inlineStr">
        <is>
          <t>F. TOTAL COSTS (A+B+C+D+E)</t>
        </is>
      </c>
      <c r="B125" s="369" t="n"/>
      <c r="C125" s="230" t="n"/>
      <c r="D125" s="360">
        <f>D121+D123</f>
        <v/>
      </c>
    </row>
    <row r="126">
      <c r="A126" s="182" t="n"/>
      <c r="B126" s="183" t="n"/>
      <c r="C126" s="184" t="n"/>
      <c r="D126" s="183" t="n"/>
    </row>
    <row r="127">
      <c r="A127" s="190" t="n"/>
      <c r="B127" s="185" t="n"/>
      <c r="C127" s="186" t="n"/>
      <c r="D127" s="187" t="n"/>
    </row>
    <row r="128" ht="21" customHeight="1">
      <c r="A128" s="272">
        <f>CONCATENATE("COSTS WORK PACKAGE 4:"," ","Digital twins for data generation and augmentation")</f>
        <v/>
      </c>
      <c r="B128" s="314" t="n"/>
      <c r="C128" s="314" t="n"/>
      <c r="D128" s="315" t="n"/>
    </row>
    <row r="129">
      <c r="A129" s="182" t="n"/>
      <c r="B129" s="191" t="n"/>
      <c r="C129" s="192" t="n"/>
      <c r="D129" s="191" t="n"/>
    </row>
    <row r="130">
      <c r="A130" s="29" t="inlineStr">
        <is>
          <t>A. DIRECT PERSONNEL COSTS</t>
        </is>
      </c>
      <c r="B130" s="30" t="n"/>
      <c r="C130" s="110" t="n"/>
      <c r="D130" s="354" t="n"/>
    </row>
    <row r="131">
      <c r="A131" s="28" t="inlineStr">
        <is>
          <t>A.1 Employees (or equivalent)</t>
        </is>
      </c>
      <c r="B131" s="89" t="n"/>
      <c r="C131" s="111" t="n"/>
      <c r="D131" s="355" t="n"/>
    </row>
    <row r="132">
      <c r="A132" s="48" t="inlineStr">
        <is>
          <t>SENIOR SCIENTISTS (or equivalent in the private sector)</t>
        </is>
      </c>
      <c r="B132" s="357" t="n"/>
      <c r="C132" s="248" t="n"/>
      <c r="D132" s="232">
        <f>B132*C132</f>
        <v/>
      </c>
    </row>
    <row r="133">
      <c r="A133" s="48" t="inlineStr">
        <is>
          <t>JUNIOR SCIENTISTS (or equivalent in the private sector)</t>
        </is>
      </c>
      <c r="B133" s="357" t="n"/>
      <c r="C133" s="248" t="n"/>
      <c r="D133" s="232">
        <f>B133*C133</f>
        <v/>
      </c>
    </row>
    <row r="134">
      <c r="A134" s="48" t="inlineStr">
        <is>
          <t>TECHNICAL PERSONNEL (or equivalent in the private sector)</t>
        </is>
      </c>
      <c r="B134" s="357" t="n"/>
      <c r="C134" s="248" t="n"/>
      <c r="D134" s="232">
        <f>B134*C134</f>
        <v/>
      </c>
    </row>
    <row r="135">
      <c r="A135" s="48" t="inlineStr">
        <is>
          <t>ADMINISTRATIVE PERSONNEL (or equivalent in the private sector)</t>
        </is>
      </c>
      <c r="B135" s="357" t="n"/>
      <c r="C135" s="248" t="n"/>
      <c r="D135" s="232">
        <f>B135*C135</f>
        <v/>
      </c>
    </row>
    <row r="136">
      <c r="A136" s="48" t="inlineStr">
        <is>
          <t>OTHERS</t>
        </is>
      </c>
      <c r="B136" s="357" t="n"/>
      <c r="C136" s="248" t="n"/>
      <c r="D136" s="232">
        <f>B136*C136</f>
        <v/>
      </c>
    </row>
    <row r="137">
      <c r="A137" s="28" t="inlineStr">
        <is>
          <t>A.2 Natural Persons under direct contract</t>
        </is>
      </c>
      <c r="B137" s="357" t="n"/>
      <c r="C137" s="248" t="n"/>
      <c r="D137" s="232">
        <f>B137*C137</f>
        <v/>
      </c>
    </row>
    <row r="138">
      <c r="A138" s="28" t="inlineStr">
        <is>
          <t>A.3 Seconded Persons</t>
        </is>
      </c>
      <c r="B138" s="357" t="n"/>
      <c r="C138" s="248" t="n"/>
      <c r="D138" s="232">
        <f>B138*C138</f>
        <v/>
      </c>
    </row>
    <row r="139">
      <c r="A139" s="28" t="inlineStr">
        <is>
          <t>A.4 SME owners and natural person beneficiaries</t>
        </is>
      </c>
      <c r="B139" s="357" t="n"/>
      <c r="C139" s="256" t="n">
        <v>8360.6024</v>
      </c>
      <c r="D139" s="232">
        <f>B139*C139</f>
        <v/>
      </c>
    </row>
    <row r="140">
      <c r="A140" s="29" t="inlineStr">
        <is>
          <t>B. DIRECT SUBCONTRACTING COSTS</t>
        </is>
      </c>
      <c r="B140" s="358" t="n"/>
      <c r="C140" s="110" t="n"/>
      <c r="D140" s="359" t="n"/>
    </row>
    <row r="141">
      <c r="A141" s="53" t="n"/>
      <c r="B141" s="357" t="n"/>
      <c r="C141" s="248" t="n"/>
      <c r="D141" s="361">
        <f>B141*C141</f>
        <v/>
      </c>
    </row>
    <row r="142">
      <c r="A142" s="29" t="inlineStr">
        <is>
          <t>C. DIRECT PURCHASE COSTS</t>
        </is>
      </c>
      <c r="B142" s="358" t="n"/>
      <c r="C142" s="110" t="n"/>
      <c r="D142" s="359" t="n"/>
    </row>
    <row r="143">
      <c r="A143" s="28" t="inlineStr">
        <is>
          <t>C.1 Travel and subsistence</t>
        </is>
      </c>
      <c r="B143" s="357" t="n"/>
      <c r="C143" s="248" t="n"/>
      <c r="D143" s="361">
        <f>B143*C143</f>
        <v/>
      </c>
    </row>
    <row r="144">
      <c r="A144" s="28" t="inlineStr">
        <is>
          <t>C.2 Equipment (complete 'Depreciation costs' sheet)</t>
        </is>
      </c>
      <c r="B144" s="346" t="n"/>
      <c r="C144" s="111" t="n"/>
      <c r="D144" s="364" t="n"/>
    </row>
    <row r="145">
      <c r="A145" s="49" t="inlineStr">
        <is>
          <t>Equipment</t>
        </is>
      </c>
      <c r="B145" s="357" t="n"/>
      <c r="C145" s="248" t="n"/>
      <c r="D145" s="361">
        <f>B145*C145</f>
        <v/>
      </c>
    </row>
    <row r="146">
      <c r="A146" s="49" t="inlineStr">
        <is>
          <t>Infrastructure</t>
        </is>
      </c>
      <c r="B146" s="357" t="n"/>
      <c r="C146" s="248" t="n"/>
      <c r="D146" s="361">
        <f>B146*C146</f>
        <v/>
      </c>
    </row>
    <row r="147">
      <c r="A147" s="49" t="inlineStr">
        <is>
          <t>Other assets</t>
        </is>
      </c>
      <c r="B147" s="357" t="n"/>
      <c r="C147" s="248" t="n"/>
      <c r="D147" s="361">
        <f>B147*C147</f>
        <v/>
      </c>
    </row>
    <row r="148">
      <c r="A148" s="28" t="inlineStr">
        <is>
          <t>C.3 Other goods, works and services</t>
        </is>
      </c>
      <c r="B148" s="346" t="n"/>
      <c r="C148" s="111" t="n"/>
      <c r="D148" s="364" t="n"/>
    </row>
    <row r="149">
      <c r="A149" s="49" t="inlineStr">
        <is>
          <t>Consumables</t>
        </is>
      </c>
      <c r="B149" s="357" t="n"/>
      <c r="C149" s="248" t="n"/>
      <c r="D149" s="361">
        <f>B149*C149</f>
        <v/>
      </c>
    </row>
    <row r="150">
      <c r="A150" s="49" t="inlineStr">
        <is>
          <t>Services for meetings, seminars</t>
        </is>
      </c>
      <c r="B150" s="357" t="n"/>
      <c r="C150" s="248" t="n"/>
      <c r="D150" s="361">
        <f>B150*C150</f>
        <v/>
      </c>
    </row>
    <row r="151">
      <c r="A151" s="49" t="inlineStr">
        <is>
          <t>Services for dissemination activities (including website)</t>
        </is>
      </c>
      <c r="B151" s="357" t="n"/>
      <c r="C151" s="248" t="n"/>
      <c r="D151" s="361">
        <f>B151*C151</f>
        <v/>
      </c>
    </row>
    <row r="152">
      <c r="A152" s="49" t="inlineStr">
        <is>
          <t>Publication fees</t>
        </is>
      </c>
      <c r="B152" s="357" t="n"/>
      <c r="C152" s="248" t="n"/>
      <c r="D152" s="361">
        <f>B152*C152</f>
        <v/>
      </c>
    </row>
    <row r="153">
      <c r="A153" s="49" t="inlineStr">
        <is>
          <t>Other (shipment, insurance, translation, etc.)</t>
        </is>
      </c>
      <c r="B153" s="357" t="n"/>
      <c r="C153" s="248" t="n"/>
      <c r="D153" s="361">
        <f>B153*C153</f>
        <v/>
      </c>
    </row>
    <row r="154">
      <c r="A154" s="29" t="inlineStr">
        <is>
          <t>D. OTHER COST CATEGORIES</t>
        </is>
      </c>
      <c r="B154" s="358" t="n"/>
      <c r="C154" s="110" t="n"/>
      <c r="D154" s="359" t="n"/>
    </row>
    <row r="155">
      <c r="A155" s="50" t="inlineStr">
        <is>
          <t>D.1 Financial support to third parties (if applicable in the topic specific conditions)</t>
        </is>
      </c>
      <c r="B155" s="357" t="n"/>
      <c r="C155" s="248" t="n"/>
      <c r="D155" s="361">
        <f>B155*C155</f>
        <v/>
      </c>
    </row>
    <row r="156">
      <c r="A156" s="50" t="inlineStr">
        <is>
          <t>D.2 Internally invoiced goods and services</t>
        </is>
      </c>
      <c r="B156" s="357" t="n"/>
      <c r="C156" s="248" t="n"/>
      <c r="D156" s="361">
        <f>B156*C156</f>
        <v/>
      </c>
    </row>
    <row r="157">
      <c r="A157" s="50" t="inlineStr">
        <is>
          <t>D.3 Transnational access to research infrastructure unit costs (if mentioned as eligible in the topic specific conditions)</t>
        </is>
      </c>
      <c r="B157" s="357" t="n"/>
      <c r="C157" s="248" t="n"/>
      <c r="D157" s="361">
        <f>B157*C157</f>
        <v/>
      </c>
    </row>
    <row r="158">
      <c r="A158" s="50" t="inlineStr">
        <is>
          <t>D.4 Virtual access to research infrastructure unit costs (if mentioned as eligible in the topic specific conditions)</t>
        </is>
      </c>
      <c r="B158" s="357" t="n"/>
      <c r="C158" s="248" t="n"/>
      <c r="D158" s="361">
        <f>B158*C158</f>
        <v/>
      </c>
    </row>
    <row r="159">
      <c r="A159" s="50" t="inlineStr">
        <is>
          <t>D.5 PCP/PPI procurement costs (if mentioned as eligible in the topic specific conditions)</t>
        </is>
      </c>
      <c r="B159" s="357" t="n"/>
      <c r="C159" s="248" t="n"/>
      <c r="D159" s="361">
        <f>B159*C159</f>
        <v/>
      </c>
    </row>
    <row r="160">
      <c r="A160" s="50" t="n"/>
      <c r="B160" s="346" t="n"/>
      <c r="C160" s="111" t="n"/>
      <c r="D160" s="365" t="n"/>
    </row>
    <row r="161">
      <c r="A161" s="52" t="inlineStr">
        <is>
          <t>TOTAL DIRECT PERSONNEL COSTS AND PURCHASE COSTS (A+C)</t>
        </is>
      </c>
      <c r="B161" s="369" t="n"/>
      <c r="C161" s="230" t="n"/>
      <c r="D161" s="360">
        <f>SUM(D132:D139,D143:D153)</f>
        <v/>
      </c>
    </row>
    <row r="162">
      <c r="A162" s="52" t="inlineStr">
        <is>
          <t>TOTAL DIRECT COSTS  (A+B+C+D)</t>
        </is>
      </c>
      <c r="B162" s="369" t="n"/>
      <c r="C162" s="230" t="n"/>
      <c r="D162" s="360">
        <f>SUM(D132:D159)</f>
        <v/>
      </c>
    </row>
    <row r="163">
      <c r="A163" s="180" t="n"/>
      <c r="B163" s="372" t="n"/>
      <c r="C163" s="176" t="n"/>
      <c r="D163" s="373" t="n"/>
    </row>
    <row r="164">
      <c r="A164" s="29" t="inlineStr">
        <is>
          <t>E. INDIRECT COSTS (25% * (A+C))</t>
        </is>
      </c>
      <c r="B164" s="358" t="n"/>
      <c r="C164" s="110" t="n"/>
      <c r="D164" s="360">
        <f>D161*0.25</f>
        <v/>
      </c>
    </row>
    <row r="165">
      <c r="A165" s="32" t="n"/>
      <c r="B165" s="372" t="n"/>
      <c r="C165" s="176" t="n"/>
      <c r="D165" s="377" t="n"/>
    </row>
    <row r="166">
      <c r="A166" s="29" t="inlineStr">
        <is>
          <t>F. TOTAL COSTS (A+B+C+D+E)</t>
        </is>
      </c>
      <c r="B166" s="369" t="n"/>
      <c r="C166" s="230" t="n"/>
      <c r="D166" s="360">
        <f>D162+D164</f>
        <v/>
      </c>
    </row>
    <row r="167">
      <c r="A167" s="182" t="n"/>
      <c r="B167" s="183" t="n"/>
      <c r="C167" s="184" t="n"/>
      <c r="D167" s="183" t="n"/>
    </row>
    <row r="168">
      <c r="A168" s="190" t="n"/>
      <c r="B168" s="185" t="n"/>
      <c r="C168" s="186" t="n"/>
      <c r="D168" s="187" t="n"/>
    </row>
    <row r="169" ht="21" customHeight="1">
      <c r="A169" s="272">
        <f>CONCATENATE("COSTS WORK PACKAGE 5:"," ","Health Models for Wind Turbine Components")</f>
        <v/>
      </c>
      <c r="B169" s="314" t="n"/>
      <c r="C169" s="314" t="n"/>
      <c r="D169" s="315" t="n"/>
    </row>
    <row r="170">
      <c r="A170" s="182" t="n"/>
      <c r="B170" s="191" t="n"/>
      <c r="C170" s="192" t="n"/>
      <c r="D170" s="191" t="n"/>
    </row>
    <row r="171">
      <c r="A171" s="29" t="inlineStr">
        <is>
          <t>A. DIRECT PERSONNEL COSTS</t>
        </is>
      </c>
      <c r="B171" s="30" t="n"/>
      <c r="C171" s="110" t="n"/>
      <c r="D171" s="354" t="n"/>
    </row>
    <row r="172">
      <c r="A172" s="28" t="inlineStr">
        <is>
          <t>A.1 Employees (or equivalent)</t>
        </is>
      </c>
      <c r="B172" s="89" t="n"/>
      <c r="C172" s="111" t="n"/>
      <c r="D172" s="355" t="n"/>
    </row>
    <row r="173">
      <c r="A173" s="48" t="inlineStr">
        <is>
          <t>SENIOR SCIENTISTS (or equivalent in the private sector)</t>
        </is>
      </c>
      <c r="B173" s="357" t="n"/>
      <c r="C173" s="248" t="n"/>
      <c r="D173" s="232">
        <f>B173*C173</f>
        <v/>
      </c>
    </row>
    <row r="174">
      <c r="A174" s="48" t="inlineStr">
        <is>
          <t>JUNIOR SCIENTISTS (or equivalent in the private sector)</t>
        </is>
      </c>
      <c r="B174" s="357" t="n"/>
      <c r="C174" s="248" t="n"/>
      <c r="D174" s="232">
        <f>B174*C174</f>
        <v/>
      </c>
    </row>
    <row r="175">
      <c r="A175" s="48" t="inlineStr">
        <is>
          <t>TECHNICAL PERSONNEL (or equivalent in the private sector)</t>
        </is>
      </c>
      <c r="B175" s="357" t="n"/>
      <c r="C175" s="248" t="n"/>
      <c r="D175" s="232">
        <f>B175*C175</f>
        <v/>
      </c>
    </row>
    <row r="176">
      <c r="A176" s="48" t="inlineStr">
        <is>
          <t>ADMINISTRATIVE PERSONNEL (or equivalent in the private sector)</t>
        </is>
      </c>
      <c r="B176" s="357" t="n"/>
      <c r="C176" s="248" t="n"/>
      <c r="D176" s="232">
        <f>B176*C176</f>
        <v/>
      </c>
    </row>
    <row r="177">
      <c r="A177" s="48" t="inlineStr">
        <is>
          <t>OTHERS</t>
        </is>
      </c>
      <c r="B177" s="357" t="n"/>
      <c r="C177" s="248" t="n"/>
      <c r="D177" s="232">
        <f>B177*C177</f>
        <v/>
      </c>
    </row>
    <row r="178">
      <c r="A178" s="28" t="inlineStr">
        <is>
          <t>A.2 Natural Persons under direct contract</t>
        </is>
      </c>
      <c r="B178" s="357" t="n"/>
      <c r="C178" s="248" t="n"/>
      <c r="D178" s="232">
        <f>B178*C178</f>
        <v/>
      </c>
    </row>
    <row r="179">
      <c r="A179" s="28" t="inlineStr">
        <is>
          <t>A.3 Seconded Persons</t>
        </is>
      </c>
      <c r="B179" s="357" t="n"/>
      <c r="C179" s="248" t="n"/>
      <c r="D179" s="232">
        <f>B179*C179</f>
        <v/>
      </c>
    </row>
    <row r="180">
      <c r="A180" s="28" t="inlineStr">
        <is>
          <t>A.4 SME owners and natural person beneficiaries</t>
        </is>
      </c>
      <c r="B180" s="357" t="n"/>
      <c r="C180" s="256" t="n">
        <v>8360.6024</v>
      </c>
      <c r="D180" s="232">
        <f>B180*C180</f>
        <v/>
      </c>
    </row>
    <row r="181">
      <c r="A181" s="29" t="inlineStr">
        <is>
          <t>B. DIRECT SUBCONTRACTING COSTS</t>
        </is>
      </c>
      <c r="B181" s="358" t="n"/>
      <c r="C181" s="110" t="n"/>
      <c r="D181" s="359" t="n"/>
    </row>
    <row r="182">
      <c r="A182" s="53" t="n"/>
      <c r="B182" s="357" t="n"/>
      <c r="C182" s="248" t="n"/>
      <c r="D182" s="361">
        <f>B182*C182</f>
        <v/>
      </c>
    </row>
    <row r="183">
      <c r="A183" s="29" t="inlineStr">
        <is>
          <t>C. DIRECT PURCHASE COSTS</t>
        </is>
      </c>
      <c r="B183" s="358" t="n"/>
      <c r="C183" s="110" t="n"/>
      <c r="D183" s="359" t="n"/>
    </row>
    <row r="184">
      <c r="A184" s="28" t="inlineStr">
        <is>
          <t>C.1 Travel and subsistence</t>
        </is>
      </c>
      <c r="B184" s="357" t="n"/>
      <c r="C184" s="248" t="n"/>
      <c r="D184" s="361">
        <f>B184*C184</f>
        <v/>
      </c>
    </row>
    <row r="185">
      <c r="A185" s="28" t="inlineStr">
        <is>
          <t>C.2 Equipment (complete 'Depreciation costs' sheet)</t>
        </is>
      </c>
      <c r="B185" s="346" t="n"/>
      <c r="C185" s="111" t="n"/>
      <c r="D185" s="364" t="n"/>
    </row>
    <row r="186">
      <c r="A186" s="49" t="inlineStr">
        <is>
          <t>Equipment</t>
        </is>
      </c>
      <c r="B186" s="357" t="n"/>
      <c r="C186" s="248" t="n"/>
      <c r="D186" s="361">
        <f>B186*C186</f>
        <v/>
      </c>
    </row>
    <row r="187">
      <c r="A187" s="49" t="inlineStr">
        <is>
          <t>Infrastructure</t>
        </is>
      </c>
      <c r="B187" s="357" t="n"/>
      <c r="C187" s="248" t="n"/>
      <c r="D187" s="361">
        <f>B187*C187</f>
        <v/>
      </c>
    </row>
    <row r="188">
      <c r="A188" s="49" t="inlineStr">
        <is>
          <t>Other assets</t>
        </is>
      </c>
      <c r="B188" s="357" t="n"/>
      <c r="C188" s="248" t="n"/>
      <c r="D188" s="361">
        <f>B188*C188</f>
        <v/>
      </c>
    </row>
    <row r="189">
      <c r="A189" s="28" t="inlineStr">
        <is>
          <t>C.3 Other goods, works and services</t>
        </is>
      </c>
      <c r="B189" s="346" t="n"/>
      <c r="C189" s="111" t="n"/>
      <c r="D189" s="364" t="n"/>
    </row>
    <row r="190">
      <c r="A190" s="49" t="inlineStr">
        <is>
          <t>Consumables</t>
        </is>
      </c>
      <c r="B190" s="357" t="n"/>
      <c r="C190" s="248" t="n"/>
      <c r="D190" s="361">
        <f>B190*C190</f>
        <v/>
      </c>
    </row>
    <row r="191">
      <c r="A191" s="49" t="inlineStr">
        <is>
          <t>Services for meetings, seminars</t>
        </is>
      </c>
      <c r="B191" s="357" t="n"/>
      <c r="C191" s="248" t="n"/>
      <c r="D191" s="361">
        <f>B191*C191</f>
        <v/>
      </c>
    </row>
    <row r="192">
      <c r="A192" s="49" t="inlineStr">
        <is>
          <t>Services for dissemination activities (including website)</t>
        </is>
      </c>
      <c r="B192" s="357" t="n"/>
      <c r="C192" s="248" t="n"/>
      <c r="D192" s="361">
        <f>B192*C192</f>
        <v/>
      </c>
    </row>
    <row r="193">
      <c r="A193" s="49" t="inlineStr">
        <is>
          <t>Publication fees</t>
        </is>
      </c>
      <c r="B193" s="357" t="n"/>
      <c r="C193" s="248" t="n"/>
      <c r="D193" s="361">
        <f>B193*C193</f>
        <v/>
      </c>
    </row>
    <row r="194">
      <c r="A194" s="49" t="inlineStr">
        <is>
          <t>Other (shipment, insurance, translation, etc.)</t>
        </is>
      </c>
      <c r="B194" s="357" t="n"/>
      <c r="C194" s="248" t="n"/>
      <c r="D194" s="361">
        <f>B194*C194</f>
        <v/>
      </c>
    </row>
    <row r="195">
      <c r="A195" s="29" t="inlineStr">
        <is>
          <t>D. OTHER COST CATEGORIES</t>
        </is>
      </c>
      <c r="B195" s="358" t="n"/>
      <c r="C195" s="110" t="n"/>
      <c r="D195" s="359" t="n"/>
    </row>
    <row r="196">
      <c r="A196" s="50" t="inlineStr">
        <is>
          <t>D.1 Financial support to third parties (if applicable in the topic specific conditions)</t>
        </is>
      </c>
      <c r="B196" s="357" t="n"/>
      <c r="C196" s="248" t="n"/>
      <c r="D196" s="361">
        <f>B196*C196</f>
        <v/>
      </c>
    </row>
    <row r="197">
      <c r="A197" s="50" t="inlineStr">
        <is>
          <t>D.2 Internally invoiced goods and services</t>
        </is>
      </c>
      <c r="B197" s="357" t="n"/>
      <c r="C197" s="248" t="n"/>
      <c r="D197" s="361">
        <f>B197*C197</f>
        <v/>
      </c>
    </row>
    <row r="198">
      <c r="A198" s="50" t="inlineStr">
        <is>
          <t>D.3 Transnational access to research infrastructure unit costs (if mentioned as eligible in the topic specific conditions)</t>
        </is>
      </c>
      <c r="B198" s="357" t="n"/>
      <c r="C198" s="248" t="n"/>
      <c r="D198" s="361">
        <f>B198*C198</f>
        <v/>
      </c>
    </row>
    <row r="199">
      <c r="A199" s="50" t="inlineStr">
        <is>
          <t>D.4 Virtual access to research infrastructure unit costs (if mentioned as eligible in the topic specific conditions)</t>
        </is>
      </c>
      <c r="B199" s="357" t="n"/>
      <c r="C199" s="248" t="n"/>
      <c r="D199" s="361">
        <f>B199*C199</f>
        <v/>
      </c>
    </row>
    <row r="200">
      <c r="A200" s="50" t="inlineStr">
        <is>
          <t>D.5 PCP/PPI procurement costs (if mentioned as eligible in the topic specific conditions)</t>
        </is>
      </c>
      <c r="B200" s="357" t="n"/>
      <c r="C200" s="248" t="n"/>
      <c r="D200" s="361">
        <f>B200*C200</f>
        <v/>
      </c>
    </row>
    <row r="201">
      <c r="A201" s="50" t="n"/>
      <c r="B201" s="346" t="n"/>
      <c r="C201" s="111" t="n"/>
      <c r="D201" s="365" t="n"/>
    </row>
    <row r="202">
      <c r="A202" s="52" t="inlineStr">
        <is>
          <t>TOTAL DIRECT PERSONNEL COSTS AND PURCHASE COSTS (A+C)</t>
        </is>
      </c>
      <c r="B202" s="369" t="n"/>
      <c r="C202" s="230" t="n"/>
      <c r="D202" s="360">
        <f>SUM(D173:D180,D184:D194)</f>
        <v/>
      </c>
    </row>
    <row r="203">
      <c r="A203" s="52" t="inlineStr">
        <is>
          <t>TOTAL DIRECT COSTS  (A+B+C+D)</t>
        </is>
      </c>
      <c r="B203" s="369" t="n"/>
      <c r="C203" s="230" t="n"/>
      <c r="D203" s="360">
        <f>SUM(D173:D200)</f>
        <v/>
      </c>
    </row>
    <row r="204">
      <c r="A204" s="180" t="n"/>
      <c r="B204" s="372" t="n"/>
      <c r="C204" s="176" t="n"/>
      <c r="D204" s="373" t="n"/>
    </row>
    <row r="205">
      <c r="A205" s="29" t="inlineStr">
        <is>
          <t>E. INDIRECT COSTS (25% * (A+C))</t>
        </is>
      </c>
      <c r="B205" s="358" t="n"/>
      <c r="C205" s="110" t="n"/>
      <c r="D205" s="360">
        <f>D202*0.25</f>
        <v/>
      </c>
    </row>
    <row r="206">
      <c r="A206" s="32" t="n"/>
      <c r="B206" s="372" t="n"/>
      <c r="C206" s="176" t="n"/>
      <c r="D206" s="377" t="n"/>
    </row>
    <row r="207">
      <c r="A207" s="29" t="inlineStr">
        <is>
          <t>F. TOTAL COSTS (A+B+C+D+E)</t>
        </is>
      </c>
      <c r="B207" s="369" t="n"/>
      <c r="C207" s="230" t="n"/>
      <c r="D207" s="360">
        <f>D203+D205</f>
        <v/>
      </c>
    </row>
    <row r="208">
      <c r="A208" s="182" t="n"/>
      <c r="B208" s="183" t="n"/>
      <c r="C208" s="184" t="n"/>
      <c r="D208" s="183" t="n"/>
    </row>
    <row r="209">
      <c r="A209" s="190" t="n"/>
      <c r="B209" s="185" t="n"/>
      <c r="C209" s="186" t="n"/>
      <c r="D209" s="187" t="n"/>
    </row>
    <row r="210" ht="21" customHeight="1">
      <c r="A210" s="272">
        <f>CONCATENATE("COSTS WORK PACKAGE 6:"," ","Advanced Condition  Health Monitoring")</f>
        <v/>
      </c>
      <c r="B210" s="314" t="n"/>
      <c r="C210" s="314" t="n"/>
      <c r="D210" s="315" t="n"/>
    </row>
    <row r="211">
      <c r="A211" s="182" t="n"/>
      <c r="B211" s="191" t="n"/>
      <c r="C211" s="192" t="n"/>
      <c r="D211" s="191" t="n"/>
    </row>
    <row r="212">
      <c r="A212" s="29" t="inlineStr">
        <is>
          <t>A. DIRECT PERSONNEL COSTS</t>
        </is>
      </c>
      <c r="B212" s="30" t="n"/>
      <c r="C212" s="110" t="n"/>
      <c r="D212" s="354" t="n"/>
    </row>
    <row r="213">
      <c r="A213" s="28" t="inlineStr">
        <is>
          <t>A.1 Employees (or equivalent)</t>
        </is>
      </c>
      <c r="B213" s="89" t="n"/>
      <c r="C213" s="111" t="n"/>
      <c r="D213" s="355" t="n"/>
    </row>
    <row r="214">
      <c r="A214" s="48" t="inlineStr">
        <is>
          <t>SENIOR SCIENTISTS (or equivalent in the private sector)</t>
        </is>
      </c>
      <c r="B214" s="357" t="n"/>
      <c r="C214" s="248" t="n"/>
      <c r="D214" s="232">
        <f>B214*C214</f>
        <v/>
      </c>
    </row>
    <row r="215">
      <c r="A215" s="48" t="inlineStr">
        <is>
          <t>JUNIOR SCIENTISTS (or equivalent in the private sector)</t>
        </is>
      </c>
      <c r="B215" s="357" t="n"/>
      <c r="C215" s="248" t="n"/>
      <c r="D215" s="232">
        <f>B215*C215</f>
        <v/>
      </c>
    </row>
    <row r="216">
      <c r="A216" s="48" t="inlineStr">
        <is>
          <t>TECHNICAL PERSONNEL (or equivalent in the private sector)</t>
        </is>
      </c>
      <c r="B216" s="357" t="n"/>
      <c r="C216" s="248" t="n"/>
      <c r="D216" s="232">
        <f>B216*C216</f>
        <v/>
      </c>
    </row>
    <row r="217">
      <c r="A217" s="48" t="inlineStr">
        <is>
          <t>ADMINISTRATIVE PERSONNEL (or equivalent in the private sector)</t>
        </is>
      </c>
      <c r="B217" s="357" t="n"/>
      <c r="C217" s="248" t="n"/>
      <c r="D217" s="232">
        <f>B217*C217</f>
        <v/>
      </c>
    </row>
    <row r="218">
      <c r="A218" s="48" t="inlineStr">
        <is>
          <t>OTHERS</t>
        </is>
      </c>
      <c r="B218" s="357" t="n"/>
      <c r="C218" s="248" t="n"/>
      <c r="D218" s="232">
        <f>B218*C218</f>
        <v/>
      </c>
    </row>
    <row r="219">
      <c r="A219" s="28" t="inlineStr">
        <is>
          <t>A.2 Natural Persons under direct contract</t>
        </is>
      </c>
      <c r="B219" s="357" t="n"/>
      <c r="C219" s="248" t="n"/>
      <c r="D219" s="232">
        <f>B219*C219</f>
        <v/>
      </c>
    </row>
    <row r="220">
      <c r="A220" s="28" t="inlineStr">
        <is>
          <t>A.3 Seconded Persons</t>
        </is>
      </c>
      <c r="B220" s="357" t="n"/>
      <c r="C220" s="248" t="n"/>
      <c r="D220" s="232">
        <f>B220*C220</f>
        <v/>
      </c>
    </row>
    <row r="221">
      <c r="A221" s="28" t="inlineStr">
        <is>
          <t>A.4 SME owners and natural person beneficiaries</t>
        </is>
      </c>
      <c r="B221" s="357" t="n"/>
      <c r="C221" s="256" t="n">
        <v>8360.6024</v>
      </c>
      <c r="D221" s="232">
        <f>B221*C221</f>
        <v/>
      </c>
    </row>
    <row r="222">
      <c r="A222" s="29" t="inlineStr">
        <is>
          <t>B. DIRECT SUBCONTRACTING COSTS</t>
        </is>
      </c>
      <c r="B222" s="358" t="n"/>
      <c r="C222" s="110" t="n"/>
      <c r="D222" s="359" t="n"/>
    </row>
    <row r="223">
      <c r="A223" s="53" t="n"/>
      <c r="B223" s="357" t="n"/>
      <c r="C223" s="248" t="n"/>
      <c r="D223" s="361">
        <f>B223*C223</f>
        <v/>
      </c>
    </row>
    <row r="224">
      <c r="A224" s="29" t="inlineStr">
        <is>
          <t>C. DIRECT PURCHASE COSTS</t>
        </is>
      </c>
      <c r="B224" s="358" t="n"/>
      <c r="C224" s="110" t="n"/>
      <c r="D224" s="359" t="n"/>
    </row>
    <row r="225">
      <c r="A225" s="28" t="inlineStr">
        <is>
          <t>C.1 Travel and subsistence</t>
        </is>
      </c>
      <c r="B225" s="357" t="n"/>
      <c r="C225" s="248" t="n"/>
      <c r="D225" s="361">
        <f>B225*C225</f>
        <v/>
      </c>
    </row>
    <row r="226">
      <c r="A226" s="28" t="inlineStr">
        <is>
          <t>C.2 Equipment (complete 'Depreciation costs' sheet)</t>
        </is>
      </c>
      <c r="B226" s="346" t="n"/>
      <c r="C226" s="111" t="n"/>
      <c r="D226" s="364" t="n"/>
    </row>
    <row r="227">
      <c r="A227" s="49" t="inlineStr">
        <is>
          <t>Equipment</t>
        </is>
      </c>
      <c r="B227" s="357" t="n"/>
      <c r="C227" s="248" t="n"/>
      <c r="D227" s="361">
        <f>B227*C227</f>
        <v/>
      </c>
    </row>
    <row r="228">
      <c r="A228" s="49" t="inlineStr">
        <is>
          <t>Infrastructure</t>
        </is>
      </c>
      <c r="B228" s="357" t="n"/>
      <c r="C228" s="248" t="n"/>
      <c r="D228" s="361">
        <f>B228*C228</f>
        <v/>
      </c>
    </row>
    <row r="229">
      <c r="A229" s="49" t="inlineStr">
        <is>
          <t>Other assets</t>
        </is>
      </c>
      <c r="B229" s="357" t="n"/>
      <c r="C229" s="248" t="n"/>
      <c r="D229" s="361">
        <f>B229*C229</f>
        <v/>
      </c>
    </row>
    <row r="230">
      <c r="A230" s="28" t="inlineStr">
        <is>
          <t>C.3 Other goods, works and services</t>
        </is>
      </c>
      <c r="B230" s="346" t="n"/>
      <c r="C230" s="111" t="n"/>
      <c r="D230" s="364" t="n"/>
    </row>
    <row r="231">
      <c r="A231" s="49" t="inlineStr">
        <is>
          <t>Consumables</t>
        </is>
      </c>
      <c r="B231" s="357" t="n"/>
      <c r="C231" s="248" t="n"/>
      <c r="D231" s="361">
        <f>B231*C231</f>
        <v/>
      </c>
    </row>
    <row r="232">
      <c r="A232" s="49" t="inlineStr">
        <is>
          <t>Services for meetings, seminars</t>
        </is>
      </c>
      <c r="B232" s="357" t="n"/>
      <c r="C232" s="248" t="n"/>
      <c r="D232" s="361">
        <f>B232*C232</f>
        <v/>
      </c>
    </row>
    <row r="233">
      <c r="A233" s="49" t="inlineStr">
        <is>
          <t>Services for dissemination activities (including website)</t>
        </is>
      </c>
      <c r="B233" s="357" t="n"/>
      <c r="C233" s="248" t="n"/>
      <c r="D233" s="361">
        <f>B233*C233</f>
        <v/>
      </c>
    </row>
    <row r="234">
      <c r="A234" s="49" t="inlineStr">
        <is>
          <t>Publication fees</t>
        </is>
      </c>
      <c r="B234" s="357" t="n"/>
      <c r="C234" s="248" t="n"/>
      <c r="D234" s="361">
        <f>B234*C234</f>
        <v/>
      </c>
    </row>
    <row r="235">
      <c r="A235" s="49" t="inlineStr">
        <is>
          <t>Other (shipment, insurance, translation, etc.)</t>
        </is>
      </c>
      <c r="B235" s="357" t="n"/>
      <c r="C235" s="248" t="n"/>
      <c r="D235" s="361">
        <f>B235*C235</f>
        <v/>
      </c>
    </row>
    <row r="236">
      <c r="A236" s="29" t="inlineStr">
        <is>
          <t>D. OTHER COST CATEGORIES</t>
        </is>
      </c>
      <c r="B236" s="358" t="n"/>
      <c r="C236" s="110" t="n"/>
      <c r="D236" s="359" t="n"/>
    </row>
    <row r="237">
      <c r="A237" s="50" t="inlineStr">
        <is>
          <t>D.1 Financial support to third parties (if applicable in the topic specific conditions)</t>
        </is>
      </c>
      <c r="B237" s="357" t="n"/>
      <c r="C237" s="248" t="n"/>
      <c r="D237" s="361">
        <f>B237*C237</f>
        <v/>
      </c>
    </row>
    <row r="238">
      <c r="A238" s="50" t="inlineStr">
        <is>
          <t>D.2 Internally invoiced goods and services</t>
        </is>
      </c>
      <c r="B238" s="357" t="n"/>
      <c r="C238" s="248" t="n"/>
      <c r="D238" s="361">
        <f>B238*C238</f>
        <v/>
      </c>
    </row>
    <row r="239">
      <c r="A239" s="50" t="inlineStr">
        <is>
          <t>D.3 Transnational access to research infrastructure unit costs (if mentioned as eligible in the topic specific conditions)</t>
        </is>
      </c>
      <c r="B239" s="357" t="n"/>
      <c r="C239" s="248" t="n"/>
      <c r="D239" s="361">
        <f>B239*C239</f>
        <v/>
      </c>
    </row>
    <row r="240">
      <c r="A240" s="50" t="inlineStr">
        <is>
          <t>D.4 Virtual access to research infrastructure unit costs (if mentioned as eligible in the topic specific conditions)</t>
        </is>
      </c>
      <c r="B240" s="357" t="n"/>
      <c r="C240" s="248" t="n"/>
      <c r="D240" s="361">
        <f>B240*C240</f>
        <v/>
      </c>
    </row>
    <row r="241">
      <c r="A241" s="50" t="inlineStr">
        <is>
          <t>D.5 PCP/PPI procurement costs (if mentioned as eligible in the topic specific conditions)</t>
        </is>
      </c>
      <c r="B241" s="357" t="n"/>
      <c r="C241" s="248" t="n"/>
      <c r="D241" s="361">
        <f>B241*C241</f>
        <v/>
      </c>
    </row>
    <row r="242">
      <c r="A242" s="50" t="n"/>
      <c r="B242" s="346" t="n"/>
      <c r="C242" s="111" t="n"/>
      <c r="D242" s="365" t="n"/>
    </row>
    <row r="243">
      <c r="A243" s="52" t="inlineStr">
        <is>
          <t>TOTAL DIRECT PERSONNEL COSTS AND PURCHASE COSTS (A+C)</t>
        </is>
      </c>
      <c r="B243" s="369" t="n"/>
      <c r="C243" s="230" t="n"/>
      <c r="D243" s="360">
        <f>SUM(D214:D221,D225:D235)</f>
        <v/>
      </c>
    </row>
    <row r="244">
      <c r="A244" s="52" t="inlineStr">
        <is>
          <t>TOTAL DIRECT COSTS  (A+B+C+D)</t>
        </is>
      </c>
      <c r="B244" s="369" t="n"/>
      <c r="C244" s="230" t="n"/>
      <c r="D244" s="360">
        <f>SUM(D214:D241)</f>
        <v/>
      </c>
    </row>
    <row r="245">
      <c r="A245" s="180" t="n"/>
      <c r="B245" s="372" t="n"/>
      <c r="C245" s="176" t="n"/>
      <c r="D245" s="373" t="n"/>
    </row>
    <row r="246">
      <c r="A246" s="29" t="inlineStr">
        <is>
          <t>E. INDIRECT COSTS (25% * (A+C))</t>
        </is>
      </c>
      <c r="B246" s="358" t="n"/>
      <c r="C246" s="110" t="n"/>
      <c r="D246" s="360">
        <f>D243*0.25</f>
        <v/>
      </c>
    </row>
    <row r="247">
      <c r="A247" s="32" t="n"/>
      <c r="B247" s="372" t="n"/>
      <c r="C247" s="176" t="n"/>
      <c r="D247" s="377" t="n"/>
    </row>
    <row r="248">
      <c r="A248" s="29" t="inlineStr">
        <is>
          <t>F. TOTAL COSTS (A+B+C+D+E)</t>
        </is>
      </c>
      <c r="B248" s="369" t="n"/>
      <c r="C248" s="230" t="n"/>
      <c r="D248" s="360">
        <f>D244+D246</f>
        <v/>
      </c>
    </row>
    <row r="249">
      <c r="A249" s="182" t="n"/>
      <c r="B249" s="183" t="n"/>
      <c r="C249" s="184" t="n"/>
      <c r="D249" s="183" t="n"/>
    </row>
    <row r="250">
      <c r="A250" s="190" t="n"/>
      <c r="B250" s="185" t="n"/>
      <c r="C250" s="186" t="n"/>
      <c r="D250" s="187" t="n"/>
    </row>
    <row r="251" ht="21" customHeight="1">
      <c r="A251" s="272">
        <f>CONCATENATE("COSTS WORK PACKAGE 7:"," ","Autonomous Inspection of blade and repair methods")</f>
        <v/>
      </c>
      <c r="B251" s="314" t="n"/>
      <c r="C251" s="314" t="n"/>
      <c r="D251" s="315" t="n"/>
    </row>
    <row r="252">
      <c r="A252" s="182" t="n"/>
      <c r="B252" s="191" t="n"/>
      <c r="C252" s="192" t="n"/>
      <c r="D252" s="191" t="n"/>
    </row>
    <row r="253">
      <c r="A253" s="29" t="inlineStr">
        <is>
          <t>A. DIRECT PERSONNEL COSTS</t>
        </is>
      </c>
      <c r="B253" s="30" t="n"/>
      <c r="C253" s="110" t="n"/>
      <c r="D253" s="354" t="n"/>
    </row>
    <row r="254">
      <c r="A254" s="28" t="inlineStr">
        <is>
          <t>A.1 Employees (or equivalent)</t>
        </is>
      </c>
      <c r="B254" s="89" t="n"/>
      <c r="C254" s="111" t="n"/>
      <c r="D254" s="355" t="n"/>
    </row>
    <row r="255">
      <c r="A255" s="48" t="inlineStr">
        <is>
          <t>SENIOR SCIENTISTS (or equivalent in the private sector)</t>
        </is>
      </c>
      <c r="B255" s="357" t="n"/>
      <c r="C255" s="248" t="n"/>
      <c r="D255" s="232">
        <f>B255*C255</f>
        <v/>
      </c>
    </row>
    <row r="256">
      <c r="A256" s="48" t="inlineStr">
        <is>
          <t>JUNIOR SCIENTISTS (or equivalent in the private sector)</t>
        </is>
      </c>
      <c r="B256" s="357" t="n"/>
      <c r="C256" s="248" t="n"/>
      <c r="D256" s="232">
        <f>B256*C256</f>
        <v/>
      </c>
    </row>
    <row r="257">
      <c r="A257" s="48" t="inlineStr">
        <is>
          <t>TECHNICAL PERSONNEL (or equivalent in the private sector)</t>
        </is>
      </c>
      <c r="B257" s="357" t="n"/>
      <c r="C257" s="248" t="n"/>
      <c r="D257" s="232">
        <f>B257*C257</f>
        <v/>
      </c>
    </row>
    <row r="258">
      <c r="A258" s="48" t="inlineStr">
        <is>
          <t>ADMINISTRATIVE PERSONNEL (or equivalent in the private sector)</t>
        </is>
      </c>
      <c r="B258" s="357" t="n"/>
      <c r="C258" s="248" t="n"/>
      <c r="D258" s="232">
        <f>B258*C258</f>
        <v/>
      </c>
    </row>
    <row r="259">
      <c r="A259" s="48" t="inlineStr">
        <is>
          <t>OTHERS</t>
        </is>
      </c>
      <c r="B259" s="357" t="n"/>
      <c r="C259" s="248" t="n"/>
      <c r="D259" s="232">
        <f>B259*C259</f>
        <v/>
      </c>
    </row>
    <row r="260">
      <c r="A260" s="28" t="inlineStr">
        <is>
          <t>A.2 Natural Persons under direct contract</t>
        </is>
      </c>
      <c r="B260" s="357" t="n"/>
      <c r="C260" s="248" t="n"/>
      <c r="D260" s="232">
        <f>B260*C260</f>
        <v/>
      </c>
    </row>
    <row r="261">
      <c r="A261" s="28" t="inlineStr">
        <is>
          <t>A.3 Seconded Persons</t>
        </is>
      </c>
      <c r="B261" s="357" t="n"/>
      <c r="C261" s="248" t="n"/>
      <c r="D261" s="232">
        <f>B261*C261</f>
        <v/>
      </c>
    </row>
    <row r="262">
      <c r="A262" s="28" t="inlineStr">
        <is>
          <t>A.4 SME owners and natural person beneficiaries</t>
        </is>
      </c>
      <c r="B262" s="357" t="n"/>
      <c r="C262" s="256" t="n">
        <v>8360.6024</v>
      </c>
      <c r="D262" s="232">
        <f>B262*C262</f>
        <v/>
      </c>
    </row>
    <row r="263">
      <c r="A263" s="29" t="inlineStr">
        <is>
          <t>B. DIRECT SUBCONTRACTING COSTS</t>
        </is>
      </c>
      <c r="B263" s="358" t="n"/>
      <c r="C263" s="110" t="n"/>
      <c r="D263" s="359" t="n"/>
    </row>
    <row r="264">
      <c r="A264" s="53" t="n"/>
      <c r="B264" s="357" t="n"/>
      <c r="C264" s="248" t="n"/>
      <c r="D264" s="361">
        <f>B264*C264</f>
        <v/>
      </c>
    </row>
    <row r="265">
      <c r="A265" s="29" t="inlineStr">
        <is>
          <t>C. DIRECT PURCHASE COSTS</t>
        </is>
      </c>
      <c r="B265" s="358" t="n"/>
      <c r="C265" s="110" t="n"/>
      <c r="D265" s="359" t="n"/>
    </row>
    <row r="266">
      <c r="A266" s="28" t="inlineStr">
        <is>
          <t>C.1 Travel and subsistence</t>
        </is>
      </c>
      <c r="B266" s="357" t="n"/>
      <c r="C266" s="248" t="n"/>
      <c r="D266" s="361">
        <f>B266*C266</f>
        <v/>
      </c>
    </row>
    <row r="267">
      <c r="A267" s="28" t="inlineStr">
        <is>
          <t>C.2 Equipment (complete 'Depreciation costs' sheet)</t>
        </is>
      </c>
      <c r="B267" s="346" t="n"/>
      <c r="C267" s="111" t="n"/>
      <c r="D267" s="364" t="n"/>
    </row>
    <row r="268">
      <c r="A268" s="49" t="inlineStr">
        <is>
          <t>Equipment</t>
        </is>
      </c>
      <c r="B268" s="357" t="n"/>
      <c r="C268" s="248" t="n"/>
      <c r="D268" s="361">
        <f>B268*C268</f>
        <v/>
      </c>
    </row>
    <row r="269">
      <c r="A269" s="49" t="inlineStr">
        <is>
          <t>Infrastructure</t>
        </is>
      </c>
      <c r="B269" s="357" t="n"/>
      <c r="C269" s="248" t="n"/>
      <c r="D269" s="361">
        <f>B269*C269</f>
        <v/>
      </c>
    </row>
    <row r="270">
      <c r="A270" s="49" t="inlineStr">
        <is>
          <t>Other assets</t>
        </is>
      </c>
      <c r="B270" s="357" t="n"/>
      <c r="C270" s="248" t="n"/>
      <c r="D270" s="361">
        <f>B270*C270</f>
        <v/>
      </c>
    </row>
    <row r="271">
      <c r="A271" s="28" t="inlineStr">
        <is>
          <t>C.3 Other goods, works and services</t>
        </is>
      </c>
      <c r="B271" s="346" t="n"/>
      <c r="C271" s="111" t="n"/>
      <c r="D271" s="364" t="n"/>
    </row>
    <row r="272">
      <c r="A272" s="49" t="inlineStr">
        <is>
          <t>Consumables</t>
        </is>
      </c>
      <c r="B272" s="357" t="n"/>
      <c r="C272" s="248" t="n"/>
      <c r="D272" s="361">
        <f>B272*C272</f>
        <v/>
      </c>
    </row>
    <row r="273">
      <c r="A273" s="49" t="inlineStr">
        <is>
          <t>Services for meetings, seminars</t>
        </is>
      </c>
      <c r="B273" s="357" t="n"/>
      <c r="C273" s="248" t="n"/>
      <c r="D273" s="361">
        <f>B273*C273</f>
        <v/>
      </c>
    </row>
    <row r="274">
      <c r="A274" s="49" t="inlineStr">
        <is>
          <t>Services for dissemination activities (including website)</t>
        </is>
      </c>
      <c r="B274" s="357" t="n"/>
      <c r="C274" s="248" t="n"/>
      <c r="D274" s="361">
        <f>B274*C274</f>
        <v/>
      </c>
    </row>
    <row r="275">
      <c r="A275" s="49" t="inlineStr">
        <is>
          <t>Publication fees</t>
        </is>
      </c>
      <c r="B275" s="357" t="n"/>
      <c r="C275" s="248" t="n"/>
      <c r="D275" s="361">
        <f>B275*C275</f>
        <v/>
      </c>
    </row>
    <row r="276">
      <c r="A276" s="49" t="inlineStr">
        <is>
          <t>Other (shipment, insurance, translation, etc.)</t>
        </is>
      </c>
      <c r="B276" s="357" t="n"/>
      <c r="C276" s="248" t="n"/>
      <c r="D276" s="361">
        <f>B276*C276</f>
        <v/>
      </c>
    </row>
    <row r="277">
      <c r="A277" s="29" t="inlineStr">
        <is>
          <t>D. OTHER COST CATEGORIES</t>
        </is>
      </c>
      <c r="B277" s="358" t="n"/>
      <c r="C277" s="110" t="n"/>
      <c r="D277" s="359" t="n"/>
    </row>
    <row r="278">
      <c r="A278" s="50" t="inlineStr">
        <is>
          <t>D.1 Financial support to third parties (if applicable in the topic specific conditions)</t>
        </is>
      </c>
      <c r="B278" s="357" t="n"/>
      <c r="C278" s="248" t="n"/>
      <c r="D278" s="361">
        <f>B278*C278</f>
        <v/>
      </c>
    </row>
    <row r="279">
      <c r="A279" s="50" t="inlineStr">
        <is>
          <t>D.2 Internally invoiced goods and services</t>
        </is>
      </c>
      <c r="B279" s="357" t="n"/>
      <c r="C279" s="248" t="n"/>
      <c r="D279" s="361">
        <f>B279*C279</f>
        <v/>
      </c>
    </row>
    <row r="280">
      <c r="A280" s="50" t="inlineStr">
        <is>
          <t>D.3 Transnational access to research infrastructure unit costs (if mentioned as eligible in the topic specific conditions)</t>
        </is>
      </c>
      <c r="B280" s="357" t="n"/>
      <c r="C280" s="248" t="n"/>
      <c r="D280" s="361">
        <f>B280*C280</f>
        <v/>
      </c>
    </row>
    <row r="281">
      <c r="A281" s="50" t="inlineStr">
        <is>
          <t>D.4 Virtual access to research infrastructure unit costs (if mentioned as eligible in the topic specific conditions)</t>
        </is>
      </c>
      <c r="B281" s="357" t="n"/>
      <c r="C281" s="248" t="n"/>
      <c r="D281" s="361">
        <f>B281*C281</f>
        <v/>
      </c>
    </row>
    <row r="282">
      <c r="A282" s="50" t="inlineStr">
        <is>
          <t>D.5 PCP/PPI procurement costs (if mentioned as eligible in the topic specific conditions)</t>
        </is>
      </c>
      <c r="B282" s="357" t="n"/>
      <c r="C282" s="248" t="n"/>
      <c r="D282" s="361">
        <f>B282*C282</f>
        <v/>
      </c>
    </row>
    <row r="283">
      <c r="A283" s="50" t="n"/>
      <c r="B283" s="346" t="n"/>
      <c r="C283" s="111" t="n"/>
      <c r="D283" s="365" t="n"/>
    </row>
    <row r="284">
      <c r="A284" s="52" t="inlineStr">
        <is>
          <t>TOTAL DIRECT PERSONNEL COSTS AND PURCHASE COSTS (A+C)</t>
        </is>
      </c>
      <c r="B284" s="369" t="n"/>
      <c r="C284" s="230" t="n"/>
      <c r="D284" s="360">
        <f>SUM(D255:D262,D266:D276)</f>
        <v/>
      </c>
    </row>
    <row r="285">
      <c r="A285" s="52" t="inlineStr">
        <is>
          <t>TOTAL DIRECT COSTS  (A+B+C+D)</t>
        </is>
      </c>
      <c r="B285" s="369" t="n"/>
      <c r="C285" s="230" t="n"/>
      <c r="D285" s="360">
        <f>SUM(D255:D282)</f>
        <v/>
      </c>
    </row>
    <row r="286">
      <c r="A286" s="180" t="n"/>
      <c r="B286" s="372" t="n"/>
      <c r="C286" s="176" t="n"/>
      <c r="D286" s="373" t="n"/>
    </row>
    <row r="287">
      <c r="A287" s="29" t="inlineStr">
        <is>
          <t>E. INDIRECT COSTS (25% * (A+C))</t>
        </is>
      </c>
      <c r="B287" s="358" t="n"/>
      <c r="C287" s="110" t="n"/>
      <c r="D287" s="360">
        <f>D284*0.25</f>
        <v/>
      </c>
    </row>
    <row r="288">
      <c r="A288" s="32" t="n"/>
      <c r="B288" s="372" t="n"/>
      <c r="C288" s="176" t="n"/>
      <c r="D288" s="377" t="n"/>
    </row>
    <row r="289">
      <c r="A289" s="29" t="inlineStr">
        <is>
          <t>F. TOTAL COSTS (A+B+C+D+E)</t>
        </is>
      </c>
      <c r="B289" s="369" t="n"/>
      <c r="C289" s="230" t="n"/>
      <c r="D289" s="360">
        <f>D285+D287</f>
        <v/>
      </c>
    </row>
    <row r="290">
      <c r="A290" s="182" t="n"/>
      <c r="B290" s="183" t="n"/>
      <c r="C290" s="184" t="n"/>
      <c r="D290" s="183" t="n"/>
    </row>
    <row r="291">
      <c r="A291" s="190" t="n"/>
      <c r="B291" s="185" t="n"/>
      <c r="C291" s="186" t="n"/>
      <c r="D291" s="187" t="n"/>
    </row>
    <row r="292" ht="21" customHeight="1">
      <c r="A292" s="272">
        <f>CONCATENATE("COSTS WORK PACKAGE 8:"," ","Agentic AI Core and Orchestration Development")</f>
        <v/>
      </c>
      <c r="B292" s="314" t="n"/>
      <c r="C292" s="314" t="n"/>
      <c r="D292" s="315" t="n"/>
    </row>
    <row r="293">
      <c r="A293" s="182" t="n"/>
      <c r="B293" s="191" t="n"/>
      <c r="C293" s="192" t="n"/>
      <c r="D293" s="191" t="n"/>
    </row>
    <row r="294">
      <c r="A294" s="29" t="inlineStr">
        <is>
          <t>A. DIRECT PERSONNEL COSTS</t>
        </is>
      </c>
      <c r="B294" s="30" t="n"/>
      <c r="C294" s="110" t="n"/>
      <c r="D294" s="354" t="n"/>
    </row>
    <row r="295">
      <c r="A295" s="28" t="inlineStr">
        <is>
          <t>A.1 Employees (or equivalent)</t>
        </is>
      </c>
      <c r="B295" s="89" t="n"/>
      <c r="C295" s="111" t="n"/>
      <c r="D295" s="355" t="n"/>
    </row>
    <row r="296">
      <c r="A296" s="48" t="inlineStr">
        <is>
          <t>SENIOR SCIENTISTS (or equivalent in the private sector)</t>
        </is>
      </c>
      <c r="B296" s="357" t="n"/>
      <c r="C296" s="248" t="n"/>
      <c r="D296" s="232">
        <f>B296*C296</f>
        <v/>
      </c>
    </row>
    <row r="297">
      <c r="A297" s="48" t="inlineStr">
        <is>
          <t>JUNIOR SCIENTISTS (or equivalent in the private sector)</t>
        </is>
      </c>
      <c r="B297" s="357" t="n"/>
      <c r="C297" s="248" t="n"/>
      <c r="D297" s="232">
        <f>B297*C297</f>
        <v/>
      </c>
    </row>
    <row r="298">
      <c r="A298" s="48" t="inlineStr">
        <is>
          <t>TECHNICAL PERSONNEL (or equivalent in the private sector)</t>
        </is>
      </c>
      <c r="B298" s="357" t="n"/>
      <c r="C298" s="248" t="n"/>
      <c r="D298" s="232">
        <f>B298*C298</f>
        <v/>
      </c>
    </row>
    <row r="299">
      <c r="A299" s="48" t="inlineStr">
        <is>
          <t>ADMINISTRATIVE PERSONNEL (or equivalent in the private sector)</t>
        </is>
      </c>
      <c r="B299" s="357" t="n"/>
      <c r="C299" s="248" t="n"/>
      <c r="D299" s="232">
        <f>B299*C299</f>
        <v/>
      </c>
    </row>
    <row r="300">
      <c r="A300" s="48" t="inlineStr">
        <is>
          <t>OTHERS</t>
        </is>
      </c>
      <c r="B300" s="357" t="n"/>
      <c r="C300" s="248" t="n"/>
      <c r="D300" s="232">
        <f>B300*C300</f>
        <v/>
      </c>
    </row>
    <row r="301">
      <c r="A301" s="28" t="inlineStr">
        <is>
          <t>A.2 Natural Persons under direct contract</t>
        </is>
      </c>
      <c r="B301" s="357" t="n"/>
      <c r="C301" s="248" t="n"/>
      <c r="D301" s="232">
        <f>B301*C301</f>
        <v/>
      </c>
    </row>
    <row r="302">
      <c r="A302" s="28" t="inlineStr">
        <is>
          <t>A.3 Seconded Persons</t>
        </is>
      </c>
      <c r="B302" s="357" t="n"/>
      <c r="C302" s="248" t="n"/>
      <c r="D302" s="232">
        <f>B302*C302</f>
        <v/>
      </c>
    </row>
    <row r="303">
      <c r="A303" s="28" t="inlineStr">
        <is>
          <t>A.4 SME owners and natural person beneficiaries</t>
        </is>
      </c>
      <c r="B303" s="357" t="n"/>
      <c r="C303" s="256" t="n">
        <v>8360.6024</v>
      </c>
      <c r="D303" s="232">
        <f>B303*C303</f>
        <v/>
      </c>
    </row>
    <row r="304">
      <c r="A304" s="29" t="inlineStr">
        <is>
          <t>B. DIRECT SUBCONTRACTING COSTS</t>
        </is>
      </c>
      <c r="B304" s="358" t="n"/>
      <c r="C304" s="110" t="n"/>
      <c r="D304" s="359" t="n"/>
    </row>
    <row r="305">
      <c r="A305" s="53" t="n"/>
      <c r="B305" s="357" t="n"/>
      <c r="C305" s="248" t="n"/>
      <c r="D305" s="361">
        <f>B305*C305</f>
        <v/>
      </c>
    </row>
    <row r="306">
      <c r="A306" s="29" t="inlineStr">
        <is>
          <t>C. DIRECT PURCHASE COSTS</t>
        </is>
      </c>
      <c r="B306" s="358" t="n"/>
      <c r="C306" s="110" t="n"/>
      <c r="D306" s="359" t="n"/>
    </row>
    <row r="307">
      <c r="A307" s="28" t="inlineStr">
        <is>
          <t>C.1 Travel and subsistence</t>
        </is>
      </c>
      <c r="B307" s="357" t="n"/>
      <c r="C307" s="248" t="n"/>
      <c r="D307" s="361">
        <f>B307*C307</f>
        <v/>
      </c>
    </row>
    <row r="308">
      <c r="A308" s="28" t="inlineStr">
        <is>
          <t>C.2 Equipment (complete 'Depreciation costs' sheet)</t>
        </is>
      </c>
      <c r="B308" s="346" t="n"/>
      <c r="C308" s="111" t="n"/>
      <c r="D308" s="364" t="n"/>
    </row>
    <row r="309">
      <c r="A309" s="49" t="inlineStr">
        <is>
          <t>Equipment</t>
        </is>
      </c>
      <c r="B309" s="357" t="n"/>
      <c r="C309" s="248" t="n"/>
      <c r="D309" s="361">
        <f>B309*C309</f>
        <v/>
      </c>
    </row>
    <row r="310">
      <c r="A310" s="49" t="inlineStr">
        <is>
          <t>Infrastructure</t>
        </is>
      </c>
      <c r="B310" s="357" t="n"/>
      <c r="C310" s="248" t="n"/>
      <c r="D310" s="361">
        <f>B310*C310</f>
        <v/>
      </c>
    </row>
    <row r="311">
      <c r="A311" s="49" t="inlineStr">
        <is>
          <t>Other assets</t>
        </is>
      </c>
      <c r="B311" s="357" t="n"/>
      <c r="C311" s="248" t="n"/>
      <c r="D311" s="361">
        <f>B311*C311</f>
        <v/>
      </c>
    </row>
    <row r="312">
      <c r="A312" s="28" t="inlineStr">
        <is>
          <t>C.3 Other goods, works and services</t>
        </is>
      </c>
      <c r="B312" s="346" t="n"/>
      <c r="C312" s="111" t="n"/>
      <c r="D312" s="364" t="n"/>
    </row>
    <row r="313">
      <c r="A313" s="49" t="inlineStr">
        <is>
          <t>Consumables</t>
        </is>
      </c>
      <c r="B313" s="357" t="n"/>
      <c r="C313" s="248" t="n"/>
      <c r="D313" s="361">
        <f>B313*C313</f>
        <v/>
      </c>
    </row>
    <row r="314">
      <c r="A314" s="49" t="inlineStr">
        <is>
          <t>Services for meetings, seminars</t>
        </is>
      </c>
      <c r="B314" s="357" t="n"/>
      <c r="C314" s="248" t="n"/>
      <c r="D314" s="361">
        <f>B314*C314</f>
        <v/>
      </c>
    </row>
    <row r="315">
      <c r="A315" s="49" t="inlineStr">
        <is>
          <t>Services for dissemination activities (including website)</t>
        </is>
      </c>
      <c r="B315" s="357" t="n"/>
      <c r="C315" s="248" t="n"/>
      <c r="D315" s="361">
        <f>B315*C315</f>
        <v/>
      </c>
    </row>
    <row r="316">
      <c r="A316" s="49" t="inlineStr">
        <is>
          <t>Publication fees</t>
        </is>
      </c>
      <c r="B316" s="357" t="n"/>
      <c r="C316" s="248" t="n"/>
      <c r="D316" s="361">
        <f>B316*C316</f>
        <v/>
      </c>
    </row>
    <row r="317">
      <c r="A317" s="49" t="inlineStr">
        <is>
          <t>Other (shipment, insurance, translation, etc.)</t>
        </is>
      </c>
      <c r="B317" s="357" t="n"/>
      <c r="C317" s="248" t="n"/>
      <c r="D317" s="361">
        <f>B317*C317</f>
        <v/>
      </c>
    </row>
    <row r="318">
      <c r="A318" s="29" t="inlineStr">
        <is>
          <t>D. OTHER COST CATEGORIES</t>
        </is>
      </c>
      <c r="B318" s="358" t="n"/>
      <c r="C318" s="110" t="n"/>
      <c r="D318" s="359" t="n"/>
    </row>
    <row r="319">
      <c r="A319" s="50" t="inlineStr">
        <is>
          <t>D.1 Financial support to third parties (if applicable in the topic specific conditions)</t>
        </is>
      </c>
      <c r="B319" s="357" t="n"/>
      <c r="C319" s="248" t="n"/>
      <c r="D319" s="361">
        <f>B319*C319</f>
        <v/>
      </c>
    </row>
    <row r="320">
      <c r="A320" s="50" t="inlineStr">
        <is>
          <t>D.2 Internally invoiced goods and services</t>
        </is>
      </c>
      <c r="B320" s="357" t="n"/>
      <c r="C320" s="248" t="n"/>
      <c r="D320" s="361">
        <f>B320*C320</f>
        <v/>
      </c>
    </row>
    <row r="321">
      <c r="A321" s="50" t="inlineStr">
        <is>
          <t>D.3 Transnational access to research infrastructure unit costs (if mentioned as eligible in the topic specific conditions)</t>
        </is>
      </c>
      <c r="B321" s="357" t="n"/>
      <c r="C321" s="248" t="n"/>
      <c r="D321" s="361">
        <f>B321*C321</f>
        <v/>
      </c>
    </row>
    <row r="322">
      <c r="A322" s="50" t="inlineStr">
        <is>
          <t>D.4 Virtual access to research infrastructure unit costs (if mentioned as eligible in the topic specific conditions)</t>
        </is>
      </c>
      <c r="B322" s="357" t="n"/>
      <c r="C322" s="248" t="n"/>
      <c r="D322" s="361">
        <f>B322*C322</f>
        <v/>
      </c>
    </row>
    <row r="323">
      <c r="A323" s="50" t="inlineStr">
        <is>
          <t>D.5 PCP/PPI procurement costs (if mentioned as eligible in the topic specific conditions)</t>
        </is>
      </c>
      <c r="B323" s="357" t="n"/>
      <c r="C323" s="248" t="n"/>
      <c r="D323" s="361">
        <f>B323*C323</f>
        <v/>
      </c>
    </row>
    <row r="324">
      <c r="A324" s="50" t="n"/>
      <c r="B324" s="346" t="n"/>
      <c r="C324" s="111" t="n"/>
      <c r="D324" s="365" t="n"/>
    </row>
    <row r="325">
      <c r="A325" s="52" t="inlineStr">
        <is>
          <t>TOTAL DIRECT PERSONNEL COSTS AND PURCHASE COSTS (A+C)</t>
        </is>
      </c>
      <c r="B325" s="369" t="n"/>
      <c r="C325" s="230" t="n"/>
      <c r="D325" s="360">
        <f>SUM(D296:D303,D307:D317)</f>
        <v/>
      </c>
    </row>
    <row r="326">
      <c r="A326" s="52" t="inlineStr">
        <is>
          <t>TOTAL DIRECT COSTS  (A+B+C+D)</t>
        </is>
      </c>
      <c r="B326" s="369" t="n"/>
      <c r="C326" s="230" t="n"/>
      <c r="D326" s="360">
        <f>SUM(D296:D323)</f>
        <v/>
      </c>
    </row>
    <row r="327">
      <c r="A327" s="180" t="n"/>
      <c r="B327" s="372" t="n"/>
      <c r="C327" s="176" t="n"/>
      <c r="D327" s="373" t="n"/>
    </row>
    <row r="328">
      <c r="A328" s="29" t="inlineStr">
        <is>
          <t>E. INDIRECT COSTS (25% * (A+C))</t>
        </is>
      </c>
      <c r="B328" s="358" t="n"/>
      <c r="C328" s="110" t="n"/>
      <c r="D328" s="360">
        <f>D325*0.25</f>
        <v/>
      </c>
    </row>
    <row r="329">
      <c r="A329" s="32" t="n"/>
      <c r="B329" s="372" t="n"/>
      <c r="C329" s="176" t="n"/>
      <c r="D329" s="377" t="n"/>
    </row>
    <row r="330">
      <c r="A330" s="29" t="inlineStr">
        <is>
          <t>F. TOTAL COSTS (A+B+C+D+E)</t>
        </is>
      </c>
      <c r="B330" s="369" t="n"/>
      <c r="C330" s="230" t="n"/>
      <c r="D330" s="360">
        <f>D326+D328</f>
        <v/>
      </c>
    </row>
    <row r="331">
      <c r="A331" s="182" t="n"/>
      <c r="B331" s="183" t="n"/>
      <c r="C331" s="184" t="n"/>
      <c r="D331" s="183" t="n"/>
    </row>
    <row r="332">
      <c r="A332" s="190" t="n"/>
      <c r="B332" s="185" t="n"/>
      <c r="C332" s="186" t="n"/>
      <c r="D332" s="187" t="n"/>
    </row>
    <row r="333" ht="21" customHeight="1">
      <c r="A333" s="272">
        <f>CONCATENATE("COSTS WORK PACKAGE 9:"," "," Integration, Validation and Operational Lifecycle of the Agentic System")</f>
        <v/>
      </c>
      <c r="B333" s="314" t="n"/>
      <c r="C333" s="314" t="n"/>
      <c r="D333" s="315" t="n"/>
    </row>
    <row r="334">
      <c r="A334" s="182" t="n"/>
      <c r="B334" s="191" t="n"/>
      <c r="C334" s="192" t="n"/>
      <c r="D334" s="191" t="n"/>
    </row>
    <row r="335">
      <c r="A335" s="29" t="inlineStr">
        <is>
          <t>A. DIRECT PERSONNEL COSTS</t>
        </is>
      </c>
      <c r="B335" s="30" t="n"/>
      <c r="C335" s="110" t="n"/>
      <c r="D335" s="354" t="n"/>
    </row>
    <row r="336">
      <c r="A336" s="28" t="inlineStr">
        <is>
          <t>A.1 Employees (or equivalent)</t>
        </is>
      </c>
      <c r="B336" s="89" t="n"/>
      <c r="C336" s="111" t="n"/>
      <c r="D336" s="355" t="n"/>
    </row>
    <row r="337">
      <c r="A337" s="48" t="inlineStr">
        <is>
          <t>SENIOR SCIENTISTS (or equivalent in the private sector)</t>
        </is>
      </c>
      <c r="B337" s="357" t="n"/>
      <c r="C337" s="248" t="n"/>
      <c r="D337" s="232">
        <f>B337*C337</f>
        <v/>
      </c>
    </row>
    <row r="338">
      <c r="A338" s="48" t="inlineStr">
        <is>
          <t>JUNIOR SCIENTISTS (or equivalent in the private sector)</t>
        </is>
      </c>
      <c r="B338" s="357" t="n"/>
      <c r="C338" s="248" t="n"/>
      <c r="D338" s="232">
        <f>B338*C338</f>
        <v/>
      </c>
    </row>
    <row r="339">
      <c r="A339" s="48" t="inlineStr">
        <is>
          <t>TECHNICAL PERSONNEL (or equivalent in the private sector)</t>
        </is>
      </c>
      <c r="B339" s="357" t="n"/>
      <c r="C339" s="248" t="n"/>
      <c r="D339" s="232">
        <f>B339*C339</f>
        <v/>
      </c>
    </row>
    <row r="340">
      <c r="A340" s="48" t="inlineStr">
        <is>
          <t>ADMINISTRATIVE PERSONNEL (or equivalent in the private sector)</t>
        </is>
      </c>
      <c r="B340" s="357" t="n"/>
      <c r="C340" s="248" t="n"/>
      <c r="D340" s="232">
        <f>B340*C340</f>
        <v/>
      </c>
    </row>
    <row r="341">
      <c r="A341" s="48" t="inlineStr">
        <is>
          <t>OTHERS</t>
        </is>
      </c>
      <c r="B341" s="357" t="n"/>
      <c r="C341" s="248" t="n"/>
      <c r="D341" s="232">
        <f>B341*C341</f>
        <v/>
      </c>
    </row>
    <row r="342">
      <c r="A342" s="28" t="inlineStr">
        <is>
          <t>A.2 Natural Persons under direct contract</t>
        </is>
      </c>
      <c r="B342" s="357" t="n"/>
      <c r="C342" s="248" t="n"/>
      <c r="D342" s="232">
        <f>B342*C342</f>
        <v/>
      </c>
    </row>
    <row r="343">
      <c r="A343" s="28" t="inlineStr">
        <is>
          <t>A.3 Seconded Persons</t>
        </is>
      </c>
      <c r="B343" s="357" t="n"/>
      <c r="C343" s="248" t="n"/>
      <c r="D343" s="232">
        <f>B343*C343</f>
        <v/>
      </c>
    </row>
    <row r="344">
      <c r="A344" s="28" t="inlineStr">
        <is>
          <t>A.4 SME owners and natural person beneficiaries</t>
        </is>
      </c>
      <c r="B344" s="357" t="n"/>
      <c r="C344" s="256" t="n">
        <v>8360.6024</v>
      </c>
      <c r="D344" s="232">
        <f>B344*C344</f>
        <v/>
      </c>
    </row>
    <row r="345">
      <c r="A345" s="29" t="inlineStr">
        <is>
          <t>B. DIRECT SUBCONTRACTING COSTS</t>
        </is>
      </c>
      <c r="B345" s="358" t="n"/>
      <c r="C345" s="110" t="n"/>
      <c r="D345" s="359" t="n"/>
    </row>
    <row r="346">
      <c r="A346" s="53" t="n"/>
      <c r="B346" s="357" t="n"/>
      <c r="C346" s="248" t="n"/>
      <c r="D346" s="361">
        <f>B346*C346</f>
        <v/>
      </c>
    </row>
    <row r="347">
      <c r="A347" s="29" t="inlineStr">
        <is>
          <t>C. DIRECT PURCHASE COSTS</t>
        </is>
      </c>
      <c r="B347" s="358" t="n"/>
      <c r="C347" s="110" t="n"/>
      <c r="D347" s="359" t="n"/>
    </row>
    <row r="348">
      <c r="A348" s="28" t="inlineStr">
        <is>
          <t>C.1 Travel and subsistence</t>
        </is>
      </c>
      <c r="B348" s="357" t="n"/>
      <c r="C348" s="248" t="n"/>
      <c r="D348" s="361">
        <f>B348*C348</f>
        <v/>
      </c>
    </row>
    <row r="349">
      <c r="A349" s="28" t="inlineStr">
        <is>
          <t>C.2 Equipment (complete 'Depreciation costs' sheet)</t>
        </is>
      </c>
      <c r="B349" s="346" t="n"/>
      <c r="C349" s="111" t="n"/>
      <c r="D349" s="364" t="n"/>
    </row>
    <row r="350">
      <c r="A350" s="49" t="inlineStr">
        <is>
          <t>Equipment</t>
        </is>
      </c>
      <c r="B350" s="357" t="n"/>
      <c r="C350" s="248" t="n"/>
      <c r="D350" s="361">
        <f>B350*C350</f>
        <v/>
      </c>
    </row>
    <row r="351">
      <c r="A351" s="49" t="inlineStr">
        <is>
          <t>Infrastructure</t>
        </is>
      </c>
      <c r="B351" s="357" t="n"/>
      <c r="C351" s="248" t="n"/>
      <c r="D351" s="361">
        <f>B351*C351</f>
        <v/>
      </c>
    </row>
    <row r="352">
      <c r="A352" s="49" t="inlineStr">
        <is>
          <t>Other assets</t>
        </is>
      </c>
      <c r="B352" s="357" t="n"/>
      <c r="C352" s="248" t="n"/>
      <c r="D352" s="361">
        <f>B352*C352</f>
        <v/>
      </c>
    </row>
    <row r="353">
      <c r="A353" s="28" t="inlineStr">
        <is>
          <t>C.3 Other goods, works and services</t>
        </is>
      </c>
      <c r="B353" s="346" t="n"/>
      <c r="C353" s="111" t="n"/>
      <c r="D353" s="364" t="n"/>
    </row>
    <row r="354">
      <c r="A354" s="49" t="inlineStr">
        <is>
          <t>Consumables</t>
        </is>
      </c>
      <c r="B354" s="357" t="n"/>
      <c r="C354" s="248" t="n"/>
      <c r="D354" s="361">
        <f>B354*C354</f>
        <v/>
      </c>
    </row>
    <row r="355">
      <c r="A355" s="49" t="inlineStr">
        <is>
          <t>Services for meetings, seminars</t>
        </is>
      </c>
      <c r="B355" s="357" t="n"/>
      <c r="C355" s="248" t="n"/>
      <c r="D355" s="361">
        <f>B355*C355</f>
        <v/>
      </c>
    </row>
    <row r="356">
      <c r="A356" s="49" t="inlineStr">
        <is>
          <t>Services for dissemination activities (including website)</t>
        </is>
      </c>
      <c r="B356" s="357" t="n"/>
      <c r="C356" s="248" t="n"/>
      <c r="D356" s="361">
        <f>B356*C356</f>
        <v/>
      </c>
    </row>
    <row r="357">
      <c r="A357" s="49" t="inlineStr">
        <is>
          <t>Publication fees</t>
        </is>
      </c>
      <c r="B357" s="357" t="n"/>
      <c r="C357" s="248" t="n"/>
      <c r="D357" s="361">
        <f>B357*C357</f>
        <v/>
      </c>
    </row>
    <row r="358">
      <c r="A358" s="49" t="inlineStr">
        <is>
          <t>Other (shipment, insurance, translation, etc.)</t>
        </is>
      </c>
      <c r="B358" s="357" t="n"/>
      <c r="C358" s="248" t="n"/>
      <c r="D358" s="361">
        <f>B358*C358</f>
        <v/>
      </c>
    </row>
    <row r="359">
      <c r="A359" s="29" t="inlineStr">
        <is>
          <t>D. OTHER COST CATEGORIES</t>
        </is>
      </c>
      <c r="B359" s="358" t="n"/>
      <c r="C359" s="110" t="n"/>
      <c r="D359" s="359" t="n"/>
    </row>
    <row r="360">
      <c r="A360" s="50" t="inlineStr">
        <is>
          <t>D.1 Financial support to third parties (if applicable in the topic specific conditions)</t>
        </is>
      </c>
      <c r="B360" s="357" t="n"/>
      <c r="C360" s="248" t="n"/>
      <c r="D360" s="361">
        <f>B360*C360</f>
        <v/>
      </c>
    </row>
    <row r="361">
      <c r="A361" s="50" t="inlineStr">
        <is>
          <t>D.2 Internally invoiced goods and services</t>
        </is>
      </c>
      <c r="B361" s="357" t="n"/>
      <c r="C361" s="248" t="n"/>
      <c r="D361" s="361">
        <f>B361*C361</f>
        <v/>
      </c>
    </row>
    <row r="362">
      <c r="A362" s="50" t="inlineStr">
        <is>
          <t>D.3 Transnational access to research infrastructure unit costs (if mentioned as eligible in the topic specific conditions)</t>
        </is>
      </c>
      <c r="B362" s="357" t="n"/>
      <c r="C362" s="248" t="n"/>
      <c r="D362" s="361">
        <f>B362*C362</f>
        <v/>
      </c>
    </row>
    <row r="363">
      <c r="A363" s="50" t="inlineStr">
        <is>
          <t>D.4 Virtual access to research infrastructure unit costs (if mentioned as eligible in the topic specific conditions)</t>
        </is>
      </c>
      <c r="B363" s="357" t="n"/>
      <c r="C363" s="248" t="n"/>
      <c r="D363" s="361">
        <f>B363*C363</f>
        <v/>
      </c>
    </row>
    <row r="364">
      <c r="A364" s="50" t="inlineStr">
        <is>
          <t>D.5 PCP/PPI procurement costs (if mentioned as eligible in the topic specific conditions)</t>
        </is>
      </c>
      <c r="B364" s="357" t="n"/>
      <c r="C364" s="248" t="n"/>
      <c r="D364" s="361">
        <f>B364*C364</f>
        <v/>
      </c>
    </row>
    <row r="365">
      <c r="A365" s="50" t="n"/>
      <c r="B365" s="346" t="n"/>
      <c r="C365" s="111" t="n"/>
      <c r="D365" s="365" t="n"/>
    </row>
    <row r="366">
      <c r="A366" s="52" t="inlineStr">
        <is>
          <t>TOTAL DIRECT PERSONNEL COSTS AND PURCHASE COSTS (A+C)</t>
        </is>
      </c>
      <c r="B366" s="369" t="n"/>
      <c r="C366" s="230" t="n"/>
      <c r="D366" s="360">
        <f>SUM(D337:D344,D348:D358)</f>
        <v/>
      </c>
    </row>
    <row r="367">
      <c r="A367" s="52" t="inlineStr">
        <is>
          <t>TOTAL DIRECT COSTS  (A+B+C+D)</t>
        </is>
      </c>
      <c r="B367" s="369" t="n"/>
      <c r="C367" s="230" t="n"/>
      <c r="D367" s="360">
        <f>SUM(D337:D364)</f>
        <v/>
      </c>
    </row>
    <row r="368">
      <c r="A368" s="180" t="n"/>
      <c r="B368" s="372" t="n"/>
      <c r="C368" s="176" t="n"/>
      <c r="D368" s="373" t="n"/>
    </row>
    <row r="369">
      <c r="A369" s="29" t="inlineStr">
        <is>
          <t>E. INDIRECT COSTS (25% * (A+C))</t>
        </is>
      </c>
      <c r="B369" s="358" t="n"/>
      <c r="C369" s="110" t="n"/>
      <c r="D369" s="360">
        <f>D366*0.25</f>
        <v/>
      </c>
    </row>
    <row r="370">
      <c r="A370" s="32" t="n"/>
      <c r="B370" s="372" t="n"/>
      <c r="C370" s="176" t="n"/>
      <c r="D370" s="377" t="n"/>
    </row>
    <row r="371">
      <c r="A371" s="29" t="inlineStr">
        <is>
          <t>F. TOTAL COSTS (A+B+C+D+E)</t>
        </is>
      </c>
      <c r="B371" s="369" t="n"/>
      <c r="C371" s="230" t="n"/>
      <c r="D371" s="360">
        <f>D367+D369</f>
        <v/>
      </c>
    </row>
    <row r="372">
      <c r="A372" s="182" t="n"/>
      <c r="B372" s="183" t="n"/>
      <c r="C372" s="184" t="n"/>
      <c r="D372" s="183" t="n"/>
    </row>
    <row r="373">
      <c r="A373" s="190" t="n"/>
      <c r="B373" s="185" t="n"/>
      <c r="C373" s="186" t="n"/>
      <c r="D373" s="187" t="n"/>
    </row>
    <row r="374" ht="21" customHeight="1">
      <c r="A374" s="272">
        <f>CONCATENATE("COSTS WORK PACKAGE 10:"," ","HSE and Environment")</f>
        <v/>
      </c>
      <c r="B374" s="314" t="n"/>
      <c r="C374" s="314" t="n"/>
      <c r="D374" s="315" t="n"/>
    </row>
    <row r="375">
      <c r="A375" s="182" t="n"/>
      <c r="B375" s="191" t="n"/>
      <c r="C375" s="192" t="n"/>
      <c r="D375" s="191" t="n"/>
    </row>
    <row r="376">
      <c r="A376" s="29" t="inlineStr">
        <is>
          <t>A. DIRECT PERSONNEL COSTS</t>
        </is>
      </c>
      <c r="B376" s="30" t="n"/>
      <c r="C376" s="110" t="n"/>
      <c r="D376" s="354" t="n"/>
    </row>
    <row r="377">
      <c r="A377" s="28" t="inlineStr">
        <is>
          <t>A.1 Employees (or equivalent)</t>
        </is>
      </c>
      <c r="B377" s="89" t="n"/>
      <c r="C377" s="111" t="n"/>
      <c r="D377" s="355" t="n"/>
    </row>
    <row r="378">
      <c r="A378" s="48" t="inlineStr">
        <is>
          <t>SENIOR SCIENTISTS (or equivalent in the private sector)</t>
        </is>
      </c>
      <c r="B378" s="357" t="n"/>
      <c r="C378" s="248" t="n"/>
      <c r="D378" s="232">
        <f>B378*C378</f>
        <v/>
      </c>
    </row>
    <row r="379">
      <c r="A379" s="48" t="inlineStr">
        <is>
          <t>JUNIOR SCIENTISTS (or equivalent in the private sector)</t>
        </is>
      </c>
      <c r="B379" s="357" t="n"/>
      <c r="C379" s="248" t="n"/>
      <c r="D379" s="232">
        <f>B379*C379</f>
        <v/>
      </c>
    </row>
    <row r="380">
      <c r="A380" s="48" t="inlineStr">
        <is>
          <t>TECHNICAL PERSONNEL (or equivalent in the private sector)</t>
        </is>
      </c>
      <c r="B380" s="357" t="n"/>
      <c r="C380" s="248" t="n"/>
      <c r="D380" s="232">
        <f>B380*C380</f>
        <v/>
      </c>
    </row>
    <row r="381">
      <c r="A381" s="48" t="inlineStr">
        <is>
          <t>ADMINISTRATIVE PERSONNEL (or equivalent in the private sector)</t>
        </is>
      </c>
      <c r="B381" s="357" t="n"/>
      <c r="C381" s="248" t="n"/>
      <c r="D381" s="232">
        <f>B381*C381</f>
        <v/>
      </c>
    </row>
    <row r="382">
      <c r="A382" s="48" t="inlineStr">
        <is>
          <t>OTHERS</t>
        </is>
      </c>
      <c r="B382" s="357" t="n"/>
      <c r="C382" s="248" t="n"/>
      <c r="D382" s="232">
        <f>B382*C382</f>
        <v/>
      </c>
    </row>
    <row r="383">
      <c r="A383" s="28" t="inlineStr">
        <is>
          <t>A.2 Natural Persons under direct contract</t>
        </is>
      </c>
      <c r="B383" s="357" t="n"/>
      <c r="C383" s="248" t="n"/>
      <c r="D383" s="232">
        <f>B383*C383</f>
        <v/>
      </c>
    </row>
    <row r="384">
      <c r="A384" s="28" t="inlineStr">
        <is>
          <t>A.3 Seconded Persons</t>
        </is>
      </c>
      <c r="B384" s="357" t="n"/>
      <c r="C384" s="248" t="n"/>
      <c r="D384" s="232">
        <f>B384*C384</f>
        <v/>
      </c>
    </row>
    <row r="385">
      <c r="A385" s="28" t="inlineStr">
        <is>
          <t>A.4 SME owners and natural person beneficiaries</t>
        </is>
      </c>
      <c r="B385" s="357" t="n"/>
      <c r="C385" s="256" t="n">
        <v>8360.6024</v>
      </c>
      <c r="D385" s="232">
        <f>B385*C385</f>
        <v/>
      </c>
    </row>
    <row r="386">
      <c r="A386" s="29" t="inlineStr">
        <is>
          <t>B. DIRECT SUBCONTRACTING COSTS</t>
        </is>
      </c>
      <c r="B386" s="358" t="n"/>
      <c r="C386" s="110" t="n"/>
      <c r="D386" s="359" t="n"/>
    </row>
    <row r="387">
      <c r="A387" s="53" t="n"/>
      <c r="B387" s="357" t="n"/>
      <c r="C387" s="248" t="n"/>
      <c r="D387" s="361">
        <f>B387*C387</f>
        <v/>
      </c>
    </row>
    <row r="388">
      <c r="A388" s="29" t="inlineStr">
        <is>
          <t>C. DIRECT PURCHASE COSTS</t>
        </is>
      </c>
      <c r="B388" s="358" t="n"/>
      <c r="C388" s="110" t="n"/>
      <c r="D388" s="359" t="n"/>
    </row>
    <row r="389">
      <c r="A389" s="28" t="inlineStr">
        <is>
          <t>C.1 Travel and subsistence</t>
        </is>
      </c>
      <c r="B389" s="357" t="n"/>
      <c r="C389" s="248" t="n"/>
      <c r="D389" s="361">
        <f>B389*C389</f>
        <v/>
      </c>
    </row>
    <row r="390">
      <c r="A390" s="28" t="inlineStr">
        <is>
          <t>C.2 Equipment (complete 'Depreciation costs' sheet)</t>
        </is>
      </c>
      <c r="B390" s="346" t="n"/>
      <c r="C390" s="111" t="n"/>
      <c r="D390" s="364" t="n"/>
    </row>
    <row r="391">
      <c r="A391" s="49" t="inlineStr">
        <is>
          <t>Equipment</t>
        </is>
      </c>
      <c r="B391" s="357" t="n"/>
      <c r="C391" s="248" t="n"/>
      <c r="D391" s="361">
        <f>B391*C391</f>
        <v/>
      </c>
    </row>
    <row r="392">
      <c r="A392" s="49" t="inlineStr">
        <is>
          <t>Infrastructure</t>
        </is>
      </c>
      <c r="B392" s="357" t="n"/>
      <c r="C392" s="248" t="n"/>
      <c r="D392" s="361">
        <f>B392*C392</f>
        <v/>
      </c>
    </row>
    <row r="393">
      <c r="A393" s="49" t="inlineStr">
        <is>
          <t>Other assets</t>
        </is>
      </c>
      <c r="B393" s="357" t="n"/>
      <c r="C393" s="248" t="n"/>
      <c r="D393" s="361">
        <f>B393*C393</f>
        <v/>
      </c>
    </row>
    <row r="394">
      <c r="A394" s="28" t="inlineStr">
        <is>
          <t>C.3 Other goods, works and services</t>
        </is>
      </c>
      <c r="B394" s="346" t="n"/>
      <c r="C394" s="111" t="n"/>
      <c r="D394" s="364" t="n"/>
    </row>
    <row r="395">
      <c r="A395" s="49" t="inlineStr">
        <is>
          <t>Consumables</t>
        </is>
      </c>
      <c r="B395" s="357" t="n"/>
      <c r="C395" s="248" t="n"/>
      <c r="D395" s="361">
        <f>B395*C395</f>
        <v/>
      </c>
    </row>
    <row r="396">
      <c r="A396" s="49" t="inlineStr">
        <is>
          <t>Services for meetings, seminars</t>
        </is>
      </c>
      <c r="B396" s="357" t="n"/>
      <c r="C396" s="248" t="n"/>
      <c r="D396" s="361">
        <f>B396*C396</f>
        <v/>
      </c>
    </row>
    <row r="397">
      <c r="A397" s="49" t="inlineStr">
        <is>
          <t>Services for dissemination activities (including website)</t>
        </is>
      </c>
      <c r="B397" s="357" t="n"/>
      <c r="C397" s="248" t="n"/>
      <c r="D397" s="361">
        <f>B397*C397</f>
        <v/>
      </c>
    </row>
    <row r="398">
      <c r="A398" s="49" t="inlineStr">
        <is>
          <t>Publication fees</t>
        </is>
      </c>
      <c r="B398" s="357" t="n"/>
      <c r="C398" s="248" t="n"/>
      <c r="D398" s="361">
        <f>B398*C398</f>
        <v/>
      </c>
    </row>
    <row r="399">
      <c r="A399" s="49" t="inlineStr">
        <is>
          <t>Other (shipment, insurance, translation, etc.)</t>
        </is>
      </c>
      <c r="B399" s="357" t="n"/>
      <c r="C399" s="248" t="n"/>
      <c r="D399" s="361">
        <f>B399*C399</f>
        <v/>
      </c>
    </row>
    <row r="400">
      <c r="A400" s="29" t="inlineStr">
        <is>
          <t>D. OTHER COST CATEGORIES</t>
        </is>
      </c>
      <c r="B400" s="358" t="n"/>
      <c r="C400" s="110" t="n"/>
      <c r="D400" s="359" t="n"/>
    </row>
    <row r="401">
      <c r="A401" s="50" t="inlineStr">
        <is>
          <t>D.1 Financial support to third parties (if applicable in the topic specific conditions)</t>
        </is>
      </c>
      <c r="B401" s="357" t="n"/>
      <c r="C401" s="248" t="n"/>
      <c r="D401" s="361">
        <f>B401*C401</f>
        <v/>
      </c>
    </row>
    <row r="402">
      <c r="A402" s="50" t="inlineStr">
        <is>
          <t>D.2 Internally invoiced goods and services</t>
        </is>
      </c>
      <c r="B402" s="357" t="n"/>
      <c r="C402" s="248" t="n"/>
      <c r="D402" s="361">
        <f>B402*C402</f>
        <v/>
      </c>
    </row>
    <row r="403">
      <c r="A403" s="50" t="inlineStr">
        <is>
          <t>D.3 Transnational access to research infrastructure unit costs (if mentioned as eligible in the topic specific conditions)</t>
        </is>
      </c>
      <c r="B403" s="357" t="n"/>
      <c r="C403" s="248" t="n"/>
      <c r="D403" s="361">
        <f>B403*C403</f>
        <v/>
      </c>
    </row>
    <row r="404">
      <c r="A404" s="50" t="inlineStr">
        <is>
          <t>D.4 Virtual access to research infrastructure unit costs (if mentioned as eligible in the topic specific conditions)</t>
        </is>
      </c>
      <c r="B404" s="357" t="n"/>
      <c r="C404" s="248" t="n"/>
      <c r="D404" s="361">
        <f>B404*C404</f>
        <v/>
      </c>
    </row>
    <row r="405">
      <c r="A405" s="50" t="inlineStr">
        <is>
          <t>D.5 PCP/PPI procurement costs (if mentioned as eligible in the topic specific conditions)</t>
        </is>
      </c>
      <c r="B405" s="357" t="n"/>
      <c r="C405" s="248" t="n"/>
      <c r="D405" s="361">
        <f>B405*C405</f>
        <v/>
      </c>
    </row>
    <row r="406">
      <c r="A406" s="50" t="n"/>
      <c r="B406" s="346" t="n"/>
      <c r="C406" s="111" t="n"/>
      <c r="D406" s="365" t="n"/>
    </row>
    <row r="407">
      <c r="A407" s="52" t="inlineStr">
        <is>
          <t>TOTAL DIRECT PERSONNEL COSTS AND PURCHASE COSTS (A+C)</t>
        </is>
      </c>
      <c r="B407" s="369" t="n"/>
      <c r="C407" s="230" t="n"/>
      <c r="D407" s="360">
        <f>SUM(D378:D385,D389:D399)</f>
        <v/>
      </c>
    </row>
    <row r="408">
      <c r="A408" s="52" t="inlineStr">
        <is>
          <t>TOTAL DIRECT COSTS  (A+B+C+D)</t>
        </is>
      </c>
      <c r="B408" s="369" t="n"/>
      <c r="C408" s="230" t="n"/>
      <c r="D408" s="360">
        <f>SUM(D378:D405)</f>
        <v/>
      </c>
    </row>
    <row r="409">
      <c r="A409" s="180" t="n"/>
      <c r="B409" s="372" t="n"/>
      <c r="C409" s="176" t="n"/>
      <c r="D409" s="373" t="n"/>
    </row>
    <row r="410">
      <c r="A410" s="29" t="inlineStr">
        <is>
          <t>E. INDIRECT COSTS (25% * (A+C))</t>
        </is>
      </c>
      <c r="B410" s="358" t="n"/>
      <c r="C410" s="110" t="n"/>
      <c r="D410" s="360">
        <f>D407*0.25</f>
        <v/>
      </c>
    </row>
    <row r="411">
      <c r="A411" s="32" t="n"/>
      <c r="B411" s="372" t="n"/>
      <c r="C411" s="176" t="n"/>
      <c r="D411" s="377" t="n"/>
    </row>
    <row r="412">
      <c r="A412" s="29" t="inlineStr">
        <is>
          <t>F. TOTAL COSTS (A+B+C+D+E)</t>
        </is>
      </c>
      <c r="B412" s="369" t="n"/>
      <c r="C412" s="230" t="n"/>
      <c r="D412" s="360">
        <f>D408+D410</f>
        <v/>
      </c>
    </row>
    <row r="413">
      <c r="A413" s="182" t="n"/>
      <c r="B413" s="183" t="n"/>
      <c r="C413" s="184" t="n"/>
      <c r="D413" s="183" t="n"/>
    </row>
    <row r="414">
      <c r="A414" s="190" t="n"/>
      <c r="B414" s="185" t="n"/>
      <c r="C414" s="186" t="n"/>
      <c r="D414" s="187" t="n"/>
    </row>
    <row r="415" ht="21" customHeight="1">
      <c r="A415" s="272">
        <f>CONCATENATE("COSTS WORK PACKAGE 11:"," ","System integration for unified O&amp;M Platform")</f>
        <v/>
      </c>
      <c r="B415" s="314" t="n"/>
      <c r="C415" s="314" t="n"/>
      <c r="D415" s="315" t="n"/>
    </row>
    <row r="416">
      <c r="A416" s="182" t="n"/>
      <c r="B416" s="191" t="n"/>
      <c r="C416" s="192" t="n"/>
      <c r="D416" s="191" t="n"/>
    </row>
    <row r="417">
      <c r="A417" s="29" t="inlineStr">
        <is>
          <t>A. DIRECT PERSONNEL COSTS</t>
        </is>
      </c>
      <c r="B417" s="30" t="n"/>
      <c r="C417" s="110" t="n"/>
      <c r="D417" s="354" t="n"/>
    </row>
    <row r="418">
      <c r="A418" s="28" t="inlineStr">
        <is>
          <t>A.1 Employees (or equivalent)</t>
        </is>
      </c>
      <c r="B418" s="89" t="n"/>
      <c r="C418" s="111" t="n"/>
      <c r="D418" s="355" t="n"/>
    </row>
    <row r="419">
      <c r="A419" s="48" t="inlineStr">
        <is>
          <t>SENIOR SCIENTISTS (or equivalent in the private sector)</t>
        </is>
      </c>
      <c r="B419" s="357" t="n"/>
      <c r="C419" s="248" t="n"/>
      <c r="D419" s="232">
        <f>B419*C419</f>
        <v/>
      </c>
    </row>
    <row r="420">
      <c r="A420" s="48" t="inlineStr">
        <is>
          <t>JUNIOR SCIENTISTS (or equivalent in the private sector)</t>
        </is>
      </c>
      <c r="B420" s="357" t="n"/>
      <c r="C420" s="248" t="n"/>
      <c r="D420" s="232">
        <f>B420*C420</f>
        <v/>
      </c>
    </row>
    <row r="421">
      <c r="A421" s="48" t="inlineStr">
        <is>
          <t>TECHNICAL PERSONNEL (or equivalent in the private sector)</t>
        </is>
      </c>
      <c r="B421" s="357" t="n"/>
      <c r="C421" s="248" t="n"/>
      <c r="D421" s="232">
        <f>B421*C421</f>
        <v/>
      </c>
    </row>
    <row r="422">
      <c r="A422" s="48" t="inlineStr">
        <is>
          <t>ADMINISTRATIVE PERSONNEL (or equivalent in the private sector)</t>
        </is>
      </c>
      <c r="B422" s="357" t="n"/>
      <c r="C422" s="248" t="n"/>
      <c r="D422" s="232">
        <f>B422*C422</f>
        <v/>
      </c>
    </row>
    <row r="423">
      <c r="A423" s="48" t="inlineStr">
        <is>
          <t>OTHERS</t>
        </is>
      </c>
      <c r="B423" s="357" t="n"/>
      <c r="C423" s="248" t="n"/>
      <c r="D423" s="232">
        <f>B423*C423</f>
        <v/>
      </c>
    </row>
    <row r="424">
      <c r="A424" s="28" t="inlineStr">
        <is>
          <t>A.2 Natural Persons under direct contract</t>
        </is>
      </c>
      <c r="B424" s="357" t="n"/>
      <c r="C424" s="248" t="n"/>
      <c r="D424" s="232">
        <f>B424*C424</f>
        <v/>
      </c>
    </row>
    <row r="425">
      <c r="A425" s="28" t="inlineStr">
        <is>
          <t>A.3 Seconded Persons</t>
        </is>
      </c>
      <c r="B425" s="357" t="n"/>
      <c r="C425" s="248" t="n"/>
      <c r="D425" s="232">
        <f>B425*C425</f>
        <v/>
      </c>
    </row>
    <row r="426">
      <c r="A426" s="28" t="inlineStr">
        <is>
          <t>A.4 SME owners and natural person beneficiaries</t>
        </is>
      </c>
      <c r="B426" s="357" t="n"/>
      <c r="C426" s="256" t="n">
        <v>8360.6024</v>
      </c>
      <c r="D426" s="232">
        <f>B426*C426</f>
        <v/>
      </c>
    </row>
    <row r="427">
      <c r="A427" s="29" t="inlineStr">
        <is>
          <t>B. DIRECT SUBCONTRACTING COSTS</t>
        </is>
      </c>
      <c r="B427" s="358" t="n"/>
      <c r="C427" s="110" t="n"/>
      <c r="D427" s="359" t="n"/>
    </row>
    <row r="428">
      <c r="A428" s="53" t="n"/>
      <c r="B428" s="357" t="n"/>
      <c r="C428" s="248" t="n"/>
      <c r="D428" s="361">
        <f>B428*C428</f>
        <v/>
      </c>
    </row>
    <row r="429">
      <c r="A429" s="29" t="inlineStr">
        <is>
          <t>C. DIRECT PURCHASE COSTS</t>
        </is>
      </c>
      <c r="B429" s="358" t="n"/>
      <c r="C429" s="110" t="n"/>
      <c r="D429" s="359" t="n"/>
    </row>
    <row r="430">
      <c r="A430" s="28" t="inlineStr">
        <is>
          <t>C.1 Travel and subsistence</t>
        </is>
      </c>
      <c r="B430" s="357" t="n"/>
      <c r="C430" s="248" t="n"/>
      <c r="D430" s="361">
        <f>B430*C430</f>
        <v/>
      </c>
    </row>
    <row r="431">
      <c r="A431" s="28" t="inlineStr">
        <is>
          <t>C.2 Equipment (complete 'Depreciation costs' sheet)</t>
        </is>
      </c>
      <c r="B431" s="346" t="n"/>
      <c r="C431" s="111" t="n"/>
      <c r="D431" s="364" t="n"/>
    </row>
    <row r="432">
      <c r="A432" s="49" t="inlineStr">
        <is>
          <t>Equipment</t>
        </is>
      </c>
      <c r="B432" s="357" t="n"/>
      <c r="C432" s="248" t="n"/>
      <c r="D432" s="361">
        <f>B432*C432</f>
        <v/>
      </c>
    </row>
    <row r="433">
      <c r="A433" s="49" t="inlineStr">
        <is>
          <t>Infrastructure</t>
        </is>
      </c>
      <c r="B433" s="357" t="n"/>
      <c r="C433" s="248" t="n"/>
      <c r="D433" s="361">
        <f>B433*C433</f>
        <v/>
      </c>
    </row>
    <row r="434">
      <c r="A434" s="49" t="inlineStr">
        <is>
          <t>Other assets</t>
        </is>
      </c>
      <c r="B434" s="357" t="n"/>
      <c r="C434" s="248" t="n"/>
      <c r="D434" s="361">
        <f>B434*C434</f>
        <v/>
      </c>
    </row>
    <row r="435">
      <c r="A435" s="28" t="inlineStr">
        <is>
          <t>C.3 Other goods, works and services</t>
        </is>
      </c>
      <c r="B435" s="346" t="n"/>
      <c r="C435" s="111" t="n"/>
      <c r="D435" s="364" t="n"/>
    </row>
    <row r="436">
      <c r="A436" s="49" t="inlineStr">
        <is>
          <t>Consumables</t>
        </is>
      </c>
      <c r="B436" s="357" t="n"/>
      <c r="C436" s="248" t="n"/>
      <c r="D436" s="361">
        <f>B436*C436</f>
        <v/>
      </c>
    </row>
    <row r="437">
      <c r="A437" s="49" t="inlineStr">
        <is>
          <t>Services for meetings, seminars</t>
        </is>
      </c>
      <c r="B437" s="357" t="n"/>
      <c r="C437" s="248" t="n"/>
      <c r="D437" s="361">
        <f>B437*C437</f>
        <v/>
      </c>
    </row>
    <row r="438">
      <c r="A438" s="49" t="inlineStr">
        <is>
          <t>Services for dissemination activities (including website)</t>
        </is>
      </c>
      <c r="B438" s="357" t="n"/>
      <c r="C438" s="248" t="n"/>
      <c r="D438" s="361">
        <f>B438*C438</f>
        <v/>
      </c>
    </row>
    <row r="439">
      <c r="A439" s="49" t="inlineStr">
        <is>
          <t>Publication fees</t>
        </is>
      </c>
      <c r="B439" s="357" t="n"/>
      <c r="C439" s="248" t="n"/>
      <c r="D439" s="361">
        <f>B439*C439</f>
        <v/>
      </c>
    </row>
    <row r="440">
      <c r="A440" s="49" t="inlineStr">
        <is>
          <t>Other (shipment, insurance, translation, etc.)</t>
        </is>
      </c>
      <c r="B440" s="357" t="n"/>
      <c r="C440" s="248" t="n"/>
      <c r="D440" s="361">
        <f>B440*C440</f>
        <v/>
      </c>
    </row>
    <row r="441">
      <c r="A441" s="29" t="inlineStr">
        <is>
          <t>D. OTHER COST CATEGORIES</t>
        </is>
      </c>
      <c r="B441" s="358" t="n"/>
      <c r="C441" s="110" t="n"/>
      <c r="D441" s="359" t="n"/>
    </row>
    <row r="442">
      <c r="A442" s="50" t="inlineStr">
        <is>
          <t>D.1 Financial support to third parties (if applicable in the topic specific conditions)</t>
        </is>
      </c>
      <c r="B442" s="357" t="n"/>
      <c r="C442" s="248" t="n"/>
      <c r="D442" s="361">
        <f>B442*C442</f>
        <v/>
      </c>
    </row>
    <row r="443">
      <c r="A443" s="50" t="inlineStr">
        <is>
          <t>D.2 Internally invoiced goods and services</t>
        </is>
      </c>
      <c r="B443" s="357" t="n"/>
      <c r="C443" s="248" t="n"/>
      <c r="D443" s="361">
        <f>B443*C443</f>
        <v/>
      </c>
    </row>
    <row r="444">
      <c r="A444" s="50" t="inlineStr">
        <is>
          <t>D.3 Transnational access to research infrastructure unit costs (if mentioned as eligible in the topic specific conditions)</t>
        </is>
      </c>
      <c r="B444" s="357" t="n"/>
      <c r="C444" s="248" t="n"/>
      <c r="D444" s="361">
        <f>B444*C444</f>
        <v/>
      </c>
    </row>
    <row r="445">
      <c r="A445" s="50" t="inlineStr">
        <is>
          <t>D.4 Virtual access to research infrastructure unit costs (if mentioned as eligible in the topic specific conditions)</t>
        </is>
      </c>
      <c r="B445" s="357" t="n"/>
      <c r="C445" s="248" t="n"/>
      <c r="D445" s="361">
        <f>B445*C445</f>
        <v/>
      </c>
    </row>
    <row r="446">
      <c r="A446" s="50" t="inlineStr">
        <is>
          <t>D.5 PCP/PPI procurement costs (if mentioned as eligible in the topic specific conditions)</t>
        </is>
      </c>
      <c r="B446" s="357" t="n"/>
      <c r="C446" s="248" t="n"/>
      <c r="D446" s="361">
        <f>B446*C446</f>
        <v/>
      </c>
    </row>
    <row r="447">
      <c r="A447" s="50" t="n"/>
      <c r="B447" s="346" t="n"/>
      <c r="C447" s="111" t="n"/>
      <c r="D447" s="365" t="n"/>
    </row>
    <row r="448">
      <c r="A448" s="52" t="inlineStr">
        <is>
          <t>TOTAL DIRECT PERSONNEL COSTS AND PURCHASE COSTS (A+C)</t>
        </is>
      </c>
      <c r="B448" s="369" t="n"/>
      <c r="C448" s="230" t="n"/>
      <c r="D448" s="360">
        <f>SUM(D419:D426,D430:D440)</f>
        <v/>
      </c>
    </row>
    <row r="449">
      <c r="A449" s="52" t="inlineStr">
        <is>
          <t>TOTAL DIRECT COSTS  (A+B+C+D)</t>
        </is>
      </c>
      <c r="B449" s="369" t="n"/>
      <c r="C449" s="230" t="n"/>
      <c r="D449" s="360">
        <f>SUM(D419:D446)</f>
        <v/>
      </c>
    </row>
    <row r="450">
      <c r="A450" s="180" t="n"/>
      <c r="B450" s="372" t="n"/>
      <c r="C450" s="176" t="n"/>
      <c r="D450" s="373" t="n"/>
    </row>
    <row r="451">
      <c r="A451" s="29" t="inlineStr">
        <is>
          <t>E. INDIRECT COSTS (25% * (A+C))</t>
        </is>
      </c>
      <c r="B451" s="358" t="n"/>
      <c r="C451" s="110" t="n"/>
      <c r="D451" s="360">
        <f>D448*0.25</f>
        <v/>
      </c>
    </row>
    <row r="452">
      <c r="A452" s="32" t="n"/>
      <c r="B452" s="372" t="n"/>
      <c r="C452" s="176" t="n"/>
      <c r="D452" s="377" t="n"/>
    </row>
    <row r="453">
      <c r="A453" s="29" t="inlineStr">
        <is>
          <t>F. TOTAL COSTS (A+B+C+D+E)</t>
        </is>
      </c>
      <c r="B453" s="369" t="n"/>
      <c r="C453" s="230" t="n"/>
      <c r="D453" s="360">
        <f>D449+D451</f>
        <v/>
      </c>
    </row>
    <row r="454">
      <c r="A454" s="182" t="n"/>
      <c r="B454" s="183" t="n"/>
      <c r="C454" s="184" t="n"/>
      <c r="D454" s="183" t="n"/>
    </row>
    <row r="455">
      <c r="A455" s="190" t="n"/>
      <c r="B455" s="185" t="n"/>
      <c r="C455" s="186" t="n"/>
      <c r="D455" s="187" t="n"/>
    </row>
    <row r="456" ht="21" customHeight="1">
      <c r="A456" s="272">
        <f>CONCATENATE("COSTS WORK PACKAGE 12:"," ","System integration for unified O&amp;M Platform")</f>
        <v/>
      </c>
      <c r="B456" s="314" t="n"/>
      <c r="C456" s="314" t="n"/>
      <c r="D456" s="315" t="n"/>
    </row>
    <row r="457">
      <c r="A457" s="182" t="n"/>
      <c r="B457" s="191" t="n"/>
      <c r="C457" s="192" t="n"/>
      <c r="D457" s="191" t="n"/>
    </row>
    <row r="458">
      <c r="A458" s="29" t="inlineStr">
        <is>
          <t>A. DIRECT PERSONNEL COSTS</t>
        </is>
      </c>
      <c r="B458" s="30" t="n"/>
      <c r="C458" s="110" t="n"/>
      <c r="D458" s="354" t="n"/>
    </row>
    <row r="459">
      <c r="A459" s="28" t="inlineStr">
        <is>
          <t>A.1 Employees (or equivalent)</t>
        </is>
      </c>
      <c r="B459" s="89" t="n"/>
      <c r="C459" s="111" t="n"/>
      <c r="D459" s="355" t="n"/>
    </row>
    <row r="460">
      <c r="A460" s="48" t="inlineStr">
        <is>
          <t>SENIOR SCIENTISTS (or equivalent in the private sector)</t>
        </is>
      </c>
      <c r="B460" s="357" t="n"/>
      <c r="C460" s="248" t="n"/>
      <c r="D460" s="232">
        <f>B460*C460</f>
        <v/>
      </c>
    </row>
    <row r="461">
      <c r="A461" s="48" t="inlineStr">
        <is>
          <t>JUNIOR SCIENTISTS (or equivalent in the private sector)</t>
        </is>
      </c>
      <c r="B461" s="357" t="n"/>
      <c r="C461" s="248" t="n"/>
      <c r="D461" s="232">
        <f>B461*C461</f>
        <v/>
      </c>
    </row>
    <row r="462">
      <c r="A462" s="48" t="inlineStr">
        <is>
          <t>TECHNICAL PERSONNEL (or equivalent in the private sector)</t>
        </is>
      </c>
      <c r="B462" s="357" t="n"/>
      <c r="C462" s="248" t="n"/>
      <c r="D462" s="232">
        <f>B462*C462</f>
        <v/>
      </c>
    </row>
    <row r="463">
      <c r="A463" s="48" t="inlineStr">
        <is>
          <t>ADMINISTRATIVE PERSONNEL (or equivalent in the private sector)</t>
        </is>
      </c>
      <c r="B463" s="357" t="n"/>
      <c r="C463" s="248" t="n"/>
      <c r="D463" s="232">
        <f>B463*C463</f>
        <v/>
      </c>
    </row>
    <row r="464">
      <c r="A464" s="48" t="inlineStr">
        <is>
          <t>OTHERS</t>
        </is>
      </c>
      <c r="B464" s="357" t="n"/>
      <c r="C464" s="248" t="n"/>
      <c r="D464" s="232">
        <f>B464*C464</f>
        <v/>
      </c>
    </row>
    <row r="465">
      <c r="A465" s="28" t="inlineStr">
        <is>
          <t>A.2 Natural Persons under direct contract</t>
        </is>
      </c>
      <c r="B465" s="357" t="n"/>
      <c r="C465" s="248" t="n"/>
      <c r="D465" s="232">
        <f>B465*C465</f>
        <v/>
      </c>
    </row>
    <row r="466">
      <c r="A466" s="28" t="inlineStr">
        <is>
          <t>A.3 Seconded Persons</t>
        </is>
      </c>
      <c r="B466" s="357" t="n"/>
      <c r="C466" s="248" t="n"/>
      <c r="D466" s="232">
        <f>B466*C466</f>
        <v/>
      </c>
    </row>
    <row r="467">
      <c r="A467" s="28" t="inlineStr">
        <is>
          <t>A.4 SME owners and natural person beneficiaries</t>
        </is>
      </c>
      <c r="B467" s="357" t="n"/>
      <c r="C467" s="256" t="n">
        <v>8360.6024</v>
      </c>
      <c r="D467" s="232">
        <f>B467*C467</f>
        <v/>
      </c>
    </row>
    <row r="468">
      <c r="A468" s="29" t="inlineStr">
        <is>
          <t>B. DIRECT SUBCONTRACTING COSTS</t>
        </is>
      </c>
      <c r="B468" s="358" t="n"/>
      <c r="C468" s="110" t="n"/>
      <c r="D468" s="359" t="n"/>
    </row>
    <row r="469">
      <c r="A469" s="53" t="n"/>
      <c r="B469" s="357" t="n"/>
      <c r="C469" s="248" t="n"/>
      <c r="D469" s="361">
        <f>B469*C469</f>
        <v/>
      </c>
    </row>
    <row r="470">
      <c r="A470" s="29" t="inlineStr">
        <is>
          <t>C. DIRECT PURCHASE COSTS</t>
        </is>
      </c>
      <c r="B470" s="358" t="n"/>
      <c r="C470" s="110" t="n"/>
      <c r="D470" s="359" t="n"/>
    </row>
    <row r="471">
      <c r="A471" s="28" t="inlineStr">
        <is>
          <t>C.1 Travel and subsistence</t>
        </is>
      </c>
      <c r="B471" s="357" t="n"/>
      <c r="C471" s="248" t="n"/>
      <c r="D471" s="361">
        <f>B471*C471</f>
        <v/>
      </c>
    </row>
    <row r="472">
      <c r="A472" s="28" t="inlineStr">
        <is>
          <t>C.2 Equipment (complete 'Depreciation costs' sheet)</t>
        </is>
      </c>
      <c r="B472" s="346" t="n"/>
      <c r="C472" s="111" t="n"/>
      <c r="D472" s="364" t="n"/>
    </row>
    <row r="473">
      <c r="A473" s="49" t="inlineStr">
        <is>
          <t>Equipment</t>
        </is>
      </c>
      <c r="B473" s="357" t="n"/>
      <c r="C473" s="248" t="n"/>
      <c r="D473" s="361">
        <f>B473*C473</f>
        <v/>
      </c>
    </row>
    <row r="474">
      <c r="A474" s="49" t="inlineStr">
        <is>
          <t>Infrastructure</t>
        </is>
      </c>
      <c r="B474" s="357" t="n"/>
      <c r="C474" s="248" t="n"/>
      <c r="D474" s="361">
        <f>B474*C474</f>
        <v/>
      </c>
    </row>
    <row r="475">
      <c r="A475" s="49" t="inlineStr">
        <is>
          <t>Other assets</t>
        </is>
      </c>
      <c r="B475" s="357" t="n"/>
      <c r="C475" s="248" t="n"/>
      <c r="D475" s="361">
        <f>B475*C475</f>
        <v/>
      </c>
    </row>
    <row r="476">
      <c r="A476" s="28" t="inlineStr">
        <is>
          <t>C.3 Other goods, works and services</t>
        </is>
      </c>
      <c r="B476" s="346" t="n"/>
      <c r="C476" s="111" t="n"/>
      <c r="D476" s="364" t="n"/>
    </row>
    <row r="477">
      <c r="A477" s="49" t="inlineStr">
        <is>
          <t>Consumables</t>
        </is>
      </c>
      <c r="B477" s="357" t="n"/>
      <c r="C477" s="248" t="n"/>
      <c r="D477" s="361">
        <f>B477*C477</f>
        <v/>
      </c>
    </row>
    <row r="478">
      <c r="A478" s="49" t="inlineStr">
        <is>
          <t>Services for meetings, seminars</t>
        </is>
      </c>
      <c r="B478" s="357" t="n"/>
      <c r="C478" s="248" t="n"/>
      <c r="D478" s="361">
        <f>B478*C478</f>
        <v/>
      </c>
    </row>
    <row r="479">
      <c r="A479" s="49" t="inlineStr">
        <is>
          <t>Services for dissemination activities (including website)</t>
        </is>
      </c>
      <c r="B479" s="357" t="n"/>
      <c r="C479" s="248" t="n"/>
      <c r="D479" s="361">
        <f>B479*C479</f>
        <v/>
      </c>
    </row>
    <row r="480">
      <c r="A480" s="49" t="inlineStr">
        <is>
          <t>Publication fees</t>
        </is>
      </c>
      <c r="B480" s="357" t="n"/>
      <c r="C480" s="248" t="n"/>
      <c r="D480" s="361">
        <f>B480*C480</f>
        <v/>
      </c>
    </row>
    <row r="481">
      <c r="A481" s="49" t="inlineStr">
        <is>
          <t>Other (shipment, insurance, translation, etc.)</t>
        </is>
      </c>
      <c r="B481" s="357" t="n"/>
      <c r="C481" s="248" t="n"/>
      <c r="D481" s="361">
        <f>B481*C481</f>
        <v/>
      </c>
    </row>
    <row r="482">
      <c r="A482" s="29" t="inlineStr">
        <is>
          <t>D. OTHER COST CATEGORIES</t>
        </is>
      </c>
      <c r="B482" s="358" t="n"/>
      <c r="C482" s="110" t="n"/>
      <c r="D482" s="359" t="n"/>
    </row>
    <row r="483">
      <c r="A483" s="50" t="inlineStr">
        <is>
          <t>D.1 Financial support to third parties (if applicable in the topic specific conditions)</t>
        </is>
      </c>
      <c r="B483" s="357" t="n"/>
      <c r="C483" s="248" t="n"/>
      <c r="D483" s="361">
        <f>B483*C483</f>
        <v/>
      </c>
    </row>
    <row r="484">
      <c r="A484" s="50" t="inlineStr">
        <is>
          <t>D.2 Internally invoiced goods and services</t>
        </is>
      </c>
      <c r="B484" s="357" t="n"/>
      <c r="C484" s="248" t="n"/>
      <c r="D484" s="361">
        <f>B484*C484</f>
        <v/>
      </c>
    </row>
    <row r="485">
      <c r="A485" s="50" t="inlineStr">
        <is>
          <t>D.3 Transnational access to research infrastructure unit costs (if mentioned as eligible in the topic specific conditions)</t>
        </is>
      </c>
      <c r="B485" s="357" t="n"/>
      <c r="C485" s="248" t="n"/>
      <c r="D485" s="361">
        <f>B485*C485</f>
        <v/>
      </c>
    </row>
    <row r="486">
      <c r="A486" s="50" t="inlineStr">
        <is>
          <t>D.4 Virtual access to research infrastructure unit costs (if mentioned as eligible in the topic specific conditions)</t>
        </is>
      </c>
      <c r="B486" s="357" t="n"/>
      <c r="C486" s="248" t="n"/>
      <c r="D486" s="361">
        <f>B486*C486</f>
        <v/>
      </c>
    </row>
    <row r="487">
      <c r="A487" s="50" t="inlineStr">
        <is>
          <t>D.5 PCP/PPI procurement costs (if mentioned as eligible in the topic specific conditions)</t>
        </is>
      </c>
      <c r="B487" s="357" t="n"/>
      <c r="C487" s="248" t="n"/>
      <c r="D487" s="361">
        <f>B487*C487</f>
        <v/>
      </c>
    </row>
    <row r="488">
      <c r="A488" s="50" t="n"/>
      <c r="B488" s="346" t="n"/>
      <c r="C488" s="111" t="n"/>
      <c r="D488" s="365" t="n"/>
    </row>
    <row r="489">
      <c r="A489" s="52" t="inlineStr">
        <is>
          <t>TOTAL DIRECT PERSONNEL COSTS AND PURCHASE COSTS (A+C)</t>
        </is>
      </c>
      <c r="B489" s="369" t="n"/>
      <c r="C489" s="230" t="n"/>
      <c r="D489" s="360">
        <f>SUM(D460:D467,D471:D481)</f>
        <v/>
      </c>
    </row>
    <row r="490">
      <c r="A490" s="52" t="inlineStr">
        <is>
          <t>TOTAL DIRECT COSTS  (A+B+C+D)</t>
        </is>
      </c>
      <c r="B490" s="369" t="n"/>
      <c r="C490" s="230" t="n"/>
      <c r="D490" s="360">
        <f>SUM(D460:D487)</f>
        <v/>
      </c>
    </row>
    <row r="491">
      <c r="A491" s="180" t="n"/>
      <c r="B491" s="372" t="n"/>
      <c r="C491" s="176" t="n"/>
      <c r="D491" s="373" t="n"/>
    </row>
    <row r="492">
      <c r="A492" s="29" t="inlineStr">
        <is>
          <t>E. INDIRECT COSTS (25% * (A+C))</t>
        </is>
      </c>
      <c r="B492" s="358" t="n"/>
      <c r="C492" s="110" t="n"/>
      <c r="D492" s="360">
        <f>D489*0.25</f>
        <v/>
      </c>
    </row>
    <row r="493">
      <c r="A493" s="32" t="n"/>
      <c r="B493" s="372" t="n"/>
      <c r="C493" s="176" t="n"/>
      <c r="D493" s="377" t="n"/>
    </row>
    <row r="494">
      <c r="A494" s="29" t="inlineStr">
        <is>
          <t>F. TOTAL COSTS (A+B+C+D+E)</t>
        </is>
      </c>
      <c r="B494" s="369" t="n"/>
      <c r="C494" s="230" t="n"/>
      <c r="D494" s="360">
        <f>D490+D492</f>
        <v/>
      </c>
    </row>
    <row r="495">
      <c r="A495" s="182" t="n"/>
      <c r="B495" s="183" t="n"/>
      <c r="C495" s="184" t="n"/>
      <c r="D495" s="183" t="n"/>
    </row>
    <row r="496">
      <c r="A496" s="190" t="n"/>
      <c r="B496" s="185" t="n"/>
      <c r="C496" s="186" t="n"/>
      <c r="D496" s="187" t="n"/>
    </row>
    <row r="497" ht="21" customHeight="1">
      <c r="A497" s="272">
        <f>CONCATENATE("COSTS WORK PACKAGE 13:"," ","System-Level Demonstration and Validation")</f>
        <v/>
      </c>
      <c r="B497" s="314" t="n"/>
      <c r="C497" s="314" t="n"/>
      <c r="D497" s="315" t="n"/>
    </row>
    <row r="498">
      <c r="A498" s="182" t="n"/>
      <c r="B498" s="191" t="n"/>
      <c r="C498" s="192" t="n"/>
      <c r="D498" s="191" t="n"/>
    </row>
    <row r="499">
      <c r="A499" s="29" t="inlineStr">
        <is>
          <t>A. DIRECT PERSONNEL COSTS</t>
        </is>
      </c>
      <c r="B499" s="30" t="n"/>
      <c r="C499" s="110" t="n"/>
      <c r="D499" s="354" t="n"/>
    </row>
    <row r="500">
      <c r="A500" s="28" t="inlineStr">
        <is>
          <t>A.1 Employees (or equivalent)</t>
        </is>
      </c>
      <c r="B500" s="89" t="n"/>
      <c r="C500" s="111" t="n"/>
      <c r="D500" s="355" t="n"/>
    </row>
    <row r="501">
      <c r="A501" s="48" t="inlineStr">
        <is>
          <t>SENIOR SCIENTISTS (or equivalent in the private sector)</t>
        </is>
      </c>
      <c r="B501" s="357" t="n"/>
      <c r="C501" s="248" t="n"/>
      <c r="D501" s="232">
        <f>B501*C501</f>
        <v/>
      </c>
    </row>
    <row r="502">
      <c r="A502" s="48" t="inlineStr">
        <is>
          <t>JUNIOR SCIENTISTS (or equivalent in the private sector)</t>
        </is>
      </c>
      <c r="B502" s="357" t="n"/>
      <c r="C502" s="248" t="n"/>
      <c r="D502" s="232">
        <f>B502*C502</f>
        <v/>
      </c>
    </row>
    <row r="503">
      <c r="A503" s="48" t="inlineStr">
        <is>
          <t>TECHNICAL PERSONNEL (or equivalent in the private sector)</t>
        </is>
      </c>
      <c r="B503" s="357" t="n"/>
      <c r="C503" s="248" t="n"/>
      <c r="D503" s="232">
        <f>B503*C503</f>
        <v/>
      </c>
    </row>
    <row r="504">
      <c r="A504" s="48" t="inlineStr">
        <is>
          <t>ADMINISTRATIVE PERSONNEL (or equivalent in the private sector)</t>
        </is>
      </c>
      <c r="B504" s="357" t="n"/>
      <c r="C504" s="248" t="n"/>
      <c r="D504" s="232">
        <f>B504*C504</f>
        <v/>
      </c>
    </row>
    <row r="505">
      <c r="A505" s="48" t="inlineStr">
        <is>
          <t>OTHERS</t>
        </is>
      </c>
      <c r="B505" s="357" t="n"/>
      <c r="C505" s="248" t="n"/>
      <c r="D505" s="232">
        <f>B505*C505</f>
        <v/>
      </c>
    </row>
    <row r="506">
      <c r="A506" s="28" t="inlineStr">
        <is>
          <t>A.2 Natural Persons under direct contract</t>
        </is>
      </c>
      <c r="B506" s="357" t="n"/>
      <c r="C506" s="248" t="n"/>
      <c r="D506" s="232">
        <f>B506*C506</f>
        <v/>
      </c>
    </row>
    <row r="507">
      <c r="A507" s="28" t="inlineStr">
        <is>
          <t>A.3 Seconded Persons</t>
        </is>
      </c>
      <c r="B507" s="357" t="n"/>
      <c r="C507" s="248" t="n"/>
      <c r="D507" s="232">
        <f>B507*C507</f>
        <v/>
      </c>
    </row>
    <row r="508">
      <c r="A508" s="28" t="inlineStr">
        <is>
          <t>A.4 SME owners and natural person beneficiaries</t>
        </is>
      </c>
      <c r="B508" s="357" t="n"/>
      <c r="C508" s="256" t="n">
        <v>8360.6024</v>
      </c>
      <c r="D508" s="232">
        <f>B508*C508</f>
        <v/>
      </c>
    </row>
    <row r="509">
      <c r="A509" s="29" t="inlineStr">
        <is>
          <t>B. DIRECT SUBCONTRACTING COSTS</t>
        </is>
      </c>
      <c r="B509" s="358" t="n"/>
      <c r="C509" s="110" t="n"/>
      <c r="D509" s="359" t="n"/>
    </row>
    <row r="510">
      <c r="A510" s="53" t="n"/>
      <c r="B510" s="357" t="n"/>
      <c r="C510" s="248" t="n"/>
      <c r="D510" s="361">
        <f>B510*C510</f>
        <v/>
      </c>
    </row>
    <row r="511">
      <c r="A511" s="29" t="inlineStr">
        <is>
          <t>C. DIRECT PURCHASE COSTS</t>
        </is>
      </c>
      <c r="B511" s="358" t="n"/>
      <c r="C511" s="110" t="n"/>
      <c r="D511" s="359" t="n"/>
    </row>
    <row r="512">
      <c r="A512" s="28" t="inlineStr">
        <is>
          <t>C.1 Travel and subsistence</t>
        </is>
      </c>
      <c r="B512" s="357" t="n"/>
      <c r="C512" s="248" t="n"/>
      <c r="D512" s="361">
        <f>B512*C512</f>
        <v/>
      </c>
    </row>
    <row r="513">
      <c r="A513" s="28" t="inlineStr">
        <is>
          <t>C.2 Equipment (complete 'Depreciation costs' sheet)</t>
        </is>
      </c>
      <c r="B513" s="346" t="n"/>
      <c r="C513" s="111" t="n"/>
      <c r="D513" s="364" t="n"/>
    </row>
    <row r="514">
      <c r="A514" s="49" t="inlineStr">
        <is>
          <t>Equipment</t>
        </is>
      </c>
      <c r="B514" s="357" t="n"/>
      <c r="C514" s="248" t="n"/>
      <c r="D514" s="361">
        <f>B514*C514</f>
        <v/>
      </c>
    </row>
    <row r="515">
      <c r="A515" s="49" t="inlineStr">
        <is>
          <t>Infrastructure</t>
        </is>
      </c>
      <c r="B515" s="357" t="n"/>
      <c r="C515" s="248" t="n"/>
      <c r="D515" s="361">
        <f>B515*C515</f>
        <v/>
      </c>
    </row>
    <row r="516">
      <c r="A516" s="49" t="inlineStr">
        <is>
          <t>Other assets</t>
        </is>
      </c>
      <c r="B516" s="357" t="n"/>
      <c r="C516" s="248" t="n"/>
      <c r="D516" s="361">
        <f>B516*C516</f>
        <v/>
      </c>
    </row>
    <row r="517">
      <c r="A517" s="28" t="inlineStr">
        <is>
          <t>C.3 Other goods, works and services</t>
        </is>
      </c>
      <c r="B517" s="346" t="n"/>
      <c r="C517" s="111" t="n"/>
      <c r="D517" s="364" t="n"/>
    </row>
    <row r="518">
      <c r="A518" s="49" t="inlineStr">
        <is>
          <t>Consumables</t>
        </is>
      </c>
      <c r="B518" s="357" t="n"/>
      <c r="C518" s="248" t="n"/>
      <c r="D518" s="361">
        <f>B518*C518</f>
        <v/>
      </c>
    </row>
    <row r="519">
      <c r="A519" s="49" t="inlineStr">
        <is>
          <t>Services for meetings, seminars</t>
        </is>
      </c>
      <c r="B519" s="357" t="n"/>
      <c r="C519" s="248" t="n"/>
      <c r="D519" s="361">
        <f>B519*C519</f>
        <v/>
      </c>
    </row>
    <row r="520">
      <c r="A520" s="49" t="inlineStr">
        <is>
          <t>Services for dissemination activities (including website)</t>
        </is>
      </c>
      <c r="B520" s="357" t="n"/>
      <c r="C520" s="248" t="n"/>
      <c r="D520" s="361">
        <f>B520*C520</f>
        <v/>
      </c>
    </row>
    <row r="521">
      <c r="A521" s="49" t="inlineStr">
        <is>
          <t>Publication fees</t>
        </is>
      </c>
      <c r="B521" s="357" t="n"/>
      <c r="C521" s="248" t="n"/>
      <c r="D521" s="361">
        <f>B521*C521</f>
        <v/>
      </c>
    </row>
    <row r="522">
      <c r="A522" s="49" t="inlineStr">
        <is>
          <t>Other (shipment, insurance, translation, etc.)</t>
        </is>
      </c>
      <c r="B522" s="357" t="n"/>
      <c r="C522" s="248" t="n"/>
      <c r="D522" s="361">
        <f>B522*C522</f>
        <v/>
      </c>
    </row>
    <row r="523">
      <c r="A523" s="29" t="inlineStr">
        <is>
          <t>D. OTHER COST CATEGORIES</t>
        </is>
      </c>
      <c r="B523" s="358" t="n"/>
      <c r="C523" s="110" t="n"/>
      <c r="D523" s="359" t="n"/>
    </row>
    <row r="524">
      <c r="A524" s="50" t="inlineStr">
        <is>
          <t>D.1 Financial support to third parties (if applicable in the topic specific conditions)</t>
        </is>
      </c>
      <c r="B524" s="357" t="n"/>
      <c r="C524" s="248" t="n"/>
      <c r="D524" s="361">
        <f>B524*C524</f>
        <v/>
      </c>
    </row>
    <row r="525">
      <c r="A525" s="50" t="inlineStr">
        <is>
          <t>D.2 Internally invoiced goods and services</t>
        </is>
      </c>
      <c r="B525" s="357" t="n"/>
      <c r="C525" s="248" t="n"/>
      <c r="D525" s="361">
        <f>B525*C525</f>
        <v/>
      </c>
    </row>
    <row r="526">
      <c r="A526" s="50" t="inlineStr">
        <is>
          <t>D.3 Transnational access to research infrastructure unit costs (if mentioned as eligible in the topic specific conditions)</t>
        </is>
      </c>
      <c r="B526" s="357" t="n"/>
      <c r="C526" s="248" t="n"/>
      <c r="D526" s="361">
        <f>B526*C526</f>
        <v/>
      </c>
    </row>
    <row r="527">
      <c r="A527" s="50" t="inlineStr">
        <is>
          <t>D.4 Virtual access to research infrastructure unit costs (if mentioned as eligible in the topic specific conditions)</t>
        </is>
      </c>
      <c r="B527" s="357" t="n"/>
      <c r="C527" s="248" t="n"/>
      <c r="D527" s="361">
        <f>B527*C527</f>
        <v/>
      </c>
    </row>
    <row r="528">
      <c r="A528" s="50" t="inlineStr">
        <is>
          <t>D.5 PCP/PPI procurement costs (if mentioned as eligible in the topic specific conditions)</t>
        </is>
      </c>
      <c r="B528" s="357" t="n"/>
      <c r="C528" s="248" t="n"/>
      <c r="D528" s="361">
        <f>B528*C528</f>
        <v/>
      </c>
    </row>
    <row r="529">
      <c r="A529" s="50" t="n"/>
      <c r="B529" s="346" t="n"/>
      <c r="C529" s="111" t="n"/>
      <c r="D529" s="365" t="n"/>
    </row>
    <row r="530">
      <c r="A530" s="52" t="inlineStr">
        <is>
          <t>TOTAL DIRECT PERSONNEL COSTS AND PURCHASE COSTS (A+C)</t>
        </is>
      </c>
      <c r="B530" s="369" t="n"/>
      <c r="C530" s="230" t="n"/>
      <c r="D530" s="360">
        <f>SUM(D501:D508,D512:D522)</f>
        <v/>
      </c>
    </row>
    <row r="531">
      <c r="A531" s="52" t="inlineStr">
        <is>
          <t>TOTAL DIRECT COSTS  (A+B+C+D)</t>
        </is>
      </c>
      <c r="B531" s="369" t="n"/>
      <c r="C531" s="230" t="n"/>
      <c r="D531" s="360">
        <f>SUM(D501:D528)</f>
        <v/>
      </c>
    </row>
    <row r="532">
      <c r="A532" s="180" t="n"/>
      <c r="B532" s="372" t="n"/>
      <c r="C532" s="176" t="n"/>
      <c r="D532" s="373" t="n"/>
    </row>
    <row r="533">
      <c r="A533" s="29" t="inlineStr">
        <is>
          <t>E. INDIRECT COSTS (25% * (A+C))</t>
        </is>
      </c>
      <c r="B533" s="358" t="n"/>
      <c r="C533" s="110" t="n"/>
      <c r="D533" s="360">
        <f>D530*0.25</f>
        <v/>
      </c>
    </row>
    <row r="534">
      <c r="A534" s="32" t="n"/>
      <c r="B534" s="372" t="n"/>
      <c r="C534" s="176" t="n"/>
      <c r="D534" s="377" t="n"/>
    </row>
    <row r="535">
      <c r="A535" s="29" t="inlineStr">
        <is>
          <t>F. TOTAL COSTS (A+B+C+D+E)</t>
        </is>
      </c>
      <c r="B535" s="369" t="n"/>
      <c r="C535" s="230" t="n"/>
      <c r="D535" s="360">
        <f>D531+D533</f>
        <v/>
      </c>
    </row>
    <row r="536">
      <c r="A536" s="182" t="n"/>
      <c r="B536" s="183" t="n"/>
      <c r="C536" s="184" t="n"/>
      <c r="D536" s="183" t="n"/>
    </row>
    <row r="537">
      <c r="A537" s="190" t="n"/>
      <c r="B537" s="185" t="n"/>
      <c r="C537" s="186" t="n"/>
      <c r="D537" s="187" t="n"/>
    </row>
    <row r="538" ht="21" customHeight="1">
      <c r="A538" s="272">
        <f>CONCATENATE("COSTS WORK PACKAGE 14:"," ","D&amp;C&amp;E")</f>
        <v/>
      </c>
      <c r="B538" s="314" t="n"/>
      <c r="C538" s="314" t="n"/>
      <c r="D538" s="315" t="n"/>
    </row>
    <row r="539">
      <c r="A539" s="182" t="n"/>
      <c r="B539" s="191" t="n"/>
      <c r="C539" s="192" t="n"/>
      <c r="D539" s="191" t="n"/>
    </row>
    <row r="540">
      <c r="A540" s="29" t="inlineStr">
        <is>
          <t>A. DIRECT PERSONNEL COSTS</t>
        </is>
      </c>
      <c r="B540" s="30" t="n"/>
      <c r="C540" s="110" t="n"/>
      <c r="D540" s="354" t="n"/>
    </row>
    <row r="541">
      <c r="A541" s="28" t="inlineStr">
        <is>
          <t>A.1 Employees (or equivalent)</t>
        </is>
      </c>
      <c r="B541" s="89" t="n"/>
      <c r="C541" s="111" t="n"/>
      <c r="D541" s="355" t="n"/>
    </row>
    <row r="542">
      <c r="A542" s="48" t="inlineStr">
        <is>
          <t>SENIOR SCIENTISTS (or equivalent in the private sector)</t>
        </is>
      </c>
      <c r="B542" s="357" t="n"/>
      <c r="C542" s="248" t="n"/>
      <c r="D542" s="232">
        <f>B542*C542</f>
        <v/>
      </c>
    </row>
    <row r="543">
      <c r="A543" s="48" t="inlineStr">
        <is>
          <t>JUNIOR SCIENTISTS (or equivalent in the private sector)</t>
        </is>
      </c>
      <c r="B543" s="357" t="n"/>
      <c r="C543" s="248" t="n"/>
      <c r="D543" s="232">
        <f>B543*C543</f>
        <v/>
      </c>
    </row>
    <row r="544">
      <c r="A544" s="48" t="inlineStr">
        <is>
          <t>TECHNICAL PERSONNEL (or equivalent in the private sector)</t>
        </is>
      </c>
      <c r="B544" s="357" t="n"/>
      <c r="C544" s="248" t="n"/>
      <c r="D544" s="232">
        <f>B544*C544</f>
        <v/>
      </c>
    </row>
    <row r="545">
      <c r="A545" s="48" t="inlineStr">
        <is>
          <t>ADMINISTRATIVE PERSONNEL (or equivalent in the private sector)</t>
        </is>
      </c>
      <c r="B545" s="357" t="n"/>
      <c r="C545" s="248" t="n"/>
      <c r="D545" s="232">
        <f>B545*C545</f>
        <v/>
      </c>
    </row>
    <row r="546">
      <c r="A546" s="48" t="inlineStr">
        <is>
          <t>OTHERS</t>
        </is>
      </c>
      <c r="B546" s="357" t="n"/>
      <c r="C546" s="248" t="n"/>
      <c r="D546" s="232">
        <f>B546*C546</f>
        <v/>
      </c>
    </row>
    <row r="547">
      <c r="A547" s="28" t="inlineStr">
        <is>
          <t>A.2 Natural Persons under direct contract</t>
        </is>
      </c>
      <c r="B547" s="357" t="n"/>
      <c r="C547" s="248" t="n"/>
      <c r="D547" s="232">
        <f>B547*C547</f>
        <v/>
      </c>
    </row>
    <row r="548">
      <c r="A548" s="28" t="inlineStr">
        <is>
          <t>A.3 Seconded Persons</t>
        </is>
      </c>
      <c r="B548" s="357" t="n"/>
      <c r="C548" s="248" t="n"/>
      <c r="D548" s="232">
        <f>B548*C548</f>
        <v/>
      </c>
    </row>
    <row r="549">
      <c r="A549" s="28" t="inlineStr">
        <is>
          <t>A.4 SME owners and natural person beneficiaries</t>
        </is>
      </c>
      <c r="B549" s="357" t="n"/>
      <c r="C549" s="256" t="n">
        <v>8360.6024</v>
      </c>
      <c r="D549" s="232">
        <f>B549*C549</f>
        <v/>
      </c>
    </row>
    <row r="550">
      <c r="A550" s="29" t="inlineStr">
        <is>
          <t>B. DIRECT SUBCONTRACTING COSTS</t>
        </is>
      </c>
      <c r="B550" s="358" t="n"/>
      <c r="C550" s="110" t="n"/>
      <c r="D550" s="359" t="n"/>
    </row>
    <row r="551">
      <c r="A551" s="53" t="n"/>
      <c r="B551" s="357" t="n"/>
      <c r="C551" s="248" t="n"/>
      <c r="D551" s="361">
        <f>B551*C551</f>
        <v/>
      </c>
    </row>
    <row r="552">
      <c r="A552" s="29" t="inlineStr">
        <is>
          <t>C. DIRECT PURCHASE COSTS</t>
        </is>
      </c>
      <c r="B552" s="358" t="n"/>
      <c r="C552" s="110" t="n"/>
      <c r="D552" s="359" t="n"/>
    </row>
    <row r="553">
      <c r="A553" s="28" t="inlineStr">
        <is>
          <t>C.1 Travel and subsistence</t>
        </is>
      </c>
      <c r="B553" s="357" t="n"/>
      <c r="C553" s="248" t="n"/>
      <c r="D553" s="361">
        <f>B553*C553</f>
        <v/>
      </c>
    </row>
    <row r="554">
      <c r="A554" s="28" t="inlineStr">
        <is>
          <t>C.2 Equipment (complete 'Depreciation costs' sheet)</t>
        </is>
      </c>
      <c r="B554" s="346" t="n"/>
      <c r="C554" s="111" t="n"/>
      <c r="D554" s="364" t="n"/>
    </row>
    <row r="555">
      <c r="A555" s="49" t="inlineStr">
        <is>
          <t>Equipment</t>
        </is>
      </c>
      <c r="B555" s="357" t="n"/>
      <c r="C555" s="248" t="n"/>
      <c r="D555" s="361">
        <f>B555*C555</f>
        <v/>
      </c>
    </row>
    <row r="556">
      <c r="A556" s="49" t="inlineStr">
        <is>
          <t>Infrastructure</t>
        </is>
      </c>
      <c r="B556" s="357" t="n"/>
      <c r="C556" s="248" t="n"/>
      <c r="D556" s="361">
        <f>B556*C556</f>
        <v/>
      </c>
    </row>
    <row r="557">
      <c r="A557" s="49" t="inlineStr">
        <is>
          <t>Other assets</t>
        </is>
      </c>
      <c r="B557" s="357" t="n"/>
      <c r="C557" s="248" t="n"/>
      <c r="D557" s="361">
        <f>B557*C557</f>
        <v/>
      </c>
    </row>
    <row r="558">
      <c r="A558" s="28" t="inlineStr">
        <is>
          <t>C.3 Other goods, works and services</t>
        </is>
      </c>
      <c r="B558" s="346" t="n"/>
      <c r="C558" s="111" t="n"/>
      <c r="D558" s="364" t="n"/>
    </row>
    <row r="559">
      <c r="A559" s="49" t="inlineStr">
        <is>
          <t>Consumables</t>
        </is>
      </c>
      <c r="B559" s="357" t="n"/>
      <c r="C559" s="248" t="n"/>
      <c r="D559" s="361">
        <f>B559*C559</f>
        <v/>
      </c>
    </row>
    <row r="560">
      <c r="A560" s="49" t="inlineStr">
        <is>
          <t>Services for meetings, seminars</t>
        </is>
      </c>
      <c r="B560" s="357" t="n"/>
      <c r="C560" s="248" t="n"/>
      <c r="D560" s="361">
        <f>B560*C560</f>
        <v/>
      </c>
    </row>
    <row r="561">
      <c r="A561" s="49" t="inlineStr">
        <is>
          <t>Services for dissemination activities (including website)</t>
        </is>
      </c>
      <c r="B561" s="357" t="n"/>
      <c r="C561" s="248" t="n"/>
      <c r="D561" s="361">
        <f>B561*C561</f>
        <v/>
      </c>
    </row>
    <row r="562">
      <c r="A562" s="49" t="inlineStr">
        <is>
          <t>Publication fees</t>
        </is>
      </c>
      <c r="B562" s="357" t="n"/>
      <c r="C562" s="248" t="n"/>
      <c r="D562" s="361">
        <f>B562*C562</f>
        <v/>
      </c>
    </row>
    <row r="563">
      <c r="A563" s="49" t="inlineStr">
        <is>
          <t>Other (shipment, insurance, translation, etc.)</t>
        </is>
      </c>
      <c r="B563" s="357" t="n"/>
      <c r="C563" s="248" t="n"/>
      <c r="D563" s="361">
        <f>B563*C563</f>
        <v/>
      </c>
    </row>
    <row r="564">
      <c r="A564" s="29" t="inlineStr">
        <is>
          <t>D. OTHER COST CATEGORIES</t>
        </is>
      </c>
      <c r="B564" s="358" t="n"/>
      <c r="C564" s="110" t="n"/>
      <c r="D564" s="359" t="n"/>
    </row>
    <row r="565">
      <c r="A565" s="50" t="inlineStr">
        <is>
          <t>D.1 Financial support to third parties (if applicable in the topic specific conditions)</t>
        </is>
      </c>
      <c r="B565" s="357" t="n"/>
      <c r="C565" s="248" t="n"/>
      <c r="D565" s="361">
        <f>B565*C565</f>
        <v/>
      </c>
    </row>
    <row r="566">
      <c r="A566" s="50" t="inlineStr">
        <is>
          <t>D.2 Internally invoiced goods and services</t>
        </is>
      </c>
      <c r="B566" s="357" t="n"/>
      <c r="C566" s="248" t="n"/>
      <c r="D566" s="361">
        <f>B566*C566</f>
        <v/>
      </c>
    </row>
    <row r="567">
      <c r="A567" s="50" t="inlineStr">
        <is>
          <t>D.3 Transnational access to research infrastructure unit costs (if mentioned as eligible in the topic specific conditions)</t>
        </is>
      </c>
      <c r="B567" s="357" t="n"/>
      <c r="C567" s="248" t="n"/>
      <c r="D567" s="361">
        <f>B567*C567</f>
        <v/>
      </c>
    </row>
    <row r="568">
      <c r="A568" s="50" t="inlineStr">
        <is>
          <t>D.4 Virtual access to research infrastructure unit costs (if mentioned as eligible in the topic specific conditions)</t>
        </is>
      </c>
      <c r="B568" s="357" t="n"/>
      <c r="C568" s="248" t="n"/>
      <c r="D568" s="361">
        <f>B568*C568</f>
        <v/>
      </c>
    </row>
    <row r="569">
      <c r="A569" s="50" t="inlineStr">
        <is>
          <t>D.5 PCP/PPI procurement costs (if mentioned as eligible in the topic specific conditions)</t>
        </is>
      </c>
      <c r="B569" s="357" t="n"/>
      <c r="C569" s="248" t="n"/>
      <c r="D569" s="361">
        <f>B569*C569</f>
        <v/>
      </c>
    </row>
    <row r="570">
      <c r="A570" s="50" t="n"/>
      <c r="B570" s="346" t="n"/>
      <c r="C570" s="111" t="n"/>
      <c r="D570" s="365" t="n"/>
    </row>
    <row r="571">
      <c r="A571" s="52" t="inlineStr">
        <is>
          <t>TOTAL DIRECT PERSONNEL COSTS AND PURCHASE COSTS (A+C)</t>
        </is>
      </c>
      <c r="B571" s="369" t="n"/>
      <c r="C571" s="230" t="n"/>
      <c r="D571" s="360">
        <f>SUM(D542:D549,D553:D563)</f>
        <v/>
      </c>
    </row>
    <row r="572">
      <c r="A572" s="52" t="inlineStr">
        <is>
          <t>TOTAL DIRECT COSTS  (A+B+C+D)</t>
        </is>
      </c>
      <c r="B572" s="369" t="n"/>
      <c r="C572" s="230" t="n"/>
      <c r="D572" s="360">
        <f>SUM(D542:D569)</f>
        <v/>
      </c>
    </row>
    <row r="573">
      <c r="A573" s="180" t="n"/>
      <c r="B573" s="372" t="n"/>
      <c r="C573" s="176" t="n"/>
      <c r="D573" s="373" t="n"/>
    </row>
    <row r="574">
      <c r="A574" s="29" t="inlineStr">
        <is>
          <t>E. INDIRECT COSTS (25% * (A+C))</t>
        </is>
      </c>
      <c r="B574" s="358" t="n"/>
      <c r="C574" s="110" t="n"/>
      <c r="D574" s="360">
        <f>D571*0.25</f>
        <v/>
      </c>
    </row>
    <row r="575">
      <c r="A575" s="32" t="n"/>
      <c r="B575" s="372" t="n"/>
      <c r="C575" s="176" t="n"/>
      <c r="D575" s="377" t="n"/>
    </row>
    <row r="576">
      <c r="A576" s="29" t="inlineStr">
        <is>
          <t>F. TOTAL COSTS (A+B+C+D+E)</t>
        </is>
      </c>
      <c r="B576" s="369" t="n"/>
      <c r="C576" s="230" t="n"/>
      <c r="D576" s="360">
        <f>D572+D574</f>
        <v/>
      </c>
    </row>
    <row r="577">
      <c r="A577" s="182" t="n"/>
      <c r="B577" s="183" t="n"/>
      <c r="C577" s="184" t="n"/>
      <c r="D577" s="183" t="n"/>
    </row>
    <row r="578">
      <c r="A578" s="190" t="n"/>
      <c r="B578" s="185" t="n"/>
      <c r="C578" s="186" t="n"/>
      <c r="D578" s="187" t="n"/>
    </row>
    <row r="579" ht="21" customHeight="1">
      <c r="A579" s="272">
        <f>CONCATENATE("COSTS WORK PACKAGE 15:"," ","D&amp;C&amp;E")</f>
        <v/>
      </c>
      <c r="B579" s="314" t="n"/>
      <c r="C579" s="314" t="n"/>
      <c r="D579" s="315" t="n"/>
    </row>
    <row r="580">
      <c r="A580" s="182" t="n"/>
      <c r="B580" s="191" t="n"/>
      <c r="C580" s="192" t="n"/>
      <c r="D580" s="191" t="n"/>
    </row>
    <row r="581">
      <c r="A581" s="29" t="inlineStr">
        <is>
          <t>A. DIRECT PERSONNEL COSTS</t>
        </is>
      </c>
      <c r="B581" s="30" t="n"/>
      <c r="C581" s="110" t="n"/>
      <c r="D581" s="354" t="n"/>
    </row>
    <row r="582">
      <c r="A582" s="28" t="inlineStr">
        <is>
          <t>A.1 Employees (or equivalent)</t>
        </is>
      </c>
      <c r="B582" s="89" t="n"/>
      <c r="C582" s="111" t="n"/>
      <c r="D582" s="355" t="n"/>
    </row>
    <row r="583">
      <c r="A583" s="48" t="inlineStr">
        <is>
          <t>SENIOR SCIENTISTS (or equivalent in the private sector)</t>
        </is>
      </c>
      <c r="B583" s="357" t="n"/>
      <c r="C583" s="248" t="n"/>
      <c r="D583" s="232">
        <f>B583*C583</f>
        <v/>
      </c>
    </row>
    <row r="584">
      <c r="A584" s="48" t="inlineStr">
        <is>
          <t>JUNIOR SCIENTISTS (or equivalent in the private sector)</t>
        </is>
      </c>
      <c r="B584" s="357" t="n"/>
      <c r="C584" s="248" t="n"/>
      <c r="D584" s="232">
        <f>B584*C584</f>
        <v/>
      </c>
    </row>
    <row r="585">
      <c r="A585" s="48" t="inlineStr">
        <is>
          <t>TECHNICAL PERSONNEL (or equivalent in the private sector)</t>
        </is>
      </c>
      <c r="B585" s="357" t="n"/>
      <c r="C585" s="248" t="n"/>
      <c r="D585" s="232">
        <f>B585*C585</f>
        <v/>
      </c>
    </row>
    <row r="586">
      <c r="A586" s="48" t="inlineStr">
        <is>
          <t>ADMINISTRATIVE PERSONNEL (or equivalent in the private sector)</t>
        </is>
      </c>
      <c r="B586" s="357" t="n"/>
      <c r="C586" s="248" t="n"/>
      <c r="D586" s="232">
        <f>B586*C586</f>
        <v/>
      </c>
    </row>
    <row r="587">
      <c r="A587" s="48" t="inlineStr">
        <is>
          <t>OTHERS</t>
        </is>
      </c>
      <c r="B587" s="357" t="n"/>
      <c r="C587" s="248" t="n"/>
      <c r="D587" s="232">
        <f>B587*C587</f>
        <v/>
      </c>
    </row>
    <row r="588">
      <c r="A588" s="28" t="inlineStr">
        <is>
          <t>A.2 Natural Persons under direct contract</t>
        </is>
      </c>
      <c r="B588" s="357" t="n"/>
      <c r="C588" s="248" t="n"/>
      <c r="D588" s="232">
        <f>B588*C588</f>
        <v/>
      </c>
    </row>
    <row r="589">
      <c r="A589" s="28" t="inlineStr">
        <is>
          <t>A.3 Seconded Persons</t>
        </is>
      </c>
      <c r="B589" s="357" t="n"/>
      <c r="C589" s="248" t="n"/>
      <c r="D589" s="232">
        <f>B589*C589</f>
        <v/>
      </c>
    </row>
    <row r="590">
      <c r="A590" s="28" t="inlineStr">
        <is>
          <t>A.4 SME owners and natural person beneficiaries</t>
        </is>
      </c>
      <c r="B590" s="357" t="n"/>
      <c r="C590" s="256" t="n">
        <v>8360.6024</v>
      </c>
      <c r="D590" s="232">
        <f>B590*C590</f>
        <v/>
      </c>
    </row>
    <row r="591">
      <c r="A591" s="29" t="inlineStr">
        <is>
          <t>B. DIRECT SUBCONTRACTING COSTS</t>
        </is>
      </c>
      <c r="B591" s="358" t="n"/>
      <c r="C591" s="110" t="n"/>
      <c r="D591" s="359" t="n"/>
    </row>
    <row r="592">
      <c r="A592" s="53" t="n"/>
      <c r="B592" s="357" t="n"/>
      <c r="C592" s="248" t="n"/>
      <c r="D592" s="361">
        <f>B592*C592</f>
        <v/>
      </c>
    </row>
    <row r="593">
      <c r="A593" s="29" t="inlineStr">
        <is>
          <t>C. DIRECT PURCHASE COSTS</t>
        </is>
      </c>
      <c r="B593" s="358" t="n"/>
      <c r="C593" s="110" t="n"/>
      <c r="D593" s="359" t="n"/>
    </row>
    <row r="594">
      <c r="A594" s="28" t="inlineStr">
        <is>
          <t>C.1 Travel and subsistence</t>
        </is>
      </c>
      <c r="B594" s="357" t="n"/>
      <c r="C594" s="248" t="n"/>
      <c r="D594" s="361">
        <f>B594*C594</f>
        <v/>
      </c>
    </row>
    <row r="595">
      <c r="A595" s="28" t="inlineStr">
        <is>
          <t>C.2 Equipment (complete 'Depreciation costs' sheet)</t>
        </is>
      </c>
      <c r="B595" s="346" t="n"/>
      <c r="C595" s="111" t="n"/>
      <c r="D595" s="364" t="n"/>
    </row>
    <row r="596">
      <c r="A596" s="49" t="inlineStr">
        <is>
          <t>Equipment</t>
        </is>
      </c>
      <c r="B596" s="357" t="n"/>
      <c r="C596" s="248" t="n"/>
      <c r="D596" s="361">
        <f>B596*C596</f>
        <v/>
      </c>
    </row>
    <row r="597">
      <c r="A597" s="49" t="inlineStr">
        <is>
          <t>Infrastructure</t>
        </is>
      </c>
      <c r="B597" s="357" t="n"/>
      <c r="C597" s="248" t="n"/>
      <c r="D597" s="361">
        <f>B597*C597</f>
        <v/>
      </c>
    </row>
    <row r="598">
      <c r="A598" s="49" t="inlineStr">
        <is>
          <t>Other assets</t>
        </is>
      </c>
      <c r="B598" s="357" t="n"/>
      <c r="C598" s="248" t="n"/>
      <c r="D598" s="361">
        <f>B598*C598</f>
        <v/>
      </c>
    </row>
    <row r="599">
      <c r="A599" s="28" t="inlineStr">
        <is>
          <t>C.3 Other goods, works and services</t>
        </is>
      </c>
      <c r="B599" s="346" t="n"/>
      <c r="C599" s="111" t="n"/>
      <c r="D599" s="364" t="n"/>
    </row>
    <row r="600">
      <c r="A600" s="49" t="inlineStr">
        <is>
          <t>Consumables</t>
        </is>
      </c>
      <c r="B600" s="357" t="n"/>
      <c r="C600" s="248" t="n"/>
      <c r="D600" s="361">
        <f>B600*C600</f>
        <v/>
      </c>
    </row>
    <row r="601">
      <c r="A601" s="49" t="inlineStr">
        <is>
          <t>Services for meetings, seminars</t>
        </is>
      </c>
      <c r="B601" s="357" t="n"/>
      <c r="C601" s="248" t="n"/>
      <c r="D601" s="361">
        <f>B601*C601</f>
        <v/>
      </c>
    </row>
    <row r="602">
      <c r="A602" s="49" t="inlineStr">
        <is>
          <t>Services for dissemination activities (including website)</t>
        </is>
      </c>
      <c r="B602" s="357" t="n"/>
      <c r="C602" s="248" t="n"/>
      <c r="D602" s="361">
        <f>B602*C602</f>
        <v/>
      </c>
    </row>
    <row r="603">
      <c r="A603" s="49" t="inlineStr">
        <is>
          <t>Publication fees</t>
        </is>
      </c>
      <c r="B603" s="357" t="n"/>
      <c r="C603" s="248" t="n"/>
      <c r="D603" s="361">
        <f>B603*C603</f>
        <v/>
      </c>
    </row>
    <row r="604">
      <c r="A604" s="49" t="inlineStr">
        <is>
          <t>Other (shipment, insurance, translation, etc.)</t>
        </is>
      </c>
      <c r="B604" s="357" t="n"/>
      <c r="C604" s="248" t="n"/>
      <c r="D604" s="361">
        <f>B604*C604</f>
        <v/>
      </c>
    </row>
    <row r="605">
      <c r="A605" s="29" t="inlineStr">
        <is>
          <t>D. OTHER COST CATEGORIES</t>
        </is>
      </c>
      <c r="B605" s="358" t="n"/>
      <c r="C605" s="110" t="n"/>
      <c r="D605" s="359" t="n"/>
    </row>
    <row r="606">
      <c r="A606" s="50" t="inlineStr">
        <is>
          <t>D.1 Financial support to third parties (if applicable in the topic specific conditions)</t>
        </is>
      </c>
      <c r="B606" s="357" t="n"/>
      <c r="C606" s="248" t="n"/>
      <c r="D606" s="361">
        <f>B606*C606</f>
        <v/>
      </c>
    </row>
    <row r="607">
      <c r="A607" s="50" t="inlineStr">
        <is>
          <t>D.2 Internally invoiced goods and services</t>
        </is>
      </c>
      <c r="B607" s="357" t="n"/>
      <c r="C607" s="248" t="n"/>
      <c r="D607" s="361">
        <f>B607*C607</f>
        <v/>
      </c>
    </row>
    <row r="608">
      <c r="A608" s="50" t="inlineStr">
        <is>
          <t>D.3 Transnational access to research infrastructure unit costs (if mentioned as eligible in the topic specific conditions)</t>
        </is>
      </c>
      <c r="B608" s="357" t="n"/>
      <c r="C608" s="248" t="n"/>
      <c r="D608" s="361">
        <f>B608*C608</f>
        <v/>
      </c>
    </row>
    <row r="609">
      <c r="A609" s="50" t="inlineStr">
        <is>
          <t>D.4 Virtual access to research infrastructure unit costs (if mentioned as eligible in the topic specific conditions)</t>
        </is>
      </c>
      <c r="B609" s="357" t="n"/>
      <c r="C609" s="248" t="n"/>
      <c r="D609" s="361">
        <f>B609*C609</f>
        <v/>
      </c>
    </row>
    <row r="610">
      <c r="A610" s="50" t="inlineStr">
        <is>
          <t>D.5 PCP/PPI procurement costs (if mentioned as eligible in the topic specific conditions)</t>
        </is>
      </c>
      <c r="B610" s="357" t="n"/>
      <c r="C610" s="248" t="n"/>
      <c r="D610" s="361">
        <f>B610*C610</f>
        <v/>
      </c>
    </row>
    <row r="611">
      <c r="A611" s="50" t="n"/>
      <c r="B611" s="346" t="n"/>
      <c r="C611" s="111" t="n"/>
      <c r="D611" s="365" t="n"/>
    </row>
    <row r="612">
      <c r="A612" s="52" t="inlineStr">
        <is>
          <t>TOTAL DIRECT PERSONNEL COSTS AND PURCHASE COSTS (A+C)</t>
        </is>
      </c>
      <c r="B612" s="369" t="n"/>
      <c r="C612" s="230" t="n"/>
      <c r="D612" s="360">
        <f>SUM(D583:D590,D594:D604)</f>
        <v/>
      </c>
    </row>
    <row r="613">
      <c r="A613" s="52" t="inlineStr">
        <is>
          <t>TOTAL DIRECT COSTS  (A+B+C+D)</t>
        </is>
      </c>
      <c r="B613" s="369" t="n"/>
      <c r="C613" s="230" t="n"/>
      <c r="D613" s="360">
        <f>SUM(D583:D610)</f>
        <v/>
      </c>
    </row>
    <row r="614">
      <c r="A614" s="180" t="n"/>
      <c r="B614" s="372" t="n"/>
      <c r="C614" s="176" t="n"/>
      <c r="D614" s="373" t="n"/>
    </row>
    <row r="615">
      <c r="A615" s="29" t="inlineStr">
        <is>
          <t>E. INDIRECT COSTS (25% * (A+C))</t>
        </is>
      </c>
      <c r="B615" s="358" t="n"/>
      <c r="C615" s="110" t="n"/>
      <c r="D615" s="360">
        <f>D612*0.25</f>
        <v/>
      </c>
    </row>
    <row r="616">
      <c r="A616" s="32" t="n"/>
      <c r="B616" s="372" t="n"/>
      <c r="C616" s="176" t="n"/>
      <c r="D616" s="377" t="n"/>
    </row>
    <row r="617">
      <c r="A617" s="29" t="inlineStr">
        <is>
          <t>F. TOTAL COSTS (A+B+C+D+E)</t>
        </is>
      </c>
      <c r="B617" s="369" t="n"/>
      <c r="C617" s="230" t="n"/>
      <c r="D617" s="360">
        <f>D613+D615</f>
        <v/>
      </c>
    </row>
    <row r="619">
      <c r="A619" s="190" t="n"/>
      <c r="B619" s="185" t="n"/>
      <c r="C619" s="186" t="n"/>
      <c r="D619" s="187" t="n"/>
    </row>
    <row r="620" ht="21" customHeight="1">
      <c r="A620" s="272" t="inlineStr">
        <is>
          <t>SUMMARY</t>
        </is>
      </c>
      <c r="B620" s="314" t="n"/>
      <c r="C620" s="314" t="n"/>
      <c r="D620" s="315" t="n"/>
    </row>
    <row r="621">
      <c r="A621" s="56" t="n"/>
      <c r="B621" s="174" t="n"/>
      <c r="C621" s="175" t="n"/>
      <c r="D621" s="174" t="n"/>
    </row>
    <row r="622">
      <c r="A622" s="29" t="inlineStr">
        <is>
          <t>A. DIRECT PERSONNEL COSTS</t>
        </is>
      </c>
      <c r="B622" s="30" t="n"/>
      <c r="C622" s="110" t="n"/>
      <c r="D622" s="354" t="n"/>
    </row>
    <row r="623">
      <c r="A623" s="28" t="inlineStr">
        <is>
          <t>A.1 Employees (or equivalent)</t>
        </is>
      </c>
      <c r="B623" s="89" t="n"/>
      <c r="C623" s="111" t="n"/>
      <c r="D623" s="355" t="n"/>
    </row>
    <row r="624">
      <c r="A624" s="48" t="inlineStr">
        <is>
          <t>SENIOR SCIENTISTS (or equivalent in the private sector)</t>
        </is>
      </c>
      <c r="B624" s="378">
        <f>B9+B50+B91+B132+B173+B214+B255+B296+B337+B378+B419+B460+B501+B542+B583</f>
        <v/>
      </c>
      <c r="C624" s="249">
        <f>IF(B624&gt;0,D624/B624," ")</f>
        <v/>
      </c>
      <c r="D624" s="361">
        <f>D9+D50+D91+D132+D173+D214+D255+D296+D337+D378+D419+D460+D501+D542+D583</f>
        <v/>
      </c>
    </row>
    <row r="625">
      <c r="A625" s="48" t="inlineStr">
        <is>
          <t>JUNIOR SCIENTISTS (or equivalent in the private sector)</t>
        </is>
      </c>
      <c r="B625" s="378">
        <f>B10+B51+B92+B133+B174+B215+B256+B297+B338+B379+B420+B461+B502+B543+B584</f>
        <v/>
      </c>
      <c r="C625" s="249">
        <f>IF(B625&gt;0,D625/B625," ")</f>
        <v/>
      </c>
      <c r="D625" s="361">
        <f>D10+D51+D92+D133+D174+D215+D256+D297+D338+D379+D420+D461+D502+D543+D584</f>
        <v/>
      </c>
    </row>
    <row r="626">
      <c r="A626" s="48" t="inlineStr">
        <is>
          <t>TECHNICAL PERSONNEL (or equivalent in the private sector)</t>
        </is>
      </c>
      <c r="B626" s="378">
        <f>B11+B52+B93+B134+B175+B216+B257+B298+B339+B380+B421+B462+B503+B544+B585</f>
        <v/>
      </c>
      <c r="C626" s="249">
        <f>IF(B626&gt;0,D626/B626," ")</f>
        <v/>
      </c>
      <c r="D626" s="361">
        <f>D11+D52+D93+D134+D175+D216+D257+D298+D339+D380+D421+D462+D503+D544+D585</f>
        <v/>
      </c>
    </row>
    <row r="627">
      <c r="A627" s="48" t="inlineStr">
        <is>
          <t>ADMINISTRATIVE PERSONNEL (or equivalent in the private sector)</t>
        </is>
      </c>
      <c r="B627" s="378">
        <f>B12+B53+B94+B135+B176+B217+B258+B299+B340+B381+B422+B463+B504+B545+B586</f>
        <v/>
      </c>
      <c r="C627" s="249">
        <f>IF(B627&gt;0,D627/B627," ")</f>
        <v/>
      </c>
      <c r="D627" s="361">
        <f>D12+D53+D94+D135+D176+D217+D258+D299+D340+D381+D422+D463+D504+D545+D586</f>
        <v/>
      </c>
    </row>
    <row r="628">
      <c r="A628" s="48" t="inlineStr">
        <is>
          <t>OTHERS</t>
        </is>
      </c>
      <c r="B628" s="378">
        <f>B13+B54+B95+B136+B177+B218+B259+B300+B341+B382+B423+B464+B505+B546+B587</f>
        <v/>
      </c>
      <c r="C628" s="249">
        <f>IF(B628&gt;0,D628/B628," ")</f>
        <v/>
      </c>
      <c r="D628" s="361">
        <f>D13+D54+D95+D136+D177+D218+D259+D300+D341+D382+D423+D464+D505+D546+D587</f>
        <v/>
      </c>
    </row>
    <row r="629">
      <c r="A629" s="28" t="inlineStr">
        <is>
          <t>A.2 Natural Persons under direct contract</t>
        </is>
      </c>
      <c r="B629" s="378">
        <f>B14+B55+B96+B137+B178+B219+B260+B301+B342+B383+B424+B465+B506+B547+B588</f>
        <v/>
      </c>
      <c r="C629" s="249">
        <f>IF(B629&gt;0,D629/B629," ")</f>
        <v/>
      </c>
      <c r="D629" s="361">
        <f>D14+D55+D96+D137+D178+D219+D260+D301+D342+D383+D424+D465+D506+D547+D588</f>
        <v/>
      </c>
    </row>
    <row r="630">
      <c r="A630" s="28" t="inlineStr">
        <is>
          <t>A.3 Seconded Persons</t>
        </is>
      </c>
      <c r="B630" s="378">
        <f>B15+B56+B97+B138+B179+B220+B261+B302+B343+B384+B425+B466+B507+B548+B589</f>
        <v/>
      </c>
      <c r="C630" s="249">
        <f>IF(B630&gt;0,D630/B630," ")</f>
        <v/>
      </c>
      <c r="D630" s="361">
        <f>D15+D56+D97+D138+D179+D220+D261+D302+D343+D384+D425+D466+D507+D548+D589</f>
        <v/>
      </c>
    </row>
    <row r="631">
      <c r="A631" s="28" t="inlineStr">
        <is>
          <t>A.4 SME owners and natural person beneficiaries</t>
        </is>
      </c>
      <c r="B631" s="378">
        <f>B16+B57+B98+B139+B180+B221+B262+B303+B344+B385+B426+B467+B508+B549+B590</f>
        <v/>
      </c>
      <c r="C631" s="249">
        <f>IF(B631&gt;0,D631/B631," ")</f>
        <v/>
      </c>
      <c r="D631" s="361">
        <f>D16+D57+D98+D139+D180+D221+D262+D303+D344+D385+D426+D467+D508+D549+D590</f>
        <v/>
      </c>
    </row>
    <row r="632">
      <c r="A632" s="29" t="inlineStr">
        <is>
          <t>B. DIRECT SUBCONTRACTING COSTS</t>
        </is>
      </c>
      <c r="B632" s="380" t="n"/>
      <c r="C632" s="250" t="n"/>
      <c r="D632" s="359" t="n"/>
    </row>
    <row r="633">
      <c r="A633" s="28" t="n"/>
      <c r="B633" s="378">
        <f>B18+B59+B100+B141+B182+B223+B264+B305+B346+B387+B428+B469+B510+B551+B592</f>
        <v/>
      </c>
      <c r="C633" s="249">
        <f>IF(B633&gt;0,D633/B633," ")</f>
        <v/>
      </c>
      <c r="D633" s="361">
        <f>D18+D59+D100+D141+D182+D223+D264+D305+D346+D387+D428+D469+D510+D551+D592</f>
        <v/>
      </c>
    </row>
    <row r="634">
      <c r="A634" s="29" t="inlineStr">
        <is>
          <t>C. DIRECT PURCHASE COSTS</t>
        </is>
      </c>
      <c r="B634" s="380" t="n"/>
      <c r="C634" s="250" t="n"/>
      <c r="D634" s="359" t="n"/>
    </row>
    <row r="635">
      <c r="A635" s="28" t="inlineStr">
        <is>
          <t>C.1 Travel and subsistence</t>
        </is>
      </c>
      <c r="B635" s="378">
        <f>B20+B61+B102+B143+B184+B225+B266+B307+B348+B389+B430+B471+B512+B553+B594</f>
        <v/>
      </c>
      <c r="C635" s="249">
        <f>IF(B635&gt;0,D635/B635," ")</f>
        <v/>
      </c>
      <c r="D635" s="361">
        <f>D20+D61+D102+D143+D184+D225+D266+D307+D348+D389+D430+D471+D512+D553+D594</f>
        <v/>
      </c>
    </row>
    <row r="636">
      <c r="A636" s="28" t="inlineStr">
        <is>
          <t>C.2 Equipment (complete 'Depreciation costs' sheet)</t>
        </is>
      </c>
      <c r="B636" s="381" t="n"/>
      <c r="C636" s="251" t="n"/>
      <c r="D636" s="364" t="n"/>
    </row>
    <row r="637">
      <c r="A637" s="49" t="inlineStr">
        <is>
          <t>Equipment</t>
        </is>
      </c>
      <c r="B637" s="378">
        <f>B22+B63+B104+B145+B186+B227+B268+B309+B350+B391+B432+B473+B514+B555+B596</f>
        <v/>
      </c>
      <c r="C637" s="249">
        <f>IF(B637&gt;0,D637/B637," ")</f>
        <v/>
      </c>
      <c r="D637" s="361">
        <f>D22+D63+D104+D145+D186+D227+D268+D309+D350+D391+D432+D473+D514+D555+D596</f>
        <v/>
      </c>
    </row>
    <row r="638">
      <c r="A638" s="49" t="inlineStr">
        <is>
          <t>Infrastructure</t>
        </is>
      </c>
      <c r="B638" s="378">
        <f>B23+B64+B105+B146+B187+B228+B269+B310+B351+B392+B433+B474+B515+B556+B597</f>
        <v/>
      </c>
      <c r="C638" s="249">
        <f>IF(B638&gt;0,D638/B638," ")</f>
        <v/>
      </c>
      <c r="D638" s="361">
        <f>D23+D64+D105+D146+D187+D228+D269+D310+D351+D392+D433+D474+D515+D556+D597</f>
        <v/>
      </c>
    </row>
    <row r="639">
      <c r="A639" s="49" t="inlineStr">
        <is>
          <t>Other assets</t>
        </is>
      </c>
      <c r="B639" s="378">
        <f>B24+B65+B106+B147+B188+B229+B270+B311+B352+B393+B434+B475+B516+B557+B598</f>
        <v/>
      </c>
      <c r="C639" s="249">
        <f>IF(B639&gt;0,D639/B639," ")</f>
        <v/>
      </c>
      <c r="D639" s="361">
        <f>D24+D65+D106+D147+D188+D229+D270+D311+D352+D393+D434+D475+D516+D557+D598</f>
        <v/>
      </c>
    </row>
    <row r="640">
      <c r="A640" s="28" t="inlineStr">
        <is>
          <t>C.3 Other goods, works and services</t>
        </is>
      </c>
      <c r="B640" s="381" t="n"/>
      <c r="C640" s="251" t="n"/>
      <c r="D640" s="364" t="n"/>
    </row>
    <row r="641">
      <c r="A641" s="49" t="inlineStr">
        <is>
          <t>Consumables</t>
        </is>
      </c>
      <c r="B641" s="378">
        <f>B26+B67+B108+B149+B190+B231+B272+B313+B354+B395+B436+B477+B518+B559+B600</f>
        <v/>
      </c>
      <c r="C641" s="249">
        <f>IF(B641&gt;0,D641/B641," ")</f>
        <v/>
      </c>
      <c r="D641" s="361">
        <f>D26+D67+D108+D149+D190+D231+D272+D313+D354+D395+D436+D477+D518+D559+D600</f>
        <v/>
      </c>
    </row>
    <row r="642">
      <c r="A642" s="49" t="inlineStr">
        <is>
          <t>Services for meetings, seminars</t>
        </is>
      </c>
      <c r="B642" s="378">
        <f>B27+B68+B109+B150+B191+B232+B273+B314+B355+B396+B437+B478+B519+B560+B601</f>
        <v/>
      </c>
      <c r="C642" s="249">
        <f>IF(B642&gt;0,D642/B642," ")</f>
        <v/>
      </c>
      <c r="D642" s="361">
        <f>D27+D68+D109+D150+D191+D232+D273+D314+D355+D396+D437+D478+D519+D560+D601</f>
        <v/>
      </c>
    </row>
    <row r="643">
      <c r="A643" s="49" t="inlineStr">
        <is>
          <t>Services for dissemination activities (including website)</t>
        </is>
      </c>
      <c r="B643" s="378">
        <f>B28+B69+B110+B151+B192+B233+B274+B315+B356+B397+B438+B479+B520+B561+B602</f>
        <v/>
      </c>
      <c r="C643" s="249">
        <f>IF(B643&gt;0,D643/B643," ")</f>
        <v/>
      </c>
      <c r="D643" s="361">
        <f>D28+D69+D110+D151+D192+D233+D274+D315+D356+D397+D438+D479+D520+D561+D602</f>
        <v/>
      </c>
    </row>
    <row r="644">
      <c r="A644" s="49" t="inlineStr">
        <is>
          <t>Publication fees</t>
        </is>
      </c>
      <c r="B644" s="378">
        <f>B29+B70+B111+B152+B193+B234+B275+B316+B357+B398+B439+B480+B521+B562+B603</f>
        <v/>
      </c>
      <c r="C644" s="249">
        <f>IF(B644&gt;0,D644/B644," ")</f>
        <v/>
      </c>
      <c r="D644" s="361">
        <f>D29+D70+D111+D152+D193+D234+D275+D316+D357+D398+D439+D480+D521+D562+D603</f>
        <v/>
      </c>
    </row>
    <row r="645">
      <c r="A645" s="49" t="inlineStr">
        <is>
          <t>Other (shipment, insurance, translation, etc.)</t>
        </is>
      </c>
      <c r="B645" s="378">
        <f>B30+B71+B112+B153+B194+B235+B276+B317+B358+B399+B440+B481+B522+B563+B604</f>
        <v/>
      </c>
      <c r="C645" s="249">
        <f>IF(B645&gt;0,D645/B645," ")</f>
        <v/>
      </c>
      <c r="D645" s="361">
        <f>D30+D71+D112+D153+D194+D235+D276+D317+D358+D399+D440+D481+D522+D563+D604</f>
        <v/>
      </c>
    </row>
    <row r="646">
      <c r="A646" s="29" t="inlineStr">
        <is>
          <t>D. OTHER COST CATEGORIES</t>
        </is>
      </c>
      <c r="B646" s="380" t="n"/>
      <c r="C646" s="250" t="n"/>
      <c r="D646" s="359" t="n"/>
    </row>
    <row r="647">
      <c r="A647" s="50" t="inlineStr">
        <is>
          <t>D.1 Financial support to third parties (if applicable in the topic specific conditions)</t>
        </is>
      </c>
      <c r="B647" s="378">
        <f>B32+B73+B114+B155+B196+B237+B278+B319+B360+B401+B442+B483+B524+B565+B606</f>
        <v/>
      </c>
      <c r="C647" s="249">
        <f>IF(B647&gt;0,D647/B647," ")</f>
        <v/>
      </c>
      <c r="D647" s="361">
        <f>D32+D73+D114+D155+D196+D237+D278+D319+D360+D401+D442+D483+D524+D565+D606</f>
        <v/>
      </c>
    </row>
    <row r="648">
      <c r="A648" s="50" t="inlineStr">
        <is>
          <t>D.2 Internally invoiced goods and services</t>
        </is>
      </c>
      <c r="B648" s="378">
        <f>B33+B74+B115+B156+B197+B238+B279+B320+B361+B402+B443+B484+B525+B566+B607</f>
        <v/>
      </c>
      <c r="C648" s="249">
        <f>IF(B648&gt;0,D648/B648," ")</f>
        <v/>
      </c>
      <c r="D648" s="361">
        <f>D33+D74+D115+D156+D197+D238+D279+D320+D361+D402+D443+D484+D525+D566+D607</f>
        <v/>
      </c>
    </row>
    <row r="649">
      <c r="A649" s="50" t="inlineStr">
        <is>
          <t>D.3 Transnational access to research infrastructure unit costs (if mentioned as eligible in the topic specific conditions)</t>
        </is>
      </c>
      <c r="B649" s="378">
        <f>B34+B75+B116+B157+B198+B239+B280+B321+B362+B403+B444+B485+B526+B567+B608</f>
        <v/>
      </c>
      <c r="C649" s="249">
        <f>IF(B649&gt;0,D649/B649," ")</f>
        <v/>
      </c>
      <c r="D649" s="361">
        <f>D34+D75+D116+D157+D198+D239+D280+D321+D362+D403+D444+D485+D526+D567+D608</f>
        <v/>
      </c>
    </row>
    <row r="650">
      <c r="A650" s="50" t="inlineStr">
        <is>
          <t>D.4 Virtual access to research infrastructure unit costs (if mentioned as eligible in the topic specific conditions)</t>
        </is>
      </c>
      <c r="B650" s="378">
        <f>B35+B76+B117+B158+B199+B240+B281+B322+B363+B404+B445+B486+B527+B568+B609</f>
        <v/>
      </c>
      <c r="C650" s="249">
        <f>IF(B650&gt;0,D650/B650," ")</f>
        <v/>
      </c>
      <c r="D650" s="361">
        <f>D35+D76+D117+D158+D199+D240+D281+D322+D363+D404+D445+D486+D527+D568+D609</f>
        <v/>
      </c>
    </row>
    <row r="651">
      <c r="A651" s="50" t="inlineStr">
        <is>
          <t>D.5 PCP/PPI procurement costs (if mentioned as eligible in the topic specific conditions)</t>
        </is>
      </c>
      <c r="B651" s="378">
        <f>B36+B77+B118+B159+B200+B241+B282+B323+B364+B405+B446+B487+B528+B569+B610</f>
        <v/>
      </c>
      <c r="C651" s="249">
        <f>IF(B651&gt;0,D651/B651," ")</f>
        <v/>
      </c>
      <c r="D651" s="361">
        <f>D36+D77+D118+D159+D200+D241+D282+D323+D364+D405+D446+D487+D528+D569+D610</f>
        <v/>
      </c>
    </row>
    <row r="652">
      <c r="A652" s="51" t="n"/>
      <c r="B652" s="346" t="n"/>
      <c r="C652" s="111" t="n"/>
      <c r="D652" s="365" t="n"/>
    </row>
    <row r="653">
      <c r="A653" s="52" t="inlineStr">
        <is>
          <t>TOTAL DIRECT PERSONNEL COSTS AND PURCHASE COSTS (A+C)</t>
        </is>
      </c>
      <c r="B653" s="369" t="n"/>
      <c r="C653" s="230" t="n"/>
      <c r="D653" s="382">
        <f>D38+D79+D120+D161+D202+D243+D284+D325+D366+D407+D448+D489+D530+D571+D612</f>
        <v/>
      </c>
    </row>
    <row r="654">
      <c r="A654" s="52" t="inlineStr">
        <is>
          <t>TOTAL DIRECT COSTS  (A+B+C+D)</t>
        </is>
      </c>
      <c r="B654" s="369" t="n"/>
      <c r="C654" s="230" t="n"/>
      <c r="D654" s="382">
        <f>D39+D80+D121+D162+D203+D244+D285+D326+D367+D408+D449+D490+D531+D572+D613</f>
        <v/>
      </c>
    </row>
    <row r="655">
      <c r="A655" s="182" t="n"/>
      <c r="B655" s="383" t="n"/>
      <c r="C655" s="192" t="n"/>
      <c r="D655" s="191" t="n"/>
    </row>
    <row r="656">
      <c r="A656" s="29" t="inlineStr">
        <is>
          <t>E. INDIRECT COSTS (25% * (A+C))</t>
        </is>
      </c>
      <c r="B656" s="369" t="n"/>
      <c r="C656" s="230" t="n"/>
      <c r="D656" s="382">
        <f>D41+D82+D123+D164+D205+D246+D287+D328+D369+D410+D451+D492+D533+D574+D615</f>
        <v/>
      </c>
    </row>
    <row r="657">
      <c r="A657" s="182" t="n"/>
      <c r="B657" s="383" t="n"/>
      <c r="C657" s="192" t="n"/>
      <c r="D657" s="191" t="n"/>
    </row>
    <row r="658">
      <c r="A658" s="29" t="inlineStr">
        <is>
          <t>F. TOTAL COSTS (A+B+C+D+E)</t>
        </is>
      </c>
      <c r="B658" s="369" t="n"/>
      <c r="C658" s="230" t="n"/>
      <c r="D658" s="382">
        <f>D43+D84+D125+D166+D207+D248+D289+D330+D371+D412+D453+D494+D535+D576+D617</f>
        <v/>
      </c>
    </row>
  </sheetData>
  <sheetProtection selectLockedCells="1" selectUnlockedCells="0" algorithmName="SHA-512" sheet="1" objects="1" insertRows="1" insertHyperlinks="1" autoFilter="1" scenarios="1" formatColumns="1" deleteColumns="1" insertColumns="1" pivotTables="1" deleteRows="1" formatCells="1" saltValue="mMaElGh8X/LXlwknI8khmw==" formatRows="1" sort="1" spinCount="100000" hashValue="b8XIOgY8S7LNM0h0IbA3EURKUz8JsOYpLPN7T/Iyi0PXcWhxe5XKBkbCTGkbdA4oT/DkoOIK18IgQ6OXOQ1eLA=="/>
  <mergeCells count="17">
    <mergeCell ref="A497:D497"/>
    <mergeCell ref="A5:D5"/>
    <mergeCell ref="A579:D579"/>
    <mergeCell ref="A620:D620"/>
    <mergeCell ref="A456:D456"/>
    <mergeCell ref="A333:D333"/>
    <mergeCell ref="A210:D210"/>
    <mergeCell ref="A538:D538"/>
    <mergeCell ref="A87:D87"/>
    <mergeCell ref="A415:D415"/>
    <mergeCell ref="A251:D251"/>
    <mergeCell ref="B2:D2"/>
    <mergeCell ref="A128:D128"/>
    <mergeCell ref="A292:D292"/>
    <mergeCell ref="A169:D169"/>
    <mergeCell ref="A46:D46"/>
    <mergeCell ref="A374:D374"/>
  </mergeCells>
  <hyperlinks>
    <hyperlink ref="C1" location="A658" tooltip="Go to Summary section" display="A658"/>
  </hyperlinks>
  <pageMargins left="0.7" right="0.7" top="0.75" bottom="0.75" header="0.3" footer="0.3"/>
</worksheet>
</file>

<file path=xl/worksheets/sheet18.xml><?xml version="1.0" encoding="utf-8"?>
<worksheet xmlns="http://schemas.openxmlformats.org/spreadsheetml/2006/main">
  <sheetPr>
    <tabColor rgb="FFFF0000"/>
    <outlinePr summaryBelow="1" summaryRight="1"/>
    <pageSetUpPr/>
  </sheetPr>
  <dimension ref="A1:D617"/>
  <sheetViews>
    <sheetView zoomScale="80" zoomScaleNormal="80" workbookViewId="0">
      <pane xSplit="1" ySplit="3" topLeftCell="B4" activePane="bottomRight" state="frozenSplit"/>
      <selection pane="bottomRight" activeCell="A3" sqref="A3"/>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BE8 - BUDGET SHEET</t>
        </is>
      </c>
      <c r="B1" s="33" t="n"/>
      <c r="C1" s="242" t="inlineStr">
        <is>
          <t>View Summary</t>
        </is>
      </c>
      <c r="D1" s="34" t="n"/>
    </row>
    <row r="2" ht="18.6" customHeight="1">
      <c r="A2" s="265" t="inlineStr">
        <is>
          <t>3676af46-691e-4893-9ada-42223e138105</t>
        </is>
      </c>
      <c r="B2" s="273" t="inlineStr">
        <is>
          <t>PNGEANIC</t>
        </is>
      </c>
      <c r="C2" s="314" t="n"/>
      <c r="D2" s="315" t="n"/>
    </row>
    <row r="3" ht="18.6" customHeight="1">
      <c r="A3" s="263"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272">
        <f>CONCATENATE("COSTS WORK PACKAGE 1:"," ","Project management and coordination")</f>
        <v/>
      </c>
      <c r="B5" s="314" t="n"/>
      <c r="C5" s="314" t="n"/>
      <c r="D5" s="315" t="n"/>
    </row>
    <row r="6">
      <c r="A6" s="182" t="n"/>
      <c r="B6" s="191" t="n"/>
      <c r="C6" s="192" t="n"/>
      <c r="D6" s="191" t="n"/>
    </row>
    <row r="7">
      <c r="A7" s="29" t="inlineStr">
        <is>
          <t>A. DIRECT PERSONNEL COSTS</t>
        </is>
      </c>
      <c r="B7" s="30" t="n"/>
      <c r="C7" s="110" t="n"/>
      <c r="D7" s="354" t="n"/>
    </row>
    <row r="8">
      <c r="A8" s="28" t="inlineStr">
        <is>
          <t>A.1 Employees (or equivalent)</t>
        </is>
      </c>
      <c r="B8" s="89" t="n"/>
      <c r="C8" s="111" t="n"/>
      <c r="D8" s="355" t="n"/>
    </row>
    <row r="9">
      <c r="A9" s="48" t="inlineStr">
        <is>
          <t>SENIOR SCIENTISTS (or equivalent in the private sector)</t>
        </is>
      </c>
      <c r="B9" s="357" t="n">
        <v>1</v>
      </c>
      <c r="C9" s="248" t="n">
        <v>5000</v>
      </c>
      <c r="D9" s="232">
        <f>B9*C9</f>
        <v/>
      </c>
    </row>
    <row r="10">
      <c r="A10" s="48" t="inlineStr">
        <is>
          <t>JUNIOR SCIENTISTS (or equivalent in the private sector)</t>
        </is>
      </c>
      <c r="B10" s="357" t="n"/>
      <c r="C10" s="248" t="n"/>
      <c r="D10" s="232">
        <f>B10*C10</f>
        <v/>
      </c>
    </row>
    <row r="11">
      <c r="A11" s="48" t="inlineStr">
        <is>
          <t>TECHNICAL PERSONNEL (or equivalent in the private sector)</t>
        </is>
      </c>
      <c r="B11" s="357" t="n"/>
      <c r="C11" s="248" t="n"/>
      <c r="D11" s="232">
        <f>B11*C11</f>
        <v/>
      </c>
    </row>
    <row r="12">
      <c r="A12" s="48" t="inlineStr">
        <is>
          <t>ADMINISTRATIVE PERSONNEL (or equivalent in the private sector)</t>
        </is>
      </c>
      <c r="B12" s="357" t="n">
        <v>1</v>
      </c>
      <c r="C12" s="248" t="n">
        <v>3000</v>
      </c>
      <c r="D12" s="232">
        <f>B12*C12</f>
        <v/>
      </c>
    </row>
    <row r="13">
      <c r="A13" s="48" t="inlineStr">
        <is>
          <t>OTHERS</t>
        </is>
      </c>
      <c r="B13" s="357" t="n"/>
      <c r="C13" s="248" t="n"/>
      <c r="D13" s="232">
        <f>B13*C13</f>
        <v/>
      </c>
    </row>
    <row r="14">
      <c r="A14" s="28" t="inlineStr">
        <is>
          <t>A.2 Natural Persons under direct contract</t>
        </is>
      </c>
      <c r="B14" s="357" t="n"/>
      <c r="C14" s="248" t="n"/>
      <c r="D14" s="232">
        <f>B14*C14</f>
        <v/>
      </c>
    </row>
    <row r="15">
      <c r="A15" s="28" t="inlineStr">
        <is>
          <t>A.3 Seconded Persons</t>
        </is>
      </c>
      <c r="B15" s="357" t="n"/>
      <c r="C15" s="248" t="n"/>
      <c r="D15" s="232">
        <f>B15*C15</f>
        <v/>
      </c>
    </row>
    <row r="16">
      <c r="A16" s="28" t="inlineStr">
        <is>
          <t>A.4 SME owners and natural person beneficiaries</t>
        </is>
      </c>
      <c r="B16" s="357" t="n"/>
      <c r="C16" s="256" t="n">
        <v>8360.6024</v>
      </c>
      <c r="D16" s="232">
        <f>B16*C16</f>
        <v/>
      </c>
    </row>
    <row r="17">
      <c r="A17" s="29" t="inlineStr">
        <is>
          <t>B. DIRECT SUBCONTRACTING COSTS</t>
        </is>
      </c>
      <c r="B17" s="358" t="n"/>
      <c r="C17" s="110" t="n"/>
      <c r="D17" s="359" t="n"/>
    </row>
    <row r="18">
      <c r="A18" s="53" t="n"/>
      <c r="B18" s="357" t="n"/>
      <c r="C18" s="248" t="n"/>
      <c r="D18" s="361">
        <f>B18*C18</f>
        <v/>
      </c>
    </row>
    <row r="19">
      <c r="A19" s="29" t="inlineStr">
        <is>
          <t>C. DIRECT PURCHASE COSTS</t>
        </is>
      </c>
      <c r="B19" s="358" t="n"/>
      <c r="C19" s="110" t="n"/>
      <c r="D19" s="359" t="n"/>
    </row>
    <row r="20">
      <c r="A20" s="28" t="inlineStr">
        <is>
          <t>C.1 Travel and subsistence</t>
        </is>
      </c>
      <c r="B20" s="357" t="n">
        <v>6</v>
      </c>
      <c r="C20" s="248" t="n">
        <v>2000</v>
      </c>
      <c r="D20" s="361">
        <f>B20*C20</f>
        <v/>
      </c>
    </row>
    <row r="21">
      <c r="A21" s="28" t="inlineStr">
        <is>
          <t>C.2 Equipment (complete 'Depreciation costs' sheet)</t>
        </is>
      </c>
      <c r="B21" s="346" t="n"/>
      <c r="C21" s="111" t="n"/>
      <c r="D21" s="364" t="n"/>
    </row>
    <row r="22">
      <c r="A22" s="49" t="inlineStr">
        <is>
          <t>Equipment</t>
        </is>
      </c>
      <c r="B22" s="357" t="n"/>
      <c r="C22" s="248" t="n"/>
      <c r="D22" s="361">
        <f>B22*C22</f>
        <v/>
      </c>
    </row>
    <row r="23">
      <c r="A23" s="49" t="inlineStr">
        <is>
          <t>Infrastructure</t>
        </is>
      </c>
      <c r="B23" s="357" t="n"/>
      <c r="C23" s="248" t="n"/>
      <c r="D23" s="361">
        <f>B23*C23</f>
        <v/>
      </c>
    </row>
    <row r="24">
      <c r="A24" s="49" t="inlineStr">
        <is>
          <t>Other assets</t>
        </is>
      </c>
      <c r="B24" s="357" t="n"/>
      <c r="C24" s="248" t="n"/>
      <c r="D24" s="361">
        <f>B24*C24</f>
        <v/>
      </c>
    </row>
    <row r="25">
      <c r="A25" s="28" t="inlineStr">
        <is>
          <t>C.3 Other goods, works and services</t>
        </is>
      </c>
      <c r="B25" s="346" t="n"/>
      <c r="C25" s="111" t="n"/>
      <c r="D25" s="364" t="n"/>
    </row>
    <row r="26">
      <c r="A26" s="49" t="inlineStr">
        <is>
          <t>Consumables</t>
        </is>
      </c>
      <c r="B26" s="357" t="n"/>
      <c r="C26" s="248" t="n"/>
      <c r="D26" s="361">
        <f>B26*C26</f>
        <v/>
      </c>
    </row>
    <row r="27">
      <c r="A27" s="49" t="inlineStr">
        <is>
          <t>Services for meetings, seminars</t>
        </is>
      </c>
      <c r="B27" s="357" t="n"/>
      <c r="C27" s="248" t="n"/>
      <c r="D27" s="361">
        <f>B27*C27</f>
        <v/>
      </c>
    </row>
    <row r="28">
      <c r="A28" s="49" t="inlineStr">
        <is>
          <t>Services for dissemination activities (including website)</t>
        </is>
      </c>
      <c r="B28" s="357" t="n"/>
      <c r="C28" s="248" t="n"/>
      <c r="D28" s="361">
        <f>B28*C28</f>
        <v/>
      </c>
    </row>
    <row r="29">
      <c r="A29" s="49" t="inlineStr">
        <is>
          <t>Publication fees</t>
        </is>
      </c>
      <c r="B29" s="357" t="n"/>
      <c r="C29" s="248" t="n"/>
      <c r="D29" s="361">
        <f>B29*C29</f>
        <v/>
      </c>
    </row>
    <row r="30">
      <c r="A30" s="49" t="inlineStr">
        <is>
          <t>Other (shipment, insurance, translation, etc.)</t>
        </is>
      </c>
      <c r="B30" s="357" t="n"/>
      <c r="C30" s="248" t="n"/>
      <c r="D30" s="361">
        <f>B30*C30</f>
        <v/>
      </c>
    </row>
    <row r="31">
      <c r="A31" s="29" t="inlineStr">
        <is>
          <t>D. OTHER COST CATEGORIES</t>
        </is>
      </c>
      <c r="B31" s="358" t="n"/>
      <c r="C31" s="110" t="n"/>
      <c r="D31" s="359" t="n"/>
    </row>
    <row r="32">
      <c r="A32" s="50" t="inlineStr">
        <is>
          <t>D.1 Financial support to third parties (if applicable in the topic specific conditions)</t>
        </is>
      </c>
      <c r="B32" s="357" t="n"/>
      <c r="C32" s="248" t="n"/>
      <c r="D32" s="361">
        <f>B32*C32</f>
        <v/>
      </c>
    </row>
    <row r="33">
      <c r="A33" s="50" t="inlineStr">
        <is>
          <t>D.2 Internally invoiced goods and services</t>
        </is>
      </c>
      <c r="B33" s="357" t="n"/>
      <c r="C33" s="248" t="n"/>
      <c r="D33" s="361">
        <f>B33*C33</f>
        <v/>
      </c>
    </row>
    <row r="34">
      <c r="A34" s="50" t="inlineStr">
        <is>
          <t>D.3 Transnational access to research infrastructure unit costs (if mentioned as eligible in the topic specific conditions)</t>
        </is>
      </c>
      <c r="B34" s="357" t="n"/>
      <c r="C34" s="248" t="n"/>
      <c r="D34" s="361">
        <f>B34*C34</f>
        <v/>
      </c>
    </row>
    <row r="35">
      <c r="A35" s="50" t="inlineStr">
        <is>
          <t>D.4 Virtual access to research infrastructure unit costs (if mentioned as eligible in the topic specific conditions)</t>
        </is>
      </c>
      <c r="B35" s="357" t="n"/>
      <c r="C35" s="248" t="n"/>
      <c r="D35" s="361">
        <f>B35*C35</f>
        <v/>
      </c>
    </row>
    <row r="36">
      <c r="A36" s="50" t="inlineStr">
        <is>
          <t>D.5 PCP/PPI procurement costs (if mentioned as eligible in the topic specific conditions)</t>
        </is>
      </c>
      <c r="B36" s="357" t="n"/>
      <c r="C36" s="248" t="n"/>
      <c r="D36" s="361">
        <f>B36*C36</f>
        <v/>
      </c>
    </row>
    <row r="37">
      <c r="A37" s="50" t="n"/>
      <c r="B37" s="346" t="n"/>
      <c r="C37" s="111" t="n"/>
      <c r="D37" s="365" t="n"/>
    </row>
    <row r="38">
      <c r="A38" s="52" t="inlineStr">
        <is>
          <t>TOTAL DIRECT PERSONNEL COSTS AND PURCHASE COSTS (A+C)</t>
        </is>
      </c>
      <c r="B38" s="369" t="n"/>
      <c r="C38" s="230" t="n"/>
      <c r="D38" s="360">
        <f>SUM(D9:D16,D20:D30)</f>
        <v/>
      </c>
    </row>
    <row r="39">
      <c r="A39" s="52" t="inlineStr">
        <is>
          <t>TOTAL DIRECT COSTS  (A+B+C+D)</t>
        </is>
      </c>
      <c r="B39" s="369" t="n"/>
      <c r="C39" s="230" t="n"/>
      <c r="D39" s="360">
        <f>SUM(D9:D36)</f>
        <v/>
      </c>
    </row>
    <row r="40">
      <c r="A40" s="180" t="n"/>
      <c r="B40" s="372" t="n"/>
      <c r="C40" s="176" t="n"/>
      <c r="D40" s="373" t="n"/>
    </row>
    <row r="41">
      <c r="A41" s="29" t="inlineStr">
        <is>
          <t>E. INDIRECT COSTS (25% * (A+C))</t>
        </is>
      </c>
      <c r="B41" s="358" t="n"/>
      <c r="C41" s="110" t="n"/>
      <c r="D41" s="360">
        <f>D38*0.25</f>
        <v/>
      </c>
    </row>
    <row r="42">
      <c r="A42" s="32" t="n"/>
      <c r="B42" s="372" t="n"/>
      <c r="C42" s="176" t="n"/>
      <c r="D42" s="377" t="n"/>
    </row>
    <row r="43">
      <c r="A43" s="29" t="inlineStr">
        <is>
          <t>F. TOTAL COSTS (A+B+C+D+E)</t>
        </is>
      </c>
      <c r="B43" s="369" t="n"/>
      <c r="C43" s="230" t="n"/>
      <c r="D43" s="360">
        <f>D39+D41</f>
        <v/>
      </c>
    </row>
    <row r="44">
      <c r="A44" s="182" t="n"/>
      <c r="B44" s="183" t="n"/>
      <c r="C44" s="184" t="n"/>
      <c r="D44" s="183" t="n"/>
    </row>
    <row r="45">
      <c r="A45" s="190" t="n"/>
      <c r="B45" s="185" t="n"/>
      <c r="C45" s="186" t="n"/>
      <c r="D45" s="187" t="n"/>
    </row>
    <row r="46" ht="21" customHeight="1">
      <c r="A46" s="272">
        <f>CONCATENATE("COSTS WORK PACKAGE 2:"," ","System definition and use case identification")</f>
        <v/>
      </c>
      <c r="B46" s="314" t="n"/>
      <c r="C46" s="314" t="n"/>
      <c r="D46" s="315" t="n"/>
    </row>
    <row r="47">
      <c r="A47" s="182" t="n"/>
      <c r="B47" s="191" t="n"/>
      <c r="C47" s="192" t="n"/>
      <c r="D47" s="191" t="n"/>
    </row>
    <row r="48">
      <c r="A48" s="29" t="inlineStr">
        <is>
          <t>A. DIRECT PERSONNEL COSTS</t>
        </is>
      </c>
      <c r="B48" s="30" t="n"/>
      <c r="C48" s="110" t="n"/>
      <c r="D48" s="354" t="n"/>
    </row>
    <row r="49">
      <c r="A49" s="28" t="inlineStr">
        <is>
          <t>A.1 Employees (or equivalent)</t>
        </is>
      </c>
      <c r="B49" s="89" t="n"/>
      <c r="C49" s="111" t="n"/>
      <c r="D49" s="355" t="n"/>
    </row>
    <row r="50">
      <c r="A50" s="48" t="inlineStr">
        <is>
          <t>SENIOR SCIENTISTS (or equivalent in the private sector)</t>
        </is>
      </c>
      <c r="B50" s="357" t="n">
        <v>2</v>
      </c>
      <c r="C50" s="248" t="n">
        <v>5000</v>
      </c>
      <c r="D50" s="232">
        <f>B50*C50</f>
        <v/>
      </c>
    </row>
    <row r="51">
      <c r="A51" s="48" t="inlineStr">
        <is>
          <t>JUNIOR SCIENTISTS (or equivalent in the private sector)</t>
        </is>
      </c>
      <c r="B51" s="357" t="n">
        <v>1</v>
      </c>
      <c r="C51" s="248" t="n">
        <v>5000</v>
      </c>
      <c r="D51" s="232">
        <f>B51*C51</f>
        <v/>
      </c>
    </row>
    <row r="52">
      <c r="A52" s="48" t="inlineStr">
        <is>
          <t>TECHNICAL PERSONNEL (or equivalent in the private sector)</t>
        </is>
      </c>
      <c r="B52" s="357" t="n"/>
      <c r="C52" s="248" t="n"/>
      <c r="D52" s="232">
        <f>B52*C52</f>
        <v/>
      </c>
    </row>
    <row r="53">
      <c r="A53" s="48" t="inlineStr">
        <is>
          <t>ADMINISTRATIVE PERSONNEL (or equivalent in the private sector)</t>
        </is>
      </c>
      <c r="B53" s="357" t="n"/>
      <c r="C53" s="248" t="n"/>
      <c r="D53" s="232">
        <f>B53*C53</f>
        <v/>
      </c>
    </row>
    <row r="54">
      <c r="A54" s="48" t="inlineStr">
        <is>
          <t>OTHERS</t>
        </is>
      </c>
      <c r="B54" s="357" t="n"/>
      <c r="C54" s="248" t="n"/>
      <c r="D54" s="232">
        <f>B54*C54</f>
        <v/>
      </c>
    </row>
    <row r="55">
      <c r="A55" s="28" t="inlineStr">
        <is>
          <t>A.2 Natural Persons under direct contract</t>
        </is>
      </c>
      <c r="B55" s="357" t="n"/>
      <c r="C55" s="248" t="n"/>
      <c r="D55" s="232">
        <f>B55*C55</f>
        <v/>
      </c>
    </row>
    <row r="56">
      <c r="A56" s="28" t="inlineStr">
        <is>
          <t>A.3 Seconded Persons</t>
        </is>
      </c>
      <c r="B56" s="357" t="n"/>
      <c r="C56" s="248" t="n"/>
      <c r="D56" s="232">
        <f>B56*C56</f>
        <v/>
      </c>
    </row>
    <row r="57">
      <c r="A57" s="28" t="inlineStr">
        <is>
          <t>A.4 SME owners and natural person beneficiaries</t>
        </is>
      </c>
      <c r="B57" s="357" t="n"/>
      <c r="C57" s="256" t="n">
        <v>8360.6024</v>
      </c>
      <c r="D57" s="232">
        <f>B57*C57</f>
        <v/>
      </c>
    </row>
    <row r="58">
      <c r="A58" s="29" t="inlineStr">
        <is>
          <t>B. DIRECT SUBCONTRACTING COSTS</t>
        </is>
      </c>
      <c r="B58" s="358" t="n"/>
      <c r="C58" s="110" t="n"/>
      <c r="D58" s="359" t="n"/>
    </row>
    <row r="59">
      <c r="A59" s="53" t="n"/>
      <c r="B59" s="357" t="n"/>
      <c r="C59" s="248" t="n"/>
      <c r="D59" s="361">
        <f>B59*C59</f>
        <v/>
      </c>
    </row>
    <row r="60">
      <c r="A60" s="29" t="inlineStr">
        <is>
          <t>C. DIRECT PURCHASE COSTS</t>
        </is>
      </c>
      <c r="B60" s="358" t="n"/>
      <c r="C60" s="110" t="n"/>
      <c r="D60" s="359" t="n"/>
    </row>
    <row r="61">
      <c r="A61" s="28" t="inlineStr">
        <is>
          <t>C.1 Travel and subsistence</t>
        </is>
      </c>
      <c r="B61" s="357" t="n"/>
      <c r="C61" s="248" t="n"/>
      <c r="D61" s="361">
        <f>B61*C61</f>
        <v/>
      </c>
    </row>
    <row r="62">
      <c r="A62" s="28" t="inlineStr">
        <is>
          <t>C.2 Equipment (complete 'Depreciation costs' sheet)</t>
        </is>
      </c>
      <c r="B62" s="346" t="n"/>
      <c r="C62" s="111" t="n"/>
      <c r="D62" s="364" t="n"/>
    </row>
    <row r="63">
      <c r="A63" s="49" t="inlineStr">
        <is>
          <t>Equipment</t>
        </is>
      </c>
      <c r="B63" s="357" t="n"/>
      <c r="C63" s="248" t="n"/>
      <c r="D63" s="361">
        <f>B63*C63</f>
        <v/>
      </c>
    </row>
    <row r="64">
      <c r="A64" s="49" t="inlineStr">
        <is>
          <t>Infrastructure</t>
        </is>
      </c>
      <c r="B64" s="357" t="n"/>
      <c r="C64" s="248" t="n"/>
      <c r="D64" s="361">
        <f>B64*C64</f>
        <v/>
      </c>
    </row>
    <row r="65">
      <c r="A65" s="49" t="inlineStr">
        <is>
          <t>Other assets</t>
        </is>
      </c>
      <c r="B65" s="357" t="n"/>
      <c r="C65" s="248" t="n"/>
      <c r="D65" s="361">
        <f>B65*C65</f>
        <v/>
      </c>
    </row>
    <row r="66">
      <c r="A66" s="28" t="inlineStr">
        <is>
          <t>C.3 Other goods, works and services</t>
        </is>
      </c>
      <c r="B66" s="346" t="n"/>
      <c r="C66" s="111" t="n"/>
      <c r="D66" s="364" t="n"/>
    </row>
    <row r="67">
      <c r="A67" s="49" t="inlineStr">
        <is>
          <t>Consumables</t>
        </is>
      </c>
      <c r="B67" s="357" t="n"/>
      <c r="C67" s="248" t="n"/>
      <c r="D67" s="361">
        <f>B67*C67</f>
        <v/>
      </c>
    </row>
    <row r="68">
      <c r="A68" s="49" t="inlineStr">
        <is>
          <t>Services for meetings, seminars</t>
        </is>
      </c>
      <c r="B68" s="357" t="n"/>
      <c r="C68" s="248" t="n"/>
      <c r="D68" s="361">
        <f>B68*C68</f>
        <v/>
      </c>
    </row>
    <row r="69">
      <c r="A69" s="49" t="inlineStr">
        <is>
          <t>Services for dissemination activities (including website)</t>
        </is>
      </c>
      <c r="B69" s="357" t="n"/>
      <c r="C69" s="248" t="n"/>
      <c r="D69" s="361">
        <f>B69*C69</f>
        <v/>
      </c>
    </row>
    <row r="70">
      <c r="A70" s="49" t="inlineStr">
        <is>
          <t>Publication fees</t>
        </is>
      </c>
      <c r="B70" s="357" t="n"/>
      <c r="C70" s="248" t="n"/>
      <c r="D70" s="361">
        <f>B70*C70</f>
        <v/>
      </c>
    </row>
    <row r="71">
      <c r="A71" s="49" t="inlineStr">
        <is>
          <t>Other (shipment, insurance, translation, etc.)</t>
        </is>
      </c>
      <c r="B71" s="357" t="n"/>
      <c r="C71" s="248" t="n"/>
      <c r="D71" s="361">
        <f>B71*C71</f>
        <v/>
      </c>
    </row>
    <row r="72">
      <c r="A72" s="29" t="inlineStr">
        <is>
          <t>D. OTHER COST CATEGORIES</t>
        </is>
      </c>
      <c r="B72" s="358" t="n"/>
      <c r="C72" s="110" t="n"/>
      <c r="D72" s="359" t="n"/>
    </row>
    <row r="73">
      <c r="A73" s="50" t="inlineStr">
        <is>
          <t>D.1 Financial support to third parties (if applicable in the topic specific conditions)</t>
        </is>
      </c>
      <c r="B73" s="357" t="n"/>
      <c r="C73" s="248" t="n"/>
      <c r="D73" s="361">
        <f>B73*C73</f>
        <v/>
      </c>
    </row>
    <row r="74">
      <c r="A74" s="50" t="inlineStr">
        <is>
          <t>D.2 Internally invoiced goods and services</t>
        </is>
      </c>
      <c r="B74" s="357" t="n"/>
      <c r="C74" s="248" t="n"/>
      <c r="D74" s="361">
        <f>B74*C74</f>
        <v/>
      </c>
    </row>
    <row r="75">
      <c r="A75" s="50" t="inlineStr">
        <is>
          <t>D.3 Transnational access to research infrastructure unit costs (if mentioned as eligible in the topic specific conditions)</t>
        </is>
      </c>
      <c r="B75" s="357" t="n"/>
      <c r="C75" s="248" t="n"/>
      <c r="D75" s="361">
        <f>B75*C75</f>
        <v/>
      </c>
    </row>
    <row r="76">
      <c r="A76" s="50" t="inlineStr">
        <is>
          <t>D.4 Virtual access to research infrastructure unit costs (if mentioned as eligible in the topic specific conditions)</t>
        </is>
      </c>
      <c r="B76" s="357" t="n"/>
      <c r="C76" s="248" t="n"/>
      <c r="D76" s="361">
        <f>B76*C76</f>
        <v/>
      </c>
    </row>
    <row r="77">
      <c r="A77" s="50" t="inlineStr">
        <is>
          <t>D.5 PCP/PPI procurement costs (if mentioned as eligible in the topic specific conditions)</t>
        </is>
      </c>
      <c r="B77" s="357" t="n"/>
      <c r="C77" s="248" t="n"/>
      <c r="D77" s="361">
        <f>B77*C77</f>
        <v/>
      </c>
    </row>
    <row r="78">
      <c r="A78" s="50" t="n"/>
      <c r="B78" s="346" t="n"/>
      <c r="C78" s="111" t="n"/>
      <c r="D78" s="365" t="n"/>
    </row>
    <row r="79">
      <c r="A79" s="52" t="inlineStr">
        <is>
          <t>TOTAL DIRECT PERSONNEL COSTS AND PURCHASE COSTS (A+C)</t>
        </is>
      </c>
      <c r="B79" s="369" t="n"/>
      <c r="C79" s="230" t="n"/>
      <c r="D79" s="360">
        <f>SUM(D50:D57,D61:D71)</f>
        <v/>
      </c>
    </row>
    <row r="80">
      <c r="A80" s="52" t="inlineStr">
        <is>
          <t>TOTAL DIRECT COSTS  (A+B+C+D)</t>
        </is>
      </c>
      <c r="B80" s="369" t="n"/>
      <c r="C80" s="230" t="n"/>
      <c r="D80" s="360">
        <f>SUM(D50:D77)</f>
        <v/>
      </c>
    </row>
    <row r="81">
      <c r="A81" s="180" t="n"/>
      <c r="B81" s="372" t="n"/>
      <c r="C81" s="176" t="n"/>
      <c r="D81" s="373" t="n"/>
    </row>
    <row r="82">
      <c r="A82" s="29" t="inlineStr">
        <is>
          <t>E. INDIRECT COSTS (25% * (A+C))</t>
        </is>
      </c>
      <c r="B82" s="358" t="n"/>
      <c r="C82" s="110" t="n"/>
      <c r="D82" s="360">
        <f>D79*0.25</f>
        <v/>
      </c>
    </row>
    <row r="83">
      <c r="A83" s="32" t="n"/>
      <c r="B83" s="372" t="n"/>
      <c r="C83" s="176" t="n"/>
      <c r="D83" s="377" t="n"/>
    </row>
    <row r="84">
      <c r="A84" s="29" t="inlineStr">
        <is>
          <t>F. TOTAL COSTS (A+B+C+D+E)</t>
        </is>
      </c>
      <c r="B84" s="369" t="n"/>
      <c r="C84" s="230" t="n"/>
      <c r="D84" s="360">
        <f>D80+D82</f>
        <v/>
      </c>
    </row>
    <row r="85">
      <c r="A85" s="182" t="n"/>
      <c r="B85" s="183" t="n"/>
      <c r="C85" s="184" t="n"/>
      <c r="D85" s="183" t="n"/>
    </row>
    <row r="86">
      <c r="A86" s="190" t="n"/>
      <c r="B86" s="185" t="n"/>
      <c r="C86" s="186" t="n"/>
      <c r="D86" s="187" t="n"/>
    </row>
    <row r="87" ht="21" customHeight="1">
      <c r="A87" s="272">
        <f>CONCATENATE("COSTS WORK PACKAGE 3:"," ","Sensor deployment and analytics  ")</f>
        <v/>
      </c>
      <c r="B87" s="314" t="n"/>
      <c r="C87" s="314" t="n"/>
      <c r="D87" s="315" t="n"/>
    </row>
    <row r="88">
      <c r="A88" s="182" t="n"/>
      <c r="B88" s="191" t="n"/>
      <c r="C88" s="192" t="n"/>
      <c r="D88" s="191" t="n"/>
    </row>
    <row r="89">
      <c r="A89" s="29" t="inlineStr">
        <is>
          <t>A. DIRECT PERSONNEL COSTS</t>
        </is>
      </c>
      <c r="B89" s="30" t="n"/>
      <c r="C89" s="110" t="n"/>
      <c r="D89" s="354" t="n"/>
    </row>
    <row r="90">
      <c r="A90" s="28" t="inlineStr">
        <is>
          <t>A.1 Employees (or equivalent)</t>
        </is>
      </c>
      <c r="B90" s="89" t="n"/>
      <c r="C90" s="111" t="n"/>
      <c r="D90" s="355" t="n"/>
    </row>
    <row r="91">
      <c r="A91" s="48" t="inlineStr">
        <is>
          <t>SENIOR SCIENTISTS (or equivalent in the private sector)</t>
        </is>
      </c>
      <c r="B91" s="357" t="n"/>
      <c r="C91" s="248" t="n"/>
      <c r="D91" s="232">
        <f>B91*C91</f>
        <v/>
      </c>
    </row>
    <row r="92">
      <c r="A92" s="48" t="inlineStr">
        <is>
          <t>JUNIOR SCIENTISTS (or equivalent in the private sector)</t>
        </is>
      </c>
      <c r="B92" s="357" t="n"/>
      <c r="C92" s="248" t="n"/>
      <c r="D92" s="232">
        <f>B92*C92</f>
        <v/>
      </c>
    </row>
    <row r="93">
      <c r="A93" s="48" t="inlineStr">
        <is>
          <t>TECHNICAL PERSONNEL (or equivalent in the private sector)</t>
        </is>
      </c>
      <c r="B93" s="357" t="n"/>
      <c r="C93" s="248" t="n"/>
      <c r="D93" s="232">
        <f>B93*C93</f>
        <v/>
      </c>
    </row>
    <row r="94">
      <c r="A94" s="48" t="inlineStr">
        <is>
          <t>ADMINISTRATIVE PERSONNEL (or equivalent in the private sector)</t>
        </is>
      </c>
      <c r="B94" s="357" t="n"/>
      <c r="C94" s="248" t="n"/>
      <c r="D94" s="232">
        <f>B94*C94</f>
        <v/>
      </c>
    </row>
    <row r="95">
      <c r="A95" s="48" t="inlineStr">
        <is>
          <t>OTHERS</t>
        </is>
      </c>
      <c r="B95" s="357" t="n"/>
      <c r="C95" s="248" t="n"/>
      <c r="D95" s="232">
        <f>B95*C95</f>
        <v/>
      </c>
    </row>
    <row r="96">
      <c r="A96" s="28" t="inlineStr">
        <is>
          <t>A.2 Natural Persons under direct contract</t>
        </is>
      </c>
      <c r="B96" s="357" t="n"/>
      <c r="C96" s="248" t="n"/>
      <c r="D96" s="232">
        <f>B96*C96</f>
        <v/>
      </c>
    </row>
    <row r="97">
      <c r="A97" s="28" t="inlineStr">
        <is>
          <t>A.3 Seconded Persons</t>
        </is>
      </c>
      <c r="B97" s="357" t="n"/>
      <c r="C97" s="248" t="n"/>
      <c r="D97" s="232">
        <f>B97*C97</f>
        <v/>
      </c>
    </row>
    <row r="98">
      <c r="A98" s="28" t="inlineStr">
        <is>
          <t>A.4 SME owners and natural person beneficiaries</t>
        </is>
      </c>
      <c r="B98" s="357" t="n"/>
      <c r="C98" s="256" t="n">
        <v>8360.6024</v>
      </c>
      <c r="D98" s="232">
        <f>B98*C98</f>
        <v/>
      </c>
    </row>
    <row r="99">
      <c r="A99" s="29" t="inlineStr">
        <is>
          <t>B. DIRECT SUBCONTRACTING COSTS</t>
        </is>
      </c>
      <c r="B99" s="358" t="n"/>
      <c r="C99" s="110" t="n"/>
      <c r="D99" s="359" t="n"/>
    </row>
    <row r="100">
      <c r="A100" s="53" t="n"/>
      <c r="B100" s="357" t="n"/>
      <c r="C100" s="248" t="n"/>
      <c r="D100" s="361">
        <f>B100*C100</f>
        <v/>
      </c>
    </row>
    <row r="101">
      <c r="A101" s="29" t="inlineStr">
        <is>
          <t>C. DIRECT PURCHASE COSTS</t>
        </is>
      </c>
      <c r="B101" s="358" t="n"/>
      <c r="C101" s="110" t="n"/>
      <c r="D101" s="359" t="n"/>
    </row>
    <row r="102">
      <c r="A102" s="28" t="inlineStr">
        <is>
          <t>C.1 Travel and subsistence</t>
        </is>
      </c>
      <c r="B102" s="357" t="n"/>
      <c r="C102" s="248" t="n"/>
      <c r="D102" s="361">
        <f>B102*C102</f>
        <v/>
      </c>
    </row>
    <row r="103">
      <c r="A103" s="28" t="inlineStr">
        <is>
          <t>C.2 Equipment (complete 'Depreciation costs' sheet)</t>
        </is>
      </c>
      <c r="B103" s="346" t="n"/>
      <c r="C103" s="111" t="n"/>
      <c r="D103" s="364" t="n"/>
    </row>
    <row r="104">
      <c r="A104" s="49" t="inlineStr">
        <is>
          <t>Equipment</t>
        </is>
      </c>
      <c r="B104" s="357" t="n"/>
      <c r="C104" s="248" t="n"/>
      <c r="D104" s="361">
        <f>B104*C104</f>
        <v/>
      </c>
    </row>
    <row r="105">
      <c r="A105" s="49" t="inlineStr">
        <is>
          <t>Infrastructure</t>
        </is>
      </c>
      <c r="B105" s="357" t="n"/>
      <c r="C105" s="248" t="n"/>
      <c r="D105" s="361">
        <f>B105*C105</f>
        <v/>
      </c>
    </row>
    <row r="106">
      <c r="A106" s="49" t="inlineStr">
        <is>
          <t>Other assets</t>
        </is>
      </c>
      <c r="B106" s="357" t="n"/>
      <c r="C106" s="248" t="n"/>
      <c r="D106" s="361">
        <f>B106*C106</f>
        <v/>
      </c>
    </row>
    <row r="107">
      <c r="A107" s="28" t="inlineStr">
        <is>
          <t>C.3 Other goods, works and services</t>
        </is>
      </c>
      <c r="B107" s="346" t="n"/>
      <c r="C107" s="111" t="n"/>
      <c r="D107" s="364" t="n"/>
    </row>
    <row r="108">
      <c r="A108" s="49" t="inlineStr">
        <is>
          <t>Consumables</t>
        </is>
      </c>
      <c r="B108" s="357" t="n"/>
      <c r="C108" s="248" t="n"/>
      <c r="D108" s="361">
        <f>B108*C108</f>
        <v/>
      </c>
    </row>
    <row r="109">
      <c r="A109" s="49" t="inlineStr">
        <is>
          <t>Services for meetings, seminars</t>
        </is>
      </c>
      <c r="B109" s="357" t="n"/>
      <c r="C109" s="248" t="n"/>
      <c r="D109" s="361">
        <f>B109*C109</f>
        <v/>
      </c>
    </row>
    <row r="110">
      <c r="A110" s="49" t="inlineStr">
        <is>
          <t>Services for dissemination activities (including website)</t>
        </is>
      </c>
      <c r="B110" s="357" t="n"/>
      <c r="C110" s="248" t="n"/>
      <c r="D110" s="361">
        <f>B110*C110</f>
        <v/>
      </c>
    </row>
    <row r="111">
      <c r="A111" s="49" t="inlineStr">
        <is>
          <t>Publication fees</t>
        </is>
      </c>
      <c r="B111" s="357" t="n"/>
      <c r="C111" s="248" t="n"/>
      <c r="D111" s="361">
        <f>B111*C111</f>
        <v/>
      </c>
    </row>
    <row r="112">
      <c r="A112" s="49" t="inlineStr">
        <is>
          <t>Other (shipment, insurance, translation, etc.)</t>
        </is>
      </c>
      <c r="B112" s="357" t="n"/>
      <c r="C112" s="248" t="n"/>
      <c r="D112" s="361">
        <f>B112*C112</f>
        <v/>
      </c>
    </row>
    <row r="113">
      <c r="A113" s="29" t="inlineStr">
        <is>
          <t>D. OTHER COST CATEGORIES</t>
        </is>
      </c>
      <c r="B113" s="358" t="n"/>
      <c r="C113" s="110" t="n"/>
      <c r="D113" s="359" t="n"/>
    </row>
    <row r="114">
      <c r="A114" s="50" t="inlineStr">
        <is>
          <t>D.1 Financial support to third parties (if applicable in the topic specific conditions)</t>
        </is>
      </c>
      <c r="B114" s="357" t="n"/>
      <c r="C114" s="248" t="n"/>
      <c r="D114" s="361">
        <f>B114*C114</f>
        <v/>
      </c>
    </row>
    <row r="115">
      <c r="A115" s="50" t="inlineStr">
        <is>
          <t>D.2 Internally invoiced goods and services</t>
        </is>
      </c>
      <c r="B115" s="357" t="n"/>
      <c r="C115" s="248" t="n"/>
      <c r="D115" s="361">
        <f>B115*C115</f>
        <v/>
      </c>
    </row>
    <row r="116">
      <c r="A116" s="50" t="inlineStr">
        <is>
          <t>D.3 Transnational access to research infrastructure unit costs (if mentioned as eligible in the topic specific conditions)</t>
        </is>
      </c>
      <c r="B116" s="357" t="n"/>
      <c r="C116" s="248" t="n"/>
      <c r="D116" s="361">
        <f>B116*C116</f>
        <v/>
      </c>
    </row>
    <row r="117">
      <c r="A117" s="50" t="inlineStr">
        <is>
          <t>D.4 Virtual access to research infrastructure unit costs (if mentioned as eligible in the topic specific conditions)</t>
        </is>
      </c>
      <c r="B117" s="357" t="n"/>
      <c r="C117" s="248" t="n"/>
      <c r="D117" s="361">
        <f>B117*C117</f>
        <v/>
      </c>
    </row>
    <row r="118">
      <c r="A118" s="50" t="inlineStr">
        <is>
          <t>D.5 PCP/PPI procurement costs (if mentioned as eligible in the topic specific conditions)</t>
        </is>
      </c>
      <c r="B118" s="357" t="n"/>
      <c r="C118" s="248" t="n"/>
      <c r="D118" s="361">
        <f>B118*C118</f>
        <v/>
      </c>
    </row>
    <row r="119">
      <c r="A119" s="50" t="n"/>
      <c r="B119" s="346" t="n"/>
      <c r="C119" s="111" t="n"/>
      <c r="D119" s="365" t="n"/>
    </row>
    <row r="120">
      <c r="A120" s="52" t="inlineStr">
        <is>
          <t>TOTAL DIRECT PERSONNEL COSTS AND PURCHASE COSTS (A+C)</t>
        </is>
      </c>
      <c r="B120" s="369" t="n"/>
      <c r="C120" s="230" t="n"/>
      <c r="D120" s="360">
        <f>SUM(D91:D98,D102:D112)</f>
        <v/>
      </c>
    </row>
    <row r="121">
      <c r="A121" s="52" t="inlineStr">
        <is>
          <t>TOTAL DIRECT COSTS  (A+B+C+D)</t>
        </is>
      </c>
      <c r="B121" s="369" t="n"/>
      <c r="C121" s="230" t="n"/>
      <c r="D121" s="360">
        <f>SUM(D91:D118)</f>
        <v/>
      </c>
    </row>
    <row r="122">
      <c r="A122" s="180" t="n"/>
      <c r="B122" s="372" t="n"/>
      <c r="C122" s="176" t="n"/>
      <c r="D122" s="373" t="n"/>
    </row>
    <row r="123">
      <c r="A123" s="29" t="inlineStr">
        <is>
          <t>E. INDIRECT COSTS (25% * (A+C))</t>
        </is>
      </c>
      <c r="B123" s="358" t="n"/>
      <c r="C123" s="110" t="n"/>
      <c r="D123" s="360">
        <f>D120*0.25</f>
        <v/>
      </c>
    </row>
    <row r="124">
      <c r="A124" s="32" t="n"/>
      <c r="B124" s="372" t="n"/>
      <c r="C124" s="176" t="n"/>
      <c r="D124" s="377" t="n"/>
    </row>
    <row r="125">
      <c r="A125" s="29" t="inlineStr">
        <is>
          <t>F. TOTAL COSTS (A+B+C+D+E)</t>
        </is>
      </c>
      <c r="B125" s="369" t="n"/>
      <c r="C125" s="230" t="n"/>
      <c r="D125" s="360">
        <f>D121+D123</f>
        <v/>
      </c>
    </row>
    <row r="126">
      <c r="A126" s="182" t="n"/>
      <c r="B126" s="183" t="n"/>
      <c r="C126" s="184" t="n"/>
      <c r="D126" s="183" t="n"/>
    </row>
    <row r="127">
      <c r="A127" s="190" t="n"/>
      <c r="B127" s="185" t="n"/>
      <c r="C127" s="186" t="n"/>
      <c r="D127" s="187" t="n"/>
    </row>
    <row r="128" ht="21" customHeight="1">
      <c r="A128" s="272">
        <f>CONCATENATE("COSTS WORK PACKAGE 4:"," ","Digital twins for data generation and augmentation")</f>
        <v/>
      </c>
      <c r="B128" s="314" t="n"/>
      <c r="C128" s="314" t="n"/>
      <c r="D128" s="315" t="n"/>
    </row>
    <row r="129">
      <c r="A129" s="182" t="n"/>
      <c r="B129" s="191" t="n"/>
      <c r="C129" s="192" t="n"/>
      <c r="D129" s="191" t="n"/>
    </row>
    <row r="130">
      <c r="A130" s="29" t="inlineStr">
        <is>
          <t>A. DIRECT PERSONNEL COSTS</t>
        </is>
      </c>
      <c r="B130" s="30" t="n"/>
      <c r="C130" s="110" t="n"/>
      <c r="D130" s="354" t="n"/>
    </row>
    <row r="131">
      <c r="A131" s="28" t="inlineStr">
        <is>
          <t>A.1 Employees (or equivalent)</t>
        </is>
      </c>
      <c r="B131" s="89" t="n"/>
      <c r="C131" s="111" t="n"/>
      <c r="D131" s="355" t="n"/>
    </row>
    <row r="132">
      <c r="A132" s="48" t="inlineStr">
        <is>
          <t>SENIOR SCIENTISTS (or equivalent in the private sector)</t>
        </is>
      </c>
      <c r="B132" s="357" t="n">
        <v>0</v>
      </c>
      <c r="C132" s="248" t="n">
        <v>0</v>
      </c>
      <c r="D132" s="232">
        <f>B132*C132</f>
        <v/>
      </c>
    </row>
    <row r="133">
      <c r="A133" s="48" t="inlineStr">
        <is>
          <t>JUNIOR SCIENTISTS (or equivalent in the private sector)</t>
        </is>
      </c>
      <c r="B133" s="357" t="n"/>
      <c r="C133" s="248" t="n"/>
      <c r="D133" s="232">
        <f>B133*C133</f>
        <v/>
      </c>
    </row>
    <row r="134">
      <c r="A134" s="48" t="inlineStr">
        <is>
          <t>TECHNICAL PERSONNEL (or equivalent in the private sector)</t>
        </is>
      </c>
      <c r="B134" s="357" t="n"/>
      <c r="C134" s="248" t="n"/>
      <c r="D134" s="232">
        <f>B134*C134</f>
        <v/>
      </c>
    </row>
    <row r="135">
      <c r="A135" s="48" t="inlineStr">
        <is>
          <t>ADMINISTRATIVE PERSONNEL (or equivalent in the private sector)</t>
        </is>
      </c>
      <c r="B135" s="357" t="n"/>
      <c r="C135" s="248" t="n"/>
      <c r="D135" s="232">
        <f>B135*C135</f>
        <v/>
      </c>
    </row>
    <row r="136">
      <c r="A136" s="48" t="inlineStr">
        <is>
          <t>OTHERS</t>
        </is>
      </c>
      <c r="B136" s="357" t="n"/>
      <c r="C136" s="248" t="n"/>
      <c r="D136" s="232">
        <f>B136*C136</f>
        <v/>
      </c>
    </row>
    <row r="137">
      <c r="A137" s="28" t="inlineStr">
        <is>
          <t>A.2 Natural Persons under direct contract</t>
        </is>
      </c>
      <c r="B137" s="357" t="n"/>
      <c r="C137" s="248" t="n"/>
      <c r="D137" s="232">
        <f>B137*C137</f>
        <v/>
      </c>
    </row>
    <row r="138">
      <c r="A138" s="28" t="inlineStr">
        <is>
          <t>A.3 Seconded Persons</t>
        </is>
      </c>
      <c r="B138" s="357" t="n"/>
      <c r="C138" s="248" t="n"/>
      <c r="D138" s="232">
        <f>B138*C138</f>
        <v/>
      </c>
    </row>
    <row r="139">
      <c r="A139" s="28" t="inlineStr">
        <is>
          <t>A.4 SME owners and natural person beneficiaries</t>
        </is>
      </c>
      <c r="B139" s="357" t="n"/>
      <c r="C139" s="256" t="n">
        <v>8360.6024</v>
      </c>
      <c r="D139" s="232">
        <f>B139*C139</f>
        <v/>
      </c>
    </row>
    <row r="140">
      <c r="A140" s="29" t="inlineStr">
        <is>
          <t>B. DIRECT SUBCONTRACTING COSTS</t>
        </is>
      </c>
      <c r="B140" s="358" t="n"/>
      <c r="C140" s="110" t="n"/>
      <c r="D140" s="359" t="n"/>
    </row>
    <row r="141">
      <c r="A141" s="53" t="n"/>
      <c r="B141" s="357" t="n"/>
      <c r="C141" s="248" t="n"/>
      <c r="D141" s="361">
        <f>B141*C141</f>
        <v/>
      </c>
    </row>
    <row r="142">
      <c r="A142" s="29" t="inlineStr">
        <is>
          <t>C. DIRECT PURCHASE COSTS</t>
        </is>
      </c>
      <c r="B142" s="358" t="n"/>
      <c r="C142" s="110" t="n"/>
      <c r="D142" s="359" t="n"/>
    </row>
    <row r="143">
      <c r="A143" s="28" t="inlineStr">
        <is>
          <t>C.1 Travel and subsistence</t>
        </is>
      </c>
      <c r="B143" s="357" t="n"/>
      <c r="C143" s="248" t="n"/>
      <c r="D143" s="361">
        <f>B143*C143</f>
        <v/>
      </c>
    </row>
    <row r="144">
      <c r="A144" s="28" t="inlineStr">
        <is>
          <t>C.2 Equipment (complete 'Depreciation costs' sheet)</t>
        </is>
      </c>
      <c r="B144" s="346" t="n"/>
      <c r="C144" s="111" t="n"/>
      <c r="D144" s="364" t="n"/>
    </row>
    <row r="145">
      <c r="A145" s="49" t="inlineStr">
        <is>
          <t>Equipment</t>
        </is>
      </c>
      <c r="B145" s="357" t="n"/>
      <c r="C145" s="248" t="n"/>
      <c r="D145" s="361">
        <f>B145*C145</f>
        <v/>
      </c>
    </row>
    <row r="146">
      <c r="A146" s="49" t="inlineStr">
        <is>
          <t>Infrastructure</t>
        </is>
      </c>
      <c r="B146" s="357" t="n"/>
      <c r="C146" s="248" t="n"/>
      <c r="D146" s="361">
        <f>B146*C146</f>
        <v/>
      </c>
    </row>
    <row r="147">
      <c r="A147" s="49" t="inlineStr">
        <is>
          <t>Other assets</t>
        </is>
      </c>
      <c r="B147" s="357" t="n"/>
      <c r="C147" s="248" t="n"/>
      <c r="D147" s="361">
        <f>B147*C147</f>
        <v/>
      </c>
    </row>
    <row r="148">
      <c r="A148" s="28" t="inlineStr">
        <is>
          <t>C.3 Other goods, works and services</t>
        </is>
      </c>
      <c r="B148" s="346" t="n"/>
      <c r="C148" s="111" t="n"/>
      <c r="D148" s="364" t="n"/>
    </row>
    <row r="149">
      <c r="A149" s="49" t="inlineStr">
        <is>
          <t>Consumables</t>
        </is>
      </c>
      <c r="B149" s="357" t="n"/>
      <c r="C149" s="248" t="n"/>
      <c r="D149" s="361">
        <f>B149*C149</f>
        <v/>
      </c>
    </row>
    <row r="150">
      <c r="A150" s="49" t="inlineStr">
        <is>
          <t>Services for meetings, seminars</t>
        </is>
      </c>
      <c r="B150" s="357" t="n"/>
      <c r="C150" s="248" t="n"/>
      <c r="D150" s="361">
        <f>B150*C150</f>
        <v/>
      </c>
    </row>
    <row r="151">
      <c r="A151" s="49" t="inlineStr">
        <is>
          <t>Services for dissemination activities (including website)</t>
        </is>
      </c>
      <c r="B151" s="357" t="n"/>
      <c r="C151" s="248" t="n"/>
      <c r="D151" s="361">
        <f>B151*C151</f>
        <v/>
      </c>
    </row>
    <row r="152">
      <c r="A152" s="49" t="inlineStr">
        <is>
          <t>Publication fees</t>
        </is>
      </c>
      <c r="B152" s="357" t="n"/>
      <c r="C152" s="248" t="n"/>
      <c r="D152" s="361">
        <f>B152*C152</f>
        <v/>
      </c>
    </row>
    <row r="153">
      <c r="A153" s="49" t="inlineStr">
        <is>
          <t>Other (shipment, insurance, translation, etc.)</t>
        </is>
      </c>
      <c r="B153" s="357" t="n"/>
      <c r="C153" s="248" t="n"/>
      <c r="D153" s="361">
        <f>B153*C153</f>
        <v/>
      </c>
    </row>
    <row r="154">
      <c r="A154" s="29" t="inlineStr">
        <is>
          <t>D. OTHER COST CATEGORIES</t>
        </is>
      </c>
      <c r="B154" s="358" t="n"/>
      <c r="C154" s="110" t="n"/>
      <c r="D154" s="359" t="n"/>
    </row>
    <row r="155">
      <c r="A155" s="50" t="inlineStr">
        <is>
          <t>D.1 Financial support to third parties (if applicable in the topic specific conditions)</t>
        </is>
      </c>
      <c r="B155" s="357" t="n"/>
      <c r="C155" s="248" t="n"/>
      <c r="D155" s="361">
        <f>B155*C155</f>
        <v/>
      </c>
    </row>
    <row r="156">
      <c r="A156" s="50" t="inlineStr">
        <is>
          <t>D.2 Internally invoiced goods and services</t>
        </is>
      </c>
      <c r="B156" s="357" t="n"/>
      <c r="C156" s="248" t="n"/>
      <c r="D156" s="361">
        <f>B156*C156</f>
        <v/>
      </c>
    </row>
    <row r="157">
      <c r="A157" s="50" t="inlineStr">
        <is>
          <t>D.3 Transnational access to research infrastructure unit costs (if mentioned as eligible in the topic specific conditions)</t>
        </is>
      </c>
      <c r="B157" s="357" t="n"/>
      <c r="C157" s="248" t="n"/>
      <c r="D157" s="361">
        <f>B157*C157</f>
        <v/>
      </c>
    </row>
    <row r="158">
      <c r="A158" s="50" t="inlineStr">
        <is>
          <t>D.4 Virtual access to research infrastructure unit costs (if mentioned as eligible in the topic specific conditions)</t>
        </is>
      </c>
      <c r="B158" s="357" t="n"/>
      <c r="C158" s="248" t="n"/>
      <c r="D158" s="361">
        <f>B158*C158</f>
        <v/>
      </c>
    </row>
    <row r="159">
      <c r="A159" s="50" t="inlineStr">
        <is>
          <t>D.5 PCP/PPI procurement costs (if mentioned as eligible in the topic specific conditions)</t>
        </is>
      </c>
      <c r="B159" s="357" t="n"/>
      <c r="C159" s="248" t="n"/>
      <c r="D159" s="361">
        <f>B159*C159</f>
        <v/>
      </c>
    </row>
    <row r="160">
      <c r="A160" s="50" t="n"/>
      <c r="B160" s="346" t="n"/>
      <c r="C160" s="111" t="n"/>
      <c r="D160" s="365" t="n"/>
    </row>
    <row r="161">
      <c r="A161" s="52" t="inlineStr">
        <is>
          <t>TOTAL DIRECT PERSONNEL COSTS AND PURCHASE COSTS (A+C)</t>
        </is>
      </c>
      <c r="B161" s="369" t="n"/>
      <c r="C161" s="230" t="n"/>
      <c r="D161" s="360">
        <f>SUM(D132:D139,D143:D153)</f>
        <v/>
      </c>
    </row>
    <row r="162">
      <c r="A162" s="52" t="inlineStr">
        <is>
          <t>TOTAL DIRECT COSTS  (A+B+C+D)</t>
        </is>
      </c>
      <c r="B162" s="369" t="n"/>
      <c r="C162" s="230" t="n"/>
      <c r="D162" s="360">
        <f>SUM(D132:D159)</f>
        <v/>
      </c>
    </row>
    <row r="163">
      <c r="A163" s="180" t="n"/>
      <c r="B163" s="372" t="n"/>
      <c r="C163" s="176" t="n"/>
      <c r="D163" s="373" t="n"/>
    </row>
    <row r="164">
      <c r="A164" s="29" t="inlineStr">
        <is>
          <t>E. INDIRECT COSTS (25% * (A+C))</t>
        </is>
      </c>
      <c r="B164" s="358" t="n"/>
      <c r="C164" s="110" t="n"/>
      <c r="D164" s="360">
        <f>D161*0.25</f>
        <v/>
      </c>
    </row>
    <row r="165">
      <c r="A165" s="32" t="n"/>
      <c r="B165" s="372" t="n"/>
      <c r="C165" s="176" t="n"/>
      <c r="D165" s="377" t="n"/>
    </row>
    <row r="166">
      <c r="A166" s="29" t="inlineStr">
        <is>
          <t>F. TOTAL COSTS (A+B+C+D+E)</t>
        </is>
      </c>
      <c r="B166" s="369" t="n"/>
      <c r="C166" s="230" t="n"/>
      <c r="D166" s="360">
        <f>D162+D164</f>
        <v/>
      </c>
    </row>
    <row r="167">
      <c r="A167" s="182" t="n"/>
      <c r="B167" s="183" t="n"/>
      <c r="C167" s="184" t="n"/>
      <c r="D167" s="183" t="n"/>
    </row>
    <row r="168">
      <c r="A168" s="190" t="n"/>
      <c r="B168" s="185" t="n"/>
      <c r="C168" s="186" t="n"/>
      <c r="D168" s="187" t="n"/>
    </row>
    <row r="169" ht="21" customHeight="1">
      <c r="A169" s="272">
        <f>CONCATENATE("COSTS WORK PACKAGE 5:"," ","Health Models for Wind Turbine Components")</f>
        <v/>
      </c>
      <c r="B169" s="314" t="n"/>
      <c r="C169" s="314" t="n"/>
      <c r="D169" s="315" t="n"/>
    </row>
    <row r="170">
      <c r="A170" s="182" t="n"/>
      <c r="B170" s="191" t="n"/>
      <c r="C170" s="192" t="n"/>
      <c r="D170" s="191" t="n"/>
    </row>
    <row r="171">
      <c r="A171" s="29" t="inlineStr">
        <is>
          <t>A. DIRECT PERSONNEL COSTS</t>
        </is>
      </c>
      <c r="B171" s="30" t="n"/>
      <c r="C171" s="110" t="n"/>
      <c r="D171" s="354" t="n"/>
    </row>
    <row r="172">
      <c r="A172" s="28" t="inlineStr">
        <is>
          <t>A.1 Employees (or equivalent)</t>
        </is>
      </c>
      <c r="B172" s="89" t="n"/>
      <c r="C172" s="111" t="n"/>
      <c r="D172" s="355" t="n"/>
    </row>
    <row r="173">
      <c r="A173" s="48" t="inlineStr">
        <is>
          <t>SENIOR SCIENTISTS (or equivalent in the private sector)</t>
        </is>
      </c>
      <c r="B173" s="357" t="n">
        <v>3</v>
      </c>
      <c r="C173" s="248" t="n">
        <v>5000</v>
      </c>
      <c r="D173" s="232">
        <f>B173*C173</f>
        <v/>
      </c>
    </row>
    <row r="174">
      <c r="A174" s="48" t="inlineStr">
        <is>
          <t>JUNIOR SCIENTISTS (or equivalent in the private sector)</t>
        </is>
      </c>
      <c r="B174" s="357" t="n"/>
      <c r="C174" s="248" t="n"/>
      <c r="D174" s="232">
        <f>B174*C174</f>
        <v/>
      </c>
    </row>
    <row r="175">
      <c r="A175" s="48" t="inlineStr">
        <is>
          <t>TECHNICAL PERSONNEL (or equivalent in the private sector)</t>
        </is>
      </c>
      <c r="B175" s="357" t="n"/>
      <c r="C175" s="248" t="n"/>
      <c r="D175" s="232">
        <f>B175*C175</f>
        <v/>
      </c>
    </row>
    <row r="176">
      <c r="A176" s="48" t="inlineStr">
        <is>
          <t>ADMINISTRATIVE PERSONNEL (or equivalent in the private sector)</t>
        </is>
      </c>
      <c r="B176" s="357" t="n"/>
      <c r="C176" s="248" t="n"/>
      <c r="D176" s="232">
        <f>B176*C176</f>
        <v/>
      </c>
    </row>
    <row r="177">
      <c r="A177" s="48" t="inlineStr">
        <is>
          <t>OTHERS</t>
        </is>
      </c>
      <c r="B177" s="357" t="n"/>
      <c r="C177" s="248" t="n"/>
      <c r="D177" s="232">
        <f>B177*C177</f>
        <v/>
      </c>
    </row>
    <row r="178">
      <c r="A178" s="28" t="inlineStr">
        <is>
          <t>A.2 Natural Persons under direct contract</t>
        </is>
      </c>
      <c r="B178" s="357" t="n"/>
      <c r="C178" s="248" t="n"/>
      <c r="D178" s="232">
        <f>B178*C178</f>
        <v/>
      </c>
    </row>
    <row r="179">
      <c r="A179" s="28" t="inlineStr">
        <is>
          <t>A.3 Seconded Persons</t>
        </is>
      </c>
      <c r="B179" s="357" t="n"/>
      <c r="C179" s="248" t="n"/>
      <c r="D179" s="232">
        <f>B179*C179</f>
        <v/>
      </c>
    </row>
    <row r="180">
      <c r="A180" s="28" t="inlineStr">
        <is>
          <t>A.4 SME owners and natural person beneficiaries</t>
        </is>
      </c>
      <c r="B180" s="357" t="n"/>
      <c r="C180" s="256" t="n">
        <v>8360.6024</v>
      </c>
      <c r="D180" s="232">
        <f>B180*C180</f>
        <v/>
      </c>
    </row>
    <row r="181">
      <c r="A181" s="29" t="inlineStr">
        <is>
          <t>B. DIRECT SUBCONTRACTING COSTS</t>
        </is>
      </c>
      <c r="B181" s="358" t="n"/>
      <c r="C181" s="110" t="n"/>
      <c r="D181" s="359" t="n"/>
    </row>
    <row r="182">
      <c r="A182" s="53" t="n"/>
      <c r="B182" s="357" t="n"/>
      <c r="C182" s="248" t="n"/>
      <c r="D182" s="361">
        <f>B182*C182</f>
        <v/>
      </c>
    </row>
    <row r="183">
      <c r="A183" s="29" t="inlineStr">
        <is>
          <t>C. DIRECT PURCHASE COSTS</t>
        </is>
      </c>
      <c r="B183" s="358" t="n"/>
      <c r="C183" s="110" t="n"/>
      <c r="D183" s="359" t="n"/>
    </row>
    <row r="184">
      <c r="A184" s="28" t="inlineStr">
        <is>
          <t>C.1 Travel and subsistence</t>
        </is>
      </c>
      <c r="B184" s="357" t="n"/>
      <c r="C184" s="248" t="n"/>
      <c r="D184" s="361">
        <f>B184*C184</f>
        <v/>
      </c>
    </row>
    <row r="185">
      <c r="A185" s="28" t="inlineStr">
        <is>
          <t>C.2 Equipment (complete 'Depreciation costs' sheet)</t>
        </is>
      </c>
      <c r="B185" s="346" t="n"/>
      <c r="C185" s="111" t="n"/>
      <c r="D185" s="364" t="n"/>
    </row>
    <row r="186">
      <c r="A186" s="49" t="inlineStr">
        <is>
          <t>Equipment</t>
        </is>
      </c>
      <c r="B186" s="357" t="n"/>
      <c r="C186" s="248" t="n"/>
      <c r="D186" s="361">
        <f>B186*C186</f>
        <v/>
      </c>
    </row>
    <row r="187">
      <c r="A187" s="49" t="inlineStr">
        <is>
          <t>Infrastructure</t>
        </is>
      </c>
      <c r="B187" s="357" t="n"/>
      <c r="C187" s="248" t="n"/>
      <c r="D187" s="361">
        <f>B187*C187</f>
        <v/>
      </c>
    </row>
    <row r="188">
      <c r="A188" s="49" t="inlineStr">
        <is>
          <t>Other assets</t>
        </is>
      </c>
      <c r="B188" s="357" t="n"/>
      <c r="C188" s="248" t="n"/>
      <c r="D188" s="361">
        <f>B188*C188</f>
        <v/>
      </c>
    </row>
    <row r="189">
      <c r="A189" s="28" t="inlineStr">
        <is>
          <t>C.3 Other goods, works and services</t>
        </is>
      </c>
      <c r="B189" s="346" t="n"/>
      <c r="C189" s="111" t="n"/>
      <c r="D189" s="364" t="n"/>
    </row>
    <row r="190">
      <c r="A190" s="49" t="inlineStr">
        <is>
          <t>Consumables</t>
        </is>
      </c>
      <c r="B190" s="357" t="n"/>
      <c r="C190" s="248" t="n"/>
      <c r="D190" s="361">
        <f>B190*C190</f>
        <v/>
      </c>
    </row>
    <row r="191">
      <c r="A191" s="49" t="inlineStr">
        <is>
          <t>Services for meetings, seminars</t>
        </is>
      </c>
      <c r="B191" s="357" t="n"/>
      <c r="C191" s="248" t="n"/>
      <c r="D191" s="361">
        <f>B191*C191</f>
        <v/>
      </c>
    </row>
    <row r="192">
      <c r="A192" s="49" t="inlineStr">
        <is>
          <t>Services for dissemination activities (including website)</t>
        </is>
      </c>
      <c r="B192" s="357" t="n"/>
      <c r="C192" s="248" t="n"/>
      <c r="D192" s="361">
        <f>B192*C192</f>
        <v/>
      </c>
    </row>
    <row r="193">
      <c r="A193" s="49" t="inlineStr">
        <is>
          <t>Publication fees</t>
        </is>
      </c>
      <c r="B193" s="357" t="n"/>
      <c r="C193" s="248" t="n"/>
      <c r="D193" s="361">
        <f>B193*C193</f>
        <v/>
      </c>
    </row>
    <row r="194">
      <c r="A194" s="49" t="inlineStr">
        <is>
          <t>Other (shipment, insurance, translation, etc.)</t>
        </is>
      </c>
      <c r="B194" s="357" t="n"/>
      <c r="C194" s="248" t="n"/>
      <c r="D194" s="361">
        <f>B194*C194</f>
        <v/>
      </c>
    </row>
    <row r="195">
      <c r="A195" s="29" t="inlineStr">
        <is>
          <t>D. OTHER COST CATEGORIES</t>
        </is>
      </c>
      <c r="B195" s="358" t="n"/>
      <c r="C195" s="110" t="n"/>
      <c r="D195" s="359" t="n"/>
    </row>
    <row r="196">
      <c r="A196" s="50" t="inlineStr">
        <is>
          <t>D.1 Financial support to third parties (if applicable in the topic specific conditions)</t>
        </is>
      </c>
      <c r="B196" s="357" t="n"/>
      <c r="C196" s="248" t="n"/>
      <c r="D196" s="361">
        <f>B196*C196</f>
        <v/>
      </c>
    </row>
    <row r="197">
      <c r="A197" s="50" t="inlineStr">
        <is>
          <t>D.2 Internally invoiced goods and services</t>
        </is>
      </c>
      <c r="B197" s="357" t="n"/>
      <c r="C197" s="248" t="n"/>
      <c r="D197" s="361">
        <f>B197*C197</f>
        <v/>
      </c>
    </row>
    <row r="198">
      <c r="A198" s="50" t="inlineStr">
        <is>
          <t>D.3 Transnational access to research infrastructure unit costs (if mentioned as eligible in the topic specific conditions)</t>
        </is>
      </c>
      <c r="B198" s="357" t="n"/>
      <c r="C198" s="248" t="n"/>
      <c r="D198" s="361">
        <f>B198*C198</f>
        <v/>
      </c>
    </row>
    <row r="199">
      <c r="A199" s="50" t="inlineStr">
        <is>
          <t>D.4 Virtual access to research infrastructure unit costs (if mentioned as eligible in the topic specific conditions)</t>
        </is>
      </c>
      <c r="B199" s="357" t="n"/>
      <c r="C199" s="248" t="n"/>
      <c r="D199" s="361">
        <f>B199*C199</f>
        <v/>
      </c>
    </row>
    <row r="200">
      <c r="A200" s="50" t="inlineStr">
        <is>
          <t>D.5 PCP/PPI procurement costs (if mentioned as eligible in the topic specific conditions)</t>
        </is>
      </c>
      <c r="B200" s="357" t="n"/>
      <c r="C200" s="248" t="n"/>
      <c r="D200" s="361">
        <f>B200*C200</f>
        <v/>
      </c>
    </row>
    <row r="201">
      <c r="A201" s="50" t="n"/>
      <c r="B201" s="346" t="n"/>
      <c r="C201" s="111" t="n"/>
      <c r="D201" s="365" t="n"/>
    </row>
    <row r="202">
      <c r="A202" s="52" t="inlineStr">
        <is>
          <t>TOTAL DIRECT PERSONNEL COSTS AND PURCHASE COSTS (A+C)</t>
        </is>
      </c>
      <c r="B202" s="369" t="n"/>
      <c r="C202" s="230" t="n"/>
      <c r="D202" s="360">
        <f>SUM(D173:D180,D184:D194)</f>
        <v/>
      </c>
    </row>
    <row r="203">
      <c r="A203" s="52" t="inlineStr">
        <is>
          <t>TOTAL DIRECT COSTS  (A+B+C+D)</t>
        </is>
      </c>
      <c r="B203" s="369" t="n"/>
      <c r="C203" s="230" t="n"/>
      <c r="D203" s="360">
        <f>SUM(D173:D200)</f>
        <v/>
      </c>
    </row>
    <row r="204">
      <c r="A204" s="180" t="n"/>
      <c r="B204" s="372" t="n"/>
      <c r="C204" s="176" t="n"/>
      <c r="D204" s="373" t="n"/>
    </row>
    <row r="205">
      <c r="A205" s="29" t="inlineStr">
        <is>
          <t>E. INDIRECT COSTS (25% * (A+C))</t>
        </is>
      </c>
      <c r="B205" s="358" t="n"/>
      <c r="C205" s="110" t="n"/>
      <c r="D205" s="360">
        <f>D202*0.25</f>
        <v/>
      </c>
    </row>
    <row r="206">
      <c r="A206" s="32" t="n"/>
      <c r="B206" s="372" t="n"/>
      <c r="C206" s="176" t="n"/>
      <c r="D206" s="377" t="n"/>
    </row>
    <row r="207">
      <c r="A207" s="29" t="inlineStr">
        <is>
          <t>F. TOTAL COSTS (A+B+C+D+E)</t>
        </is>
      </c>
      <c r="B207" s="369" t="n"/>
      <c r="C207" s="230" t="n"/>
      <c r="D207" s="360">
        <f>D203+D205</f>
        <v/>
      </c>
    </row>
    <row r="208">
      <c r="A208" s="182" t="n"/>
      <c r="B208" s="183" t="n"/>
      <c r="C208" s="184" t="n"/>
      <c r="D208" s="183" t="n"/>
    </row>
    <row r="209">
      <c r="A209" s="190" t="n"/>
      <c r="B209" s="185" t="n"/>
      <c r="C209" s="186" t="n"/>
      <c r="D209" s="187" t="n"/>
    </row>
    <row r="210" ht="21" customHeight="1">
      <c r="A210" s="272">
        <f>CONCATENATE("COSTS WORK PACKAGE 6:"," ","Advanced Condition  Health Monitoring")</f>
        <v/>
      </c>
      <c r="B210" s="314" t="n"/>
      <c r="C210" s="314" t="n"/>
      <c r="D210" s="315" t="n"/>
    </row>
    <row r="211">
      <c r="A211" s="182" t="n"/>
      <c r="B211" s="191" t="n"/>
      <c r="C211" s="192" t="n"/>
      <c r="D211" s="191" t="n"/>
    </row>
    <row r="212">
      <c r="A212" s="29" t="inlineStr">
        <is>
          <t>A. DIRECT PERSONNEL COSTS</t>
        </is>
      </c>
      <c r="B212" s="30" t="n"/>
      <c r="C212" s="110" t="n"/>
      <c r="D212" s="354" t="n"/>
    </row>
    <row r="213">
      <c r="A213" s="28" t="inlineStr">
        <is>
          <t>A.1 Employees (or equivalent)</t>
        </is>
      </c>
      <c r="B213" s="89" t="n"/>
      <c r="C213" s="111" t="n"/>
      <c r="D213" s="355" t="n"/>
    </row>
    <row r="214">
      <c r="A214" s="48" t="inlineStr">
        <is>
          <t>SENIOR SCIENTISTS (or equivalent in the private sector)</t>
        </is>
      </c>
      <c r="B214" s="357" t="n"/>
      <c r="C214" s="248" t="n"/>
      <c r="D214" s="232">
        <f>B214*C214</f>
        <v/>
      </c>
    </row>
    <row r="215">
      <c r="A215" s="48" t="inlineStr">
        <is>
          <t>JUNIOR SCIENTISTS (or equivalent in the private sector)</t>
        </is>
      </c>
      <c r="B215" s="357" t="n"/>
      <c r="C215" s="248" t="n"/>
      <c r="D215" s="232">
        <f>B215*C215</f>
        <v/>
      </c>
    </row>
    <row r="216">
      <c r="A216" s="48" t="inlineStr">
        <is>
          <t>TECHNICAL PERSONNEL (or equivalent in the private sector)</t>
        </is>
      </c>
      <c r="B216" s="357" t="n"/>
      <c r="C216" s="248" t="n"/>
      <c r="D216" s="232">
        <f>B216*C216</f>
        <v/>
      </c>
    </row>
    <row r="217">
      <c r="A217" s="48" t="inlineStr">
        <is>
          <t>ADMINISTRATIVE PERSONNEL (or equivalent in the private sector)</t>
        </is>
      </c>
      <c r="B217" s="357" t="n"/>
      <c r="C217" s="248" t="n"/>
      <c r="D217" s="232">
        <f>B217*C217</f>
        <v/>
      </c>
    </row>
    <row r="218">
      <c r="A218" s="48" t="inlineStr">
        <is>
          <t>OTHERS</t>
        </is>
      </c>
      <c r="B218" s="357" t="n"/>
      <c r="C218" s="248" t="n"/>
      <c r="D218" s="232">
        <f>B218*C218</f>
        <v/>
      </c>
    </row>
    <row r="219">
      <c r="A219" s="28" t="inlineStr">
        <is>
          <t>A.2 Natural Persons under direct contract</t>
        </is>
      </c>
      <c r="B219" s="357" t="n"/>
      <c r="C219" s="248" t="n"/>
      <c r="D219" s="232">
        <f>B219*C219</f>
        <v/>
      </c>
    </row>
    <row r="220">
      <c r="A220" s="28" t="inlineStr">
        <is>
          <t>A.3 Seconded Persons</t>
        </is>
      </c>
      <c r="B220" s="357" t="n"/>
      <c r="C220" s="248" t="n"/>
      <c r="D220" s="232">
        <f>B220*C220</f>
        <v/>
      </c>
    </row>
    <row r="221">
      <c r="A221" s="28" t="inlineStr">
        <is>
          <t>A.4 SME owners and natural person beneficiaries</t>
        </is>
      </c>
      <c r="B221" s="357" t="n"/>
      <c r="C221" s="256" t="n">
        <v>8360.6024</v>
      </c>
      <c r="D221" s="232">
        <f>B221*C221</f>
        <v/>
      </c>
    </row>
    <row r="222">
      <c r="A222" s="29" t="inlineStr">
        <is>
          <t>B. DIRECT SUBCONTRACTING COSTS</t>
        </is>
      </c>
      <c r="B222" s="358" t="n"/>
      <c r="C222" s="110" t="n"/>
      <c r="D222" s="359" t="n"/>
    </row>
    <row r="223">
      <c r="A223" s="53" t="n"/>
      <c r="B223" s="357" t="n"/>
      <c r="C223" s="248" t="n"/>
      <c r="D223" s="361">
        <f>B223*C223</f>
        <v/>
      </c>
    </row>
    <row r="224">
      <c r="A224" s="29" t="inlineStr">
        <is>
          <t>C. DIRECT PURCHASE COSTS</t>
        </is>
      </c>
      <c r="B224" s="358" t="n"/>
      <c r="C224" s="110" t="n"/>
      <c r="D224" s="359" t="n"/>
    </row>
    <row r="225">
      <c r="A225" s="28" t="inlineStr">
        <is>
          <t>C.1 Travel and subsistence</t>
        </is>
      </c>
      <c r="B225" s="357" t="n"/>
      <c r="C225" s="248" t="n"/>
      <c r="D225" s="361">
        <f>B225*C225</f>
        <v/>
      </c>
    </row>
    <row r="226">
      <c r="A226" s="28" t="inlineStr">
        <is>
          <t>C.2 Equipment (complete 'Depreciation costs' sheet)</t>
        </is>
      </c>
      <c r="B226" s="346" t="n"/>
      <c r="C226" s="111" t="n"/>
      <c r="D226" s="364" t="n"/>
    </row>
    <row r="227">
      <c r="A227" s="49" t="inlineStr">
        <is>
          <t>Equipment</t>
        </is>
      </c>
      <c r="B227" s="357" t="n"/>
      <c r="C227" s="248" t="n"/>
      <c r="D227" s="361">
        <f>B227*C227</f>
        <v/>
      </c>
    </row>
    <row r="228">
      <c r="A228" s="49" t="inlineStr">
        <is>
          <t>Infrastructure</t>
        </is>
      </c>
      <c r="B228" s="357" t="n"/>
      <c r="C228" s="248" t="n"/>
      <c r="D228" s="361">
        <f>B228*C228</f>
        <v/>
      </c>
    </row>
    <row r="229">
      <c r="A229" s="49" t="inlineStr">
        <is>
          <t>Other assets</t>
        </is>
      </c>
      <c r="B229" s="357" t="n"/>
      <c r="C229" s="248" t="n"/>
      <c r="D229" s="361">
        <f>B229*C229</f>
        <v/>
      </c>
    </row>
    <row r="230">
      <c r="A230" s="28" t="inlineStr">
        <is>
          <t>C.3 Other goods, works and services</t>
        </is>
      </c>
      <c r="B230" s="346" t="n"/>
      <c r="C230" s="111" t="n"/>
      <c r="D230" s="364" t="n"/>
    </row>
    <row r="231">
      <c r="A231" s="49" t="inlineStr">
        <is>
          <t>Consumables</t>
        </is>
      </c>
      <c r="B231" s="357" t="n"/>
      <c r="C231" s="248" t="n"/>
      <c r="D231" s="361">
        <f>B231*C231</f>
        <v/>
      </c>
    </row>
    <row r="232">
      <c r="A232" s="49" t="inlineStr">
        <is>
          <t>Services for meetings, seminars</t>
        </is>
      </c>
      <c r="B232" s="357" t="n"/>
      <c r="C232" s="248" t="n"/>
      <c r="D232" s="361">
        <f>B232*C232</f>
        <v/>
      </c>
    </row>
    <row r="233">
      <c r="A233" s="49" t="inlineStr">
        <is>
          <t>Services for dissemination activities (including website)</t>
        </is>
      </c>
      <c r="B233" s="357" t="n"/>
      <c r="C233" s="248" t="n"/>
      <c r="D233" s="361">
        <f>B233*C233</f>
        <v/>
      </c>
    </row>
    <row r="234">
      <c r="A234" s="49" t="inlineStr">
        <is>
          <t>Publication fees</t>
        </is>
      </c>
      <c r="B234" s="357" t="n"/>
      <c r="C234" s="248" t="n"/>
      <c r="D234" s="361">
        <f>B234*C234</f>
        <v/>
      </c>
    </row>
    <row r="235">
      <c r="A235" s="49" t="inlineStr">
        <is>
          <t>Other (shipment, insurance, translation, etc.)</t>
        </is>
      </c>
      <c r="B235" s="357" t="n"/>
      <c r="C235" s="248" t="n"/>
      <c r="D235" s="361">
        <f>B235*C235</f>
        <v/>
      </c>
    </row>
    <row r="236">
      <c r="A236" s="29" t="inlineStr">
        <is>
          <t>D. OTHER COST CATEGORIES</t>
        </is>
      </c>
      <c r="B236" s="358" t="n"/>
      <c r="C236" s="110" t="n"/>
      <c r="D236" s="359" t="n"/>
    </row>
    <row r="237">
      <c r="A237" s="50" t="inlineStr">
        <is>
          <t>D.1 Financial support to third parties (if applicable in the topic specific conditions)</t>
        </is>
      </c>
      <c r="B237" s="357" t="n"/>
      <c r="C237" s="248" t="n"/>
      <c r="D237" s="361">
        <f>B237*C237</f>
        <v/>
      </c>
    </row>
    <row r="238">
      <c r="A238" s="50" t="inlineStr">
        <is>
          <t>D.2 Internally invoiced goods and services</t>
        </is>
      </c>
      <c r="B238" s="357" t="n"/>
      <c r="C238" s="248" t="n"/>
      <c r="D238" s="361">
        <f>B238*C238</f>
        <v/>
      </c>
    </row>
    <row r="239">
      <c r="A239" s="50" t="inlineStr">
        <is>
          <t>D.3 Transnational access to research infrastructure unit costs (if mentioned as eligible in the topic specific conditions)</t>
        </is>
      </c>
      <c r="B239" s="357" t="n"/>
      <c r="C239" s="248" t="n"/>
      <c r="D239" s="361">
        <f>B239*C239</f>
        <v/>
      </c>
    </row>
    <row r="240">
      <c r="A240" s="50" t="inlineStr">
        <is>
          <t>D.4 Virtual access to research infrastructure unit costs (if mentioned as eligible in the topic specific conditions)</t>
        </is>
      </c>
      <c r="B240" s="357" t="n"/>
      <c r="C240" s="248" t="n"/>
      <c r="D240" s="361">
        <f>B240*C240</f>
        <v/>
      </c>
    </row>
    <row r="241">
      <c r="A241" s="50" t="inlineStr">
        <is>
          <t>D.5 PCP/PPI procurement costs (if mentioned as eligible in the topic specific conditions)</t>
        </is>
      </c>
      <c r="B241" s="357" t="n"/>
      <c r="C241" s="248" t="n"/>
      <c r="D241" s="361">
        <f>B241*C241</f>
        <v/>
      </c>
    </row>
    <row r="242">
      <c r="A242" s="50" t="n"/>
      <c r="B242" s="346" t="n"/>
      <c r="C242" s="111" t="n"/>
      <c r="D242" s="365" t="n"/>
    </row>
    <row r="243">
      <c r="A243" s="52" t="inlineStr">
        <is>
          <t>TOTAL DIRECT PERSONNEL COSTS AND PURCHASE COSTS (A+C)</t>
        </is>
      </c>
      <c r="B243" s="369" t="n"/>
      <c r="C243" s="230" t="n"/>
      <c r="D243" s="360">
        <f>SUM(D214:D221,D225:D235)</f>
        <v/>
      </c>
    </row>
    <row r="244">
      <c r="A244" s="52" t="inlineStr">
        <is>
          <t>TOTAL DIRECT COSTS  (A+B+C+D)</t>
        </is>
      </c>
      <c r="B244" s="369" t="n"/>
      <c r="C244" s="230" t="n"/>
      <c r="D244" s="360">
        <f>SUM(D214:D241)</f>
        <v/>
      </c>
    </row>
    <row r="245">
      <c r="A245" s="180" t="n"/>
      <c r="B245" s="372" t="n"/>
      <c r="C245" s="176" t="n"/>
      <c r="D245" s="373" t="n"/>
    </row>
    <row r="246">
      <c r="A246" s="29" t="inlineStr">
        <is>
          <t>E. INDIRECT COSTS (25% * (A+C))</t>
        </is>
      </c>
      <c r="B246" s="358" t="n"/>
      <c r="C246" s="110" t="n"/>
      <c r="D246" s="360">
        <f>D243*0.25</f>
        <v/>
      </c>
    </row>
    <row r="247">
      <c r="A247" s="32" t="n"/>
      <c r="B247" s="372" t="n"/>
      <c r="C247" s="176" t="n"/>
      <c r="D247" s="377" t="n"/>
    </row>
    <row r="248">
      <c r="A248" s="29" t="inlineStr">
        <is>
          <t>F. TOTAL COSTS (A+B+C+D+E)</t>
        </is>
      </c>
      <c r="B248" s="369" t="n"/>
      <c r="C248" s="230" t="n"/>
      <c r="D248" s="360">
        <f>D244+D246</f>
        <v/>
      </c>
    </row>
    <row r="249">
      <c r="A249" s="182" t="n"/>
      <c r="B249" s="183" t="n"/>
      <c r="C249" s="184" t="n"/>
      <c r="D249" s="183" t="n"/>
    </row>
    <row r="250">
      <c r="A250" s="190" t="n"/>
      <c r="B250" s="185" t="n"/>
      <c r="C250" s="186" t="n"/>
      <c r="D250" s="187" t="n"/>
    </row>
    <row r="251" ht="21" customHeight="1">
      <c r="A251" s="272">
        <f>CONCATENATE("COSTS WORK PACKAGE 7:"," ","Agentic AI Core and Orchestration Development")</f>
        <v/>
      </c>
      <c r="B251" s="314" t="n"/>
      <c r="C251" s="314" t="n"/>
      <c r="D251" s="315" t="n"/>
    </row>
    <row r="252">
      <c r="A252" s="182" t="n"/>
      <c r="B252" s="191" t="n"/>
      <c r="C252" s="192" t="n"/>
      <c r="D252" s="191" t="n"/>
    </row>
    <row r="253">
      <c r="A253" s="29" t="inlineStr">
        <is>
          <t>A. DIRECT PERSONNEL COSTS</t>
        </is>
      </c>
      <c r="B253" s="30" t="n"/>
      <c r="C253" s="110" t="n"/>
      <c r="D253" s="354" t="n"/>
    </row>
    <row r="254">
      <c r="A254" s="28" t="inlineStr">
        <is>
          <t>A.1 Employees (or equivalent)</t>
        </is>
      </c>
      <c r="B254" s="89" t="n"/>
      <c r="C254" s="111" t="n"/>
      <c r="D254" s="355" t="n"/>
    </row>
    <row r="255">
      <c r="A255" s="48" t="inlineStr">
        <is>
          <t>SENIOR SCIENTISTS (or equivalent in the private sector)</t>
        </is>
      </c>
      <c r="B255" s="357" t="n">
        <v>14</v>
      </c>
      <c r="C255" s="248" t="n">
        <v>5000</v>
      </c>
      <c r="D255" s="232">
        <f>B255*C255</f>
        <v/>
      </c>
    </row>
    <row r="256">
      <c r="A256" s="48" t="inlineStr">
        <is>
          <t>JUNIOR SCIENTISTS (or equivalent in the private sector)</t>
        </is>
      </c>
      <c r="B256" s="357" t="n">
        <v>14</v>
      </c>
      <c r="C256" s="248" t="n">
        <v>3500</v>
      </c>
      <c r="D256" s="232">
        <f>B256*C256</f>
        <v/>
      </c>
    </row>
    <row r="257">
      <c r="A257" s="48" t="inlineStr">
        <is>
          <t>TECHNICAL PERSONNEL (or equivalent in the private sector)</t>
        </is>
      </c>
      <c r="B257" s="357" t="n">
        <v>6</v>
      </c>
      <c r="C257" s="248" t="n">
        <v>4100</v>
      </c>
      <c r="D257" s="232">
        <f>B257*C257</f>
        <v/>
      </c>
    </row>
    <row r="258">
      <c r="A258" s="48" t="inlineStr">
        <is>
          <t>ADMINISTRATIVE PERSONNEL (or equivalent in the private sector)</t>
        </is>
      </c>
      <c r="B258" s="357" t="n">
        <v>2</v>
      </c>
      <c r="C258" s="248" t="n">
        <v>3000</v>
      </c>
      <c r="D258" s="232">
        <f>B258*C258</f>
        <v/>
      </c>
    </row>
    <row r="259">
      <c r="A259" s="48" t="inlineStr">
        <is>
          <t>OTHERS</t>
        </is>
      </c>
      <c r="B259" s="357" t="n"/>
      <c r="C259" s="248" t="n"/>
      <c r="D259" s="232">
        <f>B259*C259</f>
        <v/>
      </c>
    </row>
    <row r="260">
      <c r="A260" s="28" t="inlineStr">
        <is>
          <t>A.2 Natural Persons under direct contract</t>
        </is>
      </c>
      <c r="B260" s="357" t="n"/>
      <c r="C260" s="248" t="n"/>
      <c r="D260" s="232">
        <f>B260*C260</f>
        <v/>
      </c>
    </row>
    <row r="261">
      <c r="A261" s="28" t="inlineStr">
        <is>
          <t>A.3 Seconded Persons</t>
        </is>
      </c>
      <c r="B261" s="357" t="n"/>
      <c r="C261" s="248" t="n"/>
      <c r="D261" s="232">
        <f>B261*C261</f>
        <v/>
      </c>
    </row>
    <row r="262">
      <c r="A262" s="28" t="inlineStr">
        <is>
          <t>A.4 SME owners and natural person beneficiaries</t>
        </is>
      </c>
      <c r="B262" s="357" t="n"/>
      <c r="C262" s="256" t="n">
        <v>8360.6024</v>
      </c>
      <c r="D262" s="232">
        <f>B262*C262</f>
        <v/>
      </c>
    </row>
    <row r="263">
      <c r="A263" s="29" t="inlineStr">
        <is>
          <t>B. DIRECT SUBCONTRACTING COSTS</t>
        </is>
      </c>
      <c r="B263" s="358" t="n"/>
      <c r="C263" s="110" t="n"/>
      <c r="D263" s="359" t="n"/>
    </row>
    <row r="264">
      <c r="A264" s="53" t="n"/>
      <c r="B264" s="357" t="n"/>
      <c r="C264" s="248" t="n"/>
      <c r="D264" s="361">
        <f>B264*C264</f>
        <v/>
      </c>
    </row>
    <row r="265">
      <c r="A265" s="29" t="inlineStr">
        <is>
          <t>C. DIRECT PURCHASE COSTS</t>
        </is>
      </c>
      <c r="B265" s="358" t="n"/>
      <c r="C265" s="110" t="n"/>
      <c r="D265" s="359" t="n"/>
    </row>
    <row r="266">
      <c r="A266" s="28" t="inlineStr">
        <is>
          <t>C.1 Travel and subsistence</t>
        </is>
      </c>
      <c r="B266" s="357" t="n"/>
      <c r="C266" s="248" t="n"/>
      <c r="D266" s="361">
        <f>B266*C266</f>
        <v/>
      </c>
    </row>
    <row r="267">
      <c r="A267" s="28" t="inlineStr">
        <is>
          <t>C.2 Equipment (complete 'Depreciation costs' sheet)</t>
        </is>
      </c>
      <c r="B267" s="346" t="n"/>
      <c r="C267" s="111" t="n"/>
      <c r="D267" s="364" t="n"/>
    </row>
    <row r="268">
      <c r="A268" s="49" t="inlineStr">
        <is>
          <t>Equipment</t>
        </is>
      </c>
      <c r="B268" s="357" t="n"/>
      <c r="C268" s="248" t="n"/>
      <c r="D268" s="361">
        <f>B268*C268</f>
        <v/>
      </c>
    </row>
    <row r="269">
      <c r="A269" s="49" t="inlineStr">
        <is>
          <t>Infrastructure</t>
        </is>
      </c>
      <c r="B269" s="357" t="n"/>
      <c r="C269" s="248" t="n"/>
      <c r="D269" s="361">
        <f>B269*C269</f>
        <v/>
      </c>
    </row>
    <row r="270">
      <c r="A270" s="49" t="inlineStr">
        <is>
          <t>Other assets</t>
        </is>
      </c>
      <c r="B270" s="357" t="n"/>
      <c r="C270" s="248" t="n"/>
      <c r="D270" s="361">
        <f>B270*C270</f>
        <v/>
      </c>
    </row>
    <row r="271">
      <c r="A271" s="28" t="inlineStr">
        <is>
          <t>C.3 Other goods, works and services</t>
        </is>
      </c>
      <c r="B271" s="346" t="n"/>
      <c r="C271" s="111" t="n"/>
      <c r="D271" s="364" t="n"/>
    </row>
    <row r="272">
      <c r="A272" s="49" t="inlineStr">
        <is>
          <t>Consumables</t>
        </is>
      </c>
      <c r="B272" s="357" t="n">
        <v>12</v>
      </c>
      <c r="C272" s="248" t="n">
        <v>3000</v>
      </c>
      <c r="D272" s="361">
        <f>B272*C272</f>
        <v/>
      </c>
    </row>
    <row r="273">
      <c r="A273" s="49" t="inlineStr">
        <is>
          <t>Services for meetings, seminars</t>
        </is>
      </c>
      <c r="B273" s="357" t="n"/>
      <c r="C273" s="248" t="n"/>
      <c r="D273" s="361">
        <f>B273*C273</f>
        <v/>
      </c>
    </row>
    <row r="274">
      <c r="A274" s="49" t="inlineStr">
        <is>
          <t>Services for dissemination activities (including website)</t>
        </is>
      </c>
      <c r="B274" s="357" t="n"/>
      <c r="C274" s="248" t="n"/>
      <c r="D274" s="361">
        <f>B274*C274</f>
        <v/>
      </c>
    </row>
    <row r="275">
      <c r="A275" s="49" t="inlineStr">
        <is>
          <t>Publication fees</t>
        </is>
      </c>
      <c r="B275" s="357" t="n"/>
      <c r="C275" s="248" t="n"/>
      <c r="D275" s="361">
        <f>B275*C275</f>
        <v/>
      </c>
    </row>
    <row r="276">
      <c r="A276" s="49" t="inlineStr">
        <is>
          <t>Other (shipment, insurance, translation, etc.)</t>
        </is>
      </c>
      <c r="B276" s="357" t="n"/>
      <c r="C276" s="248" t="n"/>
      <c r="D276" s="361">
        <f>B276*C276</f>
        <v/>
      </c>
    </row>
    <row r="277">
      <c r="A277" s="29" t="inlineStr">
        <is>
          <t>D. OTHER COST CATEGORIES</t>
        </is>
      </c>
      <c r="B277" s="358" t="n"/>
      <c r="C277" s="110" t="n"/>
      <c r="D277" s="359" t="n"/>
    </row>
    <row r="278">
      <c r="A278" s="50" t="inlineStr">
        <is>
          <t>D.1 Financial support to third parties (if applicable in the topic specific conditions)</t>
        </is>
      </c>
      <c r="B278" s="357" t="n"/>
      <c r="C278" s="248" t="n"/>
      <c r="D278" s="361">
        <f>B278*C278</f>
        <v/>
      </c>
    </row>
    <row r="279">
      <c r="A279" s="50" t="inlineStr">
        <is>
          <t>D.2 Internally invoiced goods and services</t>
        </is>
      </c>
      <c r="B279" s="357" t="n"/>
      <c r="C279" s="248" t="n"/>
      <c r="D279" s="361">
        <f>B279*C279</f>
        <v/>
      </c>
    </row>
    <row r="280">
      <c r="A280" s="50" t="inlineStr">
        <is>
          <t>D.3 Transnational access to research infrastructure unit costs (if mentioned as eligible in the topic specific conditions)</t>
        </is>
      </c>
      <c r="B280" s="357" t="n"/>
      <c r="C280" s="248" t="n"/>
      <c r="D280" s="361">
        <f>B280*C280</f>
        <v/>
      </c>
    </row>
    <row r="281">
      <c r="A281" s="50" t="inlineStr">
        <is>
          <t>D.4 Virtual access to research infrastructure unit costs (if mentioned as eligible in the topic specific conditions)</t>
        </is>
      </c>
      <c r="B281" s="357" t="n"/>
      <c r="C281" s="248" t="n"/>
      <c r="D281" s="361">
        <f>B281*C281</f>
        <v/>
      </c>
    </row>
    <row r="282">
      <c r="A282" s="50" t="inlineStr">
        <is>
          <t>D.5 PCP/PPI procurement costs (if mentioned as eligible in the topic specific conditions)</t>
        </is>
      </c>
      <c r="B282" s="357" t="n"/>
      <c r="C282" s="248" t="n"/>
      <c r="D282" s="361">
        <f>B282*C282</f>
        <v/>
      </c>
    </row>
    <row r="283">
      <c r="A283" s="50" t="n"/>
      <c r="B283" s="346" t="n"/>
      <c r="C283" s="111" t="n"/>
      <c r="D283" s="365" t="n"/>
    </row>
    <row r="284">
      <c r="A284" s="52" t="inlineStr">
        <is>
          <t>TOTAL DIRECT PERSONNEL COSTS AND PURCHASE COSTS (A+C)</t>
        </is>
      </c>
      <c r="B284" s="369" t="n"/>
      <c r="C284" s="230" t="n"/>
      <c r="D284" s="360">
        <f>SUM(D255:D262,D266:D276)</f>
        <v/>
      </c>
    </row>
    <row r="285">
      <c r="A285" s="52" t="inlineStr">
        <is>
          <t>TOTAL DIRECT COSTS  (A+B+C+D)</t>
        </is>
      </c>
      <c r="B285" s="369" t="n"/>
      <c r="C285" s="230" t="n"/>
      <c r="D285" s="360">
        <f>SUM(D255:D282)</f>
        <v/>
      </c>
    </row>
    <row r="286">
      <c r="A286" s="180" t="n"/>
      <c r="B286" s="372" t="n"/>
      <c r="C286" s="176" t="n"/>
      <c r="D286" s="373" t="n"/>
    </row>
    <row r="287">
      <c r="A287" s="29" t="inlineStr">
        <is>
          <t>E. INDIRECT COSTS (25% * (A+C))</t>
        </is>
      </c>
      <c r="B287" s="358" t="n"/>
      <c r="C287" s="110" t="n"/>
      <c r="D287" s="360">
        <f>D284*0.25</f>
        <v/>
      </c>
    </row>
    <row r="288">
      <c r="A288" s="32" t="n"/>
      <c r="B288" s="372" t="n"/>
      <c r="C288" s="176" t="n"/>
      <c r="D288" s="377" t="n"/>
    </row>
    <row r="289">
      <c r="A289" s="29" t="inlineStr">
        <is>
          <t>F. TOTAL COSTS (A+B+C+D+E)</t>
        </is>
      </c>
      <c r="B289" s="369" t="n"/>
      <c r="C289" s="230" t="n"/>
      <c r="D289" s="360">
        <f>D285+D287</f>
        <v/>
      </c>
    </row>
    <row r="290">
      <c r="A290" s="182" t="n"/>
      <c r="B290" s="183" t="n"/>
      <c r="C290" s="184" t="n"/>
      <c r="D290" s="183" t="n"/>
    </row>
    <row r="291">
      <c r="A291" s="190" t="n"/>
      <c r="B291" s="185" t="n"/>
      <c r="C291" s="186" t="n"/>
      <c r="D291" s="187" t="n"/>
    </row>
    <row r="292" ht="21" customHeight="1">
      <c r="A292" s="272">
        <f>CONCATENATE("COSTS WORK PACKAGE 8:"," ","Integration, Validation and Operational Lifecycle of the Agentic System")</f>
        <v/>
      </c>
      <c r="B292" s="314" t="n"/>
      <c r="C292" s="314" t="n"/>
      <c r="D292" s="315" t="n"/>
    </row>
    <row r="293">
      <c r="A293" s="182" t="n"/>
      <c r="B293" s="191" t="n"/>
      <c r="C293" s="192" t="n"/>
      <c r="D293" s="191" t="n"/>
    </row>
    <row r="294">
      <c r="A294" s="29" t="inlineStr">
        <is>
          <t>A. DIRECT PERSONNEL COSTS</t>
        </is>
      </c>
      <c r="B294" s="30" t="n"/>
      <c r="C294" s="110" t="n"/>
      <c r="D294" s="354" t="n"/>
    </row>
    <row r="295">
      <c r="A295" s="28" t="inlineStr">
        <is>
          <t>A.1 Employees (or equivalent)</t>
        </is>
      </c>
      <c r="B295" s="89" t="n"/>
      <c r="C295" s="111" t="n"/>
      <c r="D295" s="355" t="n"/>
    </row>
    <row r="296">
      <c r="A296" s="48" t="inlineStr">
        <is>
          <t>SENIOR SCIENTISTS (or equivalent in the private sector)</t>
        </is>
      </c>
      <c r="B296" s="357" t="n">
        <v>12</v>
      </c>
      <c r="C296" s="248" t="n">
        <v>5000</v>
      </c>
      <c r="D296" s="232">
        <f>B296*C296</f>
        <v/>
      </c>
    </row>
    <row r="297">
      <c r="A297" s="48" t="inlineStr">
        <is>
          <t>JUNIOR SCIENTISTS (or equivalent in the private sector)</t>
        </is>
      </c>
      <c r="B297" s="357" t="n">
        <v>10</v>
      </c>
      <c r="C297" s="248" t="n">
        <v>3500</v>
      </c>
      <c r="D297" s="232">
        <f>B297*C297</f>
        <v/>
      </c>
    </row>
    <row r="298">
      <c r="A298" s="48" t="inlineStr">
        <is>
          <t>TECHNICAL PERSONNEL (or equivalent in the private sector)</t>
        </is>
      </c>
      <c r="B298" s="357" t="n">
        <v>10</v>
      </c>
      <c r="C298" s="248" t="n">
        <v>4100</v>
      </c>
      <c r="D298" s="232">
        <f>B298*C298</f>
        <v/>
      </c>
    </row>
    <row r="299">
      <c r="A299" s="48" t="inlineStr">
        <is>
          <t>ADMINISTRATIVE PERSONNEL (or equivalent in the private sector)</t>
        </is>
      </c>
      <c r="B299" s="357" t="n">
        <v>2</v>
      </c>
      <c r="C299" s="248" t="n">
        <v>3000</v>
      </c>
      <c r="D299" s="232">
        <f>B299*C299</f>
        <v/>
      </c>
    </row>
    <row r="300">
      <c r="A300" s="48" t="inlineStr">
        <is>
          <t>OTHERS</t>
        </is>
      </c>
      <c r="B300" s="357" t="n"/>
      <c r="C300" s="248" t="n"/>
      <c r="D300" s="232">
        <f>B300*C300</f>
        <v/>
      </c>
    </row>
    <row r="301">
      <c r="A301" s="28" t="inlineStr">
        <is>
          <t>A.2 Natural Persons under direct contract</t>
        </is>
      </c>
      <c r="B301" s="357" t="n"/>
      <c r="C301" s="248" t="n"/>
      <c r="D301" s="232">
        <f>B301*C301</f>
        <v/>
      </c>
    </row>
    <row r="302">
      <c r="A302" s="28" t="inlineStr">
        <is>
          <t>A.3 Seconded Persons</t>
        </is>
      </c>
      <c r="B302" s="357" t="n"/>
      <c r="C302" s="248" t="n"/>
      <c r="D302" s="232">
        <f>B302*C302</f>
        <v/>
      </c>
    </row>
    <row r="303">
      <c r="A303" s="28" t="inlineStr">
        <is>
          <t>A.4 SME owners and natural person beneficiaries</t>
        </is>
      </c>
      <c r="B303" s="357" t="n"/>
      <c r="C303" s="256" t="n">
        <v>8360.6024</v>
      </c>
      <c r="D303" s="232">
        <f>B303*C303</f>
        <v/>
      </c>
    </row>
    <row r="304">
      <c r="A304" s="29" t="inlineStr">
        <is>
          <t>B. DIRECT SUBCONTRACTING COSTS</t>
        </is>
      </c>
      <c r="B304" s="358" t="n"/>
      <c r="C304" s="110" t="n"/>
      <c r="D304" s="359" t="n"/>
    </row>
    <row r="305">
      <c r="A305" s="53" t="n"/>
      <c r="B305" s="357" t="n"/>
      <c r="C305" s="248" t="n"/>
      <c r="D305" s="361">
        <f>B305*C305</f>
        <v/>
      </c>
    </row>
    <row r="306">
      <c r="A306" s="29" t="inlineStr">
        <is>
          <t>C. DIRECT PURCHASE COSTS</t>
        </is>
      </c>
      <c r="B306" s="358" t="n"/>
      <c r="C306" s="110" t="n"/>
      <c r="D306" s="359" t="n"/>
    </row>
    <row r="307">
      <c r="A307" s="28" t="inlineStr">
        <is>
          <t>C.1 Travel and subsistence</t>
        </is>
      </c>
      <c r="B307" s="357" t="n">
        <v>4</v>
      </c>
      <c r="C307" s="248" t="n">
        <v>3000</v>
      </c>
      <c r="D307" s="361">
        <f>B307*C307</f>
        <v/>
      </c>
    </row>
    <row r="308">
      <c r="A308" s="28" t="inlineStr">
        <is>
          <t>C.2 Equipment (complete 'Depreciation costs' sheet)</t>
        </is>
      </c>
      <c r="B308" s="346" t="n"/>
      <c r="C308" s="111" t="n"/>
      <c r="D308" s="364" t="n"/>
    </row>
    <row r="309">
      <c r="A309" s="49" t="inlineStr">
        <is>
          <t>Equipment</t>
        </is>
      </c>
      <c r="B309" s="357" t="n"/>
      <c r="C309" s="248" t="n"/>
      <c r="D309" s="361">
        <f>B309*C309</f>
        <v/>
      </c>
    </row>
    <row r="310">
      <c r="A310" s="49" t="inlineStr">
        <is>
          <t>Infrastructure</t>
        </is>
      </c>
      <c r="B310" s="357" t="n"/>
      <c r="C310" s="248" t="n"/>
      <c r="D310" s="361">
        <f>B310*C310</f>
        <v/>
      </c>
    </row>
    <row r="311">
      <c r="A311" s="49" t="inlineStr">
        <is>
          <t>Other assets</t>
        </is>
      </c>
      <c r="B311" s="357" t="n"/>
      <c r="C311" s="248" t="n"/>
      <c r="D311" s="361">
        <f>B311*C311</f>
        <v/>
      </c>
    </row>
    <row r="312">
      <c r="A312" s="28" t="inlineStr">
        <is>
          <t>C.3 Other goods, works and services</t>
        </is>
      </c>
      <c r="B312" s="346" t="n"/>
      <c r="C312" s="111" t="n"/>
      <c r="D312" s="364" t="n"/>
    </row>
    <row r="313">
      <c r="A313" s="49" t="inlineStr">
        <is>
          <t>Consumables</t>
        </is>
      </c>
      <c r="B313" s="357" t="n">
        <v>12</v>
      </c>
      <c r="C313" s="248" t="n">
        <v>3000</v>
      </c>
      <c r="D313" s="361">
        <f>B313*C313</f>
        <v/>
      </c>
    </row>
    <row r="314">
      <c r="A314" s="49" t="inlineStr">
        <is>
          <t>Services for meetings, seminars</t>
        </is>
      </c>
      <c r="B314" s="357" t="n"/>
      <c r="C314" s="248" t="n"/>
      <c r="D314" s="361">
        <f>B314*C314</f>
        <v/>
      </c>
    </row>
    <row r="315">
      <c r="A315" s="49" t="inlineStr">
        <is>
          <t>Services for dissemination activities (including website)</t>
        </is>
      </c>
      <c r="B315" s="357" t="n"/>
      <c r="C315" s="248" t="n"/>
      <c r="D315" s="361">
        <f>B315*C315</f>
        <v/>
      </c>
    </row>
    <row r="316">
      <c r="A316" s="49" t="inlineStr">
        <is>
          <t>Publication fees</t>
        </is>
      </c>
      <c r="B316" s="357" t="n"/>
      <c r="C316" s="248" t="n"/>
      <c r="D316" s="361">
        <f>B316*C316</f>
        <v/>
      </c>
    </row>
    <row r="317">
      <c r="A317" s="49" t="inlineStr">
        <is>
          <t>Other (shipment, insurance, translation, etc.)</t>
        </is>
      </c>
      <c r="B317" s="357" t="n"/>
      <c r="C317" s="248" t="n"/>
      <c r="D317" s="361">
        <f>B317*C317</f>
        <v/>
      </c>
    </row>
    <row r="318">
      <c r="A318" s="29" t="inlineStr">
        <is>
          <t>D. OTHER COST CATEGORIES</t>
        </is>
      </c>
      <c r="B318" s="358" t="n"/>
      <c r="C318" s="110" t="n"/>
      <c r="D318" s="359" t="n"/>
    </row>
    <row r="319">
      <c r="A319" s="50" t="inlineStr">
        <is>
          <t>D.1 Financial support to third parties (if applicable in the topic specific conditions)</t>
        </is>
      </c>
      <c r="B319" s="357" t="n"/>
      <c r="C319" s="248" t="n"/>
      <c r="D319" s="361">
        <f>B319*C319</f>
        <v/>
      </c>
    </row>
    <row r="320">
      <c r="A320" s="50" t="inlineStr">
        <is>
          <t>D.2 Internally invoiced goods and services</t>
        </is>
      </c>
      <c r="B320" s="357" t="n"/>
      <c r="C320" s="248" t="n"/>
      <c r="D320" s="361">
        <f>B320*C320</f>
        <v/>
      </c>
    </row>
    <row r="321">
      <c r="A321" s="50" t="inlineStr">
        <is>
          <t>D.3 Transnational access to research infrastructure unit costs (if mentioned as eligible in the topic specific conditions)</t>
        </is>
      </c>
      <c r="B321" s="357" t="n"/>
      <c r="C321" s="248" t="n"/>
      <c r="D321" s="361">
        <f>B321*C321</f>
        <v/>
      </c>
    </row>
    <row r="322">
      <c r="A322" s="50" t="inlineStr">
        <is>
          <t>D.4 Virtual access to research infrastructure unit costs (if mentioned as eligible in the topic specific conditions)</t>
        </is>
      </c>
      <c r="B322" s="357" t="n"/>
      <c r="C322" s="248" t="n"/>
      <c r="D322" s="361">
        <f>B322*C322</f>
        <v/>
      </c>
    </row>
    <row r="323">
      <c r="A323" s="50" t="inlineStr">
        <is>
          <t>D.5 PCP/PPI procurement costs (if mentioned as eligible in the topic specific conditions)</t>
        </is>
      </c>
      <c r="B323" s="357" t="n"/>
      <c r="C323" s="248" t="n"/>
      <c r="D323" s="361">
        <f>B323*C323</f>
        <v/>
      </c>
    </row>
    <row r="324">
      <c r="A324" s="50" t="n"/>
      <c r="B324" s="346" t="n"/>
      <c r="C324" s="111" t="n"/>
      <c r="D324" s="365" t="n"/>
    </row>
    <row r="325">
      <c r="A325" s="52" t="inlineStr">
        <is>
          <t>TOTAL DIRECT PERSONNEL COSTS AND PURCHASE COSTS (A+C)</t>
        </is>
      </c>
      <c r="B325" s="369" t="n"/>
      <c r="C325" s="230" t="n"/>
      <c r="D325" s="360">
        <f>SUM(D296:D303,D307:D317)</f>
        <v/>
      </c>
    </row>
    <row r="326">
      <c r="A326" s="52" t="inlineStr">
        <is>
          <t>TOTAL DIRECT COSTS  (A+B+C+D)</t>
        </is>
      </c>
      <c r="B326" s="369" t="n"/>
      <c r="C326" s="230" t="n"/>
      <c r="D326" s="360">
        <f>SUM(D296:D323)</f>
        <v/>
      </c>
    </row>
    <row r="327">
      <c r="A327" s="180" t="n"/>
      <c r="B327" s="372" t="n"/>
      <c r="C327" s="176" t="n"/>
      <c r="D327" s="373" t="n"/>
    </row>
    <row r="328">
      <c r="A328" s="29" t="inlineStr">
        <is>
          <t>E. INDIRECT COSTS (25% * (A+C))</t>
        </is>
      </c>
      <c r="B328" s="358" t="n"/>
      <c r="C328" s="110" t="n"/>
      <c r="D328" s="360">
        <f>D325*0.25</f>
        <v/>
      </c>
    </row>
    <row r="329">
      <c r="A329" s="32" t="n"/>
      <c r="B329" s="372" t="n"/>
      <c r="C329" s="176" t="n"/>
      <c r="D329" s="377" t="n"/>
    </row>
    <row r="330">
      <c r="A330" s="29" t="inlineStr">
        <is>
          <t>F. TOTAL COSTS (A+B+C+D+E)</t>
        </is>
      </c>
      <c r="B330" s="369" t="n"/>
      <c r="C330" s="230" t="n"/>
      <c r="D330" s="360">
        <f>D326+D328</f>
        <v/>
      </c>
    </row>
    <row r="331">
      <c r="A331" s="182" t="n"/>
      <c r="B331" s="183" t="n"/>
      <c r="C331" s="184" t="n"/>
      <c r="D331" s="183" t="n"/>
    </row>
    <row r="332">
      <c r="A332" s="190" t="n"/>
      <c r="B332" s="185" t="n"/>
      <c r="C332" s="186" t="n"/>
      <c r="D332" s="187" t="n"/>
    </row>
    <row r="333" ht="21" customHeight="1">
      <c r="A333" s="272">
        <f>CONCATENATE("COSTS WORK PACKAGE 9:"," ","HSE and Environment")</f>
        <v/>
      </c>
      <c r="B333" s="314" t="n"/>
      <c r="C333" s="314" t="n"/>
      <c r="D333" s="315" t="n"/>
    </row>
    <row r="334">
      <c r="A334" s="182" t="n"/>
      <c r="B334" s="191" t="n"/>
      <c r="C334" s="192" t="n"/>
      <c r="D334" s="191" t="n"/>
    </row>
    <row r="335">
      <c r="A335" s="29" t="inlineStr">
        <is>
          <t>A. DIRECT PERSONNEL COSTS</t>
        </is>
      </c>
      <c r="B335" s="30" t="n"/>
      <c r="C335" s="110" t="n"/>
      <c r="D335" s="354" t="n"/>
    </row>
    <row r="336">
      <c r="A336" s="28" t="inlineStr">
        <is>
          <t>A.1 Employees (or equivalent)</t>
        </is>
      </c>
      <c r="B336" s="89" t="n"/>
      <c r="C336" s="111" t="n"/>
      <c r="D336" s="355" t="n"/>
    </row>
    <row r="337">
      <c r="A337" s="48" t="inlineStr">
        <is>
          <t>SENIOR SCIENTISTS (or equivalent in the private sector)</t>
        </is>
      </c>
      <c r="B337" s="357" t="n"/>
      <c r="C337" s="248" t="n"/>
      <c r="D337" s="232">
        <f>B337*C337</f>
        <v/>
      </c>
    </row>
    <row r="338">
      <c r="A338" s="48" t="inlineStr">
        <is>
          <t>JUNIOR SCIENTISTS (or equivalent in the private sector)</t>
        </is>
      </c>
      <c r="B338" s="357" t="n"/>
      <c r="C338" s="248" t="n"/>
      <c r="D338" s="232">
        <f>B338*C338</f>
        <v/>
      </c>
    </row>
    <row r="339">
      <c r="A339" s="48" t="inlineStr">
        <is>
          <t>TECHNICAL PERSONNEL (or equivalent in the private sector)</t>
        </is>
      </c>
      <c r="B339" s="357" t="n"/>
      <c r="C339" s="248" t="n"/>
      <c r="D339" s="232">
        <f>B339*C339</f>
        <v/>
      </c>
    </row>
    <row r="340">
      <c r="A340" s="48" t="inlineStr">
        <is>
          <t>ADMINISTRATIVE PERSONNEL (or equivalent in the private sector)</t>
        </is>
      </c>
      <c r="B340" s="357" t="n"/>
      <c r="C340" s="248" t="n"/>
      <c r="D340" s="232">
        <f>B340*C340</f>
        <v/>
      </c>
    </row>
    <row r="341">
      <c r="A341" s="48" t="inlineStr">
        <is>
          <t>OTHERS</t>
        </is>
      </c>
      <c r="B341" s="357" t="n"/>
      <c r="C341" s="248" t="n"/>
      <c r="D341" s="232">
        <f>B341*C341</f>
        <v/>
      </c>
    </row>
    <row r="342">
      <c r="A342" s="28" t="inlineStr">
        <is>
          <t>A.2 Natural Persons under direct contract</t>
        </is>
      </c>
      <c r="B342" s="357" t="n"/>
      <c r="C342" s="248" t="n"/>
      <c r="D342" s="232">
        <f>B342*C342</f>
        <v/>
      </c>
    </row>
    <row r="343">
      <c r="A343" s="28" t="inlineStr">
        <is>
          <t>A.3 Seconded Persons</t>
        </is>
      </c>
      <c r="B343" s="357" t="n"/>
      <c r="C343" s="248" t="n"/>
      <c r="D343" s="232">
        <f>B343*C343</f>
        <v/>
      </c>
    </row>
    <row r="344">
      <c r="A344" s="28" t="inlineStr">
        <is>
          <t>A.4 SME owners and natural person beneficiaries</t>
        </is>
      </c>
      <c r="B344" s="357" t="n"/>
      <c r="C344" s="256" t="n">
        <v>8360.6024</v>
      </c>
      <c r="D344" s="232">
        <f>B344*C344</f>
        <v/>
      </c>
    </row>
    <row r="345">
      <c r="A345" s="29" t="inlineStr">
        <is>
          <t>B. DIRECT SUBCONTRACTING COSTS</t>
        </is>
      </c>
      <c r="B345" s="358" t="n"/>
      <c r="C345" s="110" t="n"/>
      <c r="D345" s="359" t="n"/>
    </row>
    <row r="346">
      <c r="A346" s="53" t="n"/>
      <c r="B346" s="357" t="n"/>
      <c r="C346" s="248" t="n"/>
      <c r="D346" s="361">
        <f>B346*C346</f>
        <v/>
      </c>
    </row>
    <row r="347">
      <c r="A347" s="29" t="inlineStr">
        <is>
          <t>C. DIRECT PURCHASE COSTS</t>
        </is>
      </c>
      <c r="B347" s="358" t="n"/>
      <c r="C347" s="110" t="n"/>
      <c r="D347" s="359" t="n"/>
    </row>
    <row r="348">
      <c r="A348" s="28" t="inlineStr">
        <is>
          <t>C.1 Travel and subsistence</t>
        </is>
      </c>
      <c r="B348" s="357" t="n"/>
      <c r="C348" s="248" t="n"/>
      <c r="D348" s="361">
        <f>B348*C348</f>
        <v/>
      </c>
    </row>
    <row r="349">
      <c r="A349" s="28" t="inlineStr">
        <is>
          <t>C.2 Equipment (complete 'Depreciation costs' sheet)</t>
        </is>
      </c>
      <c r="B349" s="346" t="n"/>
      <c r="C349" s="111" t="n"/>
      <c r="D349" s="364" t="n"/>
    </row>
    <row r="350">
      <c r="A350" s="49" t="inlineStr">
        <is>
          <t>Equipment</t>
        </is>
      </c>
      <c r="B350" s="357" t="n"/>
      <c r="C350" s="248" t="n"/>
      <c r="D350" s="361">
        <f>B350*C350</f>
        <v/>
      </c>
    </row>
    <row r="351">
      <c r="A351" s="49" t="inlineStr">
        <is>
          <t>Infrastructure</t>
        </is>
      </c>
      <c r="B351" s="357" t="n"/>
      <c r="C351" s="248" t="n"/>
      <c r="D351" s="361">
        <f>B351*C351</f>
        <v/>
      </c>
    </row>
    <row r="352">
      <c r="A352" s="49" t="inlineStr">
        <is>
          <t>Other assets</t>
        </is>
      </c>
      <c r="B352" s="357" t="n"/>
      <c r="C352" s="248" t="n"/>
      <c r="D352" s="361">
        <f>B352*C352</f>
        <v/>
      </c>
    </row>
    <row r="353">
      <c r="A353" s="28" t="inlineStr">
        <is>
          <t>C.3 Other goods, works and services</t>
        </is>
      </c>
      <c r="B353" s="346" t="n"/>
      <c r="C353" s="111" t="n"/>
      <c r="D353" s="364" t="n"/>
    </row>
    <row r="354">
      <c r="A354" s="49" t="inlineStr">
        <is>
          <t>Consumables</t>
        </is>
      </c>
      <c r="B354" s="357" t="n"/>
      <c r="C354" s="248" t="n"/>
      <c r="D354" s="361">
        <f>B354*C354</f>
        <v/>
      </c>
    </row>
    <row r="355">
      <c r="A355" s="49" t="inlineStr">
        <is>
          <t>Services for meetings, seminars</t>
        </is>
      </c>
      <c r="B355" s="357" t="n"/>
      <c r="C355" s="248" t="n"/>
      <c r="D355" s="361">
        <f>B355*C355</f>
        <v/>
      </c>
    </row>
    <row r="356">
      <c r="A356" s="49" t="inlineStr">
        <is>
          <t>Services for dissemination activities (including website)</t>
        </is>
      </c>
      <c r="B356" s="357" t="n"/>
      <c r="C356" s="248" t="n"/>
      <c r="D356" s="361">
        <f>B356*C356</f>
        <v/>
      </c>
    </row>
    <row r="357">
      <c r="A357" s="49" t="inlineStr">
        <is>
          <t>Publication fees</t>
        </is>
      </c>
      <c r="B357" s="357" t="n"/>
      <c r="C357" s="248" t="n"/>
      <c r="D357" s="361">
        <f>B357*C357</f>
        <v/>
      </c>
    </row>
    <row r="358">
      <c r="A358" s="49" t="inlineStr">
        <is>
          <t>Other (shipment, insurance, translation, etc.)</t>
        </is>
      </c>
      <c r="B358" s="357" t="n"/>
      <c r="C358" s="248" t="n"/>
      <c r="D358" s="361">
        <f>B358*C358</f>
        <v/>
      </c>
    </row>
    <row r="359">
      <c r="A359" s="29" t="inlineStr">
        <is>
          <t>D. OTHER COST CATEGORIES</t>
        </is>
      </c>
      <c r="B359" s="358" t="n"/>
      <c r="C359" s="110" t="n"/>
      <c r="D359" s="359" t="n"/>
    </row>
    <row r="360">
      <c r="A360" s="50" t="inlineStr">
        <is>
          <t>D.1 Financial support to third parties (if applicable in the topic specific conditions)</t>
        </is>
      </c>
      <c r="B360" s="357" t="n"/>
      <c r="C360" s="248" t="n"/>
      <c r="D360" s="361">
        <f>B360*C360</f>
        <v/>
      </c>
    </row>
    <row r="361">
      <c r="A361" s="50" t="inlineStr">
        <is>
          <t>D.2 Internally invoiced goods and services</t>
        </is>
      </c>
      <c r="B361" s="357" t="n"/>
      <c r="C361" s="248" t="n"/>
      <c r="D361" s="361">
        <f>B361*C361</f>
        <v/>
      </c>
    </row>
    <row r="362">
      <c r="A362" s="50" t="inlineStr">
        <is>
          <t>D.3 Transnational access to research infrastructure unit costs (if mentioned as eligible in the topic specific conditions)</t>
        </is>
      </c>
      <c r="B362" s="357" t="n"/>
      <c r="C362" s="248" t="n"/>
      <c r="D362" s="361">
        <f>B362*C362</f>
        <v/>
      </c>
    </row>
    <row r="363">
      <c r="A363" s="50" t="inlineStr">
        <is>
          <t>D.4 Virtual access to research infrastructure unit costs (if mentioned as eligible in the topic specific conditions)</t>
        </is>
      </c>
      <c r="B363" s="357" t="n"/>
      <c r="C363" s="248" t="n"/>
      <c r="D363" s="361">
        <f>B363*C363</f>
        <v/>
      </c>
    </row>
    <row r="364">
      <c r="A364" s="50" t="inlineStr">
        <is>
          <t>D.5 PCP/PPI procurement costs (if mentioned as eligible in the topic specific conditions)</t>
        </is>
      </c>
      <c r="B364" s="357" t="n"/>
      <c r="C364" s="248" t="n"/>
      <c r="D364" s="361">
        <f>B364*C364</f>
        <v/>
      </c>
    </row>
    <row r="365">
      <c r="A365" s="50" t="n"/>
      <c r="B365" s="346" t="n"/>
      <c r="C365" s="111" t="n"/>
      <c r="D365" s="365" t="n"/>
    </row>
    <row r="366">
      <c r="A366" s="52" t="inlineStr">
        <is>
          <t>TOTAL DIRECT PERSONNEL COSTS AND PURCHASE COSTS (A+C)</t>
        </is>
      </c>
      <c r="B366" s="369" t="n"/>
      <c r="C366" s="230" t="n"/>
      <c r="D366" s="360">
        <f>SUM(D337:D344,D348:D358)</f>
        <v/>
      </c>
    </row>
    <row r="367">
      <c r="A367" s="52" t="inlineStr">
        <is>
          <t>TOTAL DIRECT COSTS  (A+B+C+D)</t>
        </is>
      </c>
      <c r="B367" s="369" t="n"/>
      <c r="C367" s="230" t="n"/>
      <c r="D367" s="360">
        <f>SUM(D337:D364)</f>
        <v/>
      </c>
    </row>
    <row r="368">
      <c r="A368" s="180" t="n"/>
      <c r="B368" s="372" t="n"/>
      <c r="C368" s="176" t="n"/>
      <c r="D368" s="373" t="n"/>
    </row>
    <row r="369">
      <c r="A369" s="29" t="inlineStr">
        <is>
          <t>E. INDIRECT COSTS (25% * (A+C))</t>
        </is>
      </c>
      <c r="B369" s="358" t="n"/>
      <c r="C369" s="110" t="n"/>
      <c r="D369" s="360">
        <f>D366*0.25</f>
        <v/>
      </c>
    </row>
    <row r="370">
      <c r="A370" s="32" t="n"/>
      <c r="B370" s="372" t="n"/>
      <c r="C370" s="176" t="n"/>
      <c r="D370" s="377" t="n"/>
    </row>
    <row r="371">
      <c r="A371" s="29" t="inlineStr">
        <is>
          <t>F. TOTAL COSTS (A+B+C+D+E)</t>
        </is>
      </c>
      <c r="B371" s="369" t="n"/>
      <c r="C371" s="230" t="n"/>
      <c r="D371" s="360">
        <f>D367+D369</f>
        <v/>
      </c>
    </row>
    <row r="372">
      <c r="A372" s="182" t="n"/>
      <c r="B372" s="183" t="n"/>
      <c r="C372" s="184" t="n"/>
      <c r="D372" s="183" t="n"/>
    </row>
    <row r="373">
      <c r="A373" s="190" t="n"/>
      <c r="B373" s="185" t="n"/>
      <c r="C373" s="186" t="n"/>
      <c r="D373" s="187" t="n"/>
    </row>
    <row r="374" ht="21" customHeight="1">
      <c r="A374" s="272">
        <f>CONCATENATE("COSTS WORK PACKAGE 10:"," ","System integration for unified O&amp;M Platform")</f>
        <v/>
      </c>
      <c r="B374" s="314" t="n"/>
      <c r="C374" s="314" t="n"/>
      <c r="D374" s="315" t="n"/>
    </row>
    <row r="375">
      <c r="A375" s="182" t="n"/>
      <c r="B375" s="191" t="n"/>
      <c r="C375" s="192" t="n"/>
      <c r="D375" s="191" t="n"/>
    </row>
    <row r="376">
      <c r="A376" s="29" t="inlineStr">
        <is>
          <t>A. DIRECT PERSONNEL COSTS</t>
        </is>
      </c>
      <c r="B376" s="30" t="n"/>
      <c r="C376" s="110" t="n"/>
      <c r="D376" s="354" t="n"/>
    </row>
    <row r="377">
      <c r="A377" s="28" t="inlineStr">
        <is>
          <t>A.1 Employees (or equivalent)</t>
        </is>
      </c>
      <c r="B377" s="89" t="n"/>
      <c r="C377" s="111" t="n"/>
      <c r="D377" s="355" t="n"/>
    </row>
    <row r="378">
      <c r="A378" s="48" t="inlineStr">
        <is>
          <t>SENIOR SCIENTISTS (or equivalent in the private sector)</t>
        </is>
      </c>
      <c r="B378" s="17" t="n"/>
      <c r="C378" s="17" t="n"/>
      <c r="D378" s="232">
        <f>B419*C419</f>
        <v/>
      </c>
    </row>
    <row r="379">
      <c r="A379" s="48" t="inlineStr">
        <is>
          <t>JUNIOR SCIENTISTS (or equivalent in the private sector)</t>
        </is>
      </c>
      <c r="B379" s="357" t="n"/>
      <c r="C379" s="248" t="n"/>
      <c r="D379" s="232">
        <f>B379*C379</f>
        <v/>
      </c>
    </row>
    <row r="380">
      <c r="A380" s="48" t="inlineStr">
        <is>
          <t>TECHNICAL PERSONNEL (or equivalent in the private sector)</t>
        </is>
      </c>
      <c r="B380" s="357" t="n"/>
      <c r="C380" s="248" t="n"/>
      <c r="D380" s="232">
        <f>B380*C380</f>
        <v/>
      </c>
    </row>
    <row r="381">
      <c r="A381" s="48" t="inlineStr">
        <is>
          <t>ADMINISTRATIVE PERSONNEL (or equivalent in the private sector)</t>
        </is>
      </c>
      <c r="B381" s="357" t="n"/>
      <c r="C381" s="248" t="n"/>
      <c r="D381" s="232">
        <f>B381*C381</f>
        <v/>
      </c>
    </row>
    <row r="382">
      <c r="A382" s="48" t="inlineStr">
        <is>
          <t>OTHERS</t>
        </is>
      </c>
      <c r="B382" s="357" t="n"/>
      <c r="C382" s="248" t="n"/>
      <c r="D382" s="232">
        <f>B382*C382</f>
        <v/>
      </c>
    </row>
    <row r="383">
      <c r="A383" s="28" t="inlineStr">
        <is>
          <t>A.2 Natural Persons under direct contract</t>
        </is>
      </c>
      <c r="B383" s="357" t="n"/>
      <c r="C383" s="248" t="n"/>
      <c r="D383" s="232">
        <f>B383*C383</f>
        <v/>
      </c>
    </row>
    <row r="384">
      <c r="A384" s="28" t="inlineStr">
        <is>
          <t>A.3 Seconded Persons</t>
        </is>
      </c>
      <c r="B384" s="357" t="n"/>
      <c r="C384" s="248" t="n"/>
      <c r="D384" s="232">
        <f>B384*C384</f>
        <v/>
      </c>
    </row>
    <row r="385">
      <c r="A385" s="28" t="inlineStr">
        <is>
          <t>A.4 SME owners and natural person beneficiaries</t>
        </is>
      </c>
      <c r="B385" s="357" t="n"/>
      <c r="C385" s="256" t="n">
        <v>8360.6024</v>
      </c>
      <c r="D385" s="232">
        <f>B385*C385</f>
        <v/>
      </c>
    </row>
    <row r="386">
      <c r="A386" s="29" t="inlineStr">
        <is>
          <t>B. DIRECT SUBCONTRACTING COSTS</t>
        </is>
      </c>
      <c r="B386" s="358" t="n"/>
      <c r="C386" s="110" t="n"/>
      <c r="D386" s="359" t="n"/>
    </row>
    <row r="387">
      <c r="A387" s="53" t="n"/>
      <c r="B387" s="357" t="n"/>
      <c r="C387" s="248" t="n"/>
      <c r="D387" s="361">
        <f>B387*C387</f>
        <v/>
      </c>
    </row>
    <row r="388">
      <c r="A388" s="29" t="inlineStr">
        <is>
          <t>C. DIRECT PURCHASE COSTS</t>
        </is>
      </c>
      <c r="B388" s="358" t="n"/>
      <c r="C388" s="110" t="n"/>
      <c r="D388" s="359" t="n"/>
    </row>
    <row r="389">
      <c r="A389" s="28" t="inlineStr">
        <is>
          <t>C.1 Travel and subsistence</t>
        </is>
      </c>
      <c r="B389" s="357" t="n"/>
      <c r="C389" s="248" t="n"/>
      <c r="D389" s="361">
        <f>B389*C389</f>
        <v/>
      </c>
    </row>
    <row r="390">
      <c r="A390" s="28" t="inlineStr">
        <is>
          <t>C.2 Equipment (complete 'Depreciation costs' sheet)</t>
        </is>
      </c>
      <c r="B390" s="346" t="n"/>
      <c r="C390" s="111" t="n"/>
      <c r="D390" s="364" t="n"/>
    </row>
    <row r="391">
      <c r="A391" s="49" t="inlineStr">
        <is>
          <t>Equipment</t>
        </is>
      </c>
      <c r="B391" s="357" t="n"/>
      <c r="C391" s="248" t="n"/>
      <c r="D391" s="361">
        <f>B391*C391</f>
        <v/>
      </c>
    </row>
    <row r="392">
      <c r="A392" s="49" t="inlineStr">
        <is>
          <t>Infrastructure</t>
        </is>
      </c>
      <c r="B392" s="357" t="n"/>
      <c r="C392" s="248" t="n"/>
      <c r="D392" s="361">
        <f>B392*C392</f>
        <v/>
      </c>
    </row>
    <row r="393">
      <c r="A393" s="49" t="inlineStr">
        <is>
          <t>Other assets</t>
        </is>
      </c>
      <c r="B393" s="357" t="n"/>
      <c r="C393" s="248" t="n"/>
      <c r="D393" s="361">
        <f>B393*C393</f>
        <v/>
      </c>
    </row>
    <row r="394">
      <c r="A394" s="28" t="inlineStr">
        <is>
          <t>C.3 Other goods, works and services</t>
        </is>
      </c>
      <c r="B394" s="346" t="n"/>
      <c r="C394" s="111" t="n"/>
      <c r="D394" s="364" t="n"/>
    </row>
    <row r="395">
      <c r="A395" s="49" t="inlineStr">
        <is>
          <t>Consumables</t>
        </is>
      </c>
      <c r="B395" s="357" t="n"/>
      <c r="C395" s="248" t="n"/>
      <c r="D395" s="361">
        <f>B395*C395</f>
        <v/>
      </c>
    </row>
    <row r="396">
      <c r="A396" s="49" t="inlineStr">
        <is>
          <t>Services for meetings, seminars</t>
        </is>
      </c>
      <c r="B396" s="357" t="n"/>
      <c r="C396" s="248" t="n"/>
      <c r="D396" s="361">
        <f>B396*C396</f>
        <v/>
      </c>
    </row>
    <row r="397">
      <c r="A397" s="49" t="inlineStr">
        <is>
          <t>Services for dissemination activities (including website)</t>
        </is>
      </c>
      <c r="B397" s="357" t="n"/>
      <c r="C397" s="248" t="n"/>
      <c r="D397" s="361">
        <f>B397*C397</f>
        <v/>
      </c>
    </row>
    <row r="398">
      <c r="A398" s="49" t="inlineStr">
        <is>
          <t>Publication fees</t>
        </is>
      </c>
      <c r="B398" s="357" t="n"/>
      <c r="C398" s="248" t="n"/>
      <c r="D398" s="361">
        <f>B398*C398</f>
        <v/>
      </c>
    </row>
    <row r="399">
      <c r="A399" s="49" t="inlineStr">
        <is>
          <t>Other (shipment, insurance, translation, etc.)</t>
        </is>
      </c>
      <c r="B399" s="357" t="n"/>
      <c r="C399" s="248" t="n"/>
      <c r="D399" s="361">
        <f>B399*C399</f>
        <v/>
      </c>
    </row>
    <row r="400">
      <c r="A400" s="29" t="inlineStr">
        <is>
          <t>D. OTHER COST CATEGORIES</t>
        </is>
      </c>
      <c r="B400" s="358" t="n"/>
      <c r="C400" s="110" t="n"/>
      <c r="D400" s="359" t="n"/>
    </row>
    <row r="401">
      <c r="A401" s="50" t="inlineStr">
        <is>
          <t>D.1 Financial support to third parties (if applicable in the topic specific conditions)</t>
        </is>
      </c>
      <c r="B401" s="357" t="n"/>
      <c r="C401" s="248" t="n"/>
      <c r="D401" s="361">
        <f>B401*C401</f>
        <v/>
      </c>
    </row>
    <row r="402">
      <c r="A402" s="50" t="inlineStr">
        <is>
          <t>D.2 Internally invoiced goods and services</t>
        </is>
      </c>
      <c r="B402" s="357" t="n"/>
      <c r="C402" s="248" t="n"/>
      <c r="D402" s="361">
        <f>B402*C402</f>
        <v/>
      </c>
    </row>
    <row r="403">
      <c r="A403" s="50" t="inlineStr">
        <is>
          <t>D.3 Transnational access to research infrastructure unit costs (if mentioned as eligible in the topic specific conditions)</t>
        </is>
      </c>
      <c r="B403" s="357" t="n"/>
      <c r="C403" s="248" t="n"/>
      <c r="D403" s="361">
        <f>B403*C403</f>
        <v/>
      </c>
    </row>
    <row r="404">
      <c r="A404" s="50" t="inlineStr">
        <is>
          <t>D.4 Virtual access to research infrastructure unit costs (if mentioned as eligible in the topic specific conditions)</t>
        </is>
      </c>
      <c r="B404" s="357" t="n"/>
      <c r="C404" s="248" t="n"/>
      <c r="D404" s="361">
        <f>B404*C404</f>
        <v/>
      </c>
    </row>
    <row r="405">
      <c r="A405" s="50" t="inlineStr">
        <is>
          <t>D.5 PCP/PPI procurement costs (if mentioned as eligible in the topic specific conditions)</t>
        </is>
      </c>
      <c r="B405" s="357" t="n"/>
      <c r="C405" s="248" t="n"/>
      <c r="D405" s="361">
        <f>B405*C405</f>
        <v/>
      </c>
    </row>
    <row r="406">
      <c r="A406" s="50" t="n"/>
      <c r="B406" s="346" t="n"/>
      <c r="C406" s="111" t="n"/>
      <c r="D406" s="365" t="n"/>
    </row>
    <row r="407">
      <c r="A407" s="52" t="inlineStr">
        <is>
          <t>TOTAL DIRECT PERSONNEL COSTS AND PURCHASE COSTS (A+C)</t>
        </is>
      </c>
      <c r="B407" s="369" t="n"/>
      <c r="C407" s="230" t="n"/>
      <c r="D407" s="360">
        <f>SUM(D378:D385,D389:D399)</f>
        <v/>
      </c>
    </row>
    <row r="408">
      <c r="A408" s="52" t="inlineStr">
        <is>
          <t>TOTAL DIRECT COSTS  (A+B+C+D)</t>
        </is>
      </c>
      <c r="B408" s="369" t="n"/>
      <c r="C408" s="230" t="n"/>
      <c r="D408" s="360">
        <f>SUM(D378:D405)</f>
        <v/>
      </c>
    </row>
    <row r="409">
      <c r="A409" s="180" t="n"/>
      <c r="B409" s="372" t="n"/>
      <c r="C409" s="176" t="n"/>
      <c r="D409" s="373" t="n"/>
    </row>
    <row r="410">
      <c r="A410" s="29" t="inlineStr">
        <is>
          <t>E. INDIRECT COSTS (25% * (A+C))</t>
        </is>
      </c>
      <c r="B410" s="358" t="n"/>
      <c r="C410" s="110" t="n"/>
      <c r="D410" s="360">
        <f>D407*0.25</f>
        <v/>
      </c>
    </row>
    <row r="411">
      <c r="A411" s="32" t="n"/>
      <c r="B411" s="372" t="n"/>
      <c r="C411" s="176" t="n"/>
      <c r="D411" s="377" t="n"/>
    </row>
    <row r="412">
      <c r="A412" s="29" t="inlineStr">
        <is>
          <t>F. TOTAL COSTS (A+B+C+D+E)</t>
        </is>
      </c>
      <c r="B412" s="369" t="n"/>
      <c r="C412" s="230" t="n"/>
      <c r="D412" s="360">
        <f>D408+D410</f>
        <v/>
      </c>
    </row>
    <row r="413">
      <c r="A413" s="182" t="n"/>
      <c r="B413" s="183" t="n"/>
      <c r="C413" s="184" t="n"/>
      <c r="D413" s="183" t="n"/>
    </row>
    <row r="414">
      <c r="A414" s="190" t="n"/>
      <c r="B414" s="185" t="n"/>
      <c r="C414" s="186" t="n"/>
      <c r="D414" s="187" t="n"/>
    </row>
    <row r="415" ht="21" customHeight="1">
      <c r="A415" s="272">
        <f>CONCATENATE("COSTS WORK PACKAGE 11:"," ","System integration for unified O&amp;M Platform")</f>
        <v/>
      </c>
      <c r="B415" s="314" t="n"/>
      <c r="C415" s="314" t="n"/>
      <c r="D415" s="315" t="n"/>
    </row>
    <row r="416">
      <c r="A416" s="182" t="n"/>
      <c r="B416" s="191" t="n"/>
      <c r="C416" s="192" t="n"/>
      <c r="D416" s="191" t="n"/>
    </row>
    <row r="417">
      <c r="A417" s="29" t="inlineStr">
        <is>
          <t>A. DIRECT PERSONNEL COSTS</t>
        </is>
      </c>
      <c r="B417" s="30" t="n"/>
      <c r="C417" s="110" t="n"/>
      <c r="D417" s="354" t="n"/>
    </row>
    <row r="418">
      <c r="A418" s="28" t="inlineStr">
        <is>
          <t>A.1 Employees (or equivalent)</t>
        </is>
      </c>
      <c r="B418" s="89" t="n"/>
      <c r="C418" s="111" t="n"/>
      <c r="D418" s="355" t="n"/>
    </row>
    <row r="419">
      <c r="A419" s="48" t="inlineStr">
        <is>
          <t>SENIOR SCIENTISTS (or equivalent in the private sector)</t>
        </is>
      </c>
      <c r="B419" s="357" t="n">
        <v>1</v>
      </c>
      <c r="C419" s="248" t="n">
        <v>5000</v>
      </c>
      <c r="D419" s="232">
        <f>#REF!*#REF!</f>
        <v/>
      </c>
    </row>
    <row r="420">
      <c r="A420" s="48" t="inlineStr">
        <is>
          <t>JUNIOR SCIENTISTS (or equivalent in the private sector)</t>
        </is>
      </c>
      <c r="B420" s="357" t="n"/>
      <c r="C420" s="248" t="n"/>
      <c r="D420" s="232">
        <f>B420*C420</f>
        <v/>
      </c>
    </row>
    <row r="421">
      <c r="A421" s="48" t="inlineStr">
        <is>
          <t>TECHNICAL PERSONNEL (or equivalent in the private sector)</t>
        </is>
      </c>
      <c r="B421" s="357" t="n"/>
      <c r="C421" s="248" t="n"/>
      <c r="D421" s="232">
        <f>B421*C421</f>
        <v/>
      </c>
    </row>
    <row r="422">
      <c r="A422" s="48" t="inlineStr">
        <is>
          <t>ADMINISTRATIVE PERSONNEL (or equivalent in the private sector)</t>
        </is>
      </c>
      <c r="B422" s="357" t="n"/>
      <c r="C422" s="248" t="n"/>
      <c r="D422" s="232">
        <f>B422*C422</f>
        <v/>
      </c>
    </row>
    <row r="423">
      <c r="A423" s="48" t="inlineStr">
        <is>
          <t>OTHERS</t>
        </is>
      </c>
      <c r="B423" s="357" t="n"/>
      <c r="C423" s="248" t="n"/>
      <c r="D423" s="232">
        <f>B423*C423</f>
        <v/>
      </c>
    </row>
    <row r="424">
      <c r="A424" s="28" t="inlineStr">
        <is>
          <t>A.2 Natural Persons under direct contract</t>
        </is>
      </c>
      <c r="B424" s="357" t="n"/>
      <c r="C424" s="248" t="n"/>
      <c r="D424" s="232">
        <f>B424*C424</f>
        <v/>
      </c>
    </row>
    <row r="425">
      <c r="A425" s="28" t="inlineStr">
        <is>
          <t>A.3 Seconded Persons</t>
        </is>
      </c>
      <c r="B425" s="357" t="n"/>
      <c r="C425" s="248" t="n"/>
      <c r="D425" s="232">
        <f>B425*C425</f>
        <v/>
      </c>
    </row>
    <row r="426">
      <c r="A426" s="28" t="inlineStr">
        <is>
          <t>A.4 SME owners and natural person beneficiaries</t>
        </is>
      </c>
      <c r="B426" s="357" t="n"/>
      <c r="C426" s="256" t="n">
        <v>8360.6024</v>
      </c>
      <c r="D426" s="232">
        <f>B426*C426</f>
        <v/>
      </c>
    </row>
    <row r="427">
      <c r="A427" s="29" t="inlineStr">
        <is>
          <t>B. DIRECT SUBCONTRACTING COSTS</t>
        </is>
      </c>
      <c r="B427" s="358" t="n"/>
      <c r="C427" s="110" t="n"/>
      <c r="D427" s="359" t="n"/>
    </row>
    <row r="428">
      <c r="A428" s="53" t="n"/>
      <c r="B428" s="357" t="n"/>
      <c r="C428" s="248" t="n"/>
      <c r="D428" s="361">
        <f>B428*C428</f>
        <v/>
      </c>
    </row>
    <row r="429">
      <c r="A429" s="29" t="inlineStr">
        <is>
          <t>C. DIRECT PURCHASE COSTS</t>
        </is>
      </c>
      <c r="B429" s="358" t="n"/>
      <c r="C429" s="110" t="n"/>
      <c r="D429" s="359" t="n"/>
    </row>
    <row r="430">
      <c r="A430" s="28" t="inlineStr">
        <is>
          <t>C.1 Travel and subsistence</t>
        </is>
      </c>
      <c r="B430" s="357" t="n"/>
      <c r="C430" s="248" t="n"/>
      <c r="D430" s="361">
        <f>B430*C430</f>
        <v/>
      </c>
    </row>
    <row r="431">
      <c r="A431" s="28" t="inlineStr">
        <is>
          <t>C.2 Equipment (complete 'Depreciation costs' sheet)</t>
        </is>
      </c>
      <c r="B431" s="346" t="n"/>
      <c r="C431" s="111" t="n"/>
      <c r="D431" s="364" t="n"/>
    </row>
    <row r="432">
      <c r="A432" s="49" t="inlineStr">
        <is>
          <t>Equipment</t>
        </is>
      </c>
      <c r="B432" s="357" t="n"/>
      <c r="C432" s="248" t="n"/>
      <c r="D432" s="361">
        <f>B432*C432</f>
        <v/>
      </c>
    </row>
    <row r="433">
      <c r="A433" s="49" t="inlineStr">
        <is>
          <t>Infrastructure</t>
        </is>
      </c>
      <c r="B433" s="357" t="n"/>
      <c r="C433" s="248" t="n"/>
      <c r="D433" s="361">
        <f>B433*C433</f>
        <v/>
      </c>
    </row>
    <row r="434">
      <c r="A434" s="49" t="inlineStr">
        <is>
          <t>Other assets</t>
        </is>
      </c>
      <c r="B434" s="357" t="n"/>
      <c r="C434" s="248" t="n"/>
      <c r="D434" s="361">
        <f>B434*C434</f>
        <v/>
      </c>
    </row>
    <row r="435">
      <c r="A435" s="28" t="inlineStr">
        <is>
          <t>C.3 Other goods, works and services</t>
        </is>
      </c>
      <c r="B435" s="346" t="n"/>
      <c r="C435" s="111" t="n"/>
      <c r="D435" s="364" t="n"/>
    </row>
    <row r="436">
      <c r="A436" s="49" t="inlineStr">
        <is>
          <t>Consumables</t>
        </is>
      </c>
      <c r="B436" s="357" t="n"/>
      <c r="C436" s="248" t="n"/>
      <c r="D436" s="361">
        <f>B436*C436</f>
        <v/>
      </c>
    </row>
    <row r="437">
      <c r="A437" s="49" t="inlineStr">
        <is>
          <t>Services for meetings, seminars</t>
        </is>
      </c>
      <c r="B437" s="357" t="n"/>
      <c r="C437" s="248" t="n"/>
      <c r="D437" s="361">
        <f>B437*C437</f>
        <v/>
      </c>
    </row>
    <row r="438">
      <c r="A438" s="49" t="inlineStr">
        <is>
          <t>Services for dissemination activities (including website)</t>
        </is>
      </c>
      <c r="B438" s="357" t="n"/>
      <c r="C438" s="248" t="n"/>
      <c r="D438" s="361">
        <f>B438*C438</f>
        <v/>
      </c>
    </row>
    <row r="439">
      <c r="A439" s="49" t="inlineStr">
        <is>
          <t>Publication fees</t>
        </is>
      </c>
      <c r="B439" s="357" t="n"/>
      <c r="C439" s="248" t="n"/>
      <c r="D439" s="361">
        <f>B439*C439</f>
        <v/>
      </c>
    </row>
    <row r="440">
      <c r="A440" s="49" t="inlineStr">
        <is>
          <t>Other (shipment, insurance, translation, etc.)</t>
        </is>
      </c>
      <c r="B440" s="357" t="n"/>
      <c r="C440" s="248" t="n"/>
      <c r="D440" s="361">
        <f>B440*C440</f>
        <v/>
      </c>
    </row>
    <row r="441">
      <c r="A441" s="29" t="inlineStr">
        <is>
          <t>D. OTHER COST CATEGORIES</t>
        </is>
      </c>
      <c r="B441" s="358" t="n"/>
      <c r="C441" s="110" t="n"/>
      <c r="D441" s="359" t="n"/>
    </row>
    <row r="442">
      <c r="A442" s="50" t="inlineStr">
        <is>
          <t>D.1 Financial support to third parties (if applicable in the topic specific conditions)</t>
        </is>
      </c>
      <c r="B442" s="357" t="n"/>
      <c r="C442" s="248" t="n"/>
      <c r="D442" s="361">
        <f>B442*C442</f>
        <v/>
      </c>
    </row>
    <row r="443">
      <c r="A443" s="50" t="inlineStr">
        <is>
          <t>D.2 Internally invoiced goods and services</t>
        </is>
      </c>
      <c r="B443" s="357" t="n"/>
      <c r="C443" s="248" t="n"/>
      <c r="D443" s="361">
        <f>B443*C443</f>
        <v/>
      </c>
    </row>
    <row r="444">
      <c r="A444" s="50" t="inlineStr">
        <is>
          <t>D.3 Transnational access to research infrastructure unit costs (if mentioned as eligible in the topic specific conditions)</t>
        </is>
      </c>
      <c r="B444" s="357" t="n"/>
      <c r="C444" s="248" t="n"/>
      <c r="D444" s="361">
        <f>B444*C444</f>
        <v/>
      </c>
    </row>
    <row r="445">
      <c r="A445" s="50" t="inlineStr">
        <is>
          <t>D.4 Virtual access to research infrastructure unit costs (if mentioned as eligible in the topic specific conditions)</t>
        </is>
      </c>
      <c r="B445" s="357" t="n"/>
      <c r="C445" s="248" t="n"/>
      <c r="D445" s="361">
        <f>B445*C445</f>
        <v/>
      </c>
    </row>
    <row r="446">
      <c r="A446" s="50" t="inlineStr">
        <is>
          <t>D.5 PCP/PPI procurement costs (if mentioned as eligible in the topic specific conditions)</t>
        </is>
      </c>
      <c r="B446" s="357" t="n"/>
      <c r="C446" s="248" t="n"/>
      <c r="D446" s="361">
        <f>B446*C446</f>
        <v/>
      </c>
    </row>
    <row r="447">
      <c r="A447" s="50" t="n"/>
      <c r="B447" s="346" t="n"/>
      <c r="C447" s="111" t="n"/>
      <c r="D447" s="365" t="n"/>
    </row>
    <row r="448">
      <c r="A448" s="52" t="inlineStr">
        <is>
          <t>TOTAL DIRECT PERSONNEL COSTS AND PURCHASE COSTS (A+C)</t>
        </is>
      </c>
      <c r="B448" s="369" t="n"/>
      <c r="C448" s="230" t="n"/>
      <c r="D448" s="360">
        <f>SUM(D419:D426,D430:D440)</f>
        <v/>
      </c>
    </row>
    <row r="449">
      <c r="A449" s="52" t="inlineStr">
        <is>
          <t>TOTAL DIRECT COSTS  (A+B+C+D)</t>
        </is>
      </c>
      <c r="B449" s="369" t="n"/>
      <c r="C449" s="230" t="n"/>
      <c r="D449" s="360">
        <f>SUM(D419:D446)</f>
        <v/>
      </c>
    </row>
    <row r="450">
      <c r="A450" s="180" t="n"/>
      <c r="B450" s="372" t="n"/>
      <c r="C450" s="176" t="n"/>
      <c r="D450" s="373" t="n"/>
    </row>
    <row r="451">
      <c r="A451" s="29" t="inlineStr">
        <is>
          <t>E. INDIRECT COSTS (25% * (A+C))</t>
        </is>
      </c>
      <c r="B451" s="358" t="n"/>
      <c r="C451" s="110" t="n"/>
      <c r="D451" s="360">
        <f>D448*0.25</f>
        <v/>
      </c>
    </row>
    <row r="452">
      <c r="A452" s="32" t="n"/>
      <c r="B452" s="372" t="n"/>
      <c r="C452" s="176" t="n"/>
      <c r="D452" s="377" t="n"/>
    </row>
    <row r="453">
      <c r="A453" s="29" t="inlineStr">
        <is>
          <t>F. TOTAL COSTS (A+B+C+D+E)</t>
        </is>
      </c>
      <c r="B453" s="369" t="n"/>
      <c r="C453" s="230" t="n"/>
      <c r="D453" s="360">
        <f>D449+D451</f>
        <v/>
      </c>
    </row>
    <row r="454">
      <c r="A454" s="182" t="n"/>
      <c r="B454" s="183" t="n"/>
      <c r="C454" s="184" t="n"/>
      <c r="D454" s="183" t="n"/>
    </row>
    <row r="455">
      <c r="A455" s="190" t="n"/>
      <c r="B455" s="185" t="n"/>
      <c r="C455" s="186" t="n"/>
      <c r="D455" s="187" t="n"/>
    </row>
    <row r="456" ht="21" customHeight="1">
      <c r="A456" s="272">
        <f>CONCATENATE("COSTS WORK PACKAGE 12:"," ","System-Level Demonstration and Validation")</f>
        <v/>
      </c>
      <c r="B456" s="314" t="n"/>
      <c r="C456" s="314" t="n"/>
      <c r="D456" s="315" t="n"/>
    </row>
    <row r="457">
      <c r="A457" s="182" t="n"/>
      <c r="B457" s="191" t="n"/>
      <c r="C457" s="192" t="n"/>
      <c r="D457" s="191" t="n"/>
    </row>
    <row r="458">
      <c r="A458" s="29" t="inlineStr">
        <is>
          <t>A. DIRECT PERSONNEL COSTS</t>
        </is>
      </c>
      <c r="B458" s="30" t="n"/>
      <c r="C458" s="110" t="n"/>
      <c r="D458" s="354" t="n"/>
    </row>
    <row r="459">
      <c r="A459" s="28" t="inlineStr">
        <is>
          <t>A.1 Employees (or equivalent)</t>
        </is>
      </c>
      <c r="B459" s="89" t="n"/>
      <c r="C459" s="111" t="n"/>
      <c r="D459" s="355" t="n"/>
    </row>
    <row r="460">
      <c r="A460" s="48" t="inlineStr">
        <is>
          <t>SENIOR SCIENTISTS (or equivalent in the private sector)</t>
        </is>
      </c>
      <c r="B460" s="357" t="n"/>
      <c r="C460" s="248" t="n"/>
      <c r="D460" s="232">
        <f>B460*C460</f>
        <v/>
      </c>
    </row>
    <row r="461">
      <c r="A461" s="48" t="inlineStr">
        <is>
          <t>JUNIOR SCIENTISTS (or equivalent in the private sector)</t>
        </is>
      </c>
      <c r="B461" s="357" t="n"/>
      <c r="C461" s="248" t="n"/>
      <c r="D461" s="232">
        <f>B461*C461</f>
        <v/>
      </c>
    </row>
    <row r="462">
      <c r="A462" s="48" t="inlineStr">
        <is>
          <t>TECHNICAL PERSONNEL (or equivalent in the private sector)</t>
        </is>
      </c>
      <c r="B462" s="357" t="n"/>
      <c r="C462" s="248" t="n"/>
      <c r="D462" s="232">
        <f>B462*C462</f>
        <v/>
      </c>
    </row>
    <row r="463">
      <c r="A463" s="48" t="inlineStr">
        <is>
          <t>ADMINISTRATIVE PERSONNEL (or equivalent in the private sector)</t>
        </is>
      </c>
      <c r="B463" s="357" t="n"/>
      <c r="C463" s="248" t="n"/>
      <c r="D463" s="232">
        <f>B463*C463</f>
        <v/>
      </c>
    </row>
    <row r="464">
      <c r="A464" s="48" t="inlineStr">
        <is>
          <t>OTHERS</t>
        </is>
      </c>
      <c r="B464" s="357" t="n"/>
      <c r="C464" s="248" t="n"/>
      <c r="D464" s="232">
        <f>B464*C464</f>
        <v/>
      </c>
    </row>
    <row r="465">
      <c r="A465" s="28" t="inlineStr">
        <is>
          <t>A.2 Natural Persons under direct contract</t>
        </is>
      </c>
      <c r="B465" s="357" t="n"/>
      <c r="C465" s="248" t="n"/>
      <c r="D465" s="232">
        <f>B465*C465</f>
        <v/>
      </c>
    </row>
    <row r="466">
      <c r="A466" s="28" t="inlineStr">
        <is>
          <t>A.3 Seconded Persons</t>
        </is>
      </c>
      <c r="B466" s="357" t="n"/>
      <c r="C466" s="248" t="n"/>
      <c r="D466" s="232">
        <f>B466*C466</f>
        <v/>
      </c>
    </row>
    <row r="467">
      <c r="A467" s="28" t="inlineStr">
        <is>
          <t>A.4 SME owners and natural person beneficiaries</t>
        </is>
      </c>
      <c r="B467" s="357" t="n"/>
      <c r="C467" s="256" t="n">
        <v>8360.6024</v>
      </c>
      <c r="D467" s="232">
        <f>B467*C467</f>
        <v/>
      </c>
    </row>
    <row r="468">
      <c r="A468" s="29" t="inlineStr">
        <is>
          <t>B. DIRECT SUBCONTRACTING COSTS</t>
        </is>
      </c>
      <c r="B468" s="358" t="n"/>
      <c r="C468" s="110" t="n"/>
      <c r="D468" s="359" t="n"/>
    </row>
    <row r="469">
      <c r="A469" s="53" t="n"/>
      <c r="B469" s="357" t="n"/>
      <c r="C469" s="248" t="n"/>
      <c r="D469" s="361">
        <f>B469*C469</f>
        <v/>
      </c>
    </row>
    <row r="470">
      <c r="A470" s="29" t="inlineStr">
        <is>
          <t>C. DIRECT PURCHASE COSTS</t>
        </is>
      </c>
      <c r="B470" s="358" t="n"/>
      <c r="C470" s="110" t="n"/>
      <c r="D470" s="359" t="n"/>
    </row>
    <row r="471">
      <c r="A471" s="28" t="inlineStr">
        <is>
          <t>C.1 Travel and subsistence</t>
        </is>
      </c>
      <c r="B471" s="357" t="n"/>
      <c r="C471" s="248" t="n"/>
      <c r="D471" s="361">
        <f>B471*C471</f>
        <v/>
      </c>
    </row>
    <row r="472">
      <c r="A472" s="28" t="inlineStr">
        <is>
          <t>C.2 Equipment (complete 'Depreciation costs' sheet)</t>
        </is>
      </c>
      <c r="B472" s="346" t="n"/>
      <c r="C472" s="111" t="n"/>
      <c r="D472" s="364" t="n"/>
    </row>
    <row r="473">
      <c r="A473" s="49" t="inlineStr">
        <is>
          <t>Equipment</t>
        </is>
      </c>
      <c r="B473" s="357" t="n"/>
      <c r="C473" s="248" t="n"/>
      <c r="D473" s="361">
        <f>B473*C473</f>
        <v/>
      </c>
    </row>
    <row r="474">
      <c r="A474" s="49" t="inlineStr">
        <is>
          <t>Infrastructure</t>
        </is>
      </c>
      <c r="B474" s="357" t="n"/>
      <c r="C474" s="248" t="n"/>
      <c r="D474" s="361">
        <f>B474*C474</f>
        <v/>
      </c>
    </row>
    <row r="475">
      <c r="A475" s="49" t="inlineStr">
        <is>
          <t>Other assets</t>
        </is>
      </c>
      <c r="B475" s="357" t="n"/>
      <c r="C475" s="248" t="n"/>
      <c r="D475" s="361">
        <f>B475*C475</f>
        <v/>
      </c>
    </row>
    <row r="476">
      <c r="A476" s="28" t="inlineStr">
        <is>
          <t>C.3 Other goods, works and services</t>
        </is>
      </c>
      <c r="B476" s="346" t="n"/>
      <c r="C476" s="111" t="n"/>
      <c r="D476" s="364" t="n"/>
    </row>
    <row r="477">
      <c r="A477" s="49" t="inlineStr">
        <is>
          <t>Consumables</t>
        </is>
      </c>
      <c r="B477" s="357" t="n"/>
      <c r="C477" s="248" t="n"/>
      <c r="D477" s="361">
        <f>B477*C477</f>
        <v/>
      </c>
    </row>
    <row r="478">
      <c r="A478" s="49" t="inlineStr">
        <is>
          <t>Services for meetings, seminars</t>
        </is>
      </c>
      <c r="B478" s="357" t="n"/>
      <c r="C478" s="248" t="n"/>
      <c r="D478" s="361">
        <f>B478*C478</f>
        <v/>
      </c>
    </row>
    <row r="479">
      <c r="A479" s="49" t="inlineStr">
        <is>
          <t>Services for dissemination activities (including website)</t>
        </is>
      </c>
      <c r="B479" s="357" t="n"/>
      <c r="C479" s="248" t="n"/>
      <c r="D479" s="361">
        <f>B479*C479</f>
        <v/>
      </c>
    </row>
    <row r="480">
      <c r="A480" s="49" t="inlineStr">
        <is>
          <t>Publication fees</t>
        </is>
      </c>
      <c r="B480" s="357" t="n"/>
      <c r="C480" s="248" t="n"/>
      <c r="D480" s="361">
        <f>B480*C480</f>
        <v/>
      </c>
    </row>
    <row r="481">
      <c r="A481" s="49" t="inlineStr">
        <is>
          <t>Other (shipment, insurance, translation, etc.)</t>
        </is>
      </c>
      <c r="B481" s="357" t="n"/>
      <c r="C481" s="248" t="n"/>
      <c r="D481" s="361">
        <f>B481*C481</f>
        <v/>
      </c>
    </row>
    <row r="482">
      <c r="A482" s="29" t="inlineStr">
        <is>
          <t>D. OTHER COST CATEGORIES</t>
        </is>
      </c>
      <c r="B482" s="358" t="n"/>
      <c r="C482" s="110" t="n"/>
      <c r="D482" s="359" t="n"/>
    </row>
    <row r="483">
      <c r="A483" s="50" t="inlineStr">
        <is>
          <t>D.1 Financial support to third parties (if applicable in the topic specific conditions)</t>
        </is>
      </c>
      <c r="B483" s="357" t="n"/>
      <c r="C483" s="248" t="n"/>
      <c r="D483" s="361">
        <f>B483*C483</f>
        <v/>
      </c>
    </row>
    <row r="484">
      <c r="A484" s="50" t="inlineStr">
        <is>
          <t>D.2 Internally invoiced goods and services</t>
        </is>
      </c>
      <c r="B484" s="357" t="n"/>
      <c r="C484" s="248" t="n"/>
      <c r="D484" s="361">
        <f>B484*C484</f>
        <v/>
      </c>
    </row>
    <row r="485">
      <c r="A485" s="50" t="inlineStr">
        <is>
          <t>D.3 Transnational access to research infrastructure unit costs (if mentioned as eligible in the topic specific conditions)</t>
        </is>
      </c>
      <c r="B485" s="357" t="n"/>
      <c r="C485" s="248" t="n"/>
      <c r="D485" s="361">
        <f>B485*C485</f>
        <v/>
      </c>
    </row>
    <row r="486">
      <c r="A486" s="50" t="inlineStr">
        <is>
          <t>D.4 Virtual access to research infrastructure unit costs (if mentioned as eligible in the topic specific conditions)</t>
        </is>
      </c>
      <c r="B486" s="357" t="n"/>
      <c r="C486" s="248" t="n"/>
      <c r="D486" s="361">
        <f>B486*C486</f>
        <v/>
      </c>
    </row>
    <row r="487">
      <c r="A487" s="50" t="inlineStr">
        <is>
          <t>D.5 PCP/PPI procurement costs (if mentioned as eligible in the topic specific conditions)</t>
        </is>
      </c>
      <c r="B487" s="357" t="n"/>
      <c r="C487" s="248" t="n"/>
      <c r="D487" s="361">
        <f>B487*C487</f>
        <v/>
      </c>
    </row>
    <row r="488">
      <c r="A488" s="50" t="n"/>
      <c r="B488" s="346" t="n"/>
      <c r="C488" s="111" t="n"/>
      <c r="D488" s="365" t="n"/>
    </row>
    <row r="489">
      <c r="A489" s="52" t="inlineStr">
        <is>
          <t>TOTAL DIRECT PERSONNEL COSTS AND PURCHASE COSTS (A+C)</t>
        </is>
      </c>
      <c r="B489" s="369" t="n"/>
      <c r="C489" s="230" t="n"/>
      <c r="D489" s="360">
        <f>SUM(D460:D467,D471:D481)</f>
        <v/>
      </c>
    </row>
    <row r="490">
      <c r="A490" s="52" t="inlineStr">
        <is>
          <t>TOTAL DIRECT COSTS  (A+B+C+D)</t>
        </is>
      </c>
      <c r="B490" s="369" t="n"/>
      <c r="C490" s="230" t="n"/>
      <c r="D490" s="360">
        <f>SUM(D460:D487)</f>
        <v/>
      </c>
    </row>
    <row r="491">
      <c r="A491" s="180" t="n"/>
      <c r="B491" s="372" t="n"/>
      <c r="C491" s="176" t="n"/>
      <c r="D491" s="373" t="n"/>
    </row>
    <row r="492">
      <c r="A492" s="29" t="inlineStr">
        <is>
          <t>E. INDIRECT COSTS (25% * (A+C))</t>
        </is>
      </c>
      <c r="B492" s="358" t="n"/>
      <c r="C492" s="110" t="n"/>
      <c r="D492" s="360">
        <f>D489*0.25</f>
        <v/>
      </c>
    </row>
    <row r="493">
      <c r="A493" s="32" t="n"/>
      <c r="B493" s="372" t="n"/>
      <c r="C493" s="176" t="n"/>
      <c r="D493" s="377" t="n"/>
    </row>
    <row r="494">
      <c r="A494" s="29" t="inlineStr">
        <is>
          <t>F. TOTAL COSTS (A+B+C+D+E)</t>
        </is>
      </c>
      <c r="B494" s="369" t="n"/>
      <c r="C494" s="230" t="n"/>
      <c r="D494" s="360">
        <f>D490+D492</f>
        <v/>
      </c>
    </row>
    <row r="495">
      <c r="A495" s="182" t="n"/>
      <c r="B495" s="183" t="n"/>
      <c r="C495" s="184" t="n"/>
      <c r="D495" s="183" t="n"/>
    </row>
    <row r="496">
      <c r="A496" s="190" t="n"/>
      <c r="B496" s="185" t="n"/>
      <c r="C496" s="186" t="n"/>
      <c r="D496" s="187" t="n"/>
    </row>
    <row r="497" ht="21" customHeight="1">
      <c r="A497" s="272">
        <f>CONCATENATE("COSTS WORK PACKAGE 13:"," ","D&amp;C&amp;E")</f>
        <v/>
      </c>
      <c r="B497" s="314" t="n"/>
      <c r="C497" s="314" t="n"/>
      <c r="D497" s="315" t="n"/>
    </row>
    <row r="498">
      <c r="A498" s="182" t="n"/>
      <c r="B498" s="191" t="n"/>
      <c r="C498" s="192" t="n"/>
      <c r="D498" s="191" t="n"/>
    </row>
    <row r="499">
      <c r="A499" s="29" t="inlineStr">
        <is>
          <t>A. DIRECT PERSONNEL COSTS</t>
        </is>
      </c>
      <c r="B499" s="30" t="n"/>
      <c r="C499" s="110" t="n"/>
      <c r="D499" s="354" t="n"/>
    </row>
    <row r="500">
      <c r="A500" s="28" t="inlineStr">
        <is>
          <t>A.1 Employees (or equivalent)</t>
        </is>
      </c>
      <c r="B500" s="89" t="n"/>
      <c r="C500" s="111" t="n"/>
      <c r="D500" s="355" t="n"/>
    </row>
    <row r="501">
      <c r="A501" s="48" t="inlineStr">
        <is>
          <t>SENIOR SCIENTISTS (or equivalent in the private sector)</t>
        </is>
      </c>
      <c r="B501" s="357" t="n"/>
      <c r="C501" s="248" t="n"/>
      <c r="D501" s="232">
        <f>B501*C501</f>
        <v/>
      </c>
    </row>
    <row r="502">
      <c r="A502" s="48" t="inlineStr">
        <is>
          <t>JUNIOR SCIENTISTS (or equivalent in the private sector)</t>
        </is>
      </c>
      <c r="B502" s="357" t="n"/>
      <c r="C502" s="248" t="n"/>
      <c r="D502" s="232">
        <f>B502*C502</f>
        <v/>
      </c>
    </row>
    <row r="503">
      <c r="A503" s="48" t="inlineStr">
        <is>
          <t>TECHNICAL PERSONNEL (or equivalent in the private sector)</t>
        </is>
      </c>
      <c r="B503" s="357" t="n"/>
      <c r="C503" s="248" t="n"/>
      <c r="D503" s="232">
        <f>B503*C503</f>
        <v/>
      </c>
    </row>
    <row r="504">
      <c r="A504" s="48" t="inlineStr">
        <is>
          <t>ADMINISTRATIVE PERSONNEL (or equivalent in the private sector)</t>
        </is>
      </c>
      <c r="B504" s="357" t="n"/>
      <c r="C504" s="248" t="n"/>
      <c r="D504" s="232">
        <f>B504*C504</f>
        <v/>
      </c>
    </row>
    <row r="505">
      <c r="A505" s="48" t="inlineStr">
        <is>
          <t>OTHERS</t>
        </is>
      </c>
      <c r="B505" s="357" t="n"/>
      <c r="C505" s="248" t="n"/>
      <c r="D505" s="232">
        <f>B505*C505</f>
        <v/>
      </c>
    </row>
    <row r="506">
      <c r="A506" s="28" t="inlineStr">
        <is>
          <t>A.2 Natural Persons under direct contract</t>
        </is>
      </c>
      <c r="B506" s="357" t="n"/>
      <c r="C506" s="248" t="n"/>
      <c r="D506" s="232">
        <f>B506*C506</f>
        <v/>
      </c>
    </row>
    <row r="507">
      <c r="A507" s="28" t="inlineStr">
        <is>
          <t>A.3 Seconded Persons</t>
        </is>
      </c>
      <c r="B507" s="357" t="n"/>
      <c r="C507" s="248" t="n"/>
      <c r="D507" s="232">
        <f>B507*C507</f>
        <v/>
      </c>
    </row>
    <row r="508">
      <c r="A508" s="28" t="inlineStr">
        <is>
          <t>A.4 SME owners and natural person beneficiaries</t>
        </is>
      </c>
      <c r="B508" s="357" t="n"/>
      <c r="C508" s="256" t="n">
        <v>8360.6024</v>
      </c>
      <c r="D508" s="232">
        <f>B508*C508</f>
        <v/>
      </c>
    </row>
    <row r="509">
      <c r="A509" s="29" t="inlineStr">
        <is>
          <t>B. DIRECT SUBCONTRACTING COSTS</t>
        </is>
      </c>
      <c r="B509" s="358" t="n"/>
      <c r="C509" s="110" t="n"/>
      <c r="D509" s="359" t="n"/>
    </row>
    <row r="510">
      <c r="A510" s="53" t="n"/>
      <c r="B510" s="357" t="n"/>
      <c r="C510" s="248" t="n"/>
      <c r="D510" s="361">
        <f>B510*C510</f>
        <v/>
      </c>
    </row>
    <row r="511">
      <c r="A511" s="29" t="inlineStr">
        <is>
          <t>C. DIRECT PURCHASE COSTS</t>
        </is>
      </c>
      <c r="B511" s="358" t="n"/>
      <c r="C511" s="110" t="n"/>
      <c r="D511" s="359" t="n"/>
    </row>
    <row r="512">
      <c r="A512" s="28" t="inlineStr">
        <is>
          <t>C.1 Travel and subsistence</t>
        </is>
      </c>
      <c r="B512" s="357" t="n"/>
      <c r="C512" s="248" t="n"/>
      <c r="D512" s="361">
        <f>B512*C512</f>
        <v/>
      </c>
    </row>
    <row r="513">
      <c r="A513" s="28" t="inlineStr">
        <is>
          <t>C.2 Equipment (complete 'Depreciation costs' sheet)</t>
        </is>
      </c>
      <c r="B513" s="346" t="n"/>
      <c r="C513" s="111" t="n"/>
      <c r="D513" s="364" t="n"/>
    </row>
    <row r="514">
      <c r="A514" s="49" t="inlineStr">
        <is>
          <t>Equipment</t>
        </is>
      </c>
      <c r="B514" s="357" t="n"/>
      <c r="C514" s="248" t="n"/>
      <c r="D514" s="361">
        <f>B514*C514</f>
        <v/>
      </c>
    </row>
    <row r="515">
      <c r="A515" s="49" t="inlineStr">
        <is>
          <t>Infrastructure</t>
        </is>
      </c>
      <c r="B515" s="357" t="n"/>
      <c r="C515" s="248" t="n"/>
      <c r="D515" s="361">
        <f>B515*C515</f>
        <v/>
      </c>
    </row>
    <row r="516">
      <c r="A516" s="49" t="inlineStr">
        <is>
          <t>Other assets</t>
        </is>
      </c>
      <c r="B516" s="357" t="n"/>
      <c r="C516" s="248" t="n"/>
      <c r="D516" s="361">
        <f>B516*C516</f>
        <v/>
      </c>
    </row>
    <row r="517">
      <c r="A517" s="28" t="inlineStr">
        <is>
          <t>C.3 Other goods, works and services</t>
        </is>
      </c>
      <c r="B517" s="346" t="n"/>
      <c r="C517" s="111" t="n"/>
      <c r="D517" s="364" t="n"/>
    </row>
    <row r="518">
      <c r="A518" s="49" t="inlineStr">
        <is>
          <t>Consumables</t>
        </is>
      </c>
      <c r="B518" s="357" t="n"/>
      <c r="C518" s="248" t="n"/>
      <c r="D518" s="361">
        <f>B518*C518</f>
        <v/>
      </c>
    </row>
    <row r="519">
      <c r="A519" s="49" t="inlineStr">
        <is>
          <t>Services for meetings, seminars</t>
        </is>
      </c>
      <c r="B519" s="357" t="n"/>
      <c r="C519" s="248" t="n"/>
      <c r="D519" s="361">
        <f>B519*C519</f>
        <v/>
      </c>
    </row>
    <row r="520">
      <c r="A520" s="49" t="inlineStr">
        <is>
          <t>Services for dissemination activities (including website)</t>
        </is>
      </c>
      <c r="B520" s="357" t="n"/>
      <c r="C520" s="248" t="n"/>
      <c r="D520" s="361">
        <f>B520*C520</f>
        <v/>
      </c>
    </row>
    <row r="521">
      <c r="A521" s="49" t="inlineStr">
        <is>
          <t>Publication fees</t>
        </is>
      </c>
      <c r="B521" s="357" t="n"/>
      <c r="C521" s="248" t="n"/>
      <c r="D521" s="361">
        <f>B521*C521</f>
        <v/>
      </c>
    </row>
    <row r="522">
      <c r="A522" s="49" t="inlineStr">
        <is>
          <t>Other (shipment, insurance, translation, etc.)</t>
        </is>
      </c>
      <c r="B522" s="357" t="n"/>
      <c r="C522" s="248" t="n"/>
      <c r="D522" s="361">
        <f>B522*C522</f>
        <v/>
      </c>
    </row>
    <row r="523">
      <c r="A523" s="29" t="inlineStr">
        <is>
          <t>D. OTHER COST CATEGORIES</t>
        </is>
      </c>
      <c r="B523" s="358" t="n"/>
      <c r="C523" s="110" t="n"/>
      <c r="D523" s="359" t="n"/>
    </row>
    <row r="524">
      <c r="A524" s="50" t="inlineStr">
        <is>
          <t>D.1 Financial support to third parties (if applicable in the topic specific conditions)</t>
        </is>
      </c>
      <c r="B524" s="357" t="n"/>
      <c r="C524" s="248" t="n"/>
      <c r="D524" s="361">
        <f>B524*C524</f>
        <v/>
      </c>
    </row>
    <row r="525">
      <c r="A525" s="50" t="inlineStr">
        <is>
          <t>D.2 Internally invoiced goods and services</t>
        </is>
      </c>
      <c r="B525" s="357" t="n"/>
      <c r="C525" s="248" t="n"/>
      <c r="D525" s="361">
        <f>B525*C525</f>
        <v/>
      </c>
    </row>
    <row r="526">
      <c r="A526" s="50" t="inlineStr">
        <is>
          <t>D.3 Transnational access to research infrastructure unit costs (if mentioned as eligible in the topic specific conditions)</t>
        </is>
      </c>
      <c r="B526" s="357" t="n"/>
      <c r="C526" s="248" t="n"/>
      <c r="D526" s="361">
        <f>B526*C526</f>
        <v/>
      </c>
    </row>
    <row r="527">
      <c r="A527" s="50" t="inlineStr">
        <is>
          <t>D.4 Virtual access to research infrastructure unit costs (if mentioned as eligible in the topic specific conditions)</t>
        </is>
      </c>
      <c r="B527" s="357" t="n"/>
      <c r="C527" s="248" t="n"/>
      <c r="D527" s="361">
        <f>B527*C527</f>
        <v/>
      </c>
    </row>
    <row r="528">
      <c r="A528" s="50" t="inlineStr">
        <is>
          <t>D.5 PCP/PPI procurement costs (if mentioned as eligible in the topic specific conditions)</t>
        </is>
      </c>
      <c r="B528" s="357" t="n"/>
      <c r="C528" s="248" t="n"/>
      <c r="D528" s="361">
        <f>B528*C528</f>
        <v/>
      </c>
    </row>
    <row r="529">
      <c r="A529" s="50" t="n"/>
      <c r="B529" s="346" t="n"/>
      <c r="C529" s="111" t="n"/>
      <c r="D529" s="365" t="n"/>
    </row>
    <row r="530">
      <c r="A530" s="52" t="inlineStr">
        <is>
          <t>TOTAL DIRECT PERSONNEL COSTS AND PURCHASE COSTS (A+C)</t>
        </is>
      </c>
      <c r="B530" s="369" t="n"/>
      <c r="C530" s="230" t="n"/>
      <c r="D530" s="360">
        <f>SUM(D501:D508,D512:D522)</f>
        <v/>
      </c>
    </row>
    <row r="531">
      <c r="A531" s="52" t="inlineStr">
        <is>
          <t>TOTAL DIRECT COSTS  (A+B+C+D)</t>
        </is>
      </c>
      <c r="B531" s="369" t="n"/>
      <c r="C531" s="230" t="n"/>
      <c r="D531" s="360">
        <f>SUM(D501:D528)</f>
        <v/>
      </c>
    </row>
    <row r="532">
      <c r="A532" s="180" t="n"/>
      <c r="B532" s="372" t="n"/>
      <c r="C532" s="176" t="n"/>
      <c r="D532" s="373" t="n"/>
    </row>
    <row r="533">
      <c r="A533" s="29" t="inlineStr">
        <is>
          <t>E. INDIRECT COSTS (25% * (A+C))</t>
        </is>
      </c>
      <c r="B533" s="358" t="n"/>
      <c r="C533" s="110" t="n"/>
      <c r="D533" s="360">
        <f>D530*0.25</f>
        <v/>
      </c>
    </row>
    <row r="534">
      <c r="A534" s="32" t="n"/>
      <c r="B534" s="372" t="n"/>
      <c r="C534" s="176" t="n"/>
      <c r="D534" s="377" t="n"/>
    </row>
    <row r="535">
      <c r="A535" s="29" t="inlineStr">
        <is>
          <t>F. TOTAL COSTS (A+B+C+D+E)</t>
        </is>
      </c>
      <c r="B535" s="369" t="n"/>
      <c r="C535" s="230" t="n"/>
      <c r="D535" s="360">
        <f>D531+D533</f>
        <v/>
      </c>
    </row>
    <row r="536">
      <c r="A536" s="182" t="n"/>
      <c r="B536" s="183" t="n"/>
      <c r="C536" s="184" t="n"/>
      <c r="D536" s="183" t="n"/>
    </row>
    <row r="537">
      <c r="A537" s="190" t="n"/>
      <c r="B537" s="185" t="n"/>
      <c r="C537" s="186" t="n"/>
      <c r="D537" s="187" t="n"/>
    </row>
    <row r="538" ht="21" customHeight="1">
      <c r="A538" s="272">
        <f>CONCATENATE("COSTS WORK PACKAGE 14:"," ","D&amp;C&amp;E")</f>
        <v/>
      </c>
      <c r="B538" s="314" t="n"/>
      <c r="C538" s="314" t="n"/>
      <c r="D538" s="315" t="n"/>
    </row>
    <row r="539">
      <c r="A539" s="182" t="n"/>
      <c r="B539" s="191" t="n"/>
      <c r="C539" s="192" t="n"/>
      <c r="D539" s="191" t="n"/>
    </row>
    <row r="540">
      <c r="A540" s="29" t="inlineStr">
        <is>
          <t>A. DIRECT PERSONNEL COSTS</t>
        </is>
      </c>
      <c r="B540" s="30" t="n"/>
      <c r="C540" s="110" t="n"/>
      <c r="D540" s="354" t="n"/>
    </row>
    <row r="541">
      <c r="A541" s="28" t="inlineStr">
        <is>
          <t>A.1 Employees (or equivalent)</t>
        </is>
      </c>
      <c r="B541" s="89" t="n"/>
      <c r="C541" s="111" t="n"/>
      <c r="D541" s="355" t="n"/>
    </row>
    <row r="542">
      <c r="A542" s="48" t="inlineStr">
        <is>
          <t>SENIOR SCIENTISTS (or equivalent in the private sector)</t>
        </is>
      </c>
      <c r="B542" s="357" t="n"/>
      <c r="C542" s="248" t="n"/>
      <c r="D542" s="232">
        <f>B542*C542</f>
        <v/>
      </c>
    </row>
    <row r="543">
      <c r="A543" s="48" t="inlineStr">
        <is>
          <t>JUNIOR SCIENTISTS (or equivalent in the private sector)</t>
        </is>
      </c>
      <c r="B543" s="357" t="n"/>
      <c r="C543" s="248" t="n"/>
      <c r="D543" s="232">
        <f>B543*C543</f>
        <v/>
      </c>
    </row>
    <row r="544">
      <c r="A544" s="48" t="inlineStr">
        <is>
          <t>TECHNICAL PERSONNEL (or equivalent in the private sector)</t>
        </is>
      </c>
      <c r="B544" s="357" t="n"/>
      <c r="C544" s="248" t="n"/>
      <c r="D544" s="232">
        <f>B544*C544</f>
        <v/>
      </c>
    </row>
    <row r="545">
      <c r="A545" s="48" t="inlineStr">
        <is>
          <t>ADMINISTRATIVE PERSONNEL (or equivalent in the private sector)</t>
        </is>
      </c>
      <c r="B545" s="357" t="n"/>
      <c r="C545" s="248" t="n"/>
      <c r="D545" s="232">
        <f>B545*C545</f>
        <v/>
      </c>
    </row>
    <row r="546">
      <c r="A546" s="48" t="inlineStr">
        <is>
          <t>OTHERS</t>
        </is>
      </c>
      <c r="B546" s="357" t="n"/>
      <c r="C546" s="248" t="n"/>
      <c r="D546" s="232">
        <f>B546*C546</f>
        <v/>
      </c>
    </row>
    <row r="547">
      <c r="A547" s="28" t="inlineStr">
        <is>
          <t>A.2 Natural Persons under direct contract</t>
        </is>
      </c>
      <c r="B547" s="357" t="n"/>
      <c r="C547" s="248" t="n"/>
      <c r="D547" s="232">
        <f>B547*C547</f>
        <v/>
      </c>
    </row>
    <row r="548">
      <c r="A548" s="28" t="inlineStr">
        <is>
          <t>A.3 Seconded Persons</t>
        </is>
      </c>
      <c r="B548" s="357" t="n"/>
      <c r="C548" s="248" t="n"/>
      <c r="D548" s="232">
        <f>B548*C548</f>
        <v/>
      </c>
    </row>
    <row r="549">
      <c r="A549" s="28" t="inlineStr">
        <is>
          <t>A.4 SME owners and natural person beneficiaries</t>
        </is>
      </c>
      <c r="B549" s="357" t="n"/>
      <c r="C549" s="256" t="n">
        <v>8360.6024</v>
      </c>
      <c r="D549" s="232">
        <f>B549*C549</f>
        <v/>
      </c>
    </row>
    <row r="550">
      <c r="A550" s="29" t="inlineStr">
        <is>
          <t>B. DIRECT SUBCONTRACTING COSTS</t>
        </is>
      </c>
      <c r="B550" s="358" t="n"/>
      <c r="C550" s="110" t="n"/>
      <c r="D550" s="359" t="n"/>
    </row>
    <row r="551">
      <c r="A551" s="53" t="n"/>
      <c r="B551" s="357" t="n"/>
      <c r="C551" s="248" t="n"/>
      <c r="D551" s="361">
        <f>B551*C551</f>
        <v/>
      </c>
    </row>
    <row r="552">
      <c r="A552" s="29" t="inlineStr">
        <is>
          <t>C. DIRECT PURCHASE COSTS</t>
        </is>
      </c>
      <c r="B552" s="358" t="n"/>
      <c r="C552" s="110" t="n"/>
      <c r="D552" s="359" t="n"/>
    </row>
    <row r="553">
      <c r="A553" s="28" t="inlineStr">
        <is>
          <t>C.1 Travel and subsistence</t>
        </is>
      </c>
      <c r="B553" s="357" t="n"/>
      <c r="C553" s="248" t="n"/>
      <c r="D553" s="361">
        <f>B553*C553</f>
        <v/>
      </c>
    </row>
    <row r="554">
      <c r="A554" s="28" t="inlineStr">
        <is>
          <t>C.2 Equipment (complete 'Depreciation costs' sheet)</t>
        </is>
      </c>
      <c r="B554" s="346" t="n"/>
      <c r="C554" s="111" t="n"/>
      <c r="D554" s="364" t="n"/>
    </row>
    <row r="555">
      <c r="A555" s="49" t="inlineStr">
        <is>
          <t>Equipment</t>
        </is>
      </c>
      <c r="B555" s="357" t="n"/>
      <c r="C555" s="248" t="n"/>
      <c r="D555" s="361">
        <f>B555*C555</f>
        <v/>
      </c>
    </row>
    <row r="556">
      <c r="A556" s="49" t="inlineStr">
        <is>
          <t>Infrastructure</t>
        </is>
      </c>
      <c r="B556" s="357" t="n"/>
      <c r="C556" s="248" t="n"/>
      <c r="D556" s="361">
        <f>B556*C556</f>
        <v/>
      </c>
    </row>
    <row r="557">
      <c r="A557" s="49" t="inlineStr">
        <is>
          <t>Other assets</t>
        </is>
      </c>
      <c r="B557" s="357" t="n"/>
      <c r="C557" s="248" t="n"/>
      <c r="D557" s="361">
        <f>B557*C557</f>
        <v/>
      </c>
    </row>
    <row r="558">
      <c r="A558" s="28" t="inlineStr">
        <is>
          <t>C.3 Other goods, works and services</t>
        </is>
      </c>
      <c r="B558" s="346" t="n"/>
      <c r="C558" s="111" t="n"/>
      <c r="D558" s="364" t="n"/>
    </row>
    <row r="559">
      <c r="A559" s="49" t="inlineStr">
        <is>
          <t>Consumables</t>
        </is>
      </c>
      <c r="B559" s="357" t="n"/>
      <c r="C559" s="248" t="n"/>
      <c r="D559" s="361">
        <f>B559*C559</f>
        <v/>
      </c>
    </row>
    <row r="560">
      <c r="A560" s="49" t="inlineStr">
        <is>
          <t>Services for meetings, seminars</t>
        </is>
      </c>
      <c r="B560" s="357" t="n"/>
      <c r="C560" s="248" t="n"/>
      <c r="D560" s="361">
        <f>B560*C560</f>
        <v/>
      </c>
    </row>
    <row r="561">
      <c r="A561" s="49" t="inlineStr">
        <is>
          <t>Services for dissemination activities (including website)</t>
        </is>
      </c>
      <c r="B561" s="357" t="n"/>
      <c r="C561" s="248" t="n"/>
      <c r="D561" s="361">
        <f>B561*C561</f>
        <v/>
      </c>
    </row>
    <row r="562">
      <c r="A562" s="49" t="inlineStr">
        <is>
          <t>Publication fees</t>
        </is>
      </c>
      <c r="B562" s="357" t="n"/>
      <c r="C562" s="248" t="n"/>
      <c r="D562" s="361">
        <f>B562*C562</f>
        <v/>
      </c>
    </row>
    <row r="563">
      <c r="A563" s="49" t="inlineStr">
        <is>
          <t>Other (shipment, insurance, translation, etc.)</t>
        </is>
      </c>
      <c r="B563" s="357" t="n"/>
      <c r="C563" s="248" t="n"/>
      <c r="D563" s="361">
        <f>B563*C563</f>
        <v/>
      </c>
    </row>
    <row r="564">
      <c r="A564" s="29" t="inlineStr">
        <is>
          <t>D. OTHER COST CATEGORIES</t>
        </is>
      </c>
      <c r="B564" s="358" t="n"/>
      <c r="C564" s="110" t="n"/>
      <c r="D564" s="359" t="n"/>
    </row>
    <row r="565">
      <c r="A565" s="50" t="inlineStr">
        <is>
          <t>D.1 Financial support to third parties (if applicable in the topic specific conditions)</t>
        </is>
      </c>
      <c r="B565" s="357" t="n"/>
      <c r="C565" s="248" t="n"/>
      <c r="D565" s="361">
        <f>B565*C565</f>
        <v/>
      </c>
    </row>
    <row r="566">
      <c r="A566" s="50" t="inlineStr">
        <is>
          <t>D.2 Internally invoiced goods and services</t>
        </is>
      </c>
      <c r="B566" s="357" t="n"/>
      <c r="C566" s="248" t="n"/>
      <c r="D566" s="361">
        <f>B566*C566</f>
        <v/>
      </c>
    </row>
    <row r="567">
      <c r="A567" s="50" t="inlineStr">
        <is>
          <t>D.3 Transnational access to research infrastructure unit costs (if mentioned as eligible in the topic specific conditions)</t>
        </is>
      </c>
      <c r="B567" s="357" t="n"/>
      <c r="C567" s="248" t="n"/>
      <c r="D567" s="361">
        <f>B567*C567</f>
        <v/>
      </c>
    </row>
    <row r="568">
      <c r="A568" s="50" t="inlineStr">
        <is>
          <t>D.4 Virtual access to research infrastructure unit costs (if mentioned as eligible in the topic specific conditions)</t>
        </is>
      </c>
      <c r="B568" s="357" t="n"/>
      <c r="C568" s="248" t="n"/>
      <c r="D568" s="361">
        <f>B568*C568</f>
        <v/>
      </c>
    </row>
    <row r="569">
      <c r="A569" s="50" t="inlineStr">
        <is>
          <t>D.5 PCP/PPI procurement costs (if mentioned as eligible in the topic specific conditions)</t>
        </is>
      </c>
      <c r="B569" s="357" t="n"/>
      <c r="C569" s="248" t="n"/>
      <c r="D569" s="361">
        <f>B569*C569</f>
        <v/>
      </c>
    </row>
    <row r="570">
      <c r="A570" s="50" t="n"/>
      <c r="B570" s="346" t="n"/>
      <c r="C570" s="111" t="n"/>
      <c r="D570" s="365" t="n"/>
    </row>
    <row r="571">
      <c r="A571" s="52" t="inlineStr">
        <is>
          <t>TOTAL DIRECT PERSONNEL COSTS AND PURCHASE COSTS (A+C)</t>
        </is>
      </c>
      <c r="B571" s="369" t="n"/>
      <c r="C571" s="230" t="n"/>
      <c r="D571" s="360">
        <f>SUM(D542:D549,D553:D563)</f>
        <v/>
      </c>
    </row>
    <row r="572">
      <c r="A572" s="52" t="inlineStr">
        <is>
          <t>TOTAL DIRECT COSTS  (A+B+C+D)</t>
        </is>
      </c>
      <c r="B572" s="369" t="n"/>
      <c r="C572" s="230" t="n"/>
      <c r="D572" s="360">
        <f>SUM(D542:D569)</f>
        <v/>
      </c>
    </row>
    <row r="573">
      <c r="A573" s="180" t="n"/>
      <c r="B573" s="372" t="n"/>
      <c r="C573" s="176" t="n"/>
      <c r="D573" s="373" t="n"/>
    </row>
    <row r="574">
      <c r="A574" s="29" t="inlineStr">
        <is>
          <t>E. INDIRECT COSTS (25% * (A+C))</t>
        </is>
      </c>
      <c r="B574" s="358" t="n"/>
      <c r="C574" s="110" t="n"/>
      <c r="D574" s="360">
        <f>D571*0.25</f>
        <v/>
      </c>
    </row>
    <row r="575">
      <c r="A575" s="32" t="n"/>
      <c r="B575" s="372" t="n"/>
      <c r="C575" s="176" t="n"/>
      <c r="D575" s="377" t="n"/>
    </row>
    <row r="576">
      <c r="A576" s="29" t="inlineStr">
        <is>
          <t>F. TOTAL COSTS (A+B+C+D+E)</t>
        </is>
      </c>
      <c r="B576" s="369" t="n"/>
      <c r="C576" s="230" t="n"/>
      <c r="D576" s="360">
        <f>D572+D574</f>
        <v/>
      </c>
    </row>
    <row r="578">
      <c r="A578" s="190" t="n"/>
      <c r="B578" s="185" t="n"/>
      <c r="C578" s="186" t="n"/>
      <c r="D578" s="187" t="n"/>
    </row>
    <row r="579" ht="21" customHeight="1">
      <c r="A579" s="272" t="inlineStr">
        <is>
          <t>SUMMARY</t>
        </is>
      </c>
      <c r="B579" s="314" t="n"/>
      <c r="C579" s="314" t="n"/>
      <c r="D579" s="315" t="n"/>
    </row>
    <row r="580">
      <c r="A580" s="56" t="n"/>
      <c r="B580" s="174" t="n"/>
      <c r="C580" s="175" t="n"/>
      <c r="D580" s="174" t="n"/>
    </row>
    <row r="581">
      <c r="A581" s="29" t="inlineStr">
        <is>
          <t>A. DIRECT PERSONNEL COSTS</t>
        </is>
      </c>
      <c r="B581" s="30" t="n"/>
      <c r="C581" s="110" t="n"/>
      <c r="D581" s="354" t="n"/>
    </row>
    <row r="582">
      <c r="A582" s="28" t="inlineStr">
        <is>
          <t>A.1 Employees (or equivalent)</t>
        </is>
      </c>
      <c r="B582" s="89" t="n"/>
      <c r="C582" s="111" t="n"/>
      <c r="D582" s="355" t="n"/>
    </row>
    <row r="583">
      <c r="A583" s="48" t="inlineStr">
        <is>
          <t>SENIOR SCIENTISTS (or equivalent in the private sector)</t>
        </is>
      </c>
      <c r="B583" s="378">
        <f>B9+B50+B91+B132+B173+B214+B255+B296+B337+B378+B419+B460+B501+B542</f>
        <v/>
      </c>
      <c r="C583" s="249">
        <f>IF(B583&gt;0,D583/B583," ")</f>
        <v/>
      </c>
      <c r="D583" s="361">
        <f>D9+D50+D91+D132+D173+D214+D255+D296+D337+D378+D419+D460+D501+D542</f>
        <v/>
      </c>
    </row>
    <row r="584">
      <c r="A584" s="48" t="inlineStr">
        <is>
          <t>JUNIOR SCIENTISTS (or equivalent in the private sector)</t>
        </is>
      </c>
      <c r="B584" s="378">
        <f>B10+B51+B92+B133+B174+B215+B256+B297+B338+B379+B420+B461+B502+B543</f>
        <v/>
      </c>
      <c r="C584" s="249">
        <f>IF(B584&gt;0,D584/B584," ")</f>
        <v/>
      </c>
      <c r="D584" s="361">
        <f>D10+D51+D92+D133+D174+D215+D256+D297+D338+D379+D420+D461+D502+D543</f>
        <v/>
      </c>
    </row>
    <row r="585">
      <c r="A585" s="48" t="inlineStr">
        <is>
          <t>TECHNICAL PERSONNEL (or equivalent in the private sector)</t>
        </is>
      </c>
      <c r="B585" s="378">
        <f>B11+B52+B93+B134+B175+B216+B257+B298+B339+B380+B421+B462+B503+B544</f>
        <v/>
      </c>
      <c r="C585" s="249">
        <f>IF(B585&gt;0,D585/B585," ")</f>
        <v/>
      </c>
      <c r="D585" s="361">
        <f>D11+D52+D93+D134+D175+D216+D257+D298+D339+D380+D421+D462+D503+D544</f>
        <v/>
      </c>
    </row>
    <row r="586">
      <c r="A586" s="48" t="inlineStr">
        <is>
          <t>ADMINISTRATIVE PERSONNEL (or equivalent in the private sector)</t>
        </is>
      </c>
      <c r="B586" s="378">
        <f>B12+B53+B94+B135+B176+B217+B258+B299+B340+B381+B422+B463+B504+B545</f>
        <v/>
      </c>
      <c r="C586" s="249">
        <f>IF(B586&gt;0,D586/B586," ")</f>
        <v/>
      </c>
      <c r="D586" s="361">
        <f>D12+D53+D94+D135+D176+D217+D258+D299+D340+D381+D422+D463+D504+D545</f>
        <v/>
      </c>
    </row>
    <row r="587">
      <c r="A587" s="48" t="inlineStr">
        <is>
          <t>OTHERS</t>
        </is>
      </c>
      <c r="B587" s="378">
        <f>B13+B54+B95+B136+B177+B218+B259+B300+B341+B382+B423+B464+B505+B546</f>
        <v/>
      </c>
      <c r="C587" s="249">
        <f>IF(B587&gt;0,D587/B587," ")</f>
        <v/>
      </c>
      <c r="D587" s="361">
        <f>D13+D54+D95+D136+D177+D218+D259+D300+D341+D382+D423+D464+D505+D546</f>
        <v/>
      </c>
    </row>
    <row r="588">
      <c r="A588" s="28" t="inlineStr">
        <is>
          <t>A.2 Natural Persons under direct contract</t>
        </is>
      </c>
      <c r="B588" s="378">
        <f>B14+B55+B96+B137+B178+B219+B260+B301+B342+B383+B424+B465+B506+B547</f>
        <v/>
      </c>
      <c r="C588" s="249">
        <f>IF(B588&gt;0,D588/B588," ")</f>
        <v/>
      </c>
      <c r="D588" s="361">
        <f>D14+D55+D96+D137+D178+D219+D260+D301+D342+D383+D424+D465+D506+D547</f>
        <v/>
      </c>
    </row>
    <row r="589">
      <c r="A589" s="28" t="inlineStr">
        <is>
          <t>A.3 Seconded Persons</t>
        </is>
      </c>
      <c r="B589" s="378">
        <f>B15+B56+B97+B138+B179+B220+B261+B302+B343+B384+B425+B466+B507+B548</f>
        <v/>
      </c>
      <c r="C589" s="249">
        <f>IF(B589&gt;0,D589/B589," ")</f>
        <v/>
      </c>
      <c r="D589" s="361">
        <f>D15+D56+D97+D138+D179+D220+D261+D302+D343+D384+D425+D466+D507+D548</f>
        <v/>
      </c>
    </row>
    <row r="590">
      <c r="A590" s="28" t="inlineStr">
        <is>
          <t>A.4 SME owners and natural person beneficiaries</t>
        </is>
      </c>
      <c r="B590" s="378">
        <f>B16+B57+B98+B139+B180+B221+B262+B303+B344+B385+B426+B467+B508+B549</f>
        <v/>
      </c>
      <c r="C590" s="249">
        <f>IF(B590&gt;0,D590/B590," ")</f>
        <v/>
      </c>
      <c r="D590" s="361">
        <f>D16+D57+D98+D139+D180+D221+D262+D303+D344+D385+D426+D467+D508+D549</f>
        <v/>
      </c>
    </row>
    <row r="591">
      <c r="A591" s="29" t="inlineStr">
        <is>
          <t>B. DIRECT SUBCONTRACTING COSTS</t>
        </is>
      </c>
      <c r="B591" s="380" t="n"/>
      <c r="C591" s="250" t="n"/>
      <c r="D591" s="359" t="n"/>
    </row>
    <row r="592">
      <c r="A592" s="28" t="n"/>
      <c r="B592" s="378">
        <f>B18+B59+B100+B141+B182+B223+B264+B305+B346+B387+B428+B469+B510+B551</f>
        <v/>
      </c>
      <c r="C592" s="249">
        <f>IF(B592&gt;0,D592/B592," ")</f>
        <v/>
      </c>
      <c r="D592" s="361">
        <f>D18+D59+D100+D141+D182+D223+D264+D305+D346+D387+D428+D469+D510+D551</f>
        <v/>
      </c>
    </row>
    <row r="593">
      <c r="A593" s="29" t="inlineStr">
        <is>
          <t>C. DIRECT PURCHASE COSTS</t>
        </is>
      </c>
      <c r="B593" s="380" t="n"/>
      <c r="C593" s="250" t="n"/>
      <c r="D593" s="359" t="n"/>
    </row>
    <row r="594">
      <c r="A594" s="28" t="inlineStr">
        <is>
          <t>C.1 Travel and subsistence</t>
        </is>
      </c>
      <c r="B594" s="378">
        <f>B20+B61+B102+B143+B184+B225+B266+B307+B348+B389+B430+B471+B512+B553</f>
        <v/>
      </c>
      <c r="C594" s="249">
        <f>IF(B594&gt;0,D594/B594," ")</f>
        <v/>
      </c>
      <c r="D594" s="361">
        <f>D20+D61+D102+D143+D184+D225+D266+D307+D348+D389+D430+D471+D512+D553</f>
        <v/>
      </c>
    </row>
    <row r="595">
      <c r="A595" s="28" t="inlineStr">
        <is>
          <t>C.2 Equipment (complete 'Depreciation costs' sheet)</t>
        </is>
      </c>
      <c r="B595" s="381" t="n"/>
      <c r="C595" s="251" t="n"/>
      <c r="D595" s="364" t="n"/>
    </row>
    <row r="596">
      <c r="A596" s="49" t="inlineStr">
        <is>
          <t>Equipment</t>
        </is>
      </c>
      <c r="B596" s="378">
        <f>B22+B63+B104+B145+B186+B227+B268+B309+B350+B391+B432+B473+B514+B555</f>
        <v/>
      </c>
      <c r="C596" s="249">
        <f>IF(B596&gt;0,D596/B596," ")</f>
        <v/>
      </c>
      <c r="D596" s="361">
        <f>D22+D63+D104+D145+D186+D227+D268+D309+D350+D391+D432+D473+D514+D555</f>
        <v/>
      </c>
    </row>
    <row r="597">
      <c r="A597" s="49" t="inlineStr">
        <is>
          <t>Infrastructure</t>
        </is>
      </c>
      <c r="B597" s="378">
        <f>B23+B64+B105+B146+B187+B228+B269+B310+B351+B392+B433+B474+B515+B556</f>
        <v/>
      </c>
      <c r="C597" s="249">
        <f>IF(B597&gt;0,D597/B597," ")</f>
        <v/>
      </c>
      <c r="D597" s="361">
        <f>D23+D64+D105+D146+D187+D228+D269+D310+D351+D392+D433+D474+D515+D556</f>
        <v/>
      </c>
    </row>
    <row r="598">
      <c r="A598" s="49" t="inlineStr">
        <is>
          <t>Other assets</t>
        </is>
      </c>
      <c r="B598" s="378">
        <f>B24+B65+B106+B147+B188+B229+B270+B311+B352+B393+B434+B475+B516+B557</f>
        <v/>
      </c>
      <c r="C598" s="249">
        <f>IF(B598&gt;0,D598/B598," ")</f>
        <v/>
      </c>
      <c r="D598" s="361">
        <f>D24+D65+D106+D147+D188+D229+D270+D311+D352+D393+D434+D475+D516+D557</f>
        <v/>
      </c>
    </row>
    <row r="599">
      <c r="A599" s="28" t="inlineStr">
        <is>
          <t>C.3 Other goods, works and services</t>
        </is>
      </c>
      <c r="B599" s="381" t="n"/>
      <c r="C599" s="251" t="n"/>
      <c r="D599" s="364" t="n"/>
    </row>
    <row r="600">
      <c r="A600" s="49" t="inlineStr">
        <is>
          <t>Consumables</t>
        </is>
      </c>
      <c r="B600" s="378">
        <f>B26+B67+B108+B149+B190+B231+B272+B313+B354+B395+B436+B477+B518+B559</f>
        <v/>
      </c>
      <c r="C600" s="249">
        <f>IF(B600&gt;0,D600/B600," ")</f>
        <v/>
      </c>
      <c r="D600" s="361">
        <f>D26+D67+D108+D149+D190+D231+D272+D313+D354+D395+D436+D477+D518+D559</f>
        <v/>
      </c>
    </row>
    <row r="601">
      <c r="A601" s="49" t="inlineStr">
        <is>
          <t>Services for meetings, seminars</t>
        </is>
      </c>
      <c r="B601" s="378">
        <f>B27+B68+B109+B150+B191+B232+B273+B314+B355+B396+B437+B478+B519+B560</f>
        <v/>
      </c>
      <c r="C601" s="249">
        <f>IF(B601&gt;0,D601/B601," ")</f>
        <v/>
      </c>
      <c r="D601" s="361">
        <f>D27+D68+D109+D150+D191+D232+D273+D314+D355+D396+D437+D478+D519+D560</f>
        <v/>
      </c>
    </row>
    <row r="602">
      <c r="A602" s="49" t="inlineStr">
        <is>
          <t>Services for dissemination activities (including website)</t>
        </is>
      </c>
      <c r="B602" s="378">
        <f>B28+B69+B110+B151+B192+B233+B274+B315+B356+B397+B438+B479+B520+B561</f>
        <v/>
      </c>
      <c r="C602" s="249">
        <f>IF(B602&gt;0,D602/B602," ")</f>
        <v/>
      </c>
      <c r="D602" s="361">
        <f>D28+D69+D110+D151+D192+D233+D274+D315+D356+D397+D438+D479+D520+D561</f>
        <v/>
      </c>
    </row>
    <row r="603">
      <c r="A603" s="49" t="inlineStr">
        <is>
          <t>Publication fees</t>
        </is>
      </c>
      <c r="B603" s="378">
        <f>B29+B70+B111+B152+B193+B234+B275+B316+B357+B398+B439+B480+B521+B562</f>
        <v/>
      </c>
      <c r="C603" s="249">
        <f>IF(B603&gt;0,D603/B603," ")</f>
        <v/>
      </c>
      <c r="D603" s="361">
        <f>D29+D70+D111+D152+D193+D234+D275+D316+D357+D398+D439+D480+D521+D562</f>
        <v/>
      </c>
    </row>
    <row r="604">
      <c r="A604" s="49" t="inlineStr">
        <is>
          <t>Other (shipment, insurance, translation, etc.)</t>
        </is>
      </c>
      <c r="B604" s="378">
        <f>B30+B71+B112+B153+B194+B235+B276+B317+B358+B399+B440+B481+B522+B563</f>
        <v/>
      </c>
      <c r="C604" s="249">
        <f>IF(B604&gt;0,D604/B604," ")</f>
        <v/>
      </c>
      <c r="D604" s="361">
        <f>D30+D71+D112+D153+D194+D235+D276+D317+D358+D399+D440+D481+D522+D563</f>
        <v/>
      </c>
    </row>
    <row r="605">
      <c r="A605" s="29" t="inlineStr">
        <is>
          <t>D. OTHER COST CATEGORIES</t>
        </is>
      </c>
      <c r="B605" s="380" t="n"/>
      <c r="C605" s="250" t="n"/>
      <c r="D605" s="359" t="n"/>
    </row>
    <row r="606">
      <c r="A606" s="50" t="inlineStr">
        <is>
          <t>D.1 Financial support to third parties (if applicable in the topic specific conditions)</t>
        </is>
      </c>
      <c r="B606" s="378">
        <f>B32+B73+B114+B155+B196+B237+B278+B319+B360+B401+B442+B483+B524+B565</f>
        <v/>
      </c>
      <c r="C606" s="249">
        <f>IF(B606&gt;0,D606/B606," ")</f>
        <v/>
      </c>
      <c r="D606" s="361">
        <f>D32+D73+D114+D155+D196+D237+D278+D319+D360+D401+D442+D483+D524+D565</f>
        <v/>
      </c>
    </row>
    <row r="607">
      <c r="A607" s="50" t="inlineStr">
        <is>
          <t>D.2 Internally invoiced goods and services</t>
        </is>
      </c>
      <c r="B607" s="378">
        <f>B33+B74+B115+B156+B197+B238+B279+B320+B361+B402+B443+B484+B525+B566</f>
        <v/>
      </c>
      <c r="C607" s="249">
        <f>IF(B607&gt;0,D607/B607," ")</f>
        <v/>
      </c>
      <c r="D607" s="361">
        <f>D33+D74+D115+D156+D197+D238+D279+D320+D361+D402+D443+D484+D525+D566</f>
        <v/>
      </c>
    </row>
    <row r="608">
      <c r="A608" s="50" t="inlineStr">
        <is>
          <t>D.3 Transnational access to research infrastructure unit costs (if mentioned as eligible in the topic specific conditions)</t>
        </is>
      </c>
      <c r="B608" s="378">
        <f>B34+B75+B116+B157+B198+B239+B280+B321+B362+B403+B444+B485+B526+B567</f>
        <v/>
      </c>
      <c r="C608" s="249">
        <f>IF(B608&gt;0,D608/B608," ")</f>
        <v/>
      </c>
      <c r="D608" s="361">
        <f>D34+D75+D116+D157+D198+D239+D280+D321+D362+D403+D444+D485+D526+D567</f>
        <v/>
      </c>
    </row>
    <row r="609">
      <c r="A609" s="50" t="inlineStr">
        <is>
          <t>D.4 Virtual access to research infrastructure unit costs (if mentioned as eligible in the topic specific conditions)</t>
        </is>
      </c>
      <c r="B609" s="378">
        <f>B35+B76+B117+B158+B199+B240+B281+B322+B363+B404+B445+B486+B527+B568</f>
        <v/>
      </c>
      <c r="C609" s="249">
        <f>IF(B609&gt;0,D609/B609," ")</f>
        <v/>
      </c>
      <c r="D609" s="361">
        <f>D35+D76+D117+D158+D199+D240+D281+D322+D363+D404+D445+D486+D527+D568</f>
        <v/>
      </c>
    </row>
    <row r="610">
      <c r="A610" s="50" t="inlineStr">
        <is>
          <t>D.5 PCP/PPI procurement costs (if mentioned as eligible in the topic specific conditions)</t>
        </is>
      </c>
      <c r="B610" s="378">
        <f>B36+B77+B118+B159+B200+B241+B282+B323+B364+B405+B446+B487+B528+B569</f>
        <v/>
      </c>
      <c r="C610" s="249">
        <f>IF(B610&gt;0,D610/B610," ")</f>
        <v/>
      </c>
      <c r="D610" s="361">
        <f>D36+D77+D118+D159+D200+D241+D282+D323+D364+D405+D446+D487+D528+D569</f>
        <v/>
      </c>
    </row>
    <row r="611">
      <c r="A611" s="51" t="n"/>
      <c r="B611" s="346" t="n"/>
      <c r="C611" s="111" t="n"/>
      <c r="D611" s="365" t="n"/>
    </row>
    <row r="612">
      <c r="A612" s="52" t="inlineStr">
        <is>
          <t>TOTAL DIRECT PERSONNEL COSTS AND PURCHASE COSTS (A+C)</t>
        </is>
      </c>
      <c r="B612" s="369" t="n"/>
      <c r="C612" s="230" t="n"/>
      <c r="D612" s="382">
        <f>D38+D79+D120+D161+D202+D243+D284+D325+D366+D407+D448+D489+D530+D571</f>
        <v/>
      </c>
    </row>
    <row r="613">
      <c r="A613" s="52" t="inlineStr">
        <is>
          <t>TOTAL DIRECT COSTS  (A+B+C+D)</t>
        </is>
      </c>
      <c r="B613" s="369" t="n"/>
      <c r="C613" s="230" t="n"/>
      <c r="D613" s="382">
        <f>D39+D80+D121+D162+D203+D244+D285+D326+D367+D408+D449+D490+D531+D572</f>
        <v/>
      </c>
    </row>
    <row r="614">
      <c r="A614" s="182" t="n"/>
      <c r="B614" s="383" t="n"/>
      <c r="C614" s="192" t="n"/>
      <c r="D614" s="191" t="n"/>
    </row>
    <row r="615">
      <c r="A615" s="29" t="inlineStr">
        <is>
          <t>E. INDIRECT COSTS (25% * (A+C))</t>
        </is>
      </c>
      <c r="B615" s="369" t="n"/>
      <c r="C615" s="230" t="n"/>
      <c r="D615" s="382">
        <f>D41+D82+D123+D164+D205+D246+D287+D328+D369+D410+D451+D492+D533+D574</f>
        <v/>
      </c>
    </row>
    <row r="616">
      <c r="A616" s="182" t="n"/>
      <c r="B616" s="383" t="n"/>
      <c r="C616" s="192" t="n"/>
      <c r="D616" s="191" t="n"/>
    </row>
    <row r="617">
      <c r="A617" s="29" t="inlineStr">
        <is>
          <t>F. TOTAL COSTS (A+B+C+D+E)</t>
        </is>
      </c>
      <c r="B617" s="369" t="n"/>
      <c r="C617" s="230" t="n"/>
      <c r="D617" s="382">
        <f>D43+D84+D125+D166+D207+D248+D289+D330+D371+D412+D453+D494+D535+D576</f>
        <v/>
      </c>
    </row>
  </sheetData>
  <sheetProtection selectLockedCells="1" selectUnlockedCells="0" algorithmName="SHA-512" sheet="1" objects="1" insertRows="1" insertHyperlinks="1" autoFilter="1" scenarios="1" formatColumns="1" deleteColumns="1" insertColumns="1" pivotTables="1" deleteRows="1" formatCells="1" saltValue="G+Xc3aIVuiC7I708G0zyUQ==" formatRows="1" sort="1" spinCount="100000" hashValue="4hvJ23oBLisOzRwFGJWzEG+IuRsjpplMuasbkecg5VXQR3/YmC7YFO4GRd7a+L5rMFkS008CqoX9DmS0UKuYPw=="/>
  <mergeCells count="16">
    <mergeCell ref="A497:D497"/>
    <mergeCell ref="A5:D5"/>
    <mergeCell ref="A579:D579"/>
    <mergeCell ref="A456:D456"/>
    <mergeCell ref="A333:D333"/>
    <mergeCell ref="A210:D210"/>
    <mergeCell ref="A538:D538"/>
    <mergeCell ref="A87:D87"/>
    <mergeCell ref="A415:D415"/>
    <mergeCell ref="A251:D251"/>
    <mergeCell ref="B2:D2"/>
    <mergeCell ref="A128:D128"/>
    <mergeCell ref="A292:D292"/>
    <mergeCell ref="A169:D169"/>
    <mergeCell ref="A46:D46"/>
    <mergeCell ref="A374:D374"/>
  </mergeCells>
  <hyperlinks>
    <hyperlink ref="C1" location="A617" tooltip="Go to Summary section" display="A617"/>
  </hyperlinks>
  <pageMargins left="0.7" right="0.7" top="0.75" bottom="0.75" header="0.3" footer="0.3"/>
</worksheet>
</file>

<file path=xl/worksheets/sheet19.xml><?xml version="1.0" encoding="utf-8"?>
<worksheet xmlns="http://schemas.openxmlformats.org/spreadsheetml/2006/main">
  <sheetPr>
    <tabColor rgb="FFFF0000"/>
    <outlinePr summaryBelow="1" summaryRight="1"/>
    <pageSetUpPr/>
  </sheetPr>
  <dimension ref="A1:D617"/>
  <sheetViews>
    <sheetView zoomScale="80" zoomScaleNormal="80" workbookViewId="0">
      <pane xSplit="1" ySplit="3" topLeftCell="B512" activePane="bottomRight" state="frozenSplit"/>
      <selection pane="bottomRight" activeCell="A3" sqref="A3"/>
      <selection pane="bottomLeft" activeCell="A4" sqref="A4"/>
      <selection pane="topRight" activeCell="B1" sqref="B1"/>
    </sheetView>
  </sheetViews>
  <sheetFormatPr baseColWidth="8" defaultRowHeight="14.45"/>
  <cols>
    <col width="111.7109375" customWidth="1" min="1" max="1"/>
    <col width="15.28515625" customWidth="1" min="3" max="3"/>
    <col width="16.28515625" bestFit="1" customWidth="1" min="4" max="4"/>
  </cols>
  <sheetData>
    <row r="1" ht="24" customHeight="1" thickBot="1">
      <c r="A1" s="54" t="inlineStr">
        <is>
          <t>Beneficiary: BE8 - BUDGET SHEET</t>
        </is>
      </c>
      <c r="B1" s="33" t="n"/>
      <c r="C1" s="242" t="inlineStr">
        <is>
          <t>View Summary</t>
        </is>
      </c>
      <c r="D1" s="34" t="n"/>
    </row>
    <row r="2" ht="18.6" customHeight="1">
      <c r="A2" s="265" t="inlineStr">
        <is>
          <t>a95b86ad-8840-48e3-9273-4b875ba18f20</t>
        </is>
      </c>
      <c r="B2" s="273" t="inlineStr">
        <is>
          <t>PANGEANIC-B. I. EUROPA SLU</t>
        </is>
      </c>
      <c r="C2" s="314" t="n"/>
      <c r="D2" s="315" t="n"/>
    </row>
    <row r="3" ht="18.6" customHeight="1">
      <c r="A3" s="263"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272">
        <f>CONCATENATE("COSTS WORK PACKAGE 1:"," ","Project management and coordination")</f>
        <v/>
      </c>
      <c r="B5" s="314" t="n"/>
      <c r="C5" s="314" t="n"/>
      <c r="D5" s="315" t="n"/>
    </row>
    <row r="6">
      <c r="A6" s="182" t="n"/>
      <c r="B6" s="191" t="n"/>
      <c r="C6" s="192" t="n"/>
      <c r="D6" s="191" t="n"/>
    </row>
    <row r="7">
      <c r="A7" s="29" t="inlineStr">
        <is>
          <t>A. DIRECT PERSONNEL COSTS</t>
        </is>
      </c>
      <c r="B7" s="30" t="n"/>
      <c r="C7" s="110" t="n"/>
      <c r="D7" s="354" t="n"/>
    </row>
    <row r="8">
      <c r="A8" s="28" t="inlineStr">
        <is>
          <t>A.1 Employees (or equivalent)</t>
        </is>
      </c>
      <c r="B8" s="89" t="n"/>
      <c r="C8" s="111" t="n"/>
      <c r="D8" s="355" t="n"/>
    </row>
    <row r="9">
      <c r="A9" s="48" t="inlineStr">
        <is>
          <t>SENIOR SCIENTISTS (or equivalent in the private sector)</t>
        </is>
      </c>
      <c r="B9" s="357" t="n">
        <v>1</v>
      </c>
      <c r="C9" s="248" t="n">
        <v>5000</v>
      </c>
      <c r="D9" s="232">
        <f>B9*C9</f>
        <v/>
      </c>
    </row>
    <row r="10">
      <c r="A10" s="48" t="inlineStr">
        <is>
          <t>JUNIOR SCIENTISTS (or equivalent in the private sector)</t>
        </is>
      </c>
      <c r="B10" s="357" t="n"/>
      <c r="C10" s="248" t="n"/>
      <c r="D10" s="232">
        <f>B10*C10</f>
        <v/>
      </c>
    </row>
    <row r="11">
      <c r="A11" s="48" t="inlineStr">
        <is>
          <t>TECHNICAL PERSONNEL (or equivalent in the private sector)</t>
        </is>
      </c>
      <c r="B11" s="357" t="n"/>
      <c r="C11" s="248" t="n"/>
      <c r="D11" s="232">
        <f>B11*C11</f>
        <v/>
      </c>
    </row>
    <row r="12">
      <c r="A12" s="48" t="inlineStr">
        <is>
          <t>ADMINISTRATIVE PERSONNEL (or equivalent in the private sector)</t>
        </is>
      </c>
      <c r="B12" s="357" t="n">
        <v>1</v>
      </c>
      <c r="C12" s="248" t="n">
        <v>3000</v>
      </c>
      <c r="D12" s="232">
        <f>B12*C12</f>
        <v/>
      </c>
    </row>
    <row r="13">
      <c r="A13" s="48" t="inlineStr">
        <is>
          <t>OTHERS</t>
        </is>
      </c>
      <c r="B13" s="357" t="n"/>
      <c r="C13" s="248" t="n"/>
      <c r="D13" s="232">
        <f>B13*C13</f>
        <v/>
      </c>
    </row>
    <row r="14">
      <c r="A14" s="28" t="inlineStr">
        <is>
          <t>A.2 Natural Persons under direct contract</t>
        </is>
      </c>
      <c r="B14" s="357" t="n"/>
      <c r="C14" s="248" t="n"/>
      <c r="D14" s="232">
        <f>B14*C14</f>
        <v/>
      </c>
    </row>
    <row r="15">
      <c r="A15" s="28" t="inlineStr">
        <is>
          <t>A.3 Seconded Persons</t>
        </is>
      </c>
      <c r="B15" s="357" t="n"/>
      <c r="C15" s="248" t="n"/>
      <c r="D15" s="232">
        <f>B15*C15</f>
        <v/>
      </c>
    </row>
    <row r="16">
      <c r="A16" s="28" t="inlineStr">
        <is>
          <t>A.4 SME owners and natural person beneficiaries</t>
        </is>
      </c>
      <c r="B16" s="357" t="n"/>
      <c r="C16" s="256" t="n">
        <v>8360.6024</v>
      </c>
      <c r="D16" s="232">
        <f>B16*C16</f>
        <v/>
      </c>
    </row>
    <row r="17">
      <c r="A17" s="29" t="inlineStr">
        <is>
          <t>B. DIRECT SUBCONTRACTING COSTS</t>
        </is>
      </c>
      <c r="B17" s="358" t="n"/>
      <c r="C17" s="110" t="n"/>
      <c r="D17" s="359" t="n"/>
    </row>
    <row r="18">
      <c r="A18" s="53" t="n"/>
      <c r="B18" s="357" t="n"/>
      <c r="C18" s="248" t="n"/>
      <c r="D18" s="361">
        <f>B18*C18</f>
        <v/>
      </c>
    </row>
    <row r="19">
      <c r="A19" s="29" t="inlineStr">
        <is>
          <t>C. DIRECT PURCHASE COSTS</t>
        </is>
      </c>
      <c r="B19" s="358" t="n"/>
      <c r="C19" s="110" t="n"/>
      <c r="D19" s="359" t="n"/>
    </row>
    <row r="20">
      <c r="A20" s="28" t="inlineStr">
        <is>
          <t>C.1 Travel and subsistence</t>
        </is>
      </c>
      <c r="B20" s="357" t="n">
        <v>6</v>
      </c>
      <c r="C20" s="248" t="n">
        <v>1500</v>
      </c>
      <c r="D20" s="361">
        <f>B20*C20</f>
        <v/>
      </c>
    </row>
    <row r="21">
      <c r="A21" s="28" t="inlineStr">
        <is>
          <t>C.2 Equipment (complete 'Depreciation costs' sheet)</t>
        </is>
      </c>
      <c r="B21" s="346" t="n"/>
      <c r="C21" s="111" t="n"/>
      <c r="D21" s="364" t="n"/>
    </row>
    <row r="22">
      <c r="A22" s="49" t="inlineStr">
        <is>
          <t>Equipment</t>
        </is>
      </c>
      <c r="B22" s="357" t="n"/>
      <c r="C22" s="248" t="n"/>
      <c r="D22" s="361">
        <f>B22*C22</f>
        <v/>
      </c>
    </row>
    <row r="23">
      <c r="A23" s="49" t="inlineStr">
        <is>
          <t>Infrastructure</t>
        </is>
      </c>
      <c r="B23" s="357" t="n"/>
      <c r="C23" s="248" t="n"/>
      <c r="D23" s="361">
        <f>B23*C23</f>
        <v/>
      </c>
    </row>
    <row r="24">
      <c r="A24" s="49" t="inlineStr">
        <is>
          <t>Other assets</t>
        </is>
      </c>
      <c r="B24" s="357" t="n"/>
      <c r="C24" s="248" t="n"/>
      <c r="D24" s="361">
        <f>B24*C24</f>
        <v/>
      </c>
    </row>
    <row r="25">
      <c r="A25" s="28" t="inlineStr">
        <is>
          <t>C.3 Other goods, works and services</t>
        </is>
      </c>
      <c r="B25" s="346" t="n"/>
      <c r="C25" s="111" t="n"/>
      <c r="D25" s="364" t="n"/>
    </row>
    <row r="26">
      <c r="A26" s="49" t="inlineStr">
        <is>
          <t>Consumables</t>
        </is>
      </c>
      <c r="B26" s="357" t="n"/>
      <c r="C26" s="248" t="n"/>
      <c r="D26" s="361">
        <f>B26*C26</f>
        <v/>
      </c>
    </row>
    <row r="27">
      <c r="A27" s="49" t="inlineStr">
        <is>
          <t>Services for meetings, seminars</t>
        </is>
      </c>
      <c r="B27" s="357" t="n"/>
      <c r="C27" s="248" t="n"/>
      <c r="D27" s="361">
        <f>B27*C27</f>
        <v/>
      </c>
    </row>
    <row r="28">
      <c r="A28" s="49" t="inlineStr">
        <is>
          <t>Services for dissemination activities (including website)</t>
        </is>
      </c>
      <c r="B28" s="357" t="n"/>
      <c r="C28" s="248" t="n"/>
      <c r="D28" s="361">
        <f>B28*C28</f>
        <v/>
      </c>
    </row>
    <row r="29">
      <c r="A29" s="49" t="inlineStr">
        <is>
          <t>Publication fees</t>
        </is>
      </c>
      <c r="B29" s="357" t="n"/>
      <c r="C29" s="248" t="n"/>
      <c r="D29" s="361">
        <f>B29*C29</f>
        <v/>
      </c>
    </row>
    <row r="30">
      <c r="A30" s="49" t="inlineStr">
        <is>
          <t>Other (shipment, insurance, translation, etc.)</t>
        </is>
      </c>
      <c r="B30" s="357" t="n"/>
      <c r="C30" s="248" t="n"/>
      <c r="D30" s="361">
        <f>B30*C30</f>
        <v/>
      </c>
    </row>
    <row r="31">
      <c r="A31" s="29" t="inlineStr">
        <is>
          <t>D. OTHER COST CATEGORIES</t>
        </is>
      </c>
      <c r="B31" s="358" t="n"/>
      <c r="C31" s="110" t="n"/>
      <c r="D31" s="359" t="n"/>
    </row>
    <row r="32">
      <c r="A32" s="50" t="inlineStr">
        <is>
          <t>D.1 Financial support to third parties (if applicable in the topic specific conditions)</t>
        </is>
      </c>
      <c r="B32" s="357" t="n"/>
      <c r="C32" s="248" t="n"/>
      <c r="D32" s="361">
        <f>B32*C32</f>
        <v/>
      </c>
    </row>
    <row r="33">
      <c r="A33" s="50" t="inlineStr">
        <is>
          <t>D.2 Internally invoiced goods and services</t>
        </is>
      </c>
      <c r="B33" s="357" t="n"/>
      <c r="C33" s="248" t="n"/>
      <c r="D33" s="361">
        <f>B33*C33</f>
        <v/>
      </c>
    </row>
    <row r="34">
      <c r="A34" s="50" t="inlineStr">
        <is>
          <t>D.3 Transnational access to research infrastructure unit costs (if mentioned as eligible in the topic specific conditions)</t>
        </is>
      </c>
      <c r="B34" s="357" t="n"/>
      <c r="C34" s="248" t="n"/>
      <c r="D34" s="361">
        <f>B34*C34</f>
        <v/>
      </c>
    </row>
    <row r="35">
      <c r="A35" s="50" t="inlineStr">
        <is>
          <t>D.4 Virtual access to research infrastructure unit costs (if mentioned as eligible in the topic specific conditions)</t>
        </is>
      </c>
      <c r="B35" s="357" t="n"/>
      <c r="C35" s="248" t="n"/>
      <c r="D35" s="361">
        <f>B35*C35</f>
        <v/>
      </c>
    </row>
    <row r="36">
      <c r="A36" s="50" t="inlineStr">
        <is>
          <t>D.5 PCP/PPI procurement costs (if mentioned as eligible in the topic specific conditions)</t>
        </is>
      </c>
      <c r="B36" s="357" t="n"/>
      <c r="C36" s="248" t="n"/>
      <c r="D36" s="361">
        <f>B36*C36</f>
        <v/>
      </c>
    </row>
    <row r="37">
      <c r="A37" s="50" t="n"/>
      <c r="B37" s="346" t="n"/>
      <c r="C37" s="111" t="n"/>
      <c r="D37" s="365" t="n"/>
    </row>
    <row r="38">
      <c r="A38" s="52" t="inlineStr">
        <is>
          <t>TOTAL DIRECT PERSONNEL COSTS AND PURCHASE COSTS (A+C)</t>
        </is>
      </c>
      <c r="B38" s="369" t="n"/>
      <c r="C38" s="230" t="n"/>
      <c r="D38" s="360">
        <f>SUM(D9:D16,D20:D30)</f>
        <v/>
      </c>
    </row>
    <row r="39">
      <c r="A39" s="52" t="inlineStr">
        <is>
          <t>TOTAL DIRECT COSTS  (A+B+C+D)</t>
        </is>
      </c>
      <c r="B39" s="369" t="n"/>
      <c r="C39" s="230" t="n"/>
      <c r="D39" s="360">
        <f>SUM(D9:D36)</f>
        <v/>
      </c>
    </row>
    <row r="40">
      <c r="A40" s="180" t="n"/>
      <c r="B40" s="372" t="n"/>
      <c r="C40" s="176" t="n"/>
      <c r="D40" s="373" t="n"/>
    </row>
    <row r="41">
      <c r="A41" s="29" t="inlineStr">
        <is>
          <t>E. INDIRECT COSTS (25% * (A+C))</t>
        </is>
      </c>
      <c r="B41" s="358" t="n"/>
      <c r="C41" s="110" t="n"/>
      <c r="D41" s="360">
        <f>D38*0.25</f>
        <v/>
      </c>
    </row>
    <row r="42">
      <c r="A42" s="32" t="n"/>
      <c r="B42" s="372" t="n"/>
      <c r="C42" s="176" t="n"/>
      <c r="D42" s="377" t="n"/>
    </row>
    <row r="43">
      <c r="A43" s="29" t="inlineStr">
        <is>
          <t>F. TOTAL COSTS (A+B+C+D+E)</t>
        </is>
      </c>
      <c r="B43" s="369" t="n"/>
      <c r="C43" s="230" t="n"/>
      <c r="D43" s="360">
        <f>D39+D41</f>
        <v/>
      </c>
    </row>
    <row r="44">
      <c r="A44" s="182" t="n"/>
      <c r="B44" s="183" t="n"/>
      <c r="C44" s="184" t="n"/>
      <c r="D44" s="183" t="n"/>
    </row>
    <row r="45">
      <c r="A45" s="190" t="n"/>
      <c r="B45" s="185" t="n"/>
      <c r="C45" s="186" t="n"/>
      <c r="D45" s="187" t="n"/>
    </row>
    <row r="46" ht="21" customHeight="1">
      <c r="A46" s="272">
        <f>CONCATENATE("COSTS WORK PACKAGE 2:"," ","System definition and use case identification")</f>
        <v/>
      </c>
      <c r="B46" s="314" t="n"/>
      <c r="C46" s="314" t="n"/>
      <c r="D46" s="315" t="n"/>
    </row>
    <row r="47">
      <c r="A47" s="182" t="n"/>
      <c r="B47" s="191" t="n"/>
      <c r="C47" s="192" t="n"/>
      <c r="D47" s="191" t="n"/>
    </row>
    <row r="48">
      <c r="A48" s="29" t="inlineStr">
        <is>
          <t>A. DIRECT PERSONNEL COSTS</t>
        </is>
      </c>
      <c r="B48" s="30" t="n"/>
      <c r="C48" s="110" t="n"/>
      <c r="D48" s="354" t="n"/>
    </row>
    <row r="49">
      <c r="A49" s="28" t="inlineStr">
        <is>
          <t>A.1 Employees (or equivalent)</t>
        </is>
      </c>
      <c r="B49" s="89" t="n"/>
      <c r="C49" s="111" t="n"/>
      <c r="D49" s="355" t="n"/>
    </row>
    <row r="50">
      <c r="A50" s="48" t="inlineStr">
        <is>
          <t>SENIOR SCIENTISTS (or equivalent in the private sector)</t>
        </is>
      </c>
      <c r="B50" s="357" t="n">
        <v>2</v>
      </c>
      <c r="C50" s="248" t="n">
        <v>5000</v>
      </c>
      <c r="D50" s="232">
        <f>B50*C50</f>
        <v/>
      </c>
    </row>
    <row r="51">
      <c r="A51" s="48" t="inlineStr">
        <is>
          <t>JUNIOR SCIENTISTS (or equivalent in the private sector)</t>
        </is>
      </c>
      <c r="B51" s="357" t="n">
        <v>1</v>
      </c>
      <c r="C51" s="248" t="n">
        <v>5000</v>
      </c>
      <c r="D51" s="232">
        <f>B51*C51</f>
        <v/>
      </c>
    </row>
    <row r="52">
      <c r="A52" s="48" t="inlineStr">
        <is>
          <t>TECHNICAL PERSONNEL (or equivalent in the private sector)</t>
        </is>
      </c>
      <c r="B52" s="357" t="n"/>
      <c r="C52" s="248" t="n"/>
      <c r="D52" s="232">
        <f>B52*C52</f>
        <v/>
      </c>
    </row>
    <row r="53">
      <c r="A53" s="48" t="inlineStr">
        <is>
          <t>ADMINISTRATIVE PERSONNEL (or equivalent in the private sector)</t>
        </is>
      </c>
      <c r="B53" s="357" t="n"/>
      <c r="C53" s="248" t="n"/>
      <c r="D53" s="232">
        <f>B53*C53</f>
        <v/>
      </c>
    </row>
    <row r="54">
      <c r="A54" s="48" t="inlineStr">
        <is>
          <t>OTHERS</t>
        </is>
      </c>
      <c r="B54" s="357" t="n"/>
      <c r="C54" s="248" t="n"/>
      <c r="D54" s="232">
        <f>B54*C54</f>
        <v/>
      </c>
    </row>
    <row r="55">
      <c r="A55" s="28" t="inlineStr">
        <is>
          <t>A.2 Natural Persons under direct contract</t>
        </is>
      </c>
      <c r="B55" s="357" t="n"/>
      <c r="C55" s="248" t="n"/>
      <c r="D55" s="232">
        <f>B55*C55</f>
        <v/>
      </c>
    </row>
    <row r="56">
      <c r="A56" s="28" t="inlineStr">
        <is>
          <t>A.3 Seconded Persons</t>
        </is>
      </c>
      <c r="B56" s="357" t="n"/>
      <c r="C56" s="248" t="n"/>
      <c r="D56" s="232">
        <f>B56*C56</f>
        <v/>
      </c>
    </row>
    <row r="57">
      <c r="A57" s="28" t="inlineStr">
        <is>
          <t>A.4 SME owners and natural person beneficiaries</t>
        </is>
      </c>
      <c r="B57" s="357" t="n"/>
      <c r="C57" s="256" t="n">
        <v>8360.6024</v>
      </c>
      <c r="D57" s="232">
        <f>B57*C57</f>
        <v/>
      </c>
    </row>
    <row r="58">
      <c r="A58" s="29" t="inlineStr">
        <is>
          <t>B. DIRECT SUBCONTRACTING COSTS</t>
        </is>
      </c>
      <c r="B58" s="358" t="n"/>
      <c r="C58" s="110" t="n"/>
      <c r="D58" s="359" t="n"/>
    </row>
    <row r="59">
      <c r="A59" s="53" t="n"/>
      <c r="B59" s="357" t="n"/>
      <c r="C59" s="248" t="n"/>
      <c r="D59" s="361">
        <f>B59*C59</f>
        <v/>
      </c>
    </row>
    <row r="60">
      <c r="A60" s="29" t="inlineStr">
        <is>
          <t>C. DIRECT PURCHASE COSTS</t>
        </is>
      </c>
      <c r="B60" s="358" t="n"/>
      <c r="C60" s="110" t="n"/>
      <c r="D60" s="359" t="n"/>
    </row>
    <row r="61">
      <c r="A61" s="28" t="inlineStr">
        <is>
          <t>C.1 Travel and subsistence</t>
        </is>
      </c>
      <c r="B61" s="357" t="n"/>
      <c r="C61" s="248" t="n"/>
      <c r="D61" s="361">
        <f>B61*C61</f>
        <v/>
      </c>
    </row>
    <row r="62">
      <c r="A62" s="28" t="inlineStr">
        <is>
          <t>C.2 Equipment (complete 'Depreciation costs' sheet)</t>
        </is>
      </c>
      <c r="B62" s="346" t="n"/>
      <c r="C62" s="111" t="n"/>
      <c r="D62" s="364" t="n"/>
    </row>
    <row r="63">
      <c r="A63" s="49" t="inlineStr">
        <is>
          <t>Equipment</t>
        </is>
      </c>
      <c r="B63" s="357" t="n"/>
      <c r="C63" s="248" t="n"/>
      <c r="D63" s="361">
        <f>B63*C63</f>
        <v/>
      </c>
    </row>
    <row r="64">
      <c r="A64" s="49" t="inlineStr">
        <is>
          <t>Infrastructure</t>
        </is>
      </c>
      <c r="B64" s="357" t="n"/>
      <c r="C64" s="248" t="n"/>
      <c r="D64" s="361">
        <f>B64*C64</f>
        <v/>
      </c>
    </row>
    <row r="65">
      <c r="A65" s="49" t="inlineStr">
        <is>
          <t>Other assets</t>
        </is>
      </c>
      <c r="B65" s="357" t="n"/>
      <c r="C65" s="248" t="n"/>
      <c r="D65" s="361">
        <f>B65*C65</f>
        <v/>
      </c>
    </row>
    <row r="66">
      <c r="A66" s="28" t="inlineStr">
        <is>
          <t>C.3 Other goods, works and services</t>
        </is>
      </c>
      <c r="B66" s="346" t="n"/>
      <c r="C66" s="111" t="n"/>
      <c r="D66" s="364" t="n"/>
    </row>
    <row r="67">
      <c r="A67" s="49" t="inlineStr">
        <is>
          <t>Consumables</t>
        </is>
      </c>
      <c r="B67" s="357" t="n"/>
      <c r="C67" s="248" t="n"/>
      <c r="D67" s="361">
        <f>B67*C67</f>
        <v/>
      </c>
    </row>
    <row r="68">
      <c r="A68" s="49" t="inlineStr">
        <is>
          <t>Services for meetings, seminars</t>
        </is>
      </c>
      <c r="B68" s="357" t="n"/>
      <c r="C68" s="248" t="n"/>
      <c r="D68" s="361">
        <f>B68*C68</f>
        <v/>
      </c>
    </row>
    <row r="69">
      <c r="A69" s="49" t="inlineStr">
        <is>
          <t>Services for dissemination activities (including website)</t>
        </is>
      </c>
      <c r="B69" s="357" t="n"/>
      <c r="C69" s="248" t="n"/>
      <c r="D69" s="361">
        <f>B69*C69</f>
        <v/>
      </c>
    </row>
    <row r="70">
      <c r="A70" s="49" t="inlineStr">
        <is>
          <t>Publication fees</t>
        </is>
      </c>
      <c r="B70" s="357" t="n"/>
      <c r="C70" s="248" t="n"/>
      <c r="D70" s="361">
        <f>B70*C70</f>
        <v/>
      </c>
    </row>
    <row r="71">
      <c r="A71" s="49" t="inlineStr">
        <is>
          <t>Other (shipment, insurance, translation, etc.)</t>
        </is>
      </c>
      <c r="B71" s="357" t="n"/>
      <c r="C71" s="248" t="n"/>
      <c r="D71" s="361">
        <f>B71*C71</f>
        <v/>
      </c>
    </row>
    <row r="72">
      <c r="A72" s="29" t="inlineStr">
        <is>
          <t>D. OTHER COST CATEGORIES</t>
        </is>
      </c>
      <c r="B72" s="358" t="n"/>
      <c r="C72" s="110" t="n"/>
      <c r="D72" s="359" t="n"/>
    </row>
    <row r="73">
      <c r="A73" s="50" t="inlineStr">
        <is>
          <t>D.1 Financial support to third parties (if applicable in the topic specific conditions)</t>
        </is>
      </c>
      <c r="B73" s="357" t="n"/>
      <c r="C73" s="248" t="n"/>
      <c r="D73" s="361">
        <f>B73*C73</f>
        <v/>
      </c>
    </row>
    <row r="74">
      <c r="A74" s="50" t="inlineStr">
        <is>
          <t>D.2 Internally invoiced goods and services</t>
        </is>
      </c>
      <c r="B74" s="357" t="n"/>
      <c r="C74" s="248" t="n"/>
      <c r="D74" s="361">
        <f>B74*C74</f>
        <v/>
      </c>
    </row>
    <row r="75">
      <c r="A75" s="50" t="inlineStr">
        <is>
          <t>D.3 Transnational access to research infrastructure unit costs (if mentioned as eligible in the topic specific conditions)</t>
        </is>
      </c>
      <c r="B75" s="357" t="n"/>
      <c r="C75" s="248" t="n"/>
      <c r="D75" s="361">
        <f>B75*C75</f>
        <v/>
      </c>
    </row>
    <row r="76">
      <c r="A76" s="50" t="inlineStr">
        <is>
          <t>D.4 Virtual access to research infrastructure unit costs (if mentioned as eligible in the topic specific conditions)</t>
        </is>
      </c>
      <c r="B76" s="357" t="n"/>
      <c r="C76" s="248" t="n"/>
      <c r="D76" s="361">
        <f>B76*C76</f>
        <v/>
      </c>
    </row>
    <row r="77">
      <c r="A77" s="50" t="inlineStr">
        <is>
          <t>D.5 PCP/PPI procurement costs (if mentioned as eligible in the topic specific conditions)</t>
        </is>
      </c>
      <c r="B77" s="357" t="n"/>
      <c r="C77" s="248" t="n"/>
      <c r="D77" s="361">
        <f>B77*C77</f>
        <v/>
      </c>
    </row>
    <row r="78">
      <c r="A78" s="50" t="n"/>
      <c r="B78" s="346" t="n"/>
      <c r="C78" s="111" t="n"/>
      <c r="D78" s="365" t="n"/>
    </row>
    <row r="79">
      <c r="A79" s="52" t="inlineStr">
        <is>
          <t>TOTAL DIRECT PERSONNEL COSTS AND PURCHASE COSTS (A+C)</t>
        </is>
      </c>
      <c r="B79" s="369" t="n"/>
      <c r="C79" s="230" t="n"/>
      <c r="D79" s="360">
        <f>SUM(D50:D57,D61:D71)</f>
        <v/>
      </c>
    </row>
    <row r="80">
      <c r="A80" s="52" t="inlineStr">
        <is>
          <t>TOTAL DIRECT COSTS  (A+B+C+D)</t>
        </is>
      </c>
      <c r="B80" s="369" t="n"/>
      <c r="C80" s="230" t="n"/>
      <c r="D80" s="360">
        <f>SUM(D50:D77)</f>
        <v/>
      </c>
    </row>
    <row r="81">
      <c r="A81" s="180" t="n"/>
      <c r="B81" s="372" t="n"/>
      <c r="C81" s="176" t="n"/>
      <c r="D81" s="373" t="n"/>
    </row>
    <row r="82">
      <c r="A82" s="29" t="inlineStr">
        <is>
          <t>E. INDIRECT COSTS (25% * (A+C))</t>
        </is>
      </c>
      <c r="B82" s="358" t="n"/>
      <c r="C82" s="110" t="n"/>
      <c r="D82" s="360">
        <f>D79*0.25</f>
        <v/>
      </c>
    </row>
    <row r="83">
      <c r="A83" s="32" t="n"/>
      <c r="B83" s="372" t="n"/>
      <c r="C83" s="176" t="n"/>
      <c r="D83" s="377" t="n"/>
    </row>
    <row r="84">
      <c r="A84" s="29" t="inlineStr">
        <is>
          <t>F. TOTAL COSTS (A+B+C+D+E)</t>
        </is>
      </c>
      <c r="B84" s="369" t="n"/>
      <c r="C84" s="230" t="n"/>
      <c r="D84" s="360">
        <f>D80+D82</f>
        <v/>
      </c>
    </row>
    <row r="85">
      <c r="A85" s="182" t="n"/>
      <c r="B85" s="183" t="n"/>
      <c r="C85" s="184" t="n"/>
      <c r="D85" s="183" t="n"/>
    </row>
    <row r="86">
      <c r="A86" s="190" t="n"/>
      <c r="B86" s="185" t="n"/>
      <c r="C86" s="186" t="n"/>
      <c r="D86" s="187" t="n"/>
    </row>
    <row r="87" ht="21" customHeight="1">
      <c r="A87" s="272">
        <f>CONCATENATE("COSTS WORK PACKAGE 3:"," ","Sensor deployment and analytics  ")</f>
        <v/>
      </c>
      <c r="B87" s="314" t="n"/>
      <c r="C87" s="314" t="n"/>
      <c r="D87" s="315" t="n"/>
    </row>
    <row r="88">
      <c r="A88" s="182" t="n"/>
      <c r="B88" s="191" t="n"/>
      <c r="C88" s="192" t="n"/>
      <c r="D88" s="191" t="n"/>
    </row>
    <row r="89">
      <c r="A89" s="29" t="inlineStr">
        <is>
          <t>A. DIRECT PERSONNEL COSTS</t>
        </is>
      </c>
      <c r="B89" s="30" t="n"/>
      <c r="C89" s="110" t="n"/>
      <c r="D89" s="354" t="n"/>
    </row>
    <row r="90">
      <c r="A90" s="28" t="inlineStr">
        <is>
          <t>A.1 Employees (or equivalent)</t>
        </is>
      </c>
      <c r="B90" s="89" t="n"/>
      <c r="C90" s="111" t="n"/>
      <c r="D90" s="355" t="n"/>
    </row>
    <row r="91">
      <c r="A91" s="48" t="inlineStr">
        <is>
          <t>SENIOR SCIENTISTS (or equivalent in the private sector)</t>
        </is>
      </c>
      <c r="B91" s="357" t="n">
        <v>1</v>
      </c>
      <c r="C91" s="248" t="n">
        <v>5000</v>
      </c>
      <c r="D91" s="232">
        <f>B91*C91</f>
        <v/>
      </c>
    </row>
    <row r="92">
      <c r="A92" s="48" t="inlineStr">
        <is>
          <t>JUNIOR SCIENTISTS (or equivalent in the private sector)</t>
        </is>
      </c>
      <c r="B92" s="357" t="n"/>
      <c r="C92" s="248" t="n"/>
      <c r="D92" s="232">
        <f>B92*C92</f>
        <v/>
      </c>
    </row>
    <row r="93">
      <c r="A93" s="48" t="inlineStr">
        <is>
          <t>TECHNICAL PERSONNEL (or equivalent in the private sector)</t>
        </is>
      </c>
      <c r="B93" s="357" t="n"/>
      <c r="C93" s="248" t="n"/>
      <c r="D93" s="232">
        <f>B93*C93</f>
        <v/>
      </c>
    </row>
    <row r="94">
      <c r="A94" s="48" t="inlineStr">
        <is>
          <t>ADMINISTRATIVE PERSONNEL (or equivalent in the private sector)</t>
        </is>
      </c>
      <c r="B94" s="357" t="n"/>
      <c r="C94" s="248" t="n"/>
      <c r="D94" s="232">
        <f>B94*C94</f>
        <v/>
      </c>
    </row>
    <row r="95">
      <c r="A95" s="48" t="inlineStr">
        <is>
          <t>OTHERS</t>
        </is>
      </c>
      <c r="B95" s="357" t="n"/>
      <c r="C95" s="248" t="n"/>
      <c r="D95" s="232">
        <f>B95*C95</f>
        <v/>
      </c>
    </row>
    <row r="96">
      <c r="A96" s="28" t="inlineStr">
        <is>
          <t>A.2 Natural Persons under direct contract</t>
        </is>
      </c>
      <c r="B96" s="357" t="n"/>
      <c r="C96" s="248" t="n"/>
      <c r="D96" s="232">
        <f>B96*C96</f>
        <v/>
      </c>
    </row>
    <row r="97">
      <c r="A97" s="28" t="inlineStr">
        <is>
          <t>A.3 Seconded Persons</t>
        </is>
      </c>
      <c r="B97" s="357" t="n"/>
      <c r="C97" s="248" t="n"/>
      <c r="D97" s="232">
        <f>B97*C97</f>
        <v/>
      </c>
    </row>
    <row r="98">
      <c r="A98" s="28" t="inlineStr">
        <is>
          <t>A.4 SME owners and natural person beneficiaries</t>
        </is>
      </c>
      <c r="B98" s="357" t="n"/>
      <c r="C98" s="256" t="n">
        <v>8360.6024</v>
      </c>
      <c r="D98" s="232">
        <f>B98*C98</f>
        <v/>
      </c>
    </row>
    <row r="99">
      <c r="A99" s="29" t="inlineStr">
        <is>
          <t>B. DIRECT SUBCONTRACTING COSTS</t>
        </is>
      </c>
      <c r="B99" s="358" t="n"/>
      <c r="C99" s="110" t="n"/>
      <c r="D99" s="359" t="n"/>
    </row>
    <row r="100">
      <c r="A100" s="53" t="n"/>
      <c r="B100" s="357" t="n"/>
      <c r="C100" s="248" t="n"/>
      <c r="D100" s="361">
        <f>B100*C100</f>
        <v/>
      </c>
    </row>
    <row r="101">
      <c r="A101" s="29" t="inlineStr">
        <is>
          <t>C. DIRECT PURCHASE COSTS</t>
        </is>
      </c>
      <c r="B101" s="358" t="n"/>
      <c r="C101" s="110" t="n"/>
      <c r="D101" s="359" t="n"/>
    </row>
    <row r="102">
      <c r="A102" s="28" t="inlineStr">
        <is>
          <t>C.1 Travel and subsistence</t>
        </is>
      </c>
      <c r="B102" s="357" t="n"/>
      <c r="C102" s="248" t="n"/>
      <c r="D102" s="361">
        <f>B102*C102</f>
        <v/>
      </c>
    </row>
    <row r="103">
      <c r="A103" s="28" t="inlineStr">
        <is>
          <t>C.2 Equipment (complete 'Depreciation costs' sheet)</t>
        </is>
      </c>
      <c r="B103" s="346" t="n"/>
      <c r="C103" s="111" t="n"/>
      <c r="D103" s="364" t="n"/>
    </row>
    <row r="104">
      <c r="A104" s="49" t="inlineStr">
        <is>
          <t>Equipment</t>
        </is>
      </c>
      <c r="B104" s="357" t="n"/>
      <c r="C104" s="248" t="n"/>
      <c r="D104" s="361">
        <f>B104*C104</f>
        <v/>
      </c>
    </row>
    <row r="105">
      <c r="A105" s="49" t="inlineStr">
        <is>
          <t>Infrastructure</t>
        </is>
      </c>
      <c r="B105" s="357" t="n"/>
      <c r="C105" s="248" t="n"/>
      <c r="D105" s="361">
        <f>B105*C105</f>
        <v/>
      </c>
    </row>
    <row r="106">
      <c r="A106" s="49" t="inlineStr">
        <is>
          <t>Other assets</t>
        </is>
      </c>
      <c r="B106" s="357" t="n"/>
      <c r="C106" s="248" t="n"/>
      <c r="D106" s="361">
        <f>B106*C106</f>
        <v/>
      </c>
    </row>
    <row r="107">
      <c r="A107" s="28" t="inlineStr">
        <is>
          <t>C.3 Other goods, works and services</t>
        </is>
      </c>
      <c r="B107" s="346" t="n"/>
      <c r="C107" s="111" t="n"/>
      <c r="D107" s="364" t="n"/>
    </row>
    <row r="108">
      <c r="A108" s="49" t="inlineStr">
        <is>
          <t>Consumables</t>
        </is>
      </c>
      <c r="B108" s="357" t="n"/>
      <c r="C108" s="248" t="n"/>
      <c r="D108" s="361">
        <f>B108*C108</f>
        <v/>
      </c>
    </row>
    <row r="109">
      <c r="A109" s="49" t="inlineStr">
        <is>
          <t>Services for meetings, seminars</t>
        </is>
      </c>
      <c r="B109" s="357" t="n"/>
      <c r="C109" s="248" t="n"/>
      <c r="D109" s="361">
        <f>B109*C109</f>
        <v/>
      </c>
    </row>
    <row r="110">
      <c r="A110" s="49" t="inlineStr">
        <is>
          <t>Services for dissemination activities (including website)</t>
        </is>
      </c>
      <c r="B110" s="357" t="n"/>
      <c r="C110" s="248" t="n"/>
      <c r="D110" s="361">
        <f>B110*C110</f>
        <v/>
      </c>
    </row>
    <row r="111">
      <c r="A111" s="49" t="inlineStr">
        <is>
          <t>Publication fees</t>
        </is>
      </c>
      <c r="B111" s="357" t="n"/>
      <c r="C111" s="248" t="n"/>
      <c r="D111" s="361">
        <f>B111*C111</f>
        <v/>
      </c>
    </row>
    <row r="112">
      <c r="A112" s="49" t="inlineStr">
        <is>
          <t>Other (shipment, insurance, translation, etc.)</t>
        </is>
      </c>
      <c r="B112" s="357" t="n"/>
      <c r="C112" s="248" t="n"/>
      <c r="D112" s="361">
        <f>B112*C112</f>
        <v/>
      </c>
    </row>
    <row r="113">
      <c r="A113" s="29" t="inlineStr">
        <is>
          <t>D. OTHER COST CATEGORIES</t>
        </is>
      </c>
      <c r="B113" s="358" t="n"/>
      <c r="C113" s="110" t="n"/>
      <c r="D113" s="359" t="n"/>
    </row>
    <row r="114">
      <c r="A114" s="50" t="inlineStr">
        <is>
          <t>D.1 Financial support to third parties (if applicable in the topic specific conditions)</t>
        </is>
      </c>
      <c r="B114" s="357" t="n"/>
      <c r="C114" s="248" t="n"/>
      <c r="D114" s="361">
        <f>B114*C114</f>
        <v/>
      </c>
    </row>
    <row r="115">
      <c r="A115" s="50" t="inlineStr">
        <is>
          <t>D.2 Internally invoiced goods and services</t>
        </is>
      </c>
      <c r="B115" s="357" t="n"/>
      <c r="C115" s="248" t="n"/>
      <c r="D115" s="361">
        <f>B115*C115</f>
        <v/>
      </c>
    </row>
    <row r="116">
      <c r="A116" s="50" t="inlineStr">
        <is>
          <t>D.3 Transnational access to research infrastructure unit costs (if mentioned as eligible in the topic specific conditions)</t>
        </is>
      </c>
      <c r="B116" s="357" t="n"/>
      <c r="C116" s="248" t="n"/>
      <c r="D116" s="361">
        <f>B116*C116</f>
        <v/>
      </c>
    </row>
    <row r="117">
      <c r="A117" s="50" t="inlineStr">
        <is>
          <t>D.4 Virtual access to research infrastructure unit costs (if mentioned as eligible in the topic specific conditions)</t>
        </is>
      </c>
      <c r="B117" s="357" t="n"/>
      <c r="C117" s="248" t="n"/>
      <c r="D117" s="361">
        <f>B117*C117</f>
        <v/>
      </c>
    </row>
    <row r="118">
      <c r="A118" s="50" t="inlineStr">
        <is>
          <t>D.5 PCP/PPI procurement costs (if mentioned as eligible in the topic specific conditions)</t>
        </is>
      </c>
      <c r="B118" s="357" t="n"/>
      <c r="C118" s="248" t="n"/>
      <c r="D118" s="361">
        <f>B118*C118</f>
        <v/>
      </c>
    </row>
    <row r="119">
      <c r="A119" s="50" t="n"/>
      <c r="B119" s="346" t="n"/>
      <c r="C119" s="111" t="n"/>
      <c r="D119" s="365" t="n"/>
    </row>
    <row r="120">
      <c r="A120" s="52" t="inlineStr">
        <is>
          <t>TOTAL DIRECT PERSONNEL COSTS AND PURCHASE COSTS (A+C)</t>
        </is>
      </c>
      <c r="B120" s="369" t="n"/>
      <c r="C120" s="230" t="n"/>
      <c r="D120" s="360">
        <f>SUM(D91:D98,D102:D112)</f>
        <v/>
      </c>
    </row>
    <row r="121">
      <c r="A121" s="52" t="inlineStr">
        <is>
          <t>TOTAL DIRECT COSTS  (A+B+C+D)</t>
        </is>
      </c>
      <c r="B121" s="369" t="n"/>
      <c r="C121" s="230" t="n"/>
      <c r="D121" s="360">
        <f>SUM(D91:D118)</f>
        <v/>
      </c>
    </row>
    <row r="122">
      <c r="A122" s="180" t="n"/>
      <c r="B122" s="372" t="n"/>
      <c r="C122" s="176" t="n"/>
      <c r="D122" s="373" t="n"/>
    </row>
    <row r="123">
      <c r="A123" s="29" t="inlineStr">
        <is>
          <t>E. INDIRECT COSTS (25% * (A+C))</t>
        </is>
      </c>
      <c r="B123" s="358" t="n"/>
      <c r="C123" s="110" t="n"/>
      <c r="D123" s="360">
        <f>D120*0.25</f>
        <v/>
      </c>
    </row>
    <row r="124">
      <c r="A124" s="32" t="n"/>
      <c r="B124" s="372" t="n"/>
      <c r="C124" s="176" t="n"/>
      <c r="D124" s="377" t="n"/>
    </row>
    <row r="125">
      <c r="A125" s="29" t="inlineStr">
        <is>
          <t>F. TOTAL COSTS (A+B+C+D+E)</t>
        </is>
      </c>
      <c r="B125" s="369" t="n"/>
      <c r="C125" s="230" t="n"/>
      <c r="D125" s="360">
        <f>D121+D123</f>
        <v/>
      </c>
    </row>
    <row r="126">
      <c r="A126" s="182" t="n"/>
      <c r="B126" s="183" t="n"/>
      <c r="C126" s="184" t="n"/>
      <c r="D126" s="183" t="n"/>
    </row>
    <row r="127">
      <c r="A127" s="190" t="n"/>
      <c r="B127" s="185" t="n"/>
      <c r="C127" s="186" t="n"/>
      <c r="D127" s="187" t="n"/>
    </row>
    <row r="128" ht="21" customHeight="1">
      <c r="A128" s="272">
        <f>CONCATENATE("COSTS WORK PACKAGE 4:"," ","Digital twins for data generation and augmentation")</f>
        <v/>
      </c>
      <c r="B128" s="314" t="n"/>
      <c r="C128" s="314" t="n"/>
      <c r="D128" s="315" t="n"/>
    </row>
    <row r="129">
      <c r="A129" s="182" t="n"/>
      <c r="B129" s="191" t="n"/>
      <c r="C129" s="192" t="n"/>
      <c r="D129" s="191" t="n"/>
    </row>
    <row r="130">
      <c r="A130" s="29" t="inlineStr">
        <is>
          <t>A. DIRECT PERSONNEL COSTS</t>
        </is>
      </c>
      <c r="B130" s="30" t="n"/>
      <c r="C130" s="110" t="n"/>
      <c r="D130" s="354" t="n"/>
    </row>
    <row r="131">
      <c r="A131" s="28" t="inlineStr">
        <is>
          <t>A.1 Employees (or equivalent)</t>
        </is>
      </c>
      <c r="B131" s="89" t="n"/>
      <c r="C131" s="111" t="n"/>
      <c r="D131" s="355" t="n"/>
    </row>
    <row r="132">
      <c r="A132" s="48" t="inlineStr">
        <is>
          <t>SENIOR SCIENTISTS (or equivalent in the private sector)</t>
        </is>
      </c>
      <c r="B132" s="357" t="n"/>
      <c r="C132" s="248" t="n"/>
      <c r="D132" s="232">
        <f>B132*C132</f>
        <v/>
      </c>
    </row>
    <row r="133">
      <c r="A133" s="48" t="inlineStr">
        <is>
          <t>JUNIOR SCIENTISTS (or equivalent in the private sector)</t>
        </is>
      </c>
      <c r="B133" s="357" t="n"/>
      <c r="C133" s="248" t="n"/>
      <c r="D133" s="232">
        <f>B133*C133</f>
        <v/>
      </c>
    </row>
    <row r="134">
      <c r="A134" s="48" t="inlineStr">
        <is>
          <t>TECHNICAL PERSONNEL (or equivalent in the private sector)</t>
        </is>
      </c>
      <c r="B134" s="357" t="n"/>
      <c r="C134" s="248" t="n"/>
      <c r="D134" s="232">
        <f>B134*C134</f>
        <v/>
      </c>
    </row>
    <row r="135">
      <c r="A135" s="48" t="inlineStr">
        <is>
          <t>ADMINISTRATIVE PERSONNEL (or equivalent in the private sector)</t>
        </is>
      </c>
      <c r="B135" s="357" t="n"/>
      <c r="C135" s="248" t="n"/>
      <c r="D135" s="232">
        <f>B135*C135</f>
        <v/>
      </c>
    </row>
    <row r="136">
      <c r="A136" s="48" t="inlineStr">
        <is>
          <t>OTHERS</t>
        </is>
      </c>
      <c r="B136" s="357" t="n"/>
      <c r="C136" s="248" t="n"/>
      <c r="D136" s="232">
        <f>B136*C136</f>
        <v/>
      </c>
    </row>
    <row r="137">
      <c r="A137" s="28" t="inlineStr">
        <is>
          <t>A.2 Natural Persons under direct contract</t>
        </is>
      </c>
      <c r="B137" s="357" t="n"/>
      <c r="C137" s="248" t="n"/>
      <c r="D137" s="232">
        <f>B137*C137</f>
        <v/>
      </c>
    </row>
    <row r="138">
      <c r="A138" s="28" t="inlineStr">
        <is>
          <t>A.3 Seconded Persons</t>
        </is>
      </c>
      <c r="B138" s="357" t="n"/>
      <c r="C138" s="248" t="n"/>
      <c r="D138" s="232">
        <f>B138*C138</f>
        <v/>
      </c>
    </row>
    <row r="139">
      <c r="A139" s="28" t="inlineStr">
        <is>
          <t>A.4 SME owners and natural person beneficiaries</t>
        </is>
      </c>
      <c r="B139" s="357" t="n"/>
      <c r="C139" s="256" t="n">
        <v>8360.6024</v>
      </c>
      <c r="D139" s="232">
        <f>B139*C139</f>
        <v/>
      </c>
    </row>
    <row r="140">
      <c r="A140" s="29" t="inlineStr">
        <is>
          <t>B. DIRECT SUBCONTRACTING COSTS</t>
        </is>
      </c>
      <c r="B140" s="358" t="n"/>
      <c r="C140" s="110" t="n"/>
      <c r="D140" s="359" t="n"/>
    </row>
    <row r="141">
      <c r="A141" s="53" t="n"/>
      <c r="B141" s="357" t="n"/>
      <c r="C141" s="248" t="n"/>
      <c r="D141" s="361">
        <f>B141*C141</f>
        <v/>
      </c>
    </row>
    <row r="142">
      <c r="A142" s="29" t="inlineStr">
        <is>
          <t>C. DIRECT PURCHASE COSTS</t>
        </is>
      </c>
      <c r="B142" s="358" t="n"/>
      <c r="C142" s="110" t="n"/>
      <c r="D142" s="359" t="n"/>
    </row>
    <row r="143">
      <c r="A143" s="28" t="inlineStr">
        <is>
          <t>C.1 Travel and subsistence</t>
        </is>
      </c>
      <c r="B143" s="357" t="n"/>
      <c r="C143" s="248" t="n"/>
      <c r="D143" s="361">
        <f>B143*C143</f>
        <v/>
      </c>
    </row>
    <row r="144">
      <c r="A144" s="28" t="inlineStr">
        <is>
          <t>C.2 Equipment (complete 'Depreciation costs' sheet)</t>
        </is>
      </c>
      <c r="B144" s="346" t="n"/>
      <c r="C144" s="111" t="n"/>
      <c r="D144" s="364" t="n"/>
    </row>
    <row r="145">
      <c r="A145" s="49" t="inlineStr">
        <is>
          <t>Equipment</t>
        </is>
      </c>
      <c r="B145" s="357" t="n"/>
      <c r="C145" s="248" t="n"/>
      <c r="D145" s="361">
        <f>B145*C145</f>
        <v/>
      </c>
    </row>
    <row r="146">
      <c r="A146" s="49" t="inlineStr">
        <is>
          <t>Infrastructure</t>
        </is>
      </c>
      <c r="B146" s="357" t="n"/>
      <c r="C146" s="248" t="n"/>
      <c r="D146" s="361">
        <f>B146*C146</f>
        <v/>
      </c>
    </row>
    <row r="147">
      <c r="A147" s="49" t="inlineStr">
        <is>
          <t>Other assets</t>
        </is>
      </c>
      <c r="B147" s="357" t="n"/>
      <c r="C147" s="248" t="n"/>
      <c r="D147" s="361">
        <f>B147*C147</f>
        <v/>
      </c>
    </row>
    <row r="148">
      <c r="A148" s="28" t="inlineStr">
        <is>
          <t>C.3 Other goods, works and services</t>
        </is>
      </c>
      <c r="B148" s="346" t="n"/>
      <c r="C148" s="111" t="n"/>
      <c r="D148" s="364" t="n"/>
    </row>
    <row r="149">
      <c r="A149" s="49" t="inlineStr">
        <is>
          <t>Consumables</t>
        </is>
      </c>
      <c r="B149" s="357" t="n"/>
      <c r="C149" s="248" t="n"/>
      <c r="D149" s="361">
        <f>B149*C149</f>
        <v/>
      </c>
    </row>
    <row r="150">
      <c r="A150" s="49" t="inlineStr">
        <is>
          <t>Services for meetings, seminars</t>
        </is>
      </c>
      <c r="B150" s="357" t="n"/>
      <c r="C150" s="248" t="n"/>
      <c r="D150" s="361">
        <f>B150*C150</f>
        <v/>
      </c>
    </row>
    <row r="151">
      <c r="A151" s="49" t="inlineStr">
        <is>
          <t>Services for dissemination activities (including website)</t>
        </is>
      </c>
      <c r="B151" s="357" t="n"/>
      <c r="C151" s="248" t="n"/>
      <c r="D151" s="361">
        <f>B151*C151</f>
        <v/>
      </c>
    </row>
    <row r="152">
      <c r="A152" s="49" t="inlineStr">
        <is>
          <t>Publication fees</t>
        </is>
      </c>
      <c r="B152" s="357" t="n"/>
      <c r="C152" s="248" t="n"/>
      <c r="D152" s="361">
        <f>B152*C152</f>
        <v/>
      </c>
    </row>
    <row r="153">
      <c r="A153" s="49" t="inlineStr">
        <is>
          <t>Other (shipment, insurance, translation, etc.)</t>
        </is>
      </c>
      <c r="B153" s="357" t="n"/>
      <c r="C153" s="248" t="n"/>
      <c r="D153" s="361">
        <f>B153*C153</f>
        <v/>
      </c>
    </row>
    <row r="154">
      <c r="A154" s="29" t="inlineStr">
        <is>
          <t>D. OTHER COST CATEGORIES</t>
        </is>
      </c>
      <c r="B154" s="358" t="n"/>
      <c r="C154" s="110" t="n"/>
      <c r="D154" s="359" t="n"/>
    </row>
    <row r="155">
      <c r="A155" s="50" t="inlineStr">
        <is>
          <t>D.1 Financial support to third parties (if applicable in the topic specific conditions)</t>
        </is>
      </c>
      <c r="B155" s="357" t="n"/>
      <c r="C155" s="248" t="n"/>
      <c r="D155" s="361">
        <f>B155*C155</f>
        <v/>
      </c>
    </row>
    <row r="156">
      <c r="A156" s="50" t="inlineStr">
        <is>
          <t>D.2 Internally invoiced goods and services</t>
        </is>
      </c>
      <c r="B156" s="357" t="n"/>
      <c r="C156" s="248" t="n"/>
      <c r="D156" s="361">
        <f>B156*C156</f>
        <v/>
      </c>
    </row>
    <row r="157">
      <c r="A157" s="50" t="inlineStr">
        <is>
          <t>D.3 Transnational access to research infrastructure unit costs (if mentioned as eligible in the topic specific conditions)</t>
        </is>
      </c>
      <c r="B157" s="357" t="n"/>
      <c r="C157" s="248" t="n"/>
      <c r="D157" s="361">
        <f>B157*C157</f>
        <v/>
      </c>
    </row>
    <row r="158">
      <c r="A158" s="50" t="inlineStr">
        <is>
          <t>D.4 Virtual access to research infrastructure unit costs (if mentioned as eligible in the topic specific conditions)</t>
        </is>
      </c>
      <c r="B158" s="357" t="n"/>
      <c r="C158" s="248" t="n"/>
      <c r="D158" s="361">
        <f>B158*C158</f>
        <v/>
      </c>
    </row>
    <row r="159">
      <c r="A159" s="50" t="inlineStr">
        <is>
          <t>D.5 PCP/PPI procurement costs (if mentioned as eligible in the topic specific conditions)</t>
        </is>
      </c>
      <c r="B159" s="357" t="n"/>
      <c r="C159" s="248" t="n"/>
      <c r="D159" s="361">
        <f>B159*C159</f>
        <v/>
      </c>
    </row>
    <row r="160">
      <c r="A160" s="50" t="n"/>
      <c r="B160" s="346" t="n"/>
      <c r="C160" s="111" t="n"/>
      <c r="D160" s="365" t="n"/>
    </row>
    <row r="161">
      <c r="A161" s="52" t="inlineStr">
        <is>
          <t>TOTAL DIRECT PERSONNEL COSTS AND PURCHASE COSTS (A+C)</t>
        </is>
      </c>
      <c r="B161" s="369" t="n"/>
      <c r="C161" s="230" t="n"/>
      <c r="D161" s="360">
        <f>SUM(D132:D139,D143:D153)</f>
        <v/>
      </c>
    </row>
    <row r="162">
      <c r="A162" s="52" t="inlineStr">
        <is>
          <t>TOTAL DIRECT COSTS  (A+B+C+D)</t>
        </is>
      </c>
      <c r="B162" s="369" t="n"/>
      <c r="C162" s="230" t="n"/>
      <c r="D162" s="360">
        <f>SUM(D132:D159)</f>
        <v/>
      </c>
    </row>
    <row r="163">
      <c r="A163" s="180" t="n"/>
      <c r="B163" s="372" t="n"/>
      <c r="C163" s="176" t="n"/>
      <c r="D163" s="373" t="n"/>
    </row>
    <row r="164">
      <c r="A164" s="29" t="inlineStr">
        <is>
          <t>E. INDIRECT COSTS (25% * (A+C))</t>
        </is>
      </c>
      <c r="B164" s="358" t="n"/>
      <c r="C164" s="110" t="n"/>
      <c r="D164" s="360">
        <f>D161*0.25</f>
        <v/>
      </c>
    </row>
    <row r="165">
      <c r="A165" s="32" t="n"/>
      <c r="B165" s="372" t="n"/>
      <c r="C165" s="176" t="n"/>
      <c r="D165" s="377" t="n"/>
    </row>
    <row r="166">
      <c r="A166" s="29" t="inlineStr">
        <is>
          <t>F. TOTAL COSTS (A+B+C+D+E)</t>
        </is>
      </c>
      <c r="B166" s="369" t="n"/>
      <c r="C166" s="230" t="n"/>
      <c r="D166" s="360">
        <f>D162+D164</f>
        <v/>
      </c>
    </row>
    <row r="167">
      <c r="A167" s="182" t="n"/>
      <c r="B167" s="183" t="n"/>
      <c r="C167" s="184" t="n"/>
      <c r="D167" s="183" t="n"/>
    </row>
    <row r="168">
      <c r="A168" s="190" t="n"/>
      <c r="B168" s="185" t="n"/>
      <c r="C168" s="186" t="n"/>
      <c r="D168" s="187" t="n"/>
    </row>
    <row r="169" ht="21" customHeight="1">
      <c r="A169" s="272">
        <f>CONCATENATE("COSTS WORK PACKAGE 5:"," ","Health Models for Wind Turbine Components")</f>
        <v/>
      </c>
      <c r="B169" s="314" t="n"/>
      <c r="C169" s="314" t="n"/>
      <c r="D169" s="315" t="n"/>
    </row>
    <row r="170">
      <c r="A170" s="182" t="n"/>
      <c r="B170" s="191" t="n"/>
      <c r="C170" s="192" t="n"/>
      <c r="D170" s="191" t="n"/>
    </row>
    <row r="171">
      <c r="A171" s="29" t="inlineStr">
        <is>
          <t>A. DIRECT PERSONNEL COSTS</t>
        </is>
      </c>
      <c r="B171" s="30" t="n"/>
      <c r="C171" s="110" t="n"/>
      <c r="D171" s="354" t="n"/>
    </row>
    <row r="172">
      <c r="A172" s="28" t="inlineStr">
        <is>
          <t>A.1 Employees (or equivalent)</t>
        </is>
      </c>
      <c r="B172" s="89" t="n"/>
      <c r="C172" s="111" t="n"/>
      <c r="D172" s="355" t="n"/>
    </row>
    <row r="173">
      <c r="A173" s="48" t="inlineStr">
        <is>
          <t>SENIOR SCIENTISTS (or equivalent in the private sector)</t>
        </is>
      </c>
      <c r="B173" s="357" t="n"/>
      <c r="C173" s="248" t="n"/>
      <c r="D173" s="232">
        <f>B173*C173</f>
        <v/>
      </c>
    </row>
    <row r="174">
      <c r="A174" s="48" t="inlineStr">
        <is>
          <t>JUNIOR SCIENTISTS (or equivalent in the private sector)</t>
        </is>
      </c>
      <c r="B174" s="357" t="n"/>
      <c r="C174" s="248" t="n"/>
      <c r="D174" s="232">
        <f>B174*C174</f>
        <v/>
      </c>
    </row>
    <row r="175">
      <c r="A175" s="48" t="inlineStr">
        <is>
          <t>TECHNICAL PERSONNEL (or equivalent in the private sector)</t>
        </is>
      </c>
      <c r="B175" s="357" t="n"/>
      <c r="C175" s="248" t="n"/>
      <c r="D175" s="232">
        <f>B175*C175</f>
        <v/>
      </c>
    </row>
    <row r="176">
      <c r="A176" s="48" t="inlineStr">
        <is>
          <t>ADMINISTRATIVE PERSONNEL (or equivalent in the private sector)</t>
        </is>
      </c>
      <c r="B176" s="357" t="n"/>
      <c r="C176" s="248" t="n"/>
      <c r="D176" s="232">
        <f>B176*C176</f>
        <v/>
      </c>
    </row>
    <row r="177">
      <c r="A177" s="48" t="inlineStr">
        <is>
          <t>OTHERS</t>
        </is>
      </c>
      <c r="B177" s="357" t="n"/>
      <c r="C177" s="248" t="n"/>
      <c r="D177" s="232">
        <f>B177*C177</f>
        <v/>
      </c>
    </row>
    <row r="178">
      <c r="A178" s="28" t="inlineStr">
        <is>
          <t>A.2 Natural Persons under direct contract</t>
        </is>
      </c>
      <c r="B178" s="357" t="n"/>
      <c r="C178" s="248" t="n"/>
      <c r="D178" s="232">
        <f>B178*C178</f>
        <v/>
      </c>
    </row>
    <row r="179">
      <c r="A179" s="28" t="inlineStr">
        <is>
          <t>A.3 Seconded Persons</t>
        </is>
      </c>
      <c r="B179" s="357" t="n"/>
      <c r="C179" s="248" t="n"/>
      <c r="D179" s="232">
        <f>B179*C179</f>
        <v/>
      </c>
    </row>
    <row r="180">
      <c r="A180" s="28" t="inlineStr">
        <is>
          <t>A.4 SME owners and natural person beneficiaries</t>
        </is>
      </c>
      <c r="B180" s="357" t="n"/>
      <c r="C180" s="256" t="n">
        <v>8360.6024</v>
      </c>
      <c r="D180" s="232">
        <f>B180*C180</f>
        <v/>
      </c>
    </row>
    <row r="181">
      <c r="A181" s="29" t="inlineStr">
        <is>
          <t>B. DIRECT SUBCONTRACTING COSTS</t>
        </is>
      </c>
      <c r="B181" s="358" t="n"/>
      <c r="C181" s="110" t="n"/>
      <c r="D181" s="359" t="n"/>
    </row>
    <row r="182">
      <c r="A182" s="53" t="n"/>
      <c r="B182" s="357" t="n"/>
      <c r="C182" s="248" t="n"/>
      <c r="D182" s="361">
        <f>B182*C182</f>
        <v/>
      </c>
    </row>
    <row r="183">
      <c r="A183" s="29" t="inlineStr">
        <is>
          <t>C. DIRECT PURCHASE COSTS</t>
        </is>
      </c>
      <c r="B183" s="358" t="n"/>
      <c r="C183" s="110" t="n"/>
      <c r="D183" s="359" t="n"/>
    </row>
    <row r="184">
      <c r="A184" s="28" t="inlineStr">
        <is>
          <t>C.1 Travel and subsistence</t>
        </is>
      </c>
      <c r="B184" s="357" t="n"/>
      <c r="C184" s="248" t="n"/>
      <c r="D184" s="361">
        <f>B184*C184</f>
        <v/>
      </c>
    </row>
    <row r="185">
      <c r="A185" s="28" t="inlineStr">
        <is>
          <t>C.2 Equipment (complete 'Depreciation costs' sheet)</t>
        </is>
      </c>
      <c r="B185" s="346" t="n"/>
      <c r="C185" s="111" t="n"/>
      <c r="D185" s="364" t="n"/>
    </row>
    <row r="186">
      <c r="A186" s="49" t="inlineStr">
        <is>
          <t>Equipment</t>
        </is>
      </c>
      <c r="B186" s="357" t="n"/>
      <c r="C186" s="248" t="n"/>
      <c r="D186" s="361">
        <f>B186*C186</f>
        <v/>
      </c>
    </row>
    <row r="187">
      <c r="A187" s="49" t="inlineStr">
        <is>
          <t>Infrastructure</t>
        </is>
      </c>
      <c r="B187" s="357" t="n"/>
      <c r="C187" s="248" t="n"/>
      <c r="D187" s="361">
        <f>B187*C187</f>
        <v/>
      </c>
    </row>
    <row r="188">
      <c r="A188" s="49" t="inlineStr">
        <is>
          <t>Other assets</t>
        </is>
      </c>
      <c r="B188" s="357" t="n"/>
      <c r="C188" s="248" t="n"/>
      <c r="D188" s="361">
        <f>B188*C188</f>
        <v/>
      </c>
    </row>
    <row r="189">
      <c r="A189" s="28" t="inlineStr">
        <is>
          <t>C.3 Other goods, works and services</t>
        </is>
      </c>
      <c r="B189" s="346" t="n"/>
      <c r="C189" s="111" t="n"/>
      <c r="D189" s="364" t="n"/>
    </row>
    <row r="190">
      <c r="A190" s="49" t="inlineStr">
        <is>
          <t>Consumables</t>
        </is>
      </c>
      <c r="B190" s="357" t="n"/>
      <c r="C190" s="248" t="n"/>
      <c r="D190" s="361">
        <f>B190*C190</f>
        <v/>
      </c>
    </row>
    <row r="191">
      <c r="A191" s="49" t="inlineStr">
        <is>
          <t>Services for meetings, seminars</t>
        </is>
      </c>
      <c r="B191" s="357" t="n"/>
      <c r="C191" s="248" t="n"/>
      <c r="D191" s="361">
        <f>B191*C191</f>
        <v/>
      </c>
    </row>
    <row r="192">
      <c r="A192" s="49" t="inlineStr">
        <is>
          <t>Services for dissemination activities (including website)</t>
        </is>
      </c>
      <c r="B192" s="357" t="n"/>
      <c r="C192" s="248" t="n"/>
      <c r="D192" s="361">
        <f>B192*C192</f>
        <v/>
      </c>
    </row>
    <row r="193">
      <c r="A193" s="49" t="inlineStr">
        <is>
          <t>Publication fees</t>
        </is>
      </c>
      <c r="B193" s="357" t="n"/>
      <c r="C193" s="248" t="n"/>
      <c r="D193" s="361">
        <f>B193*C193</f>
        <v/>
      </c>
    </row>
    <row r="194">
      <c r="A194" s="49" t="inlineStr">
        <is>
          <t>Other (shipment, insurance, translation, etc.)</t>
        </is>
      </c>
      <c r="B194" s="357" t="n"/>
      <c r="C194" s="248" t="n"/>
      <c r="D194" s="361">
        <f>B194*C194</f>
        <v/>
      </c>
    </row>
    <row r="195">
      <c r="A195" s="29" t="inlineStr">
        <is>
          <t>D. OTHER COST CATEGORIES</t>
        </is>
      </c>
      <c r="B195" s="358" t="n"/>
      <c r="C195" s="110" t="n"/>
      <c r="D195" s="359" t="n"/>
    </row>
    <row r="196">
      <c r="A196" s="50" t="inlineStr">
        <is>
          <t>D.1 Financial support to third parties (if applicable in the topic specific conditions)</t>
        </is>
      </c>
      <c r="B196" s="357" t="n"/>
      <c r="C196" s="248" t="n"/>
      <c r="D196" s="361">
        <f>B196*C196</f>
        <v/>
      </c>
    </row>
    <row r="197">
      <c r="A197" s="50" t="inlineStr">
        <is>
          <t>D.2 Internally invoiced goods and services</t>
        </is>
      </c>
      <c r="B197" s="357" t="n"/>
      <c r="C197" s="248" t="n"/>
      <c r="D197" s="361">
        <f>B197*C197</f>
        <v/>
      </c>
    </row>
    <row r="198">
      <c r="A198" s="50" t="inlineStr">
        <is>
          <t>D.3 Transnational access to research infrastructure unit costs (if mentioned as eligible in the topic specific conditions)</t>
        </is>
      </c>
      <c r="B198" s="357" t="n"/>
      <c r="C198" s="248" t="n"/>
      <c r="D198" s="361">
        <f>B198*C198</f>
        <v/>
      </c>
    </row>
    <row r="199">
      <c r="A199" s="50" t="inlineStr">
        <is>
          <t>D.4 Virtual access to research infrastructure unit costs (if mentioned as eligible in the topic specific conditions)</t>
        </is>
      </c>
      <c r="B199" s="357" t="n"/>
      <c r="C199" s="248" t="n"/>
      <c r="D199" s="361">
        <f>B199*C199</f>
        <v/>
      </c>
    </row>
    <row r="200">
      <c r="A200" s="50" t="inlineStr">
        <is>
          <t>D.5 PCP/PPI procurement costs (if mentioned as eligible in the topic specific conditions)</t>
        </is>
      </c>
      <c r="B200" s="357" t="n"/>
      <c r="C200" s="248" t="n"/>
      <c r="D200" s="361">
        <f>B200*C200</f>
        <v/>
      </c>
    </row>
    <row r="201">
      <c r="A201" s="50" t="n"/>
      <c r="B201" s="346" t="n"/>
      <c r="C201" s="111" t="n"/>
      <c r="D201" s="365" t="n"/>
    </row>
    <row r="202">
      <c r="A202" s="52" t="inlineStr">
        <is>
          <t>TOTAL DIRECT PERSONNEL COSTS AND PURCHASE COSTS (A+C)</t>
        </is>
      </c>
      <c r="B202" s="369" t="n"/>
      <c r="C202" s="230" t="n"/>
      <c r="D202" s="360">
        <f>SUM(D173:D180,D184:D194)</f>
        <v/>
      </c>
    </row>
    <row r="203">
      <c r="A203" s="52" t="inlineStr">
        <is>
          <t>TOTAL DIRECT COSTS  (A+B+C+D)</t>
        </is>
      </c>
      <c r="B203" s="369" t="n"/>
      <c r="C203" s="230" t="n"/>
      <c r="D203" s="360">
        <f>SUM(D173:D200)</f>
        <v/>
      </c>
    </row>
    <row r="204">
      <c r="A204" s="180" t="n"/>
      <c r="B204" s="372" t="n"/>
      <c r="C204" s="176" t="n"/>
      <c r="D204" s="373" t="n"/>
    </row>
    <row r="205">
      <c r="A205" s="29" t="inlineStr">
        <is>
          <t>E. INDIRECT COSTS (25% * (A+C))</t>
        </is>
      </c>
      <c r="B205" s="358" t="n"/>
      <c r="C205" s="110" t="n"/>
      <c r="D205" s="360">
        <f>D202*0.25</f>
        <v/>
      </c>
    </row>
    <row r="206">
      <c r="A206" s="32" t="n"/>
      <c r="B206" s="372" t="n"/>
      <c r="C206" s="176" t="n"/>
      <c r="D206" s="377" t="n"/>
    </row>
    <row r="207">
      <c r="A207" s="29" t="inlineStr">
        <is>
          <t>F. TOTAL COSTS (A+B+C+D+E)</t>
        </is>
      </c>
      <c r="B207" s="369" t="n"/>
      <c r="C207" s="230" t="n"/>
      <c r="D207" s="360">
        <f>D203+D205</f>
        <v/>
      </c>
    </row>
    <row r="208">
      <c r="A208" s="182" t="n"/>
      <c r="B208" s="183" t="n"/>
      <c r="C208" s="184" t="n"/>
      <c r="D208" s="183" t="n"/>
    </row>
    <row r="209">
      <c r="A209" s="190" t="n"/>
      <c r="B209" s="185" t="n"/>
      <c r="C209" s="186" t="n"/>
      <c r="D209" s="187" t="n"/>
    </row>
    <row r="210" ht="21" customHeight="1">
      <c r="A210" s="272">
        <f>CONCATENATE("COSTS WORK PACKAGE 6:"," ","Advanced Condition Health Monitoring and Prediction")</f>
        <v/>
      </c>
      <c r="B210" s="314" t="n"/>
      <c r="C210" s="314" t="n"/>
      <c r="D210" s="315" t="n"/>
    </row>
    <row r="211">
      <c r="A211" s="182" t="n"/>
      <c r="B211" s="191" t="n"/>
      <c r="C211" s="192" t="n"/>
      <c r="D211" s="191" t="n"/>
    </row>
    <row r="212">
      <c r="A212" s="29" t="inlineStr">
        <is>
          <t>A. DIRECT PERSONNEL COSTS</t>
        </is>
      </c>
      <c r="B212" s="30" t="n"/>
      <c r="C212" s="110" t="n"/>
      <c r="D212" s="354" t="n"/>
    </row>
    <row r="213">
      <c r="A213" s="28" t="inlineStr">
        <is>
          <t>A.1 Employees (or equivalent)</t>
        </is>
      </c>
      <c r="B213" s="89" t="n"/>
      <c r="C213" s="111" t="n"/>
      <c r="D213" s="355" t="n"/>
    </row>
    <row r="214">
      <c r="A214" s="48" t="inlineStr">
        <is>
          <t>SENIOR SCIENTISTS (or equivalent in the private sector)</t>
        </is>
      </c>
      <c r="B214" s="357" t="n">
        <v>2</v>
      </c>
      <c r="C214" s="248" t="n">
        <v>5000</v>
      </c>
      <c r="D214" s="232">
        <f>B214*C214</f>
        <v/>
      </c>
    </row>
    <row r="215">
      <c r="A215" s="48" t="inlineStr">
        <is>
          <t>JUNIOR SCIENTISTS (or equivalent in the private sector)</t>
        </is>
      </c>
      <c r="B215" s="357" t="n"/>
      <c r="C215" s="248" t="n"/>
      <c r="D215" s="232">
        <f>B215*C215</f>
        <v/>
      </c>
    </row>
    <row r="216">
      <c r="A216" s="48" t="inlineStr">
        <is>
          <t>TECHNICAL PERSONNEL (or equivalent in the private sector)</t>
        </is>
      </c>
      <c r="B216" s="357" t="n"/>
      <c r="C216" s="248" t="n"/>
      <c r="D216" s="232">
        <f>B216*C216</f>
        <v/>
      </c>
    </row>
    <row r="217">
      <c r="A217" s="48" t="inlineStr">
        <is>
          <t>ADMINISTRATIVE PERSONNEL (or equivalent in the private sector)</t>
        </is>
      </c>
      <c r="B217" s="357" t="n"/>
      <c r="C217" s="248" t="n"/>
      <c r="D217" s="232">
        <f>B217*C217</f>
        <v/>
      </c>
    </row>
    <row r="218">
      <c r="A218" s="48" t="inlineStr">
        <is>
          <t>OTHERS</t>
        </is>
      </c>
      <c r="B218" s="357" t="n"/>
      <c r="C218" s="248" t="n"/>
      <c r="D218" s="232">
        <f>B218*C218</f>
        <v/>
      </c>
    </row>
    <row r="219">
      <c r="A219" s="28" t="inlineStr">
        <is>
          <t>A.2 Natural Persons under direct contract</t>
        </is>
      </c>
      <c r="B219" s="357" t="n"/>
      <c r="C219" s="248" t="n"/>
      <c r="D219" s="232">
        <f>B219*C219</f>
        <v/>
      </c>
    </row>
    <row r="220">
      <c r="A220" s="28" t="inlineStr">
        <is>
          <t>A.3 Seconded Persons</t>
        </is>
      </c>
      <c r="B220" s="357" t="n"/>
      <c r="C220" s="248" t="n"/>
      <c r="D220" s="232">
        <f>B220*C220</f>
        <v/>
      </c>
    </row>
    <row r="221">
      <c r="A221" s="28" t="inlineStr">
        <is>
          <t>A.4 SME owners and natural person beneficiaries</t>
        </is>
      </c>
      <c r="B221" s="357" t="n"/>
      <c r="C221" s="256" t="n">
        <v>8360.6024</v>
      </c>
      <c r="D221" s="232">
        <f>B221*C221</f>
        <v/>
      </c>
    </row>
    <row r="222">
      <c r="A222" s="29" t="inlineStr">
        <is>
          <t>B. DIRECT SUBCONTRACTING COSTS</t>
        </is>
      </c>
      <c r="B222" s="358" t="n"/>
      <c r="C222" s="110" t="n"/>
      <c r="D222" s="359" t="n"/>
    </row>
    <row r="223">
      <c r="A223" s="53" t="n"/>
      <c r="B223" s="357" t="n"/>
      <c r="C223" s="248" t="n"/>
      <c r="D223" s="361">
        <f>B223*C223</f>
        <v/>
      </c>
    </row>
    <row r="224">
      <c r="A224" s="29" t="inlineStr">
        <is>
          <t>C. DIRECT PURCHASE COSTS</t>
        </is>
      </c>
      <c r="B224" s="358" t="n"/>
      <c r="C224" s="110" t="n"/>
      <c r="D224" s="359" t="n"/>
    </row>
    <row r="225">
      <c r="A225" s="28" t="inlineStr">
        <is>
          <t>C.1 Travel and subsistence</t>
        </is>
      </c>
      <c r="B225" s="357" t="n"/>
      <c r="C225" s="248" t="n"/>
      <c r="D225" s="361">
        <f>B225*C225</f>
        <v/>
      </c>
    </row>
    <row r="226">
      <c r="A226" s="28" t="inlineStr">
        <is>
          <t>C.2 Equipment (complete 'Depreciation costs' sheet)</t>
        </is>
      </c>
      <c r="B226" s="346" t="n"/>
      <c r="C226" s="111" t="n"/>
      <c r="D226" s="364" t="n"/>
    </row>
    <row r="227">
      <c r="A227" s="49" t="inlineStr">
        <is>
          <t>Equipment</t>
        </is>
      </c>
      <c r="B227" s="357" t="n"/>
      <c r="C227" s="248" t="n"/>
      <c r="D227" s="361">
        <f>B227*C227</f>
        <v/>
      </c>
    </row>
    <row r="228">
      <c r="A228" s="49" t="inlineStr">
        <is>
          <t>Infrastructure</t>
        </is>
      </c>
      <c r="B228" s="357" t="n"/>
      <c r="C228" s="248" t="n"/>
      <c r="D228" s="361">
        <f>B228*C228</f>
        <v/>
      </c>
    </row>
    <row r="229">
      <c r="A229" s="49" t="inlineStr">
        <is>
          <t>Other assets</t>
        </is>
      </c>
      <c r="B229" s="357" t="n"/>
      <c r="C229" s="248" t="n"/>
      <c r="D229" s="361">
        <f>B229*C229</f>
        <v/>
      </c>
    </row>
    <row r="230">
      <c r="A230" s="28" t="inlineStr">
        <is>
          <t>C.3 Other goods, works and services</t>
        </is>
      </c>
      <c r="B230" s="346" t="n"/>
      <c r="C230" s="111" t="n"/>
      <c r="D230" s="364" t="n"/>
    </row>
    <row r="231">
      <c r="A231" s="49" t="inlineStr">
        <is>
          <t>Consumables</t>
        </is>
      </c>
      <c r="B231" s="357" t="n"/>
      <c r="C231" s="248" t="n"/>
      <c r="D231" s="361">
        <f>B231*C231</f>
        <v/>
      </c>
    </row>
    <row r="232">
      <c r="A232" s="49" t="inlineStr">
        <is>
          <t>Services for meetings, seminars</t>
        </is>
      </c>
      <c r="B232" s="357" t="n"/>
      <c r="C232" s="248" t="n"/>
      <c r="D232" s="361">
        <f>B232*C232</f>
        <v/>
      </c>
    </row>
    <row r="233">
      <c r="A233" s="49" t="inlineStr">
        <is>
          <t>Services for dissemination activities (including website)</t>
        </is>
      </c>
      <c r="B233" s="357" t="n"/>
      <c r="C233" s="248" t="n"/>
      <c r="D233" s="361">
        <f>B233*C233</f>
        <v/>
      </c>
    </row>
    <row r="234">
      <c r="A234" s="49" t="inlineStr">
        <is>
          <t>Publication fees</t>
        </is>
      </c>
      <c r="B234" s="357" t="n"/>
      <c r="C234" s="248" t="n"/>
      <c r="D234" s="361">
        <f>B234*C234</f>
        <v/>
      </c>
    </row>
    <row r="235">
      <c r="A235" s="49" t="inlineStr">
        <is>
          <t>Other (shipment, insurance, translation, etc.)</t>
        </is>
      </c>
      <c r="B235" s="357" t="n"/>
      <c r="C235" s="248" t="n"/>
      <c r="D235" s="361">
        <f>B235*C235</f>
        <v/>
      </c>
    </row>
    <row r="236">
      <c r="A236" s="29" t="inlineStr">
        <is>
          <t>D. OTHER COST CATEGORIES</t>
        </is>
      </c>
      <c r="B236" s="358" t="n"/>
      <c r="C236" s="110" t="n"/>
      <c r="D236" s="359" t="n"/>
    </row>
    <row r="237">
      <c r="A237" s="50" t="inlineStr">
        <is>
          <t>D.1 Financial support to third parties (if applicable in the topic specific conditions)</t>
        </is>
      </c>
      <c r="B237" s="357" t="n"/>
      <c r="C237" s="248" t="n"/>
      <c r="D237" s="361">
        <f>B237*C237</f>
        <v/>
      </c>
    </row>
    <row r="238">
      <c r="A238" s="50" t="inlineStr">
        <is>
          <t>D.2 Internally invoiced goods and services</t>
        </is>
      </c>
      <c r="B238" s="357" t="n"/>
      <c r="C238" s="248" t="n"/>
      <c r="D238" s="361">
        <f>B238*C238</f>
        <v/>
      </c>
    </row>
    <row r="239">
      <c r="A239" s="50" t="inlineStr">
        <is>
          <t>D.3 Transnational access to research infrastructure unit costs (if mentioned as eligible in the topic specific conditions)</t>
        </is>
      </c>
      <c r="B239" s="357" t="n"/>
      <c r="C239" s="248" t="n"/>
      <c r="D239" s="361">
        <f>B239*C239</f>
        <v/>
      </c>
    </row>
    <row r="240">
      <c r="A240" s="50" t="inlineStr">
        <is>
          <t>D.4 Virtual access to research infrastructure unit costs (if mentioned as eligible in the topic specific conditions)</t>
        </is>
      </c>
      <c r="B240" s="357" t="n"/>
      <c r="C240" s="248" t="n"/>
      <c r="D240" s="361">
        <f>B240*C240</f>
        <v/>
      </c>
    </row>
    <row r="241">
      <c r="A241" s="50" t="inlineStr">
        <is>
          <t>D.5 PCP/PPI procurement costs (if mentioned as eligible in the topic specific conditions)</t>
        </is>
      </c>
      <c r="B241" s="357" t="n"/>
      <c r="C241" s="248" t="n"/>
      <c r="D241" s="361">
        <f>B241*C241</f>
        <v/>
      </c>
    </row>
    <row r="242">
      <c r="A242" s="50" t="n"/>
      <c r="B242" s="346" t="n"/>
      <c r="C242" s="111" t="n"/>
      <c r="D242" s="365" t="n"/>
    </row>
    <row r="243">
      <c r="A243" s="52" t="inlineStr">
        <is>
          <t>TOTAL DIRECT PERSONNEL COSTS AND PURCHASE COSTS (A+C)</t>
        </is>
      </c>
      <c r="B243" s="369" t="n"/>
      <c r="C243" s="230" t="n"/>
      <c r="D243" s="360">
        <f>SUM(D214:D221,D225:D235)</f>
        <v/>
      </c>
    </row>
    <row r="244">
      <c r="A244" s="52" t="inlineStr">
        <is>
          <t>TOTAL DIRECT COSTS  (A+B+C+D)</t>
        </is>
      </c>
      <c r="B244" s="369" t="n"/>
      <c r="C244" s="230" t="n"/>
      <c r="D244" s="360">
        <f>SUM(D214:D241)</f>
        <v/>
      </c>
    </row>
    <row r="245">
      <c r="A245" s="180" t="n"/>
      <c r="B245" s="372" t="n"/>
      <c r="C245" s="176" t="n"/>
      <c r="D245" s="373" t="n"/>
    </row>
    <row r="246">
      <c r="A246" s="29" t="inlineStr">
        <is>
          <t>E. INDIRECT COSTS (25% * (A+C))</t>
        </is>
      </c>
      <c r="B246" s="358" t="n"/>
      <c r="C246" s="110" t="n"/>
      <c r="D246" s="360">
        <f>D243*0.25</f>
        <v/>
      </c>
    </row>
    <row r="247">
      <c r="A247" s="32" t="n"/>
      <c r="B247" s="372" t="n"/>
      <c r="C247" s="176" t="n"/>
      <c r="D247" s="377" t="n"/>
    </row>
    <row r="248">
      <c r="A248" s="29" t="inlineStr">
        <is>
          <t>F. TOTAL COSTS (A+B+C+D+E)</t>
        </is>
      </c>
      <c r="B248" s="369" t="n"/>
      <c r="C248" s="230" t="n"/>
      <c r="D248" s="360">
        <f>D244+D246</f>
        <v/>
      </c>
    </row>
    <row r="249">
      <c r="A249" s="182" t="n"/>
      <c r="B249" s="183" t="n"/>
      <c r="C249" s="184" t="n"/>
      <c r="D249" s="183" t="n"/>
    </row>
    <row r="250">
      <c r="A250" s="190" t="n"/>
      <c r="B250" s="185" t="n"/>
      <c r="C250" s="186" t="n"/>
      <c r="D250" s="187" t="n"/>
    </row>
    <row r="251" ht="21" customHeight="1">
      <c r="A251" s="272">
        <f>CONCATENATE("COSTS WORK PACKAGE 7:"," ","Data Collection, Knowledge Access and Model Evaluation")</f>
        <v/>
      </c>
      <c r="B251" s="314" t="n"/>
      <c r="C251" s="314" t="n"/>
      <c r="D251" s="315" t="n"/>
    </row>
    <row r="252">
      <c r="A252" s="182" t="n"/>
      <c r="B252" s="191" t="n"/>
      <c r="C252" s="192" t="n"/>
      <c r="D252" s="191" t="n"/>
    </row>
    <row r="253">
      <c r="A253" s="29" t="inlineStr">
        <is>
          <t>A. DIRECT PERSONNEL COSTS</t>
        </is>
      </c>
      <c r="B253" s="30" t="n"/>
      <c r="C253" s="110" t="n"/>
      <c r="D253" s="354" t="n"/>
    </row>
    <row r="254">
      <c r="A254" s="28" t="inlineStr">
        <is>
          <t>A.1 Employees (or equivalent)</t>
        </is>
      </c>
      <c r="B254" s="89" t="n"/>
      <c r="C254" s="111" t="n"/>
      <c r="D254" s="355" t="n"/>
    </row>
    <row r="255">
      <c r="A255" s="48" t="inlineStr">
        <is>
          <t>SENIOR SCIENTISTS (or equivalent in the private sector)</t>
        </is>
      </c>
      <c r="B255" s="357" t="n">
        <v>13</v>
      </c>
      <c r="C255" s="248" t="n">
        <v>5000</v>
      </c>
      <c r="D255" s="232">
        <f>B255*C255</f>
        <v/>
      </c>
    </row>
    <row r="256">
      <c r="A256" s="48" t="inlineStr">
        <is>
          <t>JUNIOR SCIENTISTS (or equivalent in the private sector)</t>
        </is>
      </c>
      <c r="B256" s="357" t="n">
        <v>14</v>
      </c>
      <c r="C256" s="248" t="n">
        <v>3500</v>
      </c>
      <c r="D256" s="232">
        <f>B256*C256</f>
        <v/>
      </c>
    </row>
    <row r="257">
      <c r="A257" s="48" t="inlineStr">
        <is>
          <t>TECHNICAL PERSONNEL (or equivalent in the private sector)</t>
        </is>
      </c>
      <c r="B257" s="357" t="n">
        <v>6</v>
      </c>
      <c r="C257" s="248" t="n">
        <v>4100</v>
      </c>
      <c r="D257" s="232">
        <f>B257*C257</f>
        <v/>
      </c>
    </row>
    <row r="258">
      <c r="A258" s="48" t="inlineStr">
        <is>
          <t>ADMINISTRATIVE PERSONNEL (or equivalent in the private sector)</t>
        </is>
      </c>
      <c r="B258" s="357" t="n">
        <v>2</v>
      </c>
      <c r="C258" s="248" t="n">
        <v>3000</v>
      </c>
      <c r="D258" s="232">
        <f>B258*C258</f>
        <v/>
      </c>
    </row>
    <row r="259">
      <c r="A259" s="48" t="inlineStr">
        <is>
          <t>OTHERS</t>
        </is>
      </c>
      <c r="B259" s="357" t="n"/>
      <c r="C259" s="248" t="n"/>
      <c r="D259" s="232">
        <f>B259*C259</f>
        <v/>
      </c>
    </row>
    <row r="260">
      <c r="A260" s="28" t="inlineStr">
        <is>
          <t>A.2 Natural Persons under direct contract</t>
        </is>
      </c>
      <c r="B260" s="357" t="n"/>
      <c r="C260" s="248" t="n"/>
      <c r="D260" s="232">
        <f>B260*C260</f>
        <v/>
      </c>
    </row>
    <row r="261">
      <c r="A261" s="28" t="inlineStr">
        <is>
          <t>A.3 Seconded Persons</t>
        </is>
      </c>
      <c r="B261" s="357" t="n"/>
      <c r="C261" s="248" t="n"/>
      <c r="D261" s="232">
        <f>B261*C261</f>
        <v/>
      </c>
    </row>
    <row r="262">
      <c r="A262" s="28" t="inlineStr">
        <is>
          <t>A.4 SME owners and natural person beneficiaries</t>
        </is>
      </c>
      <c r="B262" s="357" t="n"/>
      <c r="C262" s="256" t="n">
        <v>8360.6024</v>
      </c>
      <c r="D262" s="232">
        <f>B262*C262</f>
        <v/>
      </c>
    </row>
    <row r="263">
      <c r="A263" s="29" t="inlineStr">
        <is>
          <t>B. DIRECT SUBCONTRACTING COSTS</t>
        </is>
      </c>
      <c r="B263" s="358" t="n"/>
      <c r="C263" s="110" t="n"/>
      <c r="D263" s="359" t="n"/>
    </row>
    <row r="264">
      <c r="A264" s="53" t="n"/>
      <c r="B264" s="357" t="n"/>
      <c r="C264" s="248" t="n"/>
      <c r="D264" s="361">
        <f>B264*C264</f>
        <v/>
      </c>
    </row>
    <row r="265">
      <c r="A265" s="29" t="inlineStr">
        <is>
          <t>C. DIRECT PURCHASE COSTS</t>
        </is>
      </c>
      <c r="B265" s="358" t="n"/>
      <c r="C265" s="110" t="n"/>
      <c r="D265" s="359" t="n"/>
    </row>
    <row r="266">
      <c r="A266" s="28" t="inlineStr">
        <is>
          <t>C.1 Travel and subsistence</t>
        </is>
      </c>
      <c r="B266" s="357" t="n"/>
      <c r="C266" s="248" t="n"/>
      <c r="D266" s="361">
        <f>B266*C266</f>
        <v/>
      </c>
    </row>
    <row r="267">
      <c r="A267" s="28" t="inlineStr">
        <is>
          <t>C.2 Equipment (complete 'Depreciation costs' sheet)</t>
        </is>
      </c>
      <c r="B267" s="346" t="n"/>
      <c r="C267" s="111" t="n"/>
      <c r="D267" s="364" t="n"/>
    </row>
    <row r="268">
      <c r="A268" s="49" t="inlineStr">
        <is>
          <t>Equipment</t>
        </is>
      </c>
      <c r="B268" s="357" t="n"/>
      <c r="C268" s="248" t="n"/>
      <c r="D268" s="361">
        <f>B268*C268</f>
        <v/>
      </c>
    </row>
    <row r="269">
      <c r="A269" s="49" t="inlineStr">
        <is>
          <t>Infrastructure</t>
        </is>
      </c>
      <c r="B269" s="357" t="n"/>
      <c r="C269" s="248" t="n"/>
      <c r="D269" s="361">
        <f>B269*C269</f>
        <v/>
      </c>
    </row>
    <row r="270">
      <c r="A270" s="49" t="inlineStr">
        <is>
          <t>Other assets</t>
        </is>
      </c>
      <c r="B270" s="357" t="n"/>
      <c r="C270" s="248" t="n"/>
      <c r="D270" s="361">
        <f>B270*C270</f>
        <v/>
      </c>
    </row>
    <row r="271">
      <c r="A271" s="28" t="inlineStr">
        <is>
          <t>C.3 Other goods, works and services</t>
        </is>
      </c>
      <c r="B271" s="346" t="n"/>
      <c r="C271" s="111" t="n"/>
      <c r="D271" s="364" t="n"/>
    </row>
    <row r="272">
      <c r="A272" s="49" t="inlineStr">
        <is>
          <t>Consumables</t>
        </is>
      </c>
      <c r="B272" s="357" t="n">
        <v>6</v>
      </c>
      <c r="C272" s="248" t="n">
        <v>3000</v>
      </c>
      <c r="D272" s="361">
        <f>B272*C272</f>
        <v/>
      </c>
    </row>
    <row r="273">
      <c r="A273" s="49" t="inlineStr">
        <is>
          <t>Services for meetings, seminars</t>
        </is>
      </c>
      <c r="B273" s="357" t="n"/>
      <c r="C273" s="248" t="n"/>
      <c r="D273" s="361">
        <f>B273*C273</f>
        <v/>
      </c>
    </row>
    <row r="274">
      <c r="A274" s="49" t="inlineStr">
        <is>
          <t>Services for dissemination activities (including website)</t>
        </is>
      </c>
      <c r="B274" s="357" t="n"/>
      <c r="C274" s="248" t="n"/>
      <c r="D274" s="361">
        <f>B274*C274</f>
        <v/>
      </c>
    </row>
    <row r="275">
      <c r="A275" s="49" t="inlineStr">
        <is>
          <t>Publication fees</t>
        </is>
      </c>
      <c r="B275" s="357" t="n"/>
      <c r="C275" s="248" t="n"/>
      <c r="D275" s="361">
        <f>B275*C275</f>
        <v/>
      </c>
    </row>
    <row r="276">
      <c r="A276" s="49" t="inlineStr">
        <is>
          <t>Other (shipment, insurance, translation, etc.)</t>
        </is>
      </c>
      <c r="B276" s="357" t="n"/>
      <c r="C276" s="248" t="n"/>
      <c r="D276" s="361">
        <f>B276*C276</f>
        <v/>
      </c>
    </row>
    <row r="277">
      <c r="A277" s="29" t="inlineStr">
        <is>
          <t>D. OTHER COST CATEGORIES</t>
        </is>
      </c>
      <c r="B277" s="358" t="n"/>
      <c r="C277" s="110" t="n"/>
      <c r="D277" s="359" t="n"/>
    </row>
    <row r="278">
      <c r="A278" s="50" t="inlineStr">
        <is>
          <t>D.1 Financial support to third parties (if applicable in the topic specific conditions)</t>
        </is>
      </c>
      <c r="B278" s="357" t="n"/>
      <c r="C278" s="248" t="n"/>
      <c r="D278" s="361">
        <f>B278*C278</f>
        <v/>
      </c>
    </row>
    <row r="279">
      <c r="A279" s="50" t="inlineStr">
        <is>
          <t>D.2 Internally invoiced goods and services</t>
        </is>
      </c>
      <c r="B279" s="357" t="n"/>
      <c r="C279" s="248" t="n"/>
      <c r="D279" s="361">
        <f>B279*C279</f>
        <v/>
      </c>
    </row>
    <row r="280">
      <c r="A280" s="50" t="inlineStr">
        <is>
          <t>D.3 Transnational access to research infrastructure unit costs (if mentioned as eligible in the topic specific conditions)</t>
        </is>
      </c>
      <c r="B280" s="357" t="n"/>
      <c r="C280" s="248" t="n"/>
      <c r="D280" s="361">
        <f>B280*C280</f>
        <v/>
      </c>
    </row>
    <row r="281">
      <c r="A281" s="50" t="inlineStr">
        <is>
          <t>D.4 Virtual access to research infrastructure unit costs (if mentioned as eligible in the topic specific conditions)</t>
        </is>
      </c>
      <c r="B281" s="357" t="n"/>
      <c r="C281" s="248" t="n"/>
      <c r="D281" s="361">
        <f>B281*C281</f>
        <v/>
      </c>
    </row>
    <row r="282">
      <c r="A282" s="50" t="inlineStr">
        <is>
          <t>D.5 PCP/PPI procurement costs (if mentioned as eligible in the topic specific conditions)</t>
        </is>
      </c>
      <c r="B282" s="357" t="n"/>
      <c r="C282" s="248" t="n"/>
      <c r="D282" s="361">
        <f>B282*C282</f>
        <v/>
      </c>
    </row>
    <row r="283">
      <c r="A283" s="50" t="n"/>
      <c r="B283" s="346" t="n"/>
      <c r="C283" s="111" t="n"/>
      <c r="D283" s="365" t="n"/>
    </row>
    <row r="284">
      <c r="A284" s="52" t="inlineStr">
        <is>
          <t>TOTAL DIRECT PERSONNEL COSTS AND PURCHASE COSTS (A+C)</t>
        </is>
      </c>
      <c r="B284" s="369" t="n"/>
      <c r="C284" s="230" t="n"/>
      <c r="D284" s="360">
        <f>SUM(D255:D262,D266:D276)</f>
        <v/>
      </c>
    </row>
    <row r="285">
      <c r="A285" s="52" t="inlineStr">
        <is>
          <t>TOTAL DIRECT COSTS  (A+B+C+D)</t>
        </is>
      </c>
      <c r="B285" s="369" t="n"/>
      <c r="C285" s="230" t="n"/>
      <c r="D285" s="360">
        <f>SUM(D255:D282)</f>
        <v/>
      </c>
    </row>
    <row r="286">
      <c r="A286" s="180" t="n"/>
      <c r="B286" s="372" t="n"/>
      <c r="C286" s="176" t="n"/>
      <c r="D286" s="373" t="n"/>
    </row>
    <row r="287">
      <c r="A287" s="29" t="inlineStr">
        <is>
          <t>E. INDIRECT COSTS (25% * (A+C))</t>
        </is>
      </c>
      <c r="B287" s="358" t="n"/>
      <c r="C287" s="110" t="n"/>
      <c r="D287" s="360">
        <f>D284*0.25</f>
        <v/>
      </c>
    </row>
    <row r="288">
      <c r="A288" s="32" t="n"/>
      <c r="B288" s="372" t="n"/>
      <c r="C288" s="176" t="n"/>
      <c r="D288" s="377" t="n"/>
    </row>
    <row r="289">
      <c r="A289" s="29" t="inlineStr">
        <is>
          <t>F. TOTAL COSTS (A+B+C+D+E)</t>
        </is>
      </c>
      <c r="B289" s="369" t="n"/>
      <c r="C289" s="230" t="n"/>
      <c r="D289" s="360">
        <f>D285+D287</f>
        <v/>
      </c>
    </row>
    <row r="290">
      <c r="A290" s="182" t="n"/>
      <c r="B290" s="183" t="n"/>
      <c r="C290" s="184" t="n"/>
      <c r="D290" s="183" t="n"/>
    </row>
    <row r="291">
      <c r="A291" s="190" t="n"/>
      <c r="B291" s="185" t="n"/>
      <c r="C291" s="186" t="n"/>
      <c r="D291" s="187" t="n"/>
    </row>
    <row r="292" ht="21" customHeight="1">
      <c r="A292" s="272">
        <f>CONCATENATE("COSTS WORK PACKAGE 8:"," ","Agentic Workflow Development, Integration and Validation")</f>
        <v/>
      </c>
      <c r="B292" s="314" t="n"/>
      <c r="C292" s="314" t="n"/>
      <c r="D292" s="315" t="n"/>
    </row>
    <row r="293">
      <c r="A293" s="182" t="n"/>
      <c r="B293" s="191" t="n"/>
      <c r="C293" s="192" t="n"/>
      <c r="D293" s="191" t="n"/>
    </row>
    <row r="294">
      <c r="A294" s="29" t="inlineStr">
        <is>
          <t>A. DIRECT PERSONNEL COSTS</t>
        </is>
      </c>
      <c r="B294" s="30" t="n"/>
      <c r="C294" s="110" t="n"/>
      <c r="D294" s="354" t="n"/>
    </row>
    <row r="295">
      <c r="A295" s="28" t="inlineStr">
        <is>
          <t>A.1 Employees (or equivalent)</t>
        </is>
      </c>
      <c r="B295" s="89" t="n"/>
      <c r="C295" s="111" t="n"/>
      <c r="D295" s="355" t="n"/>
    </row>
    <row r="296">
      <c r="A296" s="48" t="inlineStr">
        <is>
          <t>SENIOR SCIENTISTS (or equivalent in the private sector)</t>
        </is>
      </c>
      <c r="B296" s="357" t="n">
        <v>11</v>
      </c>
      <c r="C296" s="248" t="n">
        <v>5000</v>
      </c>
      <c r="D296" s="232">
        <f>B296*C296</f>
        <v/>
      </c>
    </row>
    <row r="297">
      <c r="A297" s="48" t="inlineStr">
        <is>
          <t>JUNIOR SCIENTISTS (or equivalent in the private sector)</t>
        </is>
      </c>
      <c r="B297" s="357" t="n">
        <v>10</v>
      </c>
      <c r="C297" s="248" t="n">
        <v>3500</v>
      </c>
      <c r="D297" s="232">
        <f>B297*C297</f>
        <v/>
      </c>
    </row>
    <row r="298">
      <c r="A298" s="48" t="inlineStr">
        <is>
          <t>TECHNICAL PERSONNEL (or equivalent in the private sector)</t>
        </is>
      </c>
      <c r="B298" s="357" t="n">
        <v>10</v>
      </c>
      <c r="C298" s="248" t="n">
        <v>4100</v>
      </c>
      <c r="D298" s="232">
        <f>B298*C298</f>
        <v/>
      </c>
    </row>
    <row r="299">
      <c r="A299" s="48" t="inlineStr">
        <is>
          <t>ADMINISTRATIVE PERSONNEL (or equivalent in the private sector)</t>
        </is>
      </c>
      <c r="B299" s="357" t="n">
        <v>2</v>
      </c>
      <c r="C299" s="248" t="n">
        <v>3000</v>
      </c>
      <c r="D299" s="232">
        <f>B299*C299</f>
        <v/>
      </c>
    </row>
    <row r="300">
      <c r="A300" s="48" t="inlineStr">
        <is>
          <t>OTHERS</t>
        </is>
      </c>
      <c r="B300" s="357" t="n"/>
      <c r="C300" s="248" t="n"/>
      <c r="D300" s="232">
        <f>B300*C300</f>
        <v/>
      </c>
    </row>
    <row r="301">
      <c r="A301" s="28" t="inlineStr">
        <is>
          <t>A.2 Natural Persons under direct contract</t>
        </is>
      </c>
      <c r="B301" s="357" t="n"/>
      <c r="C301" s="248" t="n"/>
      <c r="D301" s="232">
        <f>B301*C301</f>
        <v/>
      </c>
    </row>
    <row r="302">
      <c r="A302" s="28" t="inlineStr">
        <is>
          <t>A.3 Seconded Persons</t>
        </is>
      </c>
      <c r="B302" s="357" t="n"/>
      <c r="C302" s="248" t="n"/>
      <c r="D302" s="232">
        <f>B302*C302</f>
        <v/>
      </c>
    </row>
    <row r="303">
      <c r="A303" s="28" t="inlineStr">
        <is>
          <t>A.4 SME owners and natural person beneficiaries</t>
        </is>
      </c>
      <c r="B303" s="357" t="n"/>
      <c r="C303" s="256" t="n">
        <v>8360.6024</v>
      </c>
      <c r="D303" s="232">
        <f>B303*C303</f>
        <v/>
      </c>
    </row>
    <row r="304">
      <c r="A304" s="29" t="inlineStr">
        <is>
          <t>B. DIRECT SUBCONTRACTING COSTS</t>
        </is>
      </c>
      <c r="B304" s="358" t="n"/>
      <c r="C304" s="110" t="n"/>
      <c r="D304" s="359" t="n"/>
    </row>
    <row r="305">
      <c r="A305" s="53" t="n"/>
      <c r="B305" s="357" t="n"/>
      <c r="C305" s="248" t="n"/>
      <c r="D305" s="361">
        <f>B305*C305</f>
        <v/>
      </c>
    </row>
    <row r="306">
      <c r="A306" s="29" t="inlineStr">
        <is>
          <t>C. DIRECT PURCHASE COSTS</t>
        </is>
      </c>
      <c r="B306" s="358" t="n"/>
      <c r="C306" s="110" t="n"/>
      <c r="D306" s="359" t="n"/>
    </row>
    <row r="307">
      <c r="A307" s="28" t="inlineStr">
        <is>
          <t>C.1 Travel and subsistence</t>
        </is>
      </c>
      <c r="B307" s="357" t="n">
        <v>2</v>
      </c>
      <c r="C307" s="248" t="n">
        <v>1500</v>
      </c>
      <c r="D307" s="361">
        <f>B307*C307</f>
        <v/>
      </c>
    </row>
    <row r="308">
      <c r="A308" s="28" t="inlineStr">
        <is>
          <t>C.2 Equipment (complete 'Depreciation costs' sheet)</t>
        </is>
      </c>
      <c r="B308" s="346" t="n"/>
      <c r="C308" s="111" t="n"/>
      <c r="D308" s="364" t="n"/>
    </row>
    <row r="309">
      <c r="A309" s="49" t="inlineStr">
        <is>
          <t>Equipment</t>
        </is>
      </c>
      <c r="B309" s="357" t="n"/>
      <c r="C309" s="248" t="n"/>
      <c r="D309" s="361">
        <f>B309*C309</f>
        <v/>
      </c>
    </row>
    <row r="310">
      <c r="A310" s="49" t="inlineStr">
        <is>
          <t>Infrastructure</t>
        </is>
      </c>
      <c r="B310" s="357" t="n"/>
      <c r="C310" s="248" t="n"/>
      <c r="D310" s="361">
        <f>B310*C310</f>
        <v/>
      </c>
    </row>
    <row r="311">
      <c r="A311" s="49" t="inlineStr">
        <is>
          <t>Other assets</t>
        </is>
      </c>
      <c r="B311" s="357" t="n"/>
      <c r="C311" s="248" t="n"/>
      <c r="D311" s="361">
        <f>B311*C311</f>
        <v/>
      </c>
    </row>
    <row r="312">
      <c r="A312" s="28" t="inlineStr">
        <is>
          <t>C.3 Other goods, works and services</t>
        </is>
      </c>
      <c r="B312" s="346" t="n"/>
      <c r="C312" s="111" t="n"/>
      <c r="D312" s="364" t="n"/>
    </row>
    <row r="313">
      <c r="A313" s="49" t="inlineStr">
        <is>
          <t>Consumables</t>
        </is>
      </c>
      <c r="B313" s="357" t="n">
        <v>6</v>
      </c>
      <c r="C313" s="248" t="n">
        <v>3000</v>
      </c>
      <c r="D313" s="361">
        <f>B313*C313</f>
        <v/>
      </c>
    </row>
    <row r="314">
      <c r="A314" s="49" t="inlineStr">
        <is>
          <t>Services for meetings, seminars</t>
        </is>
      </c>
      <c r="B314" s="357" t="n"/>
      <c r="C314" s="248" t="n"/>
      <c r="D314" s="361">
        <f>B314*C314</f>
        <v/>
      </c>
    </row>
    <row r="315">
      <c r="A315" s="49" t="inlineStr">
        <is>
          <t>Services for dissemination activities (including website)</t>
        </is>
      </c>
      <c r="B315" s="357" t="n"/>
      <c r="C315" s="248" t="n"/>
      <c r="D315" s="361">
        <f>B315*C315</f>
        <v/>
      </c>
    </row>
    <row r="316">
      <c r="A316" s="49" t="inlineStr">
        <is>
          <t>Publication fees</t>
        </is>
      </c>
      <c r="B316" s="357" t="n"/>
      <c r="C316" s="248" t="n"/>
      <c r="D316" s="361">
        <f>B316*C316</f>
        <v/>
      </c>
    </row>
    <row r="317">
      <c r="A317" s="49" t="inlineStr">
        <is>
          <t>Other (shipment, insurance, translation, etc.)</t>
        </is>
      </c>
      <c r="B317" s="357" t="n"/>
      <c r="C317" s="248" t="n"/>
      <c r="D317" s="361">
        <f>B317*C317</f>
        <v/>
      </c>
    </row>
    <row r="318">
      <c r="A318" s="29" t="inlineStr">
        <is>
          <t>D. OTHER COST CATEGORIES</t>
        </is>
      </c>
      <c r="B318" s="358" t="n"/>
      <c r="C318" s="110" t="n"/>
      <c r="D318" s="359" t="n"/>
    </row>
    <row r="319">
      <c r="A319" s="50" t="inlineStr">
        <is>
          <t>D.1 Financial support to third parties (if applicable in the topic specific conditions)</t>
        </is>
      </c>
      <c r="B319" s="357" t="n"/>
      <c r="C319" s="248" t="n"/>
      <c r="D319" s="361">
        <f>B319*C319</f>
        <v/>
      </c>
    </row>
    <row r="320">
      <c r="A320" s="50" t="inlineStr">
        <is>
          <t>D.2 Internally invoiced goods and services</t>
        </is>
      </c>
      <c r="B320" s="357" t="n"/>
      <c r="C320" s="248" t="n"/>
      <c r="D320" s="361">
        <f>B320*C320</f>
        <v/>
      </c>
    </row>
    <row r="321">
      <c r="A321" s="50" t="inlineStr">
        <is>
          <t>D.3 Transnational access to research infrastructure unit costs (if mentioned as eligible in the topic specific conditions)</t>
        </is>
      </c>
      <c r="B321" s="357" t="n"/>
      <c r="C321" s="248" t="n"/>
      <c r="D321" s="361">
        <f>B321*C321</f>
        <v/>
      </c>
    </row>
    <row r="322">
      <c r="A322" s="50" t="inlineStr">
        <is>
          <t>D.4 Virtual access to research infrastructure unit costs (if mentioned as eligible in the topic specific conditions)</t>
        </is>
      </c>
      <c r="B322" s="357" t="n"/>
      <c r="C322" s="248" t="n"/>
      <c r="D322" s="361">
        <f>B322*C322</f>
        <v/>
      </c>
    </row>
    <row r="323">
      <c r="A323" s="50" t="inlineStr">
        <is>
          <t>D.5 PCP/PPI procurement costs (if mentioned as eligible in the topic specific conditions)</t>
        </is>
      </c>
      <c r="B323" s="357" t="n"/>
      <c r="C323" s="248" t="n"/>
      <c r="D323" s="361">
        <f>B323*C323</f>
        <v/>
      </c>
    </row>
    <row r="324">
      <c r="A324" s="50" t="n"/>
      <c r="B324" s="346" t="n"/>
      <c r="C324" s="111" t="n"/>
      <c r="D324" s="365" t="n"/>
    </row>
    <row r="325">
      <c r="A325" s="52" t="inlineStr">
        <is>
          <t>TOTAL DIRECT PERSONNEL COSTS AND PURCHASE COSTS (A+C)</t>
        </is>
      </c>
      <c r="B325" s="369" t="n"/>
      <c r="C325" s="230" t="n"/>
      <c r="D325" s="360">
        <f>SUM(D296:D303,D307:D317)</f>
        <v/>
      </c>
    </row>
    <row r="326">
      <c r="A326" s="52" t="inlineStr">
        <is>
          <t>TOTAL DIRECT COSTS  (A+B+C+D)</t>
        </is>
      </c>
      <c r="B326" s="369" t="n"/>
      <c r="C326" s="230" t="n"/>
      <c r="D326" s="360">
        <f>SUM(D296:D323)</f>
        <v/>
      </c>
    </row>
    <row r="327">
      <c r="A327" s="180" t="n"/>
      <c r="B327" s="372" t="n"/>
      <c r="C327" s="176" t="n"/>
      <c r="D327" s="373" t="n"/>
    </row>
    <row r="328">
      <c r="A328" s="29" t="inlineStr">
        <is>
          <t>E. INDIRECT COSTS (25% * (A+C))</t>
        </is>
      </c>
      <c r="B328" s="358" t="n"/>
      <c r="C328" s="110" t="n"/>
      <c r="D328" s="360">
        <f>D325*0.25</f>
        <v/>
      </c>
    </row>
    <row r="329">
      <c r="A329" s="32" t="n"/>
      <c r="B329" s="372" t="n"/>
      <c r="C329" s="176" t="n"/>
      <c r="D329" s="377" t="n"/>
    </row>
    <row r="330">
      <c r="A330" s="29" t="inlineStr">
        <is>
          <t>F. TOTAL COSTS (A+B+C+D+E)</t>
        </is>
      </c>
      <c r="B330" s="369" t="n"/>
      <c r="C330" s="230" t="n"/>
      <c r="D330" s="360">
        <f>D326+D328</f>
        <v/>
      </c>
    </row>
    <row r="331">
      <c r="A331" s="182" t="n"/>
      <c r="B331" s="183" t="n"/>
      <c r="C331" s="184" t="n"/>
      <c r="D331" s="183" t="n"/>
    </row>
    <row r="332">
      <c r="A332" s="190" t="n"/>
      <c r="B332" s="185" t="n"/>
      <c r="C332" s="186" t="n"/>
      <c r="D332" s="187" t="n"/>
    </row>
    <row r="333" ht="21" customHeight="1">
      <c r="A333" s="272">
        <f>CONCATENATE("COSTS WORK PACKAGE 9:"," ","HSE and Environment")</f>
        <v/>
      </c>
      <c r="B333" s="314" t="n"/>
      <c r="C333" s="314" t="n"/>
      <c r="D333" s="315" t="n"/>
    </row>
    <row r="334">
      <c r="A334" s="182" t="n"/>
      <c r="B334" s="191" t="n"/>
      <c r="C334" s="192" t="n"/>
      <c r="D334" s="191" t="n"/>
    </row>
    <row r="335">
      <c r="A335" s="29" t="inlineStr">
        <is>
          <t>A. DIRECT PERSONNEL COSTS</t>
        </is>
      </c>
      <c r="B335" s="30" t="n"/>
      <c r="C335" s="110" t="n"/>
      <c r="D335" s="354" t="n"/>
    </row>
    <row r="336">
      <c r="A336" s="28" t="inlineStr">
        <is>
          <t>A.1 Employees (or equivalent)</t>
        </is>
      </c>
      <c r="B336" s="89" t="n"/>
      <c r="C336" s="111" t="n"/>
      <c r="D336" s="355" t="n"/>
    </row>
    <row r="337">
      <c r="A337" s="48" t="inlineStr">
        <is>
          <t>SENIOR SCIENTISTS (or equivalent in the private sector)</t>
        </is>
      </c>
      <c r="B337" s="357" t="n"/>
      <c r="C337" s="248" t="n"/>
      <c r="D337" s="232">
        <f>B337*C337</f>
        <v/>
      </c>
    </row>
    <row r="338">
      <c r="A338" s="48" t="inlineStr">
        <is>
          <t>JUNIOR SCIENTISTS (or equivalent in the private sector)</t>
        </is>
      </c>
      <c r="B338" s="357" t="n"/>
      <c r="C338" s="248" t="n"/>
      <c r="D338" s="232">
        <f>B338*C338</f>
        <v/>
      </c>
    </row>
    <row r="339">
      <c r="A339" s="48" t="inlineStr">
        <is>
          <t>TECHNICAL PERSONNEL (or equivalent in the private sector)</t>
        </is>
      </c>
      <c r="B339" s="357" t="n"/>
      <c r="C339" s="248" t="n"/>
      <c r="D339" s="232">
        <f>B339*C339</f>
        <v/>
      </c>
    </row>
    <row r="340">
      <c r="A340" s="48" t="inlineStr">
        <is>
          <t>ADMINISTRATIVE PERSONNEL (or equivalent in the private sector)</t>
        </is>
      </c>
      <c r="B340" s="357" t="n"/>
      <c r="C340" s="248" t="n"/>
      <c r="D340" s="232">
        <f>B340*C340</f>
        <v/>
      </c>
    </row>
    <row r="341">
      <c r="A341" s="48" t="inlineStr">
        <is>
          <t>OTHERS</t>
        </is>
      </c>
      <c r="B341" s="357" t="n"/>
      <c r="C341" s="248" t="n"/>
      <c r="D341" s="232">
        <f>B341*C341</f>
        <v/>
      </c>
    </row>
    <row r="342">
      <c r="A342" s="28" t="inlineStr">
        <is>
          <t>A.2 Natural Persons under direct contract</t>
        </is>
      </c>
      <c r="B342" s="357" t="n"/>
      <c r="C342" s="248" t="n"/>
      <c r="D342" s="232">
        <f>B342*C342</f>
        <v/>
      </c>
    </row>
    <row r="343">
      <c r="A343" s="28" t="inlineStr">
        <is>
          <t>A.3 Seconded Persons</t>
        </is>
      </c>
      <c r="B343" s="357" t="n"/>
      <c r="C343" s="248" t="n"/>
      <c r="D343" s="232">
        <f>B343*C343</f>
        <v/>
      </c>
    </row>
    <row r="344">
      <c r="A344" s="28" t="inlineStr">
        <is>
          <t>A.4 SME owners and natural person beneficiaries</t>
        </is>
      </c>
      <c r="B344" s="357" t="n"/>
      <c r="C344" s="256" t="n">
        <v>8360.6024</v>
      </c>
      <c r="D344" s="232">
        <f>B344*C344</f>
        <v/>
      </c>
    </row>
    <row r="345">
      <c r="A345" s="29" t="inlineStr">
        <is>
          <t>B. DIRECT SUBCONTRACTING COSTS</t>
        </is>
      </c>
      <c r="B345" s="358" t="n"/>
      <c r="C345" s="110" t="n"/>
      <c r="D345" s="359" t="n"/>
    </row>
    <row r="346">
      <c r="A346" s="53" t="n"/>
      <c r="B346" s="357" t="n"/>
      <c r="C346" s="248" t="n"/>
      <c r="D346" s="361">
        <f>B346*C346</f>
        <v/>
      </c>
    </row>
    <row r="347">
      <c r="A347" s="29" t="inlineStr">
        <is>
          <t>C. DIRECT PURCHASE COSTS</t>
        </is>
      </c>
      <c r="B347" s="358" t="n"/>
      <c r="C347" s="110" t="n"/>
      <c r="D347" s="359" t="n"/>
    </row>
    <row r="348">
      <c r="A348" s="28" t="inlineStr">
        <is>
          <t>C.1 Travel and subsistence</t>
        </is>
      </c>
      <c r="B348" s="357" t="n"/>
      <c r="C348" s="248" t="n"/>
      <c r="D348" s="361">
        <f>B348*C348</f>
        <v/>
      </c>
    </row>
    <row r="349">
      <c r="A349" s="28" t="inlineStr">
        <is>
          <t>C.2 Equipment (complete 'Depreciation costs' sheet)</t>
        </is>
      </c>
      <c r="B349" s="346" t="n"/>
      <c r="C349" s="111" t="n"/>
      <c r="D349" s="364" t="n"/>
    </row>
    <row r="350">
      <c r="A350" s="49" t="inlineStr">
        <is>
          <t>Equipment</t>
        </is>
      </c>
      <c r="B350" s="357" t="n"/>
      <c r="C350" s="248" t="n"/>
      <c r="D350" s="361">
        <f>B350*C350</f>
        <v/>
      </c>
    </row>
    <row r="351">
      <c r="A351" s="49" t="inlineStr">
        <is>
          <t>Infrastructure</t>
        </is>
      </c>
      <c r="B351" s="357" t="n"/>
      <c r="C351" s="248" t="n"/>
      <c r="D351" s="361">
        <f>B351*C351</f>
        <v/>
      </c>
    </row>
    <row r="352">
      <c r="A352" s="49" t="inlineStr">
        <is>
          <t>Other assets</t>
        </is>
      </c>
      <c r="B352" s="357" t="n"/>
      <c r="C352" s="248" t="n"/>
      <c r="D352" s="361">
        <f>B352*C352</f>
        <v/>
      </c>
    </row>
    <row r="353">
      <c r="A353" s="28" t="inlineStr">
        <is>
          <t>C.3 Other goods, works and services</t>
        </is>
      </c>
      <c r="B353" s="346" t="n"/>
      <c r="C353" s="111" t="n"/>
      <c r="D353" s="364" t="n"/>
    </row>
    <row r="354">
      <c r="A354" s="49" t="inlineStr">
        <is>
          <t>Consumables</t>
        </is>
      </c>
      <c r="B354" s="357" t="n"/>
      <c r="C354" s="248" t="n"/>
      <c r="D354" s="361">
        <f>B354*C354</f>
        <v/>
      </c>
    </row>
    <row r="355">
      <c r="A355" s="49" t="inlineStr">
        <is>
          <t>Services for meetings, seminars</t>
        </is>
      </c>
      <c r="B355" s="357" t="n"/>
      <c r="C355" s="248" t="n"/>
      <c r="D355" s="361">
        <f>B355*C355</f>
        <v/>
      </c>
    </row>
    <row r="356">
      <c r="A356" s="49" t="inlineStr">
        <is>
          <t>Services for dissemination activities (including website)</t>
        </is>
      </c>
      <c r="B356" s="357" t="n"/>
      <c r="C356" s="248" t="n"/>
      <c r="D356" s="361">
        <f>B356*C356</f>
        <v/>
      </c>
    </row>
    <row r="357">
      <c r="A357" s="49" t="inlineStr">
        <is>
          <t>Publication fees</t>
        </is>
      </c>
      <c r="B357" s="357" t="n"/>
      <c r="C357" s="248" t="n"/>
      <c r="D357" s="361">
        <f>B357*C357</f>
        <v/>
      </c>
    </row>
    <row r="358">
      <c r="A358" s="49" t="inlineStr">
        <is>
          <t>Other (shipment, insurance, translation, etc.)</t>
        </is>
      </c>
      <c r="B358" s="357" t="n"/>
      <c r="C358" s="248" t="n"/>
      <c r="D358" s="361">
        <f>B358*C358</f>
        <v/>
      </c>
    </row>
    <row r="359">
      <c r="A359" s="29" t="inlineStr">
        <is>
          <t>D. OTHER COST CATEGORIES</t>
        </is>
      </c>
      <c r="B359" s="358" t="n"/>
      <c r="C359" s="110" t="n"/>
      <c r="D359" s="359" t="n"/>
    </row>
    <row r="360">
      <c r="A360" s="50" t="inlineStr">
        <is>
          <t>D.1 Financial support to third parties (if applicable in the topic specific conditions)</t>
        </is>
      </c>
      <c r="B360" s="357" t="n"/>
      <c r="C360" s="248" t="n"/>
      <c r="D360" s="361">
        <f>B360*C360</f>
        <v/>
      </c>
    </row>
    <row r="361">
      <c r="A361" s="50" t="inlineStr">
        <is>
          <t>D.2 Internally invoiced goods and services</t>
        </is>
      </c>
      <c r="B361" s="357" t="n"/>
      <c r="C361" s="248" t="n"/>
      <c r="D361" s="361">
        <f>B361*C361</f>
        <v/>
      </c>
    </row>
    <row r="362">
      <c r="A362" s="50" t="inlineStr">
        <is>
          <t>D.3 Transnational access to research infrastructure unit costs (if mentioned as eligible in the topic specific conditions)</t>
        </is>
      </c>
      <c r="B362" s="357" t="n"/>
      <c r="C362" s="248" t="n"/>
      <c r="D362" s="361">
        <f>B362*C362</f>
        <v/>
      </c>
    </row>
    <row r="363">
      <c r="A363" s="50" t="inlineStr">
        <is>
          <t>D.4 Virtual access to research infrastructure unit costs (if mentioned as eligible in the topic specific conditions)</t>
        </is>
      </c>
      <c r="B363" s="357" t="n"/>
      <c r="C363" s="248" t="n"/>
      <c r="D363" s="361">
        <f>B363*C363</f>
        <v/>
      </c>
    </row>
    <row r="364">
      <c r="A364" s="50" t="inlineStr">
        <is>
          <t>D.5 PCP/PPI procurement costs (if mentioned as eligible in the topic specific conditions)</t>
        </is>
      </c>
      <c r="B364" s="357" t="n"/>
      <c r="C364" s="248" t="n"/>
      <c r="D364" s="361">
        <f>B364*C364</f>
        <v/>
      </c>
    </row>
    <row r="365">
      <c r="A365" s="50" t="n"/>
      <c r="B365" s="346" t="n"/>
      <c r="C365" s="111" t="n"/>
      <c r="D365" s="365" t="n"/>
    </row>
    <row r="366">
      <c r="A366" s="52" t="inlineStr">
        <is>
          <t>TOTAL DIRECT PERSONNEL COSTS AND PURCHASE COSTS (A+C)</t>
        </is>
      </c>
      <c r="B366" s="369" t="n"/>
      <c r="C366" s="230" t="n"/>
      <c r="D366" s="360">
        <f>SUM(D337:D344,D348:D358)</f>
        <v/>
      </c>
    </row>
    <row r="367">
      <c r="A367" s="52" t="inlineStr">
        <is>
          <t>TOTAL DIRECT COSTS  (A+B+C+D)</t>
        </is>
      </c>
      <c r="B367" s="369" t="n"/>
      <c r="C367" s="230" t="n"/>
      <c r="D367" s="360">
        <f>SUM(D337:D364)</f>
        <v/>
      </c>
    </row>
    <row r="368">
      <c r="A368" s="180" t="n"/>
      <c r="B368" s="372" t="n"/>
      <c r="C368" s="176" t="n"/>
      <c r="D368" s="373" t="n"/>
    </row>
    <row r="369">
      <c r="A369" s="29" t="inlineStr">
        <is>
          <t>E. INDIRECT COSTS (25% * (A+C))</t>
        </is>
      </c>
      <c r="B369" s="358" t="n"/>
      <c r="C369" s="110" t="n"/>
      <c r="D369" s="360">
        <f>D366*0.25</f>
        <v/>
      </c>
    </row>
    <row r="370">
      <c r="A370" s="32" t="n"/>
      <c r="B370" s="372" t="n"/>
      <c r="C370" s="176" t="n"/>
      <c r="D370" s="377" t="n"/>
    </row>
    <row r="371">
      <c r="A371" s="29" t="inlineStr">
        <is>
          <t>F. TOTAL COSTS (A+B+C+D+E)</t>
        </is>
      </c>
      <c r="B371" s="369" t="n"/>
      <c r="C371" s="230" t="n"/>
      <c r="D371" s="360">
        <f>D367+D369</f>
        <v/>
      </c>
    </row>
    <row r="372">
      <c r="A372" s="182" t="n"/>
      <c r="B372" s="183" t="n"/>
      <c r="C372" s="184" t="n"/>
      <c r="D372" s="183" t="n"/>
    </row>
    <row r="373">
      <c r="A373" s="190" t="n"/>
      <c r="B373" s="185" t="n"/>
      <c r="C373" s="186" t="n"/>
      <c r="D373" s="187" t="n"/>
    </row>
    <row r="374" ht="21" customHeight="1">
      <c r="A374" s="272">
        <f>CONCATENATE("COSTS WORK PACKAGE 10:"," ","Adaptation of O&amp;M Platform")</f>
        <v/>
      </c>
      <c r="B374" s="314" t="n"/>
      <c r="C374" s="314" t="n"/>
      <c r="D374" s="315" t="n"/>
    </row>
    <row r="375">
      <c r="A375" s="182" t="n"/>
      <c r="B375" s="191" t="n"/>
      <c r="C375" s="192" t="n"/>
      <c r="D375" s="191" t="n"/>
    </row>
    <row r="376">
      <c r="A376" s="29" t="inlineStr">
        <is>
          <t>A. DIRECT PERSONNEL COSTS</t>
        </is>
      </c>
      <c r="B376" s="30" t="n"/>
      <c r="C376" s="110" t="n"/>
      <c r="D376" s="354" t="n"/>
    </row>
    <row r="377">
      <c r="A377" s="28" t="inlineStr">
        <is>
          <t>A.1 Employees (or equivalent)</t>
        </is>
      </c>
      <c r="B377" s="89" t="n"/>
      <c r="C377" s="111" t="n"/>
      <c r="D377" s="355" t="n"/>
    </row>
    <row r="378">
      <c r="A378" s="48" t="inlineStr">
        <is>
          <t>SENIOR SCIENTISTS (or equivalent in the private sector)</t>
        </is>
      </c>
      <c r="B378" s="357" t="n">
        <v>1</v>
      </c>
      <c r="C378" s="248" t="n">
        <v>5000</v>
      </c>
      <c r="D378" s="232">
        <f>B378*C378</f>
        <v/>
      </c>
    </row>
    <row r="379">
      <c r="A379" s="48" t="inlineStr">
        <is>
          <t>JUNIOR SCIENTISTS (or equivalent in the private sector)</t>
        </is>
      </c>
      <c r="B379" s="357" t="n"/>
      <c r="C379" s="248" t="n"/>
      <c r="D379" s="232">
        <f>B379*C379</f>
        <v/>
      </c>
    </row>
    <row r="380">
      <c r="A380" s="48" t="inlineStr">
        <is>
          <t>TECHNICAL PERSONNEL (or equivalent in the private sector)</t>
        </is>
      </c>
      <c r="B380" s="357" t="n"/>
      <c r="C380" s="248" t="n"/>
      <c r="D380" s="232">
        <f>B380*C380</f>
        <v/>
      </c>
    </row>
    <row r="381">
      <c r="A381" s="48" t="inlineStr">
        <is>
          <t>ADMINISTRATIVE PERSONNEL (or equivalent in the private sector)</t>
        </is>
      </c>
      <c r="B381" s="357" t="n"/>
      <c r="C381" s="248" t="n"/>
      <c r="D381" s="232">
        <f>B381*C381</f>
        <v/>
      </c>
    </row>
    <row r="382">
      <c r="A382" s="48" t="inlineStr">
        <is>
          <t>OTHERS</t>
        </is>
      </c>
      <c r="B382" s="357" t="n"/>
      <c r="C382" s="248" t="n"/>
      <c r="D382" s="232">
        <f>B382*C382</f>
        <v/>
      </c>
    </row>
    <row r="383">
      <c r="A383" s="28" t="inlineStr">
        <is>
          <t>A.2 Natural Persons under direct contract</t>
        </is>
      </c>
      <c r="B383" s="357" t="n"/>
      <c r="C383" s="248" t="n"/>
      <c r="D383" s="232">
        <f>B383*C383</f>
        <v/>
      </c>
    </row>
    <row r="384">
      <c r="A384" s="28" t="inlineStr">
        <is>
          <t>A.3 Seconded Persons</t>
        </is>
      </c>
      <c r="B384" s="357" t="n"/>
      <c r="C384" s="248" t="n"/>
      <c r="D384" s="232">
        <f>B384*C384</f>
        <v/>
      </c>
    </row>
    <row r="385">
      <c r="A385" s="28" t="inlineStr">
        <is>
          <t>A.4 SME owners and natural person beneficiaries</t>
        </is>
      </c>
      <c r="B385" s="357" t="n"/>
      <c r="C385" s="256" t="n">
        <v>8360.6024</v>
      </c>
      <c r="D385" s="232">
        <f>B385*C385</f>
        <v/>
      </c>
    </row>
    <row r="386">
      <c r="A386" s="29" t="inlineStr">
        <is>
          <t>B. DIRECT SUBCONTRACTING COSTS</t>
        </is>
      </c>
      <c r="B386" s="358" t="n"/>
      <c r="C386" s="110" t="n"/>
      <c r="D386" s="359" t="n"/>
    </row>
    <row r="387">
      <c r="A387" s="53" t="n"/>
      <c r="B387" s="357" t="n"/>
      <c r="C387" s="248" t="n"/>
      <c r="D387" s="361">
        <f>B387*C387</f>
        <v/>
      </c>
    </row>
    <row r="388">
      <c r="A388" s="29" t="inlineStr">
        <is>
          <t>C. DIRECT PURCHASE COSTS</t>
        </is>
      </c>
      <c r="B388" s="358" t="n"/>
      <c r="C388" s="110" t="n"/>
      <c r="D388" s="359" t="n"/>
    </row>
    <row r="389">
      <c r="A389" s="28" t="inlineStr">
        <is>
          <t>C.1 Travel and subsistence</t>
        </is>
      </c>
      <c r="B389" s="357" t="n"/>
      <c r="C389" s="248" t="n"/>
      <c r="D389" s="361">
        <f>B389*C389</f>
        <v/>
      </c>
    </row>
    <row r="390">
      <c r="A390" s="28" t="inlineStr">
        <is>
          <t>C.2 Equipment (complete 'Depreciation costs' sheet)</t>
        </is>
      </c>
      <c r="B390" s="346" t="n"/>
      <c r="C390" s="111" t="n"/>
      <c r="D390" s="364" t="n"/>
    </row>
    <row r="391">
      <c r="A391" s="49" t="inlineStr">
        <is>
          <t>Equipment</t>
        </is>
      </c>
      <c r="B391" s="357" t="n"/>
      <c r="C391" s="248" t="n"/>
      <c r="D391" s="361">
        <f>B391*C391</f>
        <v/>
      </c>
    </row>
    <row r="392">
      <c r="A392" s="49" t="inlineStr">
        <is>
          <t>Infrastructure</t>
        </is>
      </c>
      <c r="B392" s="357" t="n"/>
      <c r="C392" s="248" t="n"/>
      <c r="D392" s="361">
        <f>B392*C392</f>
        <v/>
      </c>
    </row>
    <row r="393">
      <c r="A393" s="49" t="inlineStr">
        <is>
          <t>Other assets</t>
        </is>
      </c>
      <c r="B393" s="357" t="n"/>
      <c r="C393" s="248" t="n"/>
      <c r="D393" s="361">
        <f>B393*C393</f>
        <v/>
      </c>
    </row>
    <row r="394">
      <c r="A394" s="28" t="inlineStr">
        <is>
          <t>C.3 Other goods, works and services</t>
        </is>
      </c>
      <c r="B394" s="346" t="n"/>
      <c r="C394" s="111" t="n"/>
      <c r="D394" s="364" t="n"/>
    </row>
    <row r="395">
      <c r="A395" s="49" t="inlineStr">
        <is>
          <t>Consumables</t>
        </is>
      </c>
      <c r="B395" s="357" t="n"/>
      <c r="C395" s="248" t="n"/>
      <c r="D395" s="361">
        <f>B395*C395</f>
        <v/>
      </c>
    </row>
    <row r="396">
      <c r="A396" s="49" t="inlineStr">
        <is>
          <t>Services for meetings, seminars</t>
        </is>
      </c>
      <c r="B396" s="357" t="n"/>
      <c r="C396" s="248" t="n"/>
      <c r="D396" s="361">
        <f>B396*C396</f>
        <v/>
      </c>
    </row>
    <row r="397">
      <c r="A397" s="49" t="inlineStr">
        <is>
          <t>Services for dissemination activities (including website)</t>
        </is>
      </c>
      <c r="B397" s="357" t="n"/>
      <c r="C397" s="248" t="n"/>
      <c r="D397" s="361">
        <f>B397*C397</f>
        <v/>
      </c>
    </row>
    <row r="398">
      <c r="A398" s="49" t="inlineStr">
        <is>
          <t>Publication fees</t>
        </is>
      </c>
      <c r="B398" s="357" t="n"/>
      <c r="C398" s="248" t="n"/>
      <c r="D398" s="361">
        <f>B398*C398</f>
        <v/>
      </c>
    </row>
    <row r="399">
      <c r="A399" s="49" t="inlineStr">
        <is>
          <t>Other (shipment, insurance, translation, etc.)</t>
        </is>
      </c>
      <c r="B399" s="357" t="n"/>
      <c r="C399" s="248" t="n"/>
      <c r="D399" s="361">
        <f>B399*C399</f>
        <v/>
      </c>
    </row>
    <row r="400">
      <c r="A400" s="29" t="inlineStr">
        <is>
          <t>D. OTHER COST CATEGORIES</t>
        </is>
      </c>
      <c r="B400" s="358" t="n"/>
      <c r="C400" s="110" t="n"/>
      <c r="D400" s="359" t="n"/>
    </row>
    <row r="401">
      <c r="A401" s="50" t="inlineStr">
        <is>
          <t>D.1 Financial support to third parties (if applicable in the topic specific conditions)</t>
        </is>
      </c>
      <c r="B401" s="357" t="n"/>
      <c r="C401" s="248" t="n"/>
      <c r="D401" s="361">
        <f>B401*C401</f>
        <v/>
      </c>
    </row>
    <row r="402">
      <c r="A402" s="50" t="inlineStr">
        <is>
          <t>D.2 Internally invoiced goods and services</t>
        </is>
      </c>
      <c r="B402" s="357" t="n"/>
      <c r="C402" s="248" t="n"/>
      <c r="D402" s="361">
        <f>B402*C402</f>
        <v/>
      </c>
    </row>
    <row r="403">
      <c r="A403" s="50" t="inlineStr">
        <is>
          <t>D.3 Transnational access to research infrastructure unit costs (if mentioned as eligible in the topic specific conditions)</t>
        </is>
      </c>
      <c r="B403" s="357" t="n"/>
      <c r="C403" s="248" t="n"/>
      <c r="D403" s="361">
        <f>B403*C403</f>
        <v/>
      </c>
    </row>
    <row r="404">
      <c r="A404" s="50" t="inlineStr">
        <is>
          <t>D.4 Virtual access to research infrastructure unit costs (if mentioned as eligible in the topic specific conditions)</t>
        </is>
      </c>
      <c r="B404" s="357" t="n"/>
      <c r="C404" s="248" t="n"/>
      <c r="D404" s="361">
        <f>B404*C404</f>
        <v/>
      </c>
    </row>
    <row r="405">
      <c r="A405" s="50" t="inlineStr">
        <is>
          <t>D.5 PCP/PPI procurement costs (if mentioned as eligible in the topic specific conditions)</t>
        </is>
      </c>
      <c r="B405" s="357" t="n"/>
      <c r="C405" s="248" t="n"/>
      <c r="D405" s="361">
        <f>B405*C405</f>
        <v/>
      </c>
    </row>
    <row r="406">
      <c r="A406" s="50" t="n"/>
      <c r="B406" s="346" t="n"/>
      <c r="C406" s="111" t="n"/>
      <c r="D406" s="365" t="n"/>
    </row>
    <row r="407">
      <c r="A407" s="52" t="inlineStr">
        <is>
          <t>TOTAL DIRECT PERSONNEL COSTS AND PURCHASE COSTS (A+C)</t>
        </is>
      </c>
      <c r="B407" s="369" t="n"/>
      <c r="C407" s="230" t="n"/>
      <c r="D407" s="360">
        <f>SUM(D378:D385,D389:D399)</f>
        <v/>
      </c>
    </row>
    <row r="408">
      <c r="A408" s="52" t="inlineStr">
        <is>
          <t>TOTAL DIRECT COSTS  (A+B+C+D)</t>
        </is>
      </c>
      <c r="B408" s="369" t="n"/>
      <c r="C408" s="230" t="n"/>
      <c r="D408" s="360">
        <f>SUM(D378:D405)</f>
        <v/>
      </c>
    </row>
    <row r="409">
      <c r="A409" s="180" t="n"/>
      <c r="B409" s="372" t="n"/>
      <c r="C409" s="176" t="n"/>
      <c r="D409" s="373" t="n"/>
    </row>
    <row r="410">
      <c r="A410" s="29" t="inlineStr">
        <is>
          <t>E. INDIRECT COSTS (25% * (A+C))</t>
        </is>
      </c>
      <c r="B410" s="358" t="n"/>
      <c r="C410" s="110" t="n"/>
      <c r="D410" s="360">
        <f>D407*0.25</f>
        <v/>
      </c>
    </row>
    <row r="411">
      <c r="A411" s="32" t="n"/>
      <c r="B411" s="372" t="n"/>
      <c r="C411" s="176" t="n"/>
      <c r="D411" s="377" t="n"/>
    </row>
    <row r="412">
      <c r="A412" s="29" t="inlineStr">
        <is>
          <t>F. TOTAL COSTS (A+B+C+D+E)</t>
        </is>
      </c>
      <c r="B412" s="369" t="n"/>
      <c r="C412" s="230" t="n"/>
      <c r="D412" s="360">
        <f>D408+D410</f>
        <v/>
      </c>
    </row>
    <row r="413">
      <c r="A413" s="182" t="n"/>
      <c r="B413" s="183" t="n"/>
      <c r="C413" s="184" t="n"/>
      <c r="D413" s="183" t="n"/>
    </row>
    <row r="414">
      <c r="A414" s="190" t="n"/>
      <c r="B414" s="185" t="n"/>
      <c r="C414" s="186" t="n"/>
      <c r="D414" s="187" t="n"/>
    </row>
    <row r="415" ht="21" customHeight="1">
      <c r="A415" s="272">
        <f>CONCATENATE("COSTS WORK PACKAGE 11:"," ","System integration for unified O&amp;M Platform")</f>
        <v/>
      </c>
      <c r="B415" s="314" t="n"/>
      <c r="C415" s="314" t="n"/>
      <c r="D415" s="315" t="n"/>
    </row>
    <row r="416">
      <c r="A416" s="182" t="n"/>
      <c r="B416" s="191" t="n"/>
      <c r="C416" s="192" t="n"/>
      <c r="D416" s="191" t="n"/>
    </row>
    <row r="417">
      <c r="A417" s="29" t="inlineStr">
        <is>
          <t>A. DIRECT PERSONNEL COSTS</t>
        </is>
      </c>
      <c r="B417" s="30" t="n"/>
      <c r="C417" s="110" t="n"/>
      <c r="D417" s="354" t="n"/>
    </row>
    <row r="418">
      <c r="A418" s="28" t="inlineStr">
        <is>
          <t>A.1 Employees (or equivalent)</t>
        </is>
      </c>
      <c r="B418" s="89" t="n"/>
      <c r="C418" s="111" t="n"/>
      <c r="D418" s="355" t="n"/>
    </row>
    <row r="419">
      <c r="A419" s="48" t="inlineStr">
        <is>
          <t>SENIOR SCIENTISTS (or equivalent in the private sector)</t>
        </is>
      </c>
      <c r="B419" s="357" t="n">
        <v>1</v>
      </c>
      <c r="C419" s="248" t="n">
        <v>5000</v>
      </c>
      <c r="D419" s="232">
        <f>B419*C419</f>
        <v/>
      </c>
    </row>
    <row r="420">
      <c r="A420" s="48" t="inlineStr">
        <is>
          <t>JUNIOR SCIENTISTS (or equivalent in the private sector)</t>
        </is>
      </c>
      <c r="B420" s="357" t="n"/>
      <c r="C420" s="248" t="n"/>
      <c r="D420" s="232">
        <f>B420*C420</f>
        <v/>
      </c>
    </row>
    <row r="421">
      <c r="A421" s="48" t="inlineStr">
        <is>
          <t>TECHNICAL PERSONNEL (or equivalent in the private sector)</t>
        </is>
      </c>
      <c r="B421" s="357" t="n"/>
      <c r="C421" s="248" t="n"/>
      <c r="D421" s="232">
        <f>B421*C421</f>
        <v/>
      </c>
    </row>
    <row r="422">
      <c r="A422" s="48" t="inlineStr">
        <is>
          <t>ADMINISTRATIVE PERSONNEL (or equivalent in the private sector)</t>
        </is>
      </c>
      <c r="B422" s="357" t="n"/>
      <c r="C422" s="248" t="n"/>
      <c r="D422" s="232">
        <f>B422*C422</f>
        <v/>
      </c>
    </row>
    <row r="423">
      <c r="A423" s="48" t="inlineStr">
        <is>
          <t>OTHERS</t>
        </is>
      </c>
      <c r="B423" s="357" t="n"/>
      <c r="C423" s="248" t="n"/>
      <c r="D423" s="232">
        <f>B423*C423</f>
        <v/>
      </c>
    </row>
    <row r="424">
      <c r="A424" s="28" t="inlineStr">
        <is>
          <t>A.2 Natural Persons under direct contract</t>
        </is>
      </c>
      <c r="B424" s="357" t="n"/>
      <c r="C424" s="248" t="n"/>
      <c r="D424" s="232">
        <f>B424*C424</f>
        <v/>
      </c>
    </row>
    <row r="425">
      <c r="A425" s="28" t="inlineStr">
        <is>
          <t>A.3 Seconded Persons</t>
        </is>
      </c>
      <c r="B425" s="357" t="n"/>
      <c r="C425" s="248" t="n"/>
      <c r="D425" s="232">
        <f>B425*C425</f>
        <v/>
      </c>
    </row>
    <row r="426">
      <c r="A426" s="28" t="inlineStr">
        <is>
          <t>A.4 SME owners and natural person beneficiaries</t>
        </is>
      </c>
      <c r="B426" s="357" t="n"/>
      <c r="C426" s="256" t="n">
        <v>8360.6024</v>
      </c>
      <c r="D426" s="232">
        <f>B426*C426</f>
        <v/>
      </c>
    </row>
    <row r="427">
      <c r="A427" s="29" t="inlineStr">
        <is>
          <t>B. DIRECT SUBCONTRACTING COSTS</t>
        </is>
      </c>
      <c r="B427" s="358" t="n"/>
      <c r="C427" s="110" t="n"/>
      <c r="D427" s="359" t="n"/>
    </row>
    <row r="428">
      <c r="A428" s="53" t="n"/>
      <c r="B428" s="357" t="n"/>
      <c r="C428" s="248" t="n"/>
      <c r="D428" s="361">
        <f>B428*C428</f>
        <v/>
      </c>
    </row>
    <row r="429">
      <c r="A429" s="29" t="inlineStr">
        <is>
          <t>C. DIRECT PURCHASE COSTS</t>
        </is>
      </c>
      <c r="B429" s="358" t="n"/>
      <c r="C429" s="110" t="n"/>
      <c r="D429" s="359" t="n"/>
    </row>
    <row r="430">
      <c r="A430" s="28" t="inlineStr">
        <is>
          <t>C.1 Travel and subsistence</t>
        </is>
      </c>
      <c r="B430" s="357" t="n"/>
      <c r="C430" s="248" t="n"/>
      <c r="D430" s="361">
        <f>B430*C430</f>
        <v/>
      </c>
    </row>
    <row r="431">
      <c r="A431" s="28" t="inlineStr">
        <is>
          <t>C.2 Equipment (complete 'Depreciation costs' sheet)</t>
        </is>
      </c>
      <c r="B431" s="346" t="n"/>
      <c r="C431" s="111" t="n"/>
      <c r="D431" s="364" t="n"/>
    </row>
    <row r="432">
      <c r="A432" s="49" t="inlineStr">
        <is>
          <t>Equipment</t>
        </is>
      </c>
      <c r="B432" s="357" t="n"/>
      <c r="C432" s="248" t="n"/>
      <c r="D432" s="361">
        <f>B432*C432</f>
        <v/>
      </c>
    </row>
    <row r="433">
      <c r="A433" s="49" t="inlineStr">
        <is>
          <t>Infrastructure</t>
        </is>
      </c>
      <c r="B433" s="357" t="n"/>
      <c r="C433" s="248" t="n"/>
      <c r="D433" s="361">
        <f>B433*C433</f>
        <v/>
      </c>
    </row>
    <row r="434">
      <c r="A434" s="49" t="inlineStr">
        <is>
          <t>Other assets</t>
        </is>
      </c>
      <c r="B434" s="357" t="n"/>
      <c r="C434" s="248" t="n"/>
      <c r="D434" s="361">
        <f>B434*C434</f>
        <v/>
      </c>
    </row>
    <row r="435">
      <c r="A435" s="28" t="inlineStr">
        <is>
          <t>C.3 Other goods, works and services</t>
        </is>
      </c>
      <c r="B435" s="346" t="n"/>
      <c r="C435" s="111" t="n"/>
      <c r="D435" s="364" t="n"/>
    </row>
    <row r="436">
      <c r="A436" s="49" t="inlineStr">
        <is>
          <t>Consumables</t>
        </is>
      </c>
      <c r="B436" s="357" t="n"/>
      <c r="C436" s="248" t="n"/>
      <c r="D436" s="361">
        <f>B436*C436</f>
        <v/>
      </c>
    </row>
    <row r="437">
      <c r="A437" s="49" t="inlineStr">
        <is>
          <t>Services for meetings, seminars</t>
        </is>
      </c>
      <c r="B437" s="357" t="n"/>
      <c r="C437" s="248" t="n"/>
      <c r="D437" s="361">
        <f>B437*C437</f>
        <v/>
      </c>
    </row>
    <row r="438">
      <c r="A438" s="49" t="inlineStr">
        <is>
          <t>Services for dissemination activities (including website)</t>
        </is>
      </c>
      <c r="B438" s="357" t="n"/>
      <c r="C438" s="248" t="n"/>
      <c r="D438" s="361">
        <f>B438*C438</f>
        <v/>
      </c>
    </row>
    <row r="439">
      <c r="A439" s="49" t="inlineStr">
        <is>
          <t>Publication fees</t>
        </is>
      </c>
      <c r="B439" s="357" t="n"/>
      <c r="C439" s="248" t="n"/>
      <c r="D439" s="361">
        <f>B439*C439</f>
        <v/>
      </c>
    </row>
    <row r="440">
      <c r="A440" s="49" t="inlineStr">
        <is>
          <t>Other (shipment, insurance, translation, etc.)</t>
        </is>
      </c>
      <c r="B440" s="357" t="n"/>
      <c r="C440" s="248" t="n"/>
      <c r="D440" s="361">
        <f>B440*C440</f>
        <v/>
      </c>
    </row>
    <row r="441">
      <c r="A441" s="29" t="inlineStr">
        <is>
          <t>D. OTHER COST CATEGORIES</t>
        </is>
      </c>
      <c r="B441" s="358" t="n"/>
      <c r="C441" s="110" t="n"/>
      <c r="D441" s="359" t="n"/>
    </row>
    <row r="442">
      <c r="A442" s="50" t="inlineStr">
        <is>
          <t>D.1 Financial support to third parties (if applicable in the topic specific conditions)</t>
        </is>
      </c>
      <c r="B442" s="357" t="n"/>
      <c r="C442" s="248" t="n"/>
      <c r="D442" s="361">
        <f>B442*C442</f>
        <v/>
      </c>
    </row>
    <row r="443">
      <c r="A443" s="50" t="inlineStr">
        <is>
          <t>D.2 Internally invoiced goods and services</t>
        </is>
      </c>
      <c r="B443" s="357" t="n"/>
      <c r="C443" s="248" t="n"/>
      <c r="D443" s="361">
        <f>B443*C443</f>
        <v/>
      </c>
    </row>
    <row r="444">
      <c r="A444" s="50" t="inlineStr">
        <is>
          <t>D.3 Transnational access to research infrastructure unit costs (if mentioned as eligible in the topic specific conditions)</t>
        </is>
      </c>
      <c r="B444" s="357" t="n"/>
      <c r="C444" s="248" t="n"/>
      <c r="D444" s="361">
        <f>B444*C444</f>
        <v/>
      </c>
    </row>
    <row r="445">
      <c r="A445" s="50" t="inlineStr">
        <is>
          <t>D.4 Virtual access to research infrastructure unit costs (if mentioned as eligible in the topic specific conditions)</t>
        </is>
      </c>
      <c r="B445" s="357" t="n"/>
      <c r="C445" s="248" t="n"/>
      <c r="D445" s="361">
        <f>B445*C445</f>
        <v/>
      </c>
    </row>
    <row r="446">
      <c r="A446" s="50" t="inlineStr">
        <is>
          <t>D.5 PCP/PPI procurement costs (if mentioned as eligible in the topic specific conditions)</t>
        </is>
      </c>
      <c r="B446" s="357" t="n"/>
      <c r="C446" s="248" t="n"/>
      <c r="D446" s="361">
        <f>B446*C446</f>
        <v/>
      </c>
    </row>
    <row r="447">
      <c r="A447" s="50" t="n"/>
      <c r="B447" s="346" t="n"/>
      <c r="C447" s="111" t="n"/>
      <c r="D447" s="365" t="n"/>
    </row>
    <row r="448">
      <c r="A448" s="52" t="inlineStr">
        <is>
          <t>TOTAL DIRECT PERSONNEL COSTS AND PURCHASE COSTS (A+C)</t>
        </is>
      </c>
      <c r="B448" s="369" t="n"/>
      <c r="C448" s="230" t="n"/>
      <c r="D448" s="360">
        <f>SUM(D419:D426,D430:D440)</f>
        <v/>
      </c>
    </row>
    <row r="449">
      <c r="A449" s="52" t="inlineStr">
        <is>
          <t>TOTAL DIRECT COSTS  (A+B+C+D)</t>
        </is>
      </c>
      <c r="B449" s="369" t="n"/>
      <c r="C449" s="230" t="n"/>
      <c r="D449" s="360">
        <f>SUM(D419:D446)</f>
        <v/>
      </c>
    </row>
    <row r="450">
      <c r="A450" s="180" t="n"/>
      <c r="B450" s="372" t="n"/>
      <c r="C450" s="176" t="n"/>
      <c r="D450" s="373" t="n"/>
    </row>
    <row r="451">
      <c r="A451" s="29" t="inlineStr">
        <is>
          <t>E. INDIRECT COSTS (25% * (A+C))</t>
        </is>
      </c>
      <c r="B451" s="358" t="n"/>
      <c r="C451" s="110" t="n"/>
      <c r="D451" s="360">
        <f>D448*0.25</f>
        <v/>
      </c>
    </row>
    <row r="452">
      <c r="A452" s="32" t="n"/>
      <c r="B452" s="372" t="n"/>
      <c r="C452" s="176" t="n"/>
      <c r="D452" s="377" t="n"/>
    </row>
    <row r="453">
      <c r="A453" s="29" t="inlineStr">
        <is>
          <t>F. TOTAL COSTS (A+B+C+D+E)</t>
        </is>
      </c>
      <c r="B453" s="369" t="n"/>
      <c r="C453" s="230" t="n"/>
      <c r="D453" s="360">
        <f>D449+D451</f>
        <v/>
      </c>
    </row>
    <row r="454">
      <c r="A454" s="182" t="n"/>
      <c r="B454" s="183" t="n"/>
      <c r="C454" s="184" t="n"/>
      <c r="D454" s="183" t="n"/>
    </row>
    <row r="455">
      <c r="A455" s="190" t="n"/>
      <c r="B455" s="185" t="n"/>
      <c r="C455" s="186" t="n"/>
      <c r="D455" s="187" t="n"/>
    </row>
    <row r="456" ht="21" customHeight="1">
      <c r="A456" s="272">
        <f>CONCATENATE("COSTS WORK PACKAGE 12:"," ","System-Level Demonstration and Validation")</f>
        <v/>
      </c>
      <c r="B456" s="314" t="n"/>
      <c r="C456" s="314" t="n"/>
      <c r="D456" s="315" t="n"/>
    </row>
    <row r="457">
      <c r="A457" s="182" t="n"/>
      <c r="B457" s="191" t="n"/>
      <c r="C457" s="192" t="n"/>
      <c r="D457" s="191" t="n"/>
    </row>
    <row r="458">
      <c r="A458" s="29" t="inlineStr">
        <is>
          <t>A. DIRECT PERSONNEL COSTS</t>
        </is>
      </c>
      <c r="B458" s="30" t="n"/>
      <c r="C458" s="110" t="n"/>
      <c r="D458" s="354" t="n"/>
    </row>
    <row r="459">
      <c r="A459" s="28" t="inlineStr">
        <is>
          <t>A.1 Employees (or equivalent)</t>
        </is>
      </c>
      <c r="B459" s="89" t="n"/>
      <c r="C459" s="111" t="n"/>
      <c r="D459" s="355" t="n"/>
    </row>
    <row r="460">
      <c r="A460" s="48" t="inlineStr">
        <is>
          <t>SENIOR SCIENTISTS (or equivalent in the private sector)</t>
        </is>
      </c>
      <c r="B460" s="357" t="n">
        <v>1</v>
      </c>
      <c r="C460" s="248" t="n">
        <v>5000</v>
      </c>
      <c r="D460" s="232">
        <f>B460*C460</f>
        <v/>
      </c>
    </row>
    <row r="461">
      <c r="A461" s="48" t="inlineStr">
        <is>
          <t>JUNIOR SCIENTISTS (or equivalent in the private sector)</t>
        </is>
      </c>
      <c r="B461" s="357" t="n"/>
      <c r="C461" s="248" t="n"/>
      <c r="D461" s="232">
        <f>B461*C461</f>
        <v/>
      </c>
    </row>
    <row r="462">
      <c r="A462" s="48" t="inlineStr">
        <is>
          <t>TECHNICAL PERSONNEL (or equivalent in the private sector)</t>
        </is>
      </c>
      <c r="B462" s="357" t="n"/>
      <c r="C462" s="248" t="n"/>
      <c r="D462" s="232">
        <f>B462*C462</f>
        <v/>
      </c>
    </row>
    <row r="463">
      <c r="A463" s="48" t="inlineStr">
        <is>
          <t>ADMINISTRATIVE PERSONNEL (or equivalent in the private sector)</t>
        </is>
      </c>
      <c r="B463" s="357" t="n"/>
      <c r="C463" s="248" t="n"/>
      <c r="D463" s="232">
        <f>B463*C463</f>
        <v/>
      </c>
    </row>
    <row r="464">
      <c r="A464" s="48" t="inlineStr">
        <is>
          <t>OTHERS</t>
        </is>
      </c>
      <c r="B464" s="357" t="n"/>
      <c r="C464" s="248" t="n"/>
      <c r="D464" s="232">
        <f>B464*C464</f>
        <v/>
      </c>
    </row>
    <row r="465">
      <c r="A465" s="28" t="inlineStr">
        <is>
          <t>A.2 Natural Persons under direct contract</t>
        </is>
      </c>
      <c r="B465" s="357" t="n"/>
      <c r="C465" s="248" t="n"/>
      <c r="D465" s="232">
        <f>B465*C465</f>
        <v/>
      </c>
    </row>
    <row r="466">
      <c r="A466" s="28" t="inlineStr">
        <is>
          <t>A.3 Seconded Persons</t>
        </is>
      </c>
      <c r="B466" s="357" t="n"/>
      <c r="C466" s="248" t="n"/>
      <c r="D466" s="232">
        <f>B466*C466</f>
        <v/>
      </c>
    </row>
    <row r="467">
      <c r="A467" s="28" t="inlineStr">
        <is>
          <t>A.4 SME owners and natural person beneficiaries</t>
        </is>
      </c>
      <c r="B467" s="357" t="n"/>
      <c r="C467" s="256" t="n">
        <v>8360.6024</v>
      </c>
      <c r="D467" s="232">
        <f>B467*C467</f>
        <v/>
      </c>
    </row>
    <row r="468">
      <c r="A468" s="29" t="inlineStr">
        <is>
          <t>B. DIRECT SUBCONTRACTING COSTS</t>
        </is>
      </c>
      <c r="B468" s="358" t="n"/>
      <c r="C468" s="110" t="n"/>
      <c r="D468" s="359" t="n"/>
    </row>
    <row r="469">
      <c r="A469" s="53" t="n"/>
      <c r="B469" s="357" t="n"/>
      <c r="C469" s="248" t="n"/>
      <c r="D469" s="361">
        <f>B469*C469</f>
        <v/>
      </c>
    </row>
    <row r="470">
      <c r="A470" s="29" t="inlineStr">
        <is>
          <t>C. DIRECT PURCHASE COSTS</t>
        </is>
      </c>
      <c r="B470" s="358" t="n"/>
      <c r="C470" s="110" t="n"/>
      <c r="D470" s="359" t="n"/>
    </row>
    <row r="471">
      <c r="A471" s="28" t="inlineStr">
        <is>
          <t>C.1 Travel and subsistence</t>
        </is>
      </c>
      <c r="B471" s="357" t="n"/>
      <c r="C471" s="248" t="n"/>
      <c r="D471" s="361">
        <f>B471*C471</f>
        <v/>
      </c>
    </row>
    <row r="472">
      <c r="A472" s="28" t="inlineStr">
        <is>
          <t>C.2 Equipment (complete 'Depreciation costs' sheet)</t>
        </is>
      </c>
      <c r="B472" s="346" t="n"/>
      <c r="C472" s="111" t="n"/>
      <c r="D472" s="364" t="n"/>
    </row>
    <row r="473">
      <c r="A473" s="49" t="inlineStr">
        <is>
          <t>Equipment</t>
        </is>
      </c>
      <c r="B473" s="357" t="n"/>
      <c r="C473" s="248" t="n"/>
      <c r="D473" s="361">
        <f>B473*C473</f>
        <v/>
      </c>
    </row>
    <row r="474">
      <c r="A474" s="49" t="inlineStr">
        <is>
          <t>Infrastructure</t>
        </is>
      </c>
      <c r="B474" s="357" t="n"/>
      <c r="C474" s="248" t="n"/>
      <c r="D474" s="361">
        <f>B474*C474</f>
        <v/>
      </c>
    </row>
    <row r="475">
      <c r="A475" s="49" t="inlineStr">
        <is>
          <t>Other assets</t>
        </is>
      </c>
      <c r="B475" s="357" t="n"/>
      <c r="C475" s="248" t="n"/>
      <c r="D475" s="361">
        <f>B475*C475</f>
        <v/>
      </c>
    </row>
    <row r="476">
      <c r="A476" s="28" t="inlineStr">
        <is>
          <t>C.3 Other goods, works and services</t>
        </is>
      </c>
      <c r="B476" s="346" t="n"/>
      <c r="C476" s="111" t="n"/>
      <c r="D476" s="364" t="n"/>
    </row>
    <row r="477">
      <c r="A477" s="49" t="inlineStr">
        <is>
          <t>Consumables</t>
        </is>
      </c>
      <c r="B477" s="357" t="n"/>
      <c r="C477" s="248" t="n"/>
      <c r="D477" s="361">
        <f>B477*C477</f>
        <v/>
      </c>
    </row>
    <row r="478">
      <c r="A478" s="49" t="inlineStr">
        <is>
          <t>Services for meetings, seminars</t>
        </is>
      </c>
      <c r="B478" s="357" t="n"/>
      <c r="C478" s="248" t="n"/>
      <c r="D478" s="361">
        <f>B478*C478</f>
        <v/>
      </c>
    </row>
    <row r="479">
      <c r="A479" s="49" t="inlineStr">
        <is>
          <t>Services for dissemination activities (including website)</t>
        </is>
      </c>
      <c r="B479" s="357" t="n"/>
      <c r="C479" s="248" t="n"/>
      <c r="D479" s="361">
        <f>B479*C479</f>
        <v/>
      </c>
    </row>
    <row r="480">
      <c r="A480" s="49" t="inlineStr">
        <is>
          <t>Publication fees</t>
        </is>
      </c>
      <c r="B480" s="357" t="n"/>
      <c r="C480" s="248" t="n"/>
      <c r="D480" s="361">
        <f>B480*C480</f>
        <v/>
      </c>
    </row>
    <row r="481">
      <c r="A481" s="49" t="inlineStr">
        <is>
          <t>Other (shipment, insurance, translation, etc.)</t>
        </is>
      </c>
      <c r="B481" s="357" t="n"/>
      <c r="C481" s="248" t="n"/>
      <c r="D481" s="361">
        <f>B481*C481</f>
        <v/>
      </c>
    </row>
    <row r="482">
      <c r="A482" s="29" t="inlineStr">
        <is>
          <t>D. OTHER COST CATEGORIES</t>
        </is>
      </c>
      <c r="B482" s="358" t="n"/>
      <c r="C482" s="110" t="n"/>
      <c r="D482" s="359" t="n"/>
    </row>
    <row r="483">
      <c r="A483" s="50" t="inlineStr">
        <is>
          <t>D.1 Financial support to third parties (if applicable in the topic specific conditions)</t>
        </is>
      </c>
      <c r="B483" s="357" t="n"/>
      <c r="C483" s="248" t="n"/>
      <c r="D483" s="361">
        <f>B483*C483</f>
        <v/>
      </c>
    </row>
    <row r="484">
      <c r="A484" s="50" t="inlineStr">
        <is>
          <t>D.2 Internally invoiced goods and services</t>
        </is>
      </c>
      <c r="B484" s="357" t="n"/>
      <c r="C484" s="248" t="n"/>
      <c r="D484" s="361">
        <f>B484*C484</f>
        <v/>
      </c>
    </row>
    <row r="485">
      <c r="A485" s="50" t="inlineStr">
        <is>
          <t>D.3 Transnational access to research infrastructure unit costs (if mentioned as eligible in the topic specific conditions)</t>
        </is>
      </c>
      <c r="B485" s="357" t="n"/>
      <c r="C485" s="248" t="n"/>
      <c r="D485" s="361">
        <f>B485*C485</f>
        <v/>
      </c>
    </row>
    <row r="486">
      <c r="A486" s="50" t="inlineStr">
        <is>
          <t>D.4 Virtual access to research infrastructure unit costs (if mentioned as eligible in the topic specific conditions)</t>
        </is>
      </c>
      <c r="B486" s="357" t="n"/>
      <c r="C486" s="248" t="n"/>
      <c r="D486" s="361">
        <f>B486*C486</f>
        <v/>
      </c>
    </row>
    <row r="487">
      <c r="A487" s="50" t="inlineStr">
        <is>
          <t>D.5 PCP/PPI procurement costs (if mentioned as eligible in the topic specific conditions)</t>
        </is>
      </c>
      <c r="B487" s="357" t="n"/>
      <c r="C487" s="248" t="n"/>
      <c r="D487" s="361">
        <f>B487*C487</f>
        <v/>
      </c>
    </row>
    <row r="488">
      <c r="A488" s="50" t="n"/>
      <c r="B488" s="346" t="n"/>
      <c r="C488" s="111" t="n"/>
      <c r="D488" s="365" t="n"/>
    </row>
    <row r="489">
      <c r="A489" s="52" t="inlineStr">
        <is>
          <t>TOTAL DIRECT PERSONNEL COSTS AND PURCHASE COSTS (A+C)</t>
        </is>
      </c>
      <c r="B489" s="369" t="n"/>
      <c r="C489" s="230" t="n"/>
      <c r="D489" s="360">
        <f>SUM(D460:D467,D471:D481)</f>
        <v/>
      </c>
    </row>
    <row r="490">
      <c r="A490" s="52" t="inlineStr">
        <is>
          <t>TOTAL DIRECT COSTS  (A+B+C+D)</t>
        </is>
      </c>
      <c r="B490" s="369" t="n"/>
      <c r="C490" s="230" t="n"/>
      <c r="D490" s="360">
        <f>SUM(D460:D487)</f>
        <v/>
      </c>
    </row>
    <row r="491">
      <c r="A491" s="180" t="n"/>
      <c r="B491" s="372" t="n"/>
      <c r="C491" s="176" t="n"/>
      <c r="D491" s="373" t="n"/>
    </row>
    <row r="492">
      <c r="A492" s="29" t="inlineStr">
        <is>
          <t>E. INDIRECT COSTS (25% * (A+C))</t>
        </is>
      </c>
      <c r="B492" s="358" t="n"/>
      <c r="C492" s="110" t="n"/>
      <c r="D492" s="360">
        <f>D489*0.25</f>
        <v/>
      </c>
    </row>
    <row r="493">
      <c r="A493" s="32" t="n"/>
      <c r="B493" s="372" t="n"/>
      <c r="C493" s="176" t="n"/>
      <c r="D493" s="377" t="n"/>
    </row>
    <row r="494">
      <c r="A494" s="29" t="inlineStr">
        <is>
          <t>F. TOTAL COSTS (A+B+C+D+E)</t>
        </is>
      </c>
      <c r="B494" s="369" t="n"/>
      <c r="C494" s="230" t="n"/>
      <c r="D494" s="360">
        <f>D490+D492</f>
        <v/>
      </c>
    </row>
    <row r="495">
      <c r="A495" s="182" t="n"/>
      <c r="B495" s="183" t="n"/>
      <c r="C495" s="184" t="n"/>
      <c r="D495" s="183" t="n"/>
    </row>
    <row r="496">
      <c r="A496" s="190" t="n"/>
      <c r="B496" s="185" t="n"/>
      <c r="C496" s="186" t="n"/>
      <c r="D496" s="187" t="n"/>
    </row>
    <row r="497" ht="21" customHeight="1">
      <c r="A497" s="272">
        <f>CONCATENATE("COSTS WORK PACKAGE 13:"," ","Dissemination, exploitation and communication general activity")</f>
        <v/>
      </c>
      <c r="B497" s="314" t="n"/>
      <c r="C497" s="314" t="n"/>
      <c r="D497" s="315" t="n"/>
    </row>
    <row r="498">
      <c r="A498" s="182" t="n"/>
      <c r="B498" s="191" t="n"/>
      <c r="C498" s="192" t="n"/>
      <c r="D498" s="191" t="n"/>
    </row>
    <row r="499">
      <c r="A499" s="29" t="inlineStr">
        <is>
          <t>A. DIRECT PERSONNEL COSTS</t>
        </is>
      </c>
      <c r="B499" s="30" t="n"/>
      <c r="C499" s="110" t="n"/>
      <c r="D499" s="354" t="n"/>
    </row>
    <row r="500">
      <c r="A500" s="28" t="inlineStr">
        <is>
          <t>A.1 Employees (or equivalent)</t>
        </is>
      </c>
      <c r="B500" s="89" t="n"/>
      <c r="C500" s="111" t="n"/>
      <c r="D500" s="355" t="n"/>
    </row>
    <row r="501">
      <c r="A501" s="48" t="inlineStr">
        <is>
          <t>SENIOR SCIENTISTS (or equivalent in the private sector)</t>
        </is>
      </c>
      <c r="B501" s="357" t="n">
        <v>1</v>
      </c>
      <c r="C501" s="248" t="n">
        <v>5000</v>
      </c>
      <c r="D501" s="232">
        <f>B501*C501</f>
        <v/>
      </c>
    </row>
    <row r="502">
      <c r="A502" s="48" t="inlineStr">
        <is>
          <t>JUNIOR SCIENTISTS (or equivalent in the private sector)</t>
        </is>
      </c>
      <c r="B502" s="357" t="n"/>
      <c r="C502" s="248" t="n"/>
      <c r="D502" s="232">
        <f>B502*C502</f>
        <v/>
      </c>
    </row>
    <row r="503">
      <c r="A503" s="48" t="inlineStr">
        <is>
          <t>TECHNICAL PERSONNEL (or equivalent in the private sector)</t>
        </is>
      </c>
      <c r="B503" s="357" t="n"/>
      <c r="C503" s="248" t="n"/>
      <c r="D503" s="232">
        <f>B503*C503</f>
        <v/>
      </c>
    </row>
    <row r="504">
      <c r="A504" s="48" t="inlineStr">
        <is>
          <t>ADMINISTRATIVE PERSONNEL (or equivalent in the private sector)</t>
        </is>
      </c>
      <c r="B504" s="357" t="n"/>
      <c r="C504" s="248" t="n"/>
      <c r="D504" s="232">
        <f>B504*C504</f>
        <v/>
      </c>
    </row>
    <row r="505">
      <c r="A505" s="48" t="inlineStr">
        <is>
          <t>OTHERS</t>
        </is>
      </c>
      <c r="B505" s="357" t="n"/>
      <c r="C505" s="248" t="n"/>
      <c r="D505" s="232">
        <f>B505*C505</f>
        <v/>
      </c>
    </row>
    <row r="506">
      <c r="A506" s="28" t="inlineStr">
        <is>
          <t>A.2 Natural Persons under direct contract</t>
        </is>
      </c>
      <c r="B506" s="357" t="n"/>
      <c r="C506" s="248" t="n"/>
      <c r="D506" s="232">
        <f>B506*C506</f>
        <v/>
      </c>
    </row>
    <row r="507">
      <c r="A507" s="28" t="inlineStr">
        <is>
          <t>A.3 Seconded Persons</t>
        </is>
      </c>
      <c r="B507" s="357" t="n"/>
      <c r="C507" s="248" t="n"/>
      <c r="D507" s="232">
        <f>B507*C507</f>
        <v/>
      </c>
    </row>
    <row r="508">
      <c r="A508" s="28" t="inlineStr">
        <is>
          <t>A.4 SME owners and natural person beneficiaries</t>
        </is>
      </c>
      <c r="B508" s="357" t="n"/>
      <c r="C508" s="256" t="n">
        <v>8360.6024</v>
      </c>
      <c r="D508" s="232">
        <f>B508*C508</f>
        <v/>
      </c>
    </row>
    <row r="509">
      <c r="A509" s="29" t="inlineStr">
        <is>
          <t>B. DIRECT SUBCONTRACTING COSTS</t>
        </is>
      </c>
      <c r="B509" s="358" t="n"/>
      <c r="C509" s="110" t="n"/>
      <c r="D509" s="359" t="n"/>
    </row>
    <row r="510">
      <c r="A510" s="53" t="n"/>
      <c r="B510" s="357" t="n"/>
      <c r="C510" s="248" t="n"/>
      <c r="D510" s="361">
        <f>B510*C510</f>
        <v/>
      </c>
    </row>
    <row r="511">
      <c r="A511" s="29" t="inlineStr">
        <is>
          <t>C. DIRECT PURCHASE COSTS</t>
        </is>
      </c>
      <c r="B511" s="358" t="n"/>
      <c r="C511" s="110" t="n"/>
      <c r="D511" s="359" t="n"/>
    </row>
    <row r="512">
      <c r="A512" s="28" t="inlineStr">
        <is>
          <t>C.1 Travel and subsistence</t>
        </is>
      </c>
      <c r="B512" s="357" t="n"/>
      <c r="C512" s="248" t="n"/>
      <c r="D512" s="361">
        <f>B512*C512</f>
        <v/>
      </c>
    </row>
    <row r="513">
      <c r="A513" s="28" t="inlineStr">
        <is>
          <t>C.2 Equipment (complete 'Depreciation costs' sheet)</t>
        </is>
      </c>
      <c r="B513" s="346" t="n"/>
      <c r="C513" s="111" t="n"/>
      <c r="D513" s="364" t="n"/>
    </row>
    <row r="514">
      <c r="A514" s="49" t="inlineStr">
        <is>
          <t>Equipment</t>
        </is>
      </c>
      <c r="B514" s="357" t="n"/>
      <c r="C514" s="248" t="n"/>
      <c r="D514" s="361">
        <f>B514*C514</f>
        <v/>
      </c>
    </row>
    <row r="515">
      <c r="A515" s="49" t="inlineStr">
        <is>
          <t>Infrastructure</t>
        </is>
      </c>
      <c r="B515" s="357" t="n"/>
      <c r="C515" s="248" t="n"/>
      <c r="D515" s="361">
        <f>B515*C515</f>
        <v/>
      </c>
    </row>
    <row r="516">
      <c r="A516" s="49" t="inlineStr">
        <is>
          <t>Other assets</t>
        </is>
      </c>
      <c r="B516" s="357" t="n"/>
      <c r="C516" s="248" t="n"/>
      <c r="D516" s="361">
        <f>B516*C516</f>
        <v/>
      </c>
    </row>
    <row r="517">
      <c r="A517" s="28" t="inlineStr">
        <is>
          <t>C.3 Other goods, works and services</t>
        </is>
      </c>
      <c r="B517" s="346" t="n"/>
      <c r="C517" s="111" t="n"/>
      <c r="D517" s="364" t="n"/>
    </row>
    <row r="518">
      <c r="A518" s="49" t="inlineStr">
        <is>
          <t>Consumables</t>
        </is>
      </c>
      <c r="B518" s="357" t="n"/>
      <c r="C518" s="248" t="n"/>
      <c r="D518" s="361">
        <f>B518*C518</f>
        <v/>
      </c>
    </row>
    <row r="519">
      <c r="A519" s="49" t="inlineStr">
        <is>
          <t>Services for meetings, seminars</t>
        </is>
      </c>
      <c r="B519" s="357" t="n"/>
      <c r="C519" s="248" t="n"/>
      <c r="D519" s="361">
        <f>B519*C519</f>
        <v/>
      </c>
    </row>
    <row r="520">
      <c r="A520" s="49" t="inlineStr">
        <is>
          <t>Services for dissemination activities (including website)</t>
        </is>
      </c>
      <c r="B520" s="357" t="n"/>
      <c r="C520" s="248" t="n"/>
      <c r="D520" s="361">
        <f>B520*C520</f>
        <v/>
      </c>
    </row>
    <row r="521">
      <c r="A521" s="49" t="inlineStr">
        <is>
          <t>Publication fees</t>
        </is>
      </c>
      <c r="B521" s="357" t="n"/>
      <c r="C521" s="248" t="n"/>
      <c r="D521" s="361">
        <f>B521*C521</f>
        <v/>
      </c>
    </row>
    <row r="522">
      <c r="A522" s="49" t="inlineStr">
        <is>
          <t>Other (shipment, insurance, translation, etc.)</t>
        </is>
      </c>
      <c r="B522" s="357" t="n"/>
      <c r="C522" s="248" t="n"/>
      <c r="D522" s="361">
        <f>B522*C522</f>
        <v/>
      </c>
    </row>
    <row r="523">
      <c r="A523" s="29" t="inlineStr">
        <is>
          <t>D. OTHER COST CATEGORIES</t>
        </is>
      </c>
      <c r="B523" s="358" t="n"/>
      <c r="C523" s="110" t="n"/>
      <c r="D523" s="359" t="n"/>
    </row>
    <row r="524">
      <c r="A524" s="50" t="inlineStr">
        <is>
          <t>D.1 Financial support to third parties (if applicable in the topic specific conditions)</t>
        </is>
      </c>
      <c r="B524" s="357" t="n"/>
      <c r="C524" s="248" t="n"/>
      <c r="D524" s="361">
        <f>B524*C524</f>
        <v/>
      </c>
    </row>
    <row r="525">
      <c r="A525" s="50" t="inlineStr">
        <is>
          <t>D.2 Internally invoiced goods and services</t>
        </is>
      </c>
      <c r="B525" s="357" t="n"/>
      <c r="C525" s="248" t="n"/>
      <c r="D525" s="361">
        <f>B525*C525</f>
        <v/>
      </c>
    </row>
    <row r="526">
      <c r="A526" s="50" t="inlineStr">
        <is>
          <t>D.3 Transnational access to research infrastructure unit costs (if mentioned as eligible in the topic specific conditions)</t>
        </is>
      </c>
      <c r="B526" s="357" t="n"/>
      <c r="C526" s="248" t="n"/>
      <c r="D526" s="361">
        <f>B526*C526</f>
        <v/>
      </c>
    </row>
    <row r="527">
      <c r="A527" s="50" t="inlineStr">
        <is>
          <t>D.4 Virtual access to research infrastructure unit costs (if mentioned as eligible in the topic specific conditions)</t>
        </is>
      </c>
      <c r="B527" s="357" t="n"/>
      <c r="C527" s="248" t="n"/>
      <c r="D527" s="361">
        <f>B527*C527</f>
        <v/>
      </c>
    </row>
    <row r="528">
      <c r="A528" s="50" t="inlineStr">
        <is>
          <t>D.5 PCP/PPI procurement costs (if mentioned as eligible in the topic specific conditions)</t>
        </is>
      </c>
      <c r="B528" s="357" t="n"/>
      <c r="C528" s="248" t="n"/>
      <c r="D528" s="361">
        <f>B528*C528</f>
        <v/>
      </c>
    </row>
    <row r="529">
      <c r="A529" s="50" t="n"/>
      <c r="B529" s="346" t="n"/>
      <c r="C529" s="111" t="n"/>
      <c r="D529" s="365" t="n"/>
    </row>
    <row r="530">
      <c r="A530" s="52" t="inlineStr">
        <is>
          <t>TOTAL DIRECT PERSONNEL COSTS AND PURCHASE COSTS (A+C)</t>
        </is>
      </c>
      <c r="B530" s="369" t="n"/>
      <c r="C530" s="230" t="n"/>
      <c r="D530" s="360">
        <f>SUM(D501:D508,D512:D522)</f>
        <v/>
      </c>
    </row>
    <row r="531">
      <c r="A531" s="52" t="inlineStr">
        <is>
          <t>TOTAL DIRECT COSTS  (A+B+C+D)</t>
        </is>
      </c>
      <c r="B531" s="369" t="n"/>
      <c r="C531" s="230" t="n"/>
      <c r="D531" s="360">
        <f>SUM(D501:D528)</f>
        <v/>
      </c>
    </row>
    <row r="532">
      <c r="A532" s="180" t="n"/>
      <c r="B532" s="372" t="n"/>
      <c r="C532" s="176" t="n"/>
      <c r="D532" s="373" t="n"/>
    </row>
    <row r="533">
      <c r="A533" s="29" t="inlineStr">
        <is>
          <t>E. INDIRECT COSTS (25% * (A+C))</t>
        </is>
      </c>
      <c r="B533" s="358" t="n"/>
      <c r="C533" s="110" t="n"/>
      <c r="D533" s="360">
        <f>D530*0.25</f>
        <v/>
      </c>
    </row>
    <row r="534">
      <c r="A534" s="32" t="n"/>
      <c r="B534" s="372" t="n"/>
      <c r="C534" s="176" t="n"/>
      <c r="D534" s="377" t="n"/>
    </row>
    <row r="535">
      <c r="A535" s="29" t="inlineStr">
        <is>
          <t>F. TOTAL COSTS (A+B+C+D+E)</t>
        </is>
      </c>
      <c r="B535" s="369" t="n"/>
      <c r="C535" s="230" t="n"/>
      <c r="D535" s="360">
        <f>D531+D533</f>
        <v/>
      </c>
    </row>
    <row r="536">
      <c r="A536" s="182" t="n"/>
      <c r="B536" s="183" t="n"/>
      <c r="C536" s="184" t="n"/>
      <c r="D536" s="183" t="n"/>
    </row>
    <row r="537">
      <c r="A537" s="190" t="n"/>
      <c r="B537" s="185" t="n"/>
      <c r="C537" s="186" t="n"/>
      <c r="D537" s="187" t="n"/>
    </row>
    <row r="538" ht="21" customHeight="1">
      <c r="A538" s="272">
        <f>CONCATENATE("COSTS WORK PACKAGE 14:"," ","Key Exploitable Results (KER) Strategy and related Plans towards future exploitation and full-scale deployment")</f>
        <v/>
      </c>
      <c r="B538" s="314" t="n"/>
      <c r="C538" s="314" t="n"/>
      <c r="D538" s="315" t="n"/>
    </row>
    <row r="539">
      <c r="A539" s="182" t="n"/>
      <c r="B539" s="191" t="n"/>
      <c r="C539" s="192" t="n"/>
      <c r="D539" s="191" t="n"/>
    </row>
    <row r="540">
      <c r="A540" s="29" t="inlineStr">
        <is>
          <t>A. DIRECT PERSONNEL COSTS</t>
        </is>
      </c>
      <c r="B540" s="30" t="n"/>
      <c r="C540" s="110" t="n"/>
      <c r="D540" s="354" t="n"/>
    </row>
    <row r="541">
      <c r="A541" s="28" t="inlineStr">
        <is>
          <t>A.1 Employees (or equivalent)</t>
        </is>
      </c>
      <c r="B541" s="89" t="n"/>
      <c r="C541" s="111" t="n"/>
      <c r="D541" s="355" t="n"/>
    </row>
    <row r="542">
      <c r="A542" s="48" t="inlineStr">
        <is>
          <t>SENIOR SCIENTISTS (or equivalent in the private sector)</t>
        </is>
      </c>
      <c r="B542" s="357" t="n">
        <v>1</v>
      </c>
      <c r="C542" s="248" t="n">
        <v>5000</v>
      </c>
      <c r="D542" s="232">
        <f>B542*C542</f>
        <v/>
      </c>
    </row>
    <row r="543">
      <c r="A543" s="48" t="inlineStr">
        <is>
          <t>JUNIOR SCIENTISTS (or equivalent in the private sector)</t>
        </is>
      </c>
      <c r="B543" s="357" t="n"/>
      <c r="C543" s="248" t="n"/>
      <c r="D543" s="232">
        <f>B543*C543</f>
        <v/>
      </c>
    </row>
    <row r="544">
      <c r="A544" s="48" t="inlineStr">
        <is>
          <t>TECHNICAL PERSONNEL (or equivalent in the private sector)</t>
        </is>
      </c>
      <c r="B544" s="357" t="n"/>
      <c r="C544" s="248" t="n"/>
      <c r="D544" s="232">
        <f>B544*C544</f>
        <v/>
      </c>
    </row>
    <row r="545">
      <c r="A545" s="48" t="inlineStr">
        <is>
          <t>ADMINISTRATIVE PERSONNEL (or equivalent in the private sector)</t>
        </is>
      </c>
      <c r="B545" s="357" t="n"/>
      <c r="C545" s="248" t="n"/>
      <c r="D545" s="232">
        <f>B545*C545</f>
        <v/>
      </c>
    </row>
    <row r="546">
      <c r="A546" s="48" t="inlineStr">
        <is>
          <t>OTHERS</t>
        </is>
      </c>
      <c r="B546" s="357" t="n"/>
      <c r="C546" s="248" t="n"/>
      <c r="D546" s="232">
        <f>B546*C546</f>
        <v/>
      </c>
    </row>
    <row r="547">
      <c r="A547" s="28" t="inlineStr">
        <is>
          <t>A.2 Natural Persons under direct contract</t>
        </is>
      </c>
      <c r="B547" s="357" t="n"/>
      <c r="C547" s="248" t="n"/>
      <c r="D547" s="232">
        <f>B547*C547</f>
        <v/>
      </c>
    </row>
    <row r="548">
      <c r="A548" s="28" t="inlineStr">
        <is>
          <t>A.3 Seconded Persons</t>
        </is>
      </c>
      <c r="B548" s="357" t="n"/>
      <c r="C548" s="248" t="n"/>
      <c r="D548" s="232">
        <f>B548*C548</f>
        <v/>
      </c>
    </row>
    <row r="549">
      <c r="A549" s="28" t="inlineStr">
        <is>
          <t>A.4 SME owners and natural person beneficiaries</t>
        </is>
      </c>
      <c r="B549" s="357" t="n"/>
      <c r="C549" s="256" t="n">
        <v>8360.6024</v>
      </c>
      <c r="D549" s="232">
        <f>B549*C549</f>
        <v/>
      </c>
    </row>
    <row r="550">
      <c r="A550" s="29" t="inlineStr">
        <is>
          <t>B. DIRECT SUBCONTRACTING COSTS</t>
        </is>
      </c>
      <c r="B550" s="358" t="n"/>
      <c r="C550" s="110" t="n"/>
      <c r="D550" s="359" t="n"/>
    </row>
    <row r="551">
      <c r="A551" s="53" t="n"/>
      <c r="B551" s="357" t="n"/>
      <c r="C551" s="248" t="n"/>
      <c r="D551" s="361">
        <f>B551*C551</f>
        <v/>
      </c>
    </row>
    <row r="552">
      <c r="A552" s="29" t="inlineStr">
        <is>
          <t>C. DIRECT PURCHASE COSTS</t>
        </is>
      </c>
      <c r="B552" s="358" t="n"/>
      <c r="C552" s="110" t="n"/>
      <c r="D552" s="359" t="n"/>
    </row>
    <row r="553">
      <c r="A553" s="28" t="inlineStr">
        <is>
          <t>C.1 Travel and subsistence</t>
        </is>
      </c>
      <c r="B553" s="357" t="n"/>
      <c r="C553" s="248" t="n"/>
      <c r="D553" s="361">
        <f>B553*C553</f>
        <v/>
      </c>
    </row>
    <row r="554">
      <c r="A554" s="28" t="inlineStr">
        <is>
          <t>C.2 Equipment (complete 'Depreciation costs' sheet)</t>
        </is>
      </c>
      <c r="B554" s="346" t="n"/>
      <c r="C554" s="111" t="n"/>
      <c r="D554" s="364" t="n"/>
    </row>
    <row r="555">
      <c r="A555" s="49" t="inlineStr">
        <is>
          <t>Equipment</t>
        </is>
      </c>
      <c r="B555" s="357" t="n"/>
      <c r="C555" s="248" t="n"/>
      <c r="D555" s="361">
        <f>B555*C555</f>
        <v/>
      </c>
    </row>
    <row r="556">
      <c r="A556" s="49" t="inlineStr">
        <is>
          <t>Infrastructure</t>
        </is>
      </c>
      <c r="B556" s="357" t="n"/>
      <c r="C556" s="248" t="n"/>
      <c r="D556" s="361">
        <f>B556*C556</f>
        <v/>
      </c>
    </row>
    <row r="557">
      <c r="A557" s="49" t="inlineStr">
        <is>
          <t>Other assets</t>
        </is>
      </c>
      <c r="B557" s="357" t="n"/>
      <c r="C557" s="248" t="n"/>
      <c r="D557" s="361">
        <f>B557*C557</f>
        <v/>
      </c>
    </row>
    <row r="558">
      <c r="A558" s="28" t="inlineStr">
        <is>
          <t>C.3 Other goods, works and services</t>
        </is>
      </c>
      <c r="B558" s="346" t="n"/>
      <c r="C558" s="111" t="n"/>
      <c r="D558" s="364" t="n"/>
    </row>
    <row r="559">
      <c r="A559" s="49" t="inlineStr">
        <is>
          <t>Consumables</t>
        </is>
      </c>
      <c r="B559" s="357" t="n"/>
      <c r="C559" s="248" t="n"/>
      <c r="D559" s="361">
        <f>B559*C559</f>
        <v/>
      </c>
    </row>
    <row r="560">
      <c r="A560" s="49" t="inlineStr">
        <is>
          <t>Services for meetings, seminars</t>
        </is>
      </c>
      <c r="B560" s="357" t="n"/>
      <c r="C560" s="248" t="n"/>
      <c r="D560" s="361">
        <f>B560*C560</f>
        <v/>
      </c>
    </row>
    <row r="561">
      <c r="A561" s="49" t="inlineStr">
        <is>
          <t>Services for dissemination activities (including website)</t>
        </is>
      </c>
      <c r="B561" s="357" t="n"/>
      <c r="C561" s="248" t="n"/>
      <c r="D561" s="361">
        <f>B561*C561</f>
        <v/>
      </c>
    </row>
    <row r="562">
      <c r="A562" s="49" t="inlineStr">
        <is>
          <t>Publication fees</t>
        </is>
      </c>
      <c r="B562" s="357" t="n"/>
      <c r="C562" s="248" t="n"/>
      <c r="D562" s="361">
        <f>B562*C562</f>
        <v/>
      </c>
    </row>
    <row r="563">
      <c r="A563" s="49" t="inlineStr">
        <is>
          <t>Other (shipment, insurance, translation, etc.)</t>
        </is>
      </c>
      <c r="B563" s="357" t="n"/>
      <c r="C563" s="248" t="n"/>
      <c r="D563" s="361">
        <f>B563*C563</f>
        <v/>
      </c>
    </row>
    <row r="564">
      <c r="A564" s="29" t="inlineStr">
        <is>
          <t>D. OTHER COST CATEGORIES</t>
        </is>
      </c>
      <c r="B564" s="358" t="n"/>
      <c r="C564" s="110" t="n"/>
      <c r="D564" s="359" t="n"/>
    </row>
    <row r="565">
      <c r="A565" s="50" t="inlineStr">
        <is>
          <t>D.1 Financial support to third parties (if applicable in the topic specific conditions)</t>
        </is>
      </c>
      <c r="B565" s="357" t="n"/>
      <c r="C565" s="248" t="n"/>
      <c r="D565" s="361">
        <f>B565*C565</f>
        <v/>
      </c>
    </row>
    <row r="566">
      <c r="A566" s="50" t="inlineStr">
        <is>
          <t>D.2 Internally invoiced goods and services</t>
        </is>
      </c>
      <c r="B566" s="357" t="n"/>
      <c r="C566" s="248" t="n"/>
      <c r="D566" s="361">
        <f>B566*C566</f>
        <v/>
      </c>
    </row>
    <row r="567">
      <c r="A567" s="50" t="inlineStr">
        <is>
          <t>D.3 Transnational access to research infrastructure unit costs (if mentioned as eligible in the topic specific conditions)</t>
        </is>
      </c>
      <c r="B567" s="357" t="n"/>
      <c r="C567" s="248" t="n"/>
      <c r="D567" s="361">
        <f>B567*C567</f>
        <v/>
      </c>
    </row>
    <row r="568">
      <c r="A568" s="50" t="inlineStr">
        <is>
          <t>D.4 Virtual access to research infrastructure unit costs (if mentioned as eligible in the topic specific conditions)</t>
        </is>
      </c>
      <c r="B568" s="357" t="n"/>
      <c r="C568" s="248" t="n"/>
      <c r="D568" s="361">
        <f>B568*C568</f>
        <v/>
      </c>
    </row>
    <row r="569">
      <c r="A569" s="50" t="inlineStr">
        <is>
          <t>D.5 PCP/PPI procurement costs (if mentioned as eligible in the topic specific conditions)</t>
        </is>
      </c>
      <c r="B569" s="357" t="n"/>
      <c r="C569" s="248" t="n"/>
      <c r="D569" s="361">
        <f>B569*C569</f>
        <v/>
      </c>
    </row>
    <row r="570">
      <c r="A570" s="50" t="n"/>
      <c r="B570" s="346" t="n"/>
      <c r="C570" s="111" t="n"/>
      <c r="D570" s="365" t="n"/>
    </row>
    <row r="571">
      <c r="A571" s="52" t="inlineStr">
        <is>
          <t>TOTAL DIRECT PERSONNEL COSTS AND PURCHASE COSTS (A+C)</t>
        </is>
      </c>
      <c r="B571" s="369" t="n"/>
      <c r="C571" s="230" t="n"/>
      <c r="D571" s="360">
        <f>SUM(D542:D549,D553:D563)</f>
        <v/>
      </c>
    </row>
    <row r="572">
      <c r="A572" s="52" t="inlineStr">
        <is>
          <t>TOTAL DIRECT COSTS  (A+B+C+D)</t>
        </is>
      </c>
      <c r="B572" s="369" t="n"/>
      <c r="C572" s="230" t="n"/>
      <c r="D572" s="360">
        <f>SUM(D542:D569)</f>
        <v/>
      </c>
    </row>
    <row r="573">
      <c r="A573" s="180" t="n"/>
      <c r="B573" s="372" t="n"/>
      <c r="C573" s="176" t="n"/>
      <c r="D573" s="373" t="n"/>
    </row>
    <row r="574">
      <c r="A574" s="29" t="inlineStr">
        <is>
          <t>E. INDIRECT COSTS (25% * (A+C))</t>
        </is>
      </c>
      <c r="B574" s="358" t="n"/>
      <c r="C574" s="110" t="n"/>
      <c r="D574" s="360">
        <f>D571*0.25</f>
        <v/>
      </c>
    </row>
    <row r="575">
      <c r="A575" s="32" t="n"/>
      <c r="B575" s="372" t="n"/>
      <c r="C575" s="176" t="n"/>
      <c r="D575" s="377" t="n"/>
    </row>
    <row r="576">
      <c r="A576" s="29" t="inlineStr">
        <is>
          <t>F. TOTAL COSTS (A+B+C+D+E)</t>
        </is>
      </c>
      <c r="B576" s="369" t="n"/>
      <c r="C576" s="230" t="n"/>
      <c r="D576" s="360">
        <f>D572+D574</f>
        <v/>
      </c>
    </row>
    <row r="578">
      <c r="A578" s="190" t="n"/>
      <c r="B578" s="185" t="n"/>
      <c r="C578" s="186" t="n"/>
      <c r="D578" s="187" t="n"/>
    </row>
    <row r="579" ht="21" customHeight="1">
      <c r="A579" s="272" t="inlineStr">
        <is>
          <t>SUMMARY</t>
        </is>
      </c>
      <c r="B579" s="314" t="n"/>
      <c r="C579" s="314" t="n"/>
      <c r="D579" s="315" t="n"/>
    </row>
    <row r="580">
      <c r="A580" s="56" t="n"/>
      <c r="B580" s="174" t="n"/>
      <c r="C580" s="175" t="n"/>
      <c r="D580" s="174" t="n"/>
    </row>
    <row r="581">
      <c r="A581" s="29" t="inlineStr">
        <is>
          <t>A. DIRECT PERSONNEL COSTS</t>
        </is>
      </c>
      <c r="B581" s="30" t="n"/>
      <c r="C581" s="110" t="n"/>
      <c r="D581" s="354" t="n"/>
    </row>
    <row r="582">
      <c r="A582" s="28" t="inlineStr">
        <is>
          <t>A.1 Employees (or equivalent)</t>
        </is>
      </c>
      <c r="B582" s="89" t="n"/>
      <c r="C582" s="111" t="n"/>
      <c r="D582" s="355" t="n"/>
    </row>
    <row r="583">
      <c r="A583" s="48" t="inlineStr">
        <is>
          <t>SENIOR SCIENTISTS (or equivalent in the private sector)</t>
        </is>
      </c>
      <c r="B583" s="378">
        <f>B9+B50+B91+B132+B173+B214+B255+B296+B337+B378+B419+B460+B501+B542</f>
        <v/>
      </c>
      <c r="C583" s="249">
        <f>IF(B583&gt;0,D583/B583," ")</f>
        <v/>
      </c>
      <c r="D583" s="361">
        <f>D9+D50+D91+D132+D173+D214+D255+D296+D337+D378+D419+D460+D501+D542</f>
        <v/>
      </c>
    </row>
    <row r="584">
      <c r="A584" s="48" t="inlineStr">
        <is>
          <t>JUNIOR SCIENTISTS (or equivalent in the private sector)</t>
        </is>
      </c>
      <c r="B584" s="378">
        <f>B10+B51+B92+B133+B174+B215+B256+B297+B338+B379+B420+B461+B502+B543</f>
        <v/>
      </c>
      <c r="C584" s="249">
        <f>IF(B584&gt;0,D584/B584," ")</f>
        <v/>
      </c>
      <c r="D584" s="361">
        <f>D10+D51+D92+D133+D174+D215+D256+D297+D338+D379+D420+D461+D502+D543</f>
        <v/>
      </c>
    </row>
    <row r="585">
      <c r="A585" s="48" t="inlineStr">
        <is>
          <t>TECHNICAL PERSONNEL (or equivalent in the private sector)</t>
        </is>
      </c>
      <c r="B585" s="378">
        <f>B11+B52+B93+B134+B175+B216+B257+B298+B339+B380+B421+B462+B503+B544</f>
        <v/>
      </c>
      <c r="C585" s="249">
        <f>IF(B585&gt;0,D585/B585," ")</f>
        <v/>
      </c>
      <c r="D585" s="361">
        <f>D11+D52+D93+D134+D175+D216+D257+D298+D339+D380+D421+D462+D503+D544</f>
        <v/>
      </c>
    </row>
    <row r="586">
      <c r="A586" s="48" t="inlineStr">
        <is>
          <t>ADMINISTRATIVE PERSONNEL (or equivalent in the private sector)</t>
        </is>
      </c>
      <c r="B586" s="378">
        <f>B12+B53+B94+B135+B176+B217+B258+B299+B340+B381+B422+B463+B504+B545</f>
        <v/>
      </c>
      <c r="C586" s="249">
        <f>IF(B586&gt;0,D586/B586," ")</f>
        <v/>
      </c>
      <c r="D586" s="361">
        <f>D12+D53+D94+D135+D176+D217+D258+D299+D340+D381+D422+D463+D504+D545</f>
        <v/>
      </c>
    </row>
    <row r="587">
      <c r="A587" s="48" t="inlineStr">
        <is>
          <t>OTHERS</t>
        </is>
      </c>
      <c r="B587" s="378">
        <f>B13+B54+B95+B136+B177+B218+B259+B300+B341+B382+B423+B464+B505+B546</f>
        <v/>
      </c>
      <c r="C587" s="249">
        <f>IF(B587&gt;0,D587/B587," ")</f>
        <v/>
      </c>
      <c r="D587" s="361">
        <f>D13+D54+D95+D136+D177+D218+D259+D300+D341+D382+D423+D464+D505+D546</f>
        <v/>
      </c>
    </row>
    <row r="588">
      <c r="A588" s="28" t="inlineStr">
        <is>
          <t>A.2 Natural Persons under direct contract</t>
        </is>
      </c>
      <c r="B588" s="378">
        <f>B14+B55+B96+B137+B178+B219+B260+B301+B342+B383+B424+B465+B506+B547</f>
        <v/>
      </c>
      <c r="C588" s="249">
        <f>IF(B588&gt;0,D588/B588," ")</f>
        <v/>
      </c>
      <c r="D588" s="361">
        <f>D14+D55+D96+D137+D178+D219+D260+D301+D342+D383+D424+D465+D506+D547</f>
        <v/>
      </c>
    </row>
    <row r="589">
      <c r="A589" s="28" t="inlineStr">
        <is>
          <t>A.3 Seconded Persons</t>
        </is>
      </c>
      <c r="B589" s="378">
        <f>B15+B56+B97+B138+B179+B220+B261+B302+B343+B384+B425+B466+B507+B548</f>
        <v/>
      </c>
      <c r="C589" s="249">
        <f>IF(B589&gt;0,D589/B589," ")</f>
        <v/>
      </c>
      <c r="D589" s="361">
        <f>D15+D56+D97+D138+D179+D220+D261+D302+D343+D384+D425+D466+D507+D548</f>
        <v/>
      </c>
    </row>
    <row r="590">
      <c r="A590" s="28" t="inlineStr">
        <is>
          <t>A.4 SME owners and natural person beneficiaries</t>
        </is>
      </c>
      <c r="B590" s="378">
        <f>B16+B57+B98+B139+B180+B221+B262+B303+B344+B385+B426+B467+B508+B549</f>
        <v/>
      </c>
      <c r="C590" s="249">
        <f>IF(B590&gt;0,D590/B590," ")</f>
        <v/>
      </c>
      <c r="D590" s="361">
        <f>D16+D57+D98+D139+D180+D221+D262+D303+D344+D385+D426+D467+D508+D549</f>
        <v/>
      </c>
    </row>
    <row r="591">
      <c r="A591" s="29" t="inlineStr">
        <is>
          <t>B. DIRECT SUBCONTRACTING COSTS</t>
        </is>
      </c>
      <c r="B591" s="380" t="n"/>
      <c r="C591" s="250" t="n"/>
      <c r="D591" s="359" t="n"/>
    </row>
    <row r="592">
      <c r="A592" s="28" t="n"/>
      <c r="B592" s="378">
        <f>B18+B59+B100+B141+B182+B223+B264+B305+B346+B387+B428+B469+B510+B551</f>
        <v/>
      </c>
      <c r="C592" s="249">
        <f>IF(B592&gt;0,D592/B592," ")</f>
        <v/>
      </c>
      <c r="D592" s="361">
        <f>D18+D59+D100+D141+D182+D223+D264+D305+D346+D387+D428+D469+D510+D551</f>
        <v/>
      </c>
    </row>
    <row r="593">
      <c r="A593" s="29" t="inlineStr">
        <is>
          <t>C. DIRECT PURCHASE COSTS</t>
        </is>
      </c>
      <c r="B593" s="380" t="n"/>
      <c r="C593" s="250" t="n"/>
      <c r="D593" s="359" t="n"/>
    </row>
    <row r="594">
      <c r="A594" s="28" t="inlineStr">
        <is>
          <t>C.1 Travel and subsistence</t>
        </is>
      </c>
      <c r="B594" s="378">
        <f>B20+B61+B102+B143+B184+B225+B266+B307+B348+B389+B430+B471+B512+B553</f>
        <v/>
      </c>
      <c r="C594" s="249">
        <f>IF(B594&gt;0,D594/B594," ")</f>
        <v/>
      </c>
      <c r="D594" s="361">
        <f>D20+D61+D102+D143+D184+D225+D266+D307+D348+D389+D430+D471+D512+D553</f>
        <v/>
      </c>
    </row>
    <row r="595">
      <c r="A595" s="28" t="inlineStr">
        <is>
          <t>C.2 Equipment (complete 'Depreciation costs' sheet)</t>
        </is>
      </c>
      <c r="B595" s="381" t="n"/>
      <c r="C595" s="251" t="n"/>
      <c r="D595" s="364" t="n"/>
    </row>
    <row r="596">
      <c r="A596" s="49" t="inlineStr">
        <is>
          <t>Equipment</t>
        </is>
      </c>
      <c r="B596" s="378">
        <f>B22+B63+B104+B145+B186+B227+B268+B309+B350+B391+B432+B473+B514+B555</f>
        <v/>
      </c>
      <c r="C596" s="249">
        <f>IF(B596&gt;0,D596/B596," ")</f>
        <v/>
      </c>
      <c r="D596" s="361">
        <f>D22+D63+D104+D145+D186+D227+D268+D309+D350+D391+D432+D473+D514+D555</f>
        <v/>
      </c>
    </row>
    <row r="597">
      <c r="A597" s="49" t="inlineStr">
        <is>
          <t>Infrastructure</t>
        </is>
      </c>
      <c r="B597" s="378">
        <f>B23+B64+B105+B146+B187+B228+B269+B310+B351+B392+B433+B474+B515+B556</f>
        <v/>
      </c>
      <c r="C597" s="249">
        <f>IF(B597&gt;0,D597/B597," ")</f>
        <v/>
      </c>
      <c r="D597" s="361">
        <f>D23+D64+D105+D146+D187+D228+D269+D310+D351+D392+D433+D474+D515+D556</f>
        <v/>
      </c>
    </row>
    <row r="598">
      <c r="A598" s="49" t="inlineStr">
        <is>
          <t>Other assets</t>
        </is>
      </c>
      <c r="B598" s="378">
        <f>B24+B65+B106+B147+B188+B229+B270+B311+B352+B393+B434+B475+B516+B557</f>
        <v/>
      </c>
      <c r="C598" s="249">
        <f>IF(B598&gt;0,D598/B598," ")</f>
        <v/>
      </c>
      <c r="D598" s="361">
        <f>D24+D65+D106+D147+D188+D229+D270+D311+D352+D393+D434+D475+D516+D557</f>
        <v/>
      </c>
    </row>
    <row r="599">
      <c r="A599" s="28" t="inlineStr">
        <is>
          <t>C.3 Other goods, works and services</t>
        </is>
      </c>
      <c r="B599" s="381" t="n"/>
      <c r="C599" s="251" t="n"/>
      <c r="D599" s="364" t="n"/>
    </row>
    <row r="600">
      <c r="A600" s="49" t="inlineStr">
        <is>
          <t>Consumables</t>
        </is>
      </c>
      <c r="B600" s="378">
        <f>B26+B67+B108+B149+B190+B231+B272+B313+B354+B395+B436+B477+B518+B559</f>
        <v/>
      </c>
      <c r="C600" s="249">
        <f>IF(B600&gt;0,D600/B600," ")</f>
        <v/>
      </c>
      <c r="D600" s="361">
        <f>D26+D67+D108+D149+D190+D231+D272+D313+D354+D395+D436+D477+D518+D559</f>
        <v/>
      </c>
    </row>
    <row r="601">
      <c r="A601" s="49" t="inlineStr">
        <is>
          <t>Services for meetings, seminars</t>
        </is>
      </c>
      <c r="B601" s="378">
        <f>B27+B68+B109+B150+B191+B232+B273+B314+B355+B396+B437+B478+B519+B560</f>
        <v/>
      </c>
      <c r="C601" s="249">
        <f>IF(B601&gt;0,D601/B601," ")</f>
        <v/>
      </c>
      <c r="D601" s="361">
        <f>D27+D68+D109+D150+D191+D232+D273+D314+D355+D396+D437+D478+D519+D560</f>
        <v/>
      </c>
    </row>
    <row r="602">
      <c r="A602" s="49" t="inlineStr">
        <is>
          <t>Services for dissemination activities (including website)</t>
        </is>
      </c>
      <c r="B602" s="378">
        <f>B28+B69+B110+B151+B192+B233+B274+B315+B356+B397+B438+B479+B520+B561</f>
        <v/>
      </c>
      <c r="C602" s="249">
        <f>IF(B602&gt;0,D602/B602," ")</f>
        <v/>
      </c>
      <c r="D602" s="361">
        <f>D28+D69+D110+D151+D192+D233+D274+D315+D356+D397+D438+D479+D520+D561</f>
        <v/>
      </c>
    </row>
    <row r="603">
      <c r="A603" s="49" t="inlineStr">
        <is>
          <t>Publication fees</t>
        </is>
      </c>
      <c r="B603" s="378">
        <f>B29+B70+B111+B152+B193+B234+B275+B316+B357+B398+B439+B480+B521+B562</f>
        <v/>
      </c>
      <c r="C603" s="249">
        <f>IF(B603&gt;0,D603/B603," ")</f>
        <v/>
      </c>
      <c r="D603" s="361">
        <f>D29+D70+D111+D152+D193+D234+D275+D316+D357+D398+D439+D480+D521+D562</f>
        <v/>
      </c>
    </row>
    <row r="604">
      <c r="A604" s="49" t="inlineStr">
        <is>
          <t>Other (shipment, insurance, translation, etc.)</t>
        </is>
      </c>
      <c r="B604" s="378">
        <f>B30+B71+B112+B153+B194+B235+B276+B317+B358+B399+B440+B481+B522+B563</f>
        <v/>
      </c>
      <c r="C604" s="249">
        <f>IF(B604&gt;0,D604/B604," ")</f>
        <v/>
      </c>
      <c r="D604" s="361">
        <f>D30+D71+D112+D153+D194+D235+D276+D317+D358+D399+D440+D481+D522+D563</f>
        <v/>
      </c>
    </row>
    <row r="605">
      <c r="A605" s="29" t="inlineStr">
        <is>
          <t>D. OTHER COST CATEGORIES</t>
        </is>
      </c>
      <c r="B605" s="380" t="n"/>
      <c r="C605" s="250" t="n"/>
      <c r="D605" s="359" t="n"/>
    </row>
    <row r="606">
      <c r="A606" s="50" t="inlineStr">
        <is>
          <t>D.1 Financial support to third parties (if applicable in the topic specific conditions)</t>
        </is>
      </c>
      <c r="B606" s="378">
        <f>B32+B73+B114+B155+B196+B237+B278+B319+B360+B401+B442+B483+B524+B565</f>
        <v/>
      </c>
      <c r="C606" s="249">
        <f>IF(B606&gt;0,D606/B606," ")</f>
        <v/>
      </c>
      <c r="D606" s="361">
        <f>D32+D73+D114+D155+D196+D237+D278+D319+D360+D401+D442+D483+D524+D565</f>
        <v/>
      </c>
    </row>
    <row r="607">
      <c r="A607" s="50" t="inlineStr">
        <is>
          <t>D.2 Internally invoiced goods and services</t>
        </is>
      </c>
      <c r="B607" s="378">
        <f>B33+B74+B115+B156+B197+B238+B279+B320+B361+B402+B443+B484+B525+B566</f>
        <v/>
      </c>
      <c r="C607" s="249">
        <f>IF(B607&gt;0,D607/B607," ")</f>
        <v/>
      </c>
      <c r="D607" s="361">
        <f>D33+D74+D115+D156+D197+D238+D279+D320+D361+D402+D443+D484+D525+D566</f>
        <v/>
      </c>
    </row>
    <row r="608">
      <c r="A608" s="50" t="inlineStr">
        <is>
          <t>D.3 Transnational access to research infrastructure unit costs (if mentioned as eligible in the topic specific conditions)</t>
        </is>
      </c>
      <c r="B608" s="378">
        <f>B34+B75+B116+B157+B198+B239+B280+B321+B362+B403+B444+B485+B526+B567</f>
        <v/>
      </c>
      <c r="C608" s="249">
        <f>IF(B608&gt;0,D608/B608," ")</f>
        <v/>
      </c>
      <c r="D608" s="361">
        <f>D34+D75+D116+D157+D198+D239+D280+D321+D362+D403+D444+D485+D526+D567</f>
        <v/>
      </c>
    </row>
    <row r="609">
      <c r="A609" s="50" t="inlineStr">
        <is>
          <t>D.4 Virtual access to research infrastructure unit costs (if mentioned as eligible in the topic specific conditions)</t>
        </is>
      </c>
      <c r="B609" s="378">
        <f>B35+B76+B117+B158+B199+B240+B281+B322+B363+B404+B445+B486+B527+B568</f>
        <v/>
      </c>
      <c r="C609" s="249">
        <f>IF(B609&gt;0,D609/B609," ")</f>
        <v/>
      </c>
      <c r="D609" s="361">
        <f>D35+D76+D117+D158+D199+D240+D281+D322+D363+D404+D445+D486+D527+D568</f>
        <v/>
      </c>
    </row>
    <row r="610">
      <c r="A610" s="50" t="inlineStr">
        <is>
          <t>D.5 PCP/PPI procurement costs (if mentioned as eligible in the topic specific conditions)</t>
        </is>
      </c>
      <c r="B610" s="378">
        <f>B36+B77+B118+B159+B200+B241+B282+B323+B364+B405+B446+B487+B528+B569</f>
        <v/>
      </c>
      <c r="C610" s="249">
        <f>IF(B610&gt;0,D610/B610," ")</f>
        <v/>
      </c>
      <c r="D610" s="361">
        <f>D36+D77+D118+D159+D200+D241+D282+D323+D364+D405+D446+D487+D528+D569</f>
        <v/>
      </c>
    </row>
    <row r="611">
      <c r="A611" s="51" t="n"/>
      <c r="B611" s="346" t="n"/>
      <c r="C611" s="111" t="n"/>
      <c r="D611" s="365" t="n"/>
    </row>
    <row r="612">
      <c r="A612" s="52" t="inlineStr">
        <is>
          <t>TOTAL DIRECT PERSONNEL COSTS AND PURCHASE COSTS (A+C)</t>
        </is>
      </c>
      <c r="B612" s="369" t="n"/>
      <c r="C612" s="230" t="n"/>
      <c r="D612" s="382">
        <f>D38+D79+D120+D161+D202+D243+D284+D325+D366+D407+D448+D489+D530+D571</f>
        <v/>
      </c>
    </row>
    <row r="613">
      <c r="A613" s="52" t="inlineStr">
        <is>
          <t>TOTAL DIRECT COSTS  (A+B+C+D)</t>
        </is>
      </c>
      <c r="B613" s="369" t="n"/>
      <c r="C613" s="230" t="n"/>
      <c r="D613" s="382">
        <f>D39+D80+D121+D162+D203+D244+D285+D326+D367+D408+D449+D490+D531+D572</f>
        <v/>
      </c>
    </row>
    <row r="614">
      <c r="A614" s="182" t="n"/>
      <c r="B614" s="383" t="n"/>
      <c r="C614" s="192" t="n"/>
      <c r="D614" s="191" t="n"/>
    </row>
    <row r="615">
      <c r="A615" s="29" t="inlineStr">
        <is>
          <t>E. INDIRECT COSTS (25% * (A+C))</t>
        </is>
      </c>
      <c r="B615" s="369" t="n"/>
      <c r="C615" s="230" t="n"/>
      <c r="D615" s="382">
        <f>D41+D82+D123+D164+D205+D246+D287+D328+D369+D410+D451+D492+D533+D574</f>
        <v/>
      </c>
    </row>
    <row r="616">
      <c r="A616" s="182" t="n"/>
      <c r="B616" s="383" t="n"/>
      <c r="C616" s="192" t="n"/>
      <c r="D616" s="191" t="n"/>
    </row>
    <row r="617">
      <c r="A617" s="29" t="inlineStr">
        <is>
          <t>F. TOTAL COSTS (A+B+C+D+E)</t>
        </is>
      </c>
      <c r="B617" s="369" t="n"/>
      <c r="C617" s="230" t="n"/>
      <c r="D617" s="382">
        <f>D43+D84+D125+D166+D207+D248+D289+D330+D371+D412+D453+D494+D535+D576</f>
        <v/>
      </c>
    </row>
  </sheetData>
  <sheetProtection selectLockedCells="1" selectUnlockedCells="0" algorithmName="SHA-512" sheet="1" objects="1" insertRows="1" insertHyperlinks="1" autoFilter="1" scenarios="1" formatColumns="1" deleteColumns="1" insertColumns="1" pivotTables="1" deleteRows="1" formatCells="1" saltValue="SMpVyrk5v8wYcZJkTSw0zA==" formatRows="1" sort="1" spinCount="100000" hashValue="Qh9m16a6nvyPYM7IZg4Bd0w8WdB7N81pr6huqNbxh05DnKFQARREIwa4o9ZsoE/gVxRS7coMETBJ275hdJHAfg=="/>
  <mergeCells count="16">
    <mergeCell ref="A5:D5"/>
    <mergeCell ref="A497:D497"/>
    <mergeCell ref="A579:D579"/>
    <mergeCell ref="A456:D456"/>
    <mergeCell ref="A333:D333"/>
    <mergeCell ref="A210:D210"/>
    <mergeCell ref="A538:D538"/>
    <mergeCell ref="A87:D87"/>
    <mergeCell ref="A415:D415"/>
    <mergeCell ref="A251:D251"/>
    <mergeCell ref="B2:D2"/>
    <mergeCell ref="A128:D128"/>
    <mergeCell ref="A292:D292"/>
    <mergeCell ref="A169:D169"/>
    <mergeCell ref="A46:D46"/>
    <mergeCell ref="A374:D374"/>
  </mergeCells>
  <hyperlinks>
    <hyperlink ref="C1" location="A617" tooltip="Go to Summary section" display="A617"/>
  </hyperlinks>
  <pageMargins left="0.7" right="0.7" top="0.75" bottom="0.75" header="0.3" footer="0.3"/>
</worksheet>
</file>

<file path=xl/worksheets/sheet20.xml><?xml version="1.0" encoding="utf-8"?>
<worksheet xmlns="http://schemas.openxmlformats.org/spreadsheetml/2006/main">
  <sheetPr>
    <tabColor rgb="FFFF0000"/>
    <outlinePr summaryBelow="1" summaryRight="1"/>
    <pageSetUpPr/>
  </sheetPr>
  <dimension ref="A1:D617"/>
  <sheetViews>
    <sheetView zoomScale="80" zoomScaleNormal="80" workbookViewId="0">
      <pane xSplit="1" ySplit="3" topLeftCell="B488" activePane="bottomRight" state="frozenSplit"/>
      <selection pane="bottomRight" activeCell="A3" sqref="A3"/>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BE7 - BUDGET SHEET</t>
        </is>
      </c>
      <c r="B1" s="33" t="n"/>
      <c r="C1" s="242" t="inlineStr">
        <is>
          <t>View Summary</t>
        </is>
      </c>
      <c r="D1" s="34" t="n"/>
    </row>
    <row r="2" ht="18.6" customHeight="1">
      <c r="A2" s="265" t="inlineStr">
        <is>
          <t>29db7128-1376-414c-a57b-4a4b18142839</t>
        </is>
      </c>
      <c r="B2" s="273" t="inlineStr">
        <is>
          <t>Mobydo AS</t>
        </is>
      </c>
      <c r="C2" s="314" t="n"/>
      <c r="D2" s="315" t="n"/>
    </row>
    <row r="3" ht="18.6" customHeight="1">
      <c r="A3" s="263"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272">
        <f>CONCATENATE("COSTS WORK PACKAGE 1:"," ","Project management and coordination")</f>
        <v/>
      </c>
      <c r="B5" s="314" t="n"/>
      <c r="C5" s="314" t="n"/>
      <c r="D5" s="315" t="n"/>
    </row>
    <row r="6">
      <c r="A6" s="182" t="n"/>
      <c r="B6" s="191" t="n"/>
      <c r="C6" s="192" t="n"/>
      <c r="D6" s="191" t="n"/>
    </row>
    <row r="7">
      <c r="A7" s="29" t="inlineStr">
        <is>
          <t>A. DIRECT PERSONNEL COSTS</t>
        </is>
      </c>
      <c r="B7" s="30" t="n"/>
      <c r="C7" s="110" t="n"/>
      <c r="D7" s="354" t="n"/>
    </row>
    <row r="8">
      <c r="A8" s="28" t="inlineStr">
        <is>
          <t>A.1 Employees (or equivalent)</t>
        </is>
      </c>
      <c r="B8" s="89" t="n"/>
      <c r="C8" s="111" t="n"/>
      <c r="D8" s="355" t="n"/>
    </row>
    <row r="9">
      <c r="A9" s="48" t="inlineStr">
        <is>
          <t>SENIOR SCIENTISTS (or equivalent in the private sector)</t>
        </is>
      </c>
      <c r="B9" s="357" t="n">
        <v>0</v>
      </c>
      <c r="C9" s="248" t="n">
        <v>9021.428571428571</v>
      </c>
      <c r="D9" s="232">
        <f>B9*C9</f>
        <v/>
      </c>
    </row>
    <row r="10">
      <c r="A10" s="48" t="inlineStr">
        <is>
          <t>JUNIOR SCIENTISTS (or equivalent in the private sector)</t>
        </is>
      </c>
      <c r="B10" s="357" t="n">
        <v>0</v>
      </c>
      <c r="C10" s="248" t="n">
        <v>6950</v>
      </c>
      <c r="D10" s="232">
        <f>B10*C10</f>
        <v/>
      </c>
    </row>
    <row r="11">
      <c r="A11" s="48" t="inlineStr">
        <is>
          <t>TECHNICAL PERSONNEL (or equivalent in the private sector)</t>
        </is>
      </c>
      <c r="B11" s="357" t="n">
        <v>0</v>
      </c>
      <c r="C11" s="248" t="n">
        <v>8550</v>
      </c>
      <c r="D11" s="232">
        <f>B11*C11</f>
        <v/>
      </c>
    </row>
    <row r="12">
      <c r="A12" s="48" t="inlineStr">
        <is>
          <t>ADMINISTRATIVE PERSONNEL (or equivalent in the private sector)</t>
        </is>
      </c>
      <c r="B12" s="357" t="n">
        <v>3</v>
      </c>
      <c r="C12" s="248" t="n">
        <v>8490</v>
      </c>
      <c r="D12" s="232">
        <f>B12*C12</f>
        <v/>
      </c>
    </row>
    <row r="13">
      <c r="A13" s="48" t="inlineStr">
        <is>
          <t>OTHERS</t>
        </is>
      </c>
      <c r="B13" s="357" t="n"/>
      <c r="C13" s="248" t="n"/>
      <c r="D13" s="232">
        <f>B13*C13</f>
        <v/>
      </c>
    </row>
    <row r="14">
      <c r="A14" s="28" t="inlineStr">
        <is>
          <t>A.2 Natural Persons under direct contract</t>
        </is>
      </c>
      <c r="B14" s="357" t="n"/>
      <c r="C14" s="248" t="n"/>
      <c r="D14" s="232">
        <f>B14*C14</f>
        <v/>
      </c>
    </row>
    <row r="15">
      <c r="A15" s="28" t="inlineStr">
        <is>
          <t>A.3 Seconded Persons</t>
        </is>
      </c>
      <c r="B15" s="357" t="n"/>
      <c r="C15" s="248" t="n"/>
      <c r="D15" s="232">
        <f>B15*C15</f>
        <v/>
      </c>
    </row>
    <row r="16">
      <c r="A16" s="28" t="inlineStr">
        <is>
          <t>A.4 SME owners and natural person beneficiaries</t>
        </is>
      </c>
      <c r="B16" s="357" t="n"/>
      <c r="C16" s="256" t="n">
        <v>11858.7624</v>
      </c>
      <c r="D16" s="232">
        <f>B16*C16</f>
        <v/>
      </c>
    </row>
    <row r="17">
      <c r="A17" s="29" t="inlineStr">
        <is>
          <t>B. DIRECT SUBCONTRACTING COSTS</t>
        </is>
      </c>
      <c r="B17" s="358" t="n"/>
      <c r="C17" s="110" t="n"/>
      <c r="D17" s="359" t="n"/>
    </row>
    <row r="18">
      <c r="A18" s="53" t="n"/>
      <c r="B18" s="357" t="n"/>
      <c r="C18" s="248" t="n"/>
      <c r="D18" s="361">
        <f>B18*C18</f>
        <v/>
      </c>
    </row>
    <row r="19">
      <c r="A19" s="29" t="inlineStr">
        <is>
          <t>C. DIRECT PURCHASE COSTS</t>
        </is>
      </c>
      <c r="B19" s="358" t="n"/>
      <c r="C19" s="110" t="n"/>
      <c r="D19" s="359" t="n"/>
    </row>
    <row r="20">
      <c r="A20" s="28" t="inlineStr">
        <is>
          <t>C.1 Travel and subsistence</t>
        </is>
      </c>
      <c r="B20" s="357" t="n">
        <v>6</v>
      </c>
      <c r="C20" s="248" t="n">
        <v>2000</v>
      </c>
      <c r="D20" s="361">
        <f>B20*C20</f>
        <v/>
      </c>
    </row>
    <row r="21">
      <c r="A21" s="28" t="inlineStr">
        <is>
          <t>C.2 Equipment (complete 'Depreciation costs' sheet)</t>
        </is>
      </c>
      <c r="B21" s="346" t="n"/>
      <c r="C21" s="111" t="n"/>
      <c r="D21" s="364" t="n"/>
    </row>
    <row r="22">
      <c r="A22" s="49" t="inlineStr">
        <is>
          <t>Equipment</t>
        </is>
      </c>
      <c r="B22" s="357" t="n"/>
      <c r="C22" s="248" t="n"/>
      <c r="D22" s="361">
        <f>B22*C22</f>
        <v/>
      </c>
    </row>
    <row r="23">
      <c r="A23" s="49" t="inlineStr">
        <is>
          <t>Infrastructure</t>
        </is>
      </c>
      <c r="B23" s="357" t="n"/>
      <c r="C23" s="248" t="n"/>
      <c r="D23" s="361">
        <f>B23*C23</f>
        <v/>
      </c>
    </row>
    <row r="24">
      <c r="A24" s="49" t="inlineStr">
        <is>
          <t>Other assets</t>
        </is>
      </c>
      <c r="B24" s="357" t="n"/>
      <c r="C24" s="248" t="n"/>
      <c r="D24" s="361">
        <f>B24*C24</f>
        <v/>
      </c>
    </row>
    <row r="25">
      <c r="A25" s="28" t="inlineStr">
        <is>
          <t>C.3 Other goods, works and services</t>
        </is>
      </c>
      <c r="B25" s="346" t="n"/>
      <c r="C25" s="111" t="n"/>
      <c r="D25" s="364" t="n"/>
    </row>
    <row r="26">
      <c r="A26" s="49" t="inlineStr">
        <is>
          <t>Consumables</t>
        </is>
      </c>
      <c r="B26" s="357" t="n"/>
      <c r="C26" s="248" t="n"/>
      <c r="D26" s="361">
        <f>B26*C26</f>
        <v/>
      </c>
    </row>
    <row r="27">
      <c r="A27" s="49" t="inlineStr">
        <is>
          <t>Services for meetings, seminars</t>
        </is>
      </c>
      <c r="B27" s="357" t="n"/>
      <c r="C27" s="248" t="n"/>
      <c r="D27" s="361">
        <f>B27*C27</f>
        <v/>
      </c>
    </row>
    <row r="28">
      <c r="A28" s="49" t="inlineStr">
        <is>
          <t>Services for dissemination activities (including website)</t>
        </is>
      </c>
      <c r="B28" s="357" t="n"/>
      <c r="C28" s="248" t="n"/>
      <c r="D28" s="361">
        <f>B28*C28</f>
        <v/>
      </c>
    </row>
    <row r="29">
      <c r="A29" s="49" t="inlineStr">
        <is>
          <t>Publication fees</t>
        </is>
      </c>
      <c r="B29" s="357" t="n"/>
      <c r="C29" s="248" t="n"/>
      <c r="D29" s="361">
        <f>B29*C29</f>
        <v/>
      </c>
    </row>
    <row r="30">
      <c r="A30" s="49" t="inlineStr">
        <is>
          <t>Other (shipment, insurance, translation, etc.)</t>
        </is>
      </c>
      <c r="B30" s="357" t="n"/>
      <c r="C30" s="248" t="n"/>
      <c r="D30" s="361">
        <f>B30*C30</f>
        <v/>
      </c>
    </row>
    <row r="31">
      <c r="A31" s="29" t="inlineStr">
        <is>
          <t>D. OTHER COST CATEGORIES</t>
        </is>
      </c>
      <c r="B31" s="358" t="n"/>
      <c r="C31" s="110" t="n"/>
      <c r="D31" s="359" t="n"/>
    </row>
    <row r="32">
      <c r="A32" s="50" t="inlineStr">
        <is>
          <t>D.1 Financial support to third parties (if applicable in the topic specific conditions)</t>
        </is>
      </c>
      <c r="B32" s="357" t="n"/>
      <c r="C32" s="248" t="n"/>
      <c r="D32" s="361">
        <f>B32*C32</f>
        <v/>
      </c>
    </row>
    <row r="33">
      <c r="A33" s="50" t="inlineStr">
        <is>
          <t>D.2 Internally invoiced goods and services</t>
        </is>
      </c>
      <c r="B33" s="357" t="n"/>
      <c r="C33" s="248" t="n"/>
      <c r="D33" s="361">
        <f>B33*C33</f>
        <v/>
      </c>
    </row>
    <row r="34">
      <c r="A34" s="50" t="inlineStr">
        <is>
          <t>D.3 Transnational access to research infrastructure unit costs (if mentioned as eligible in the topic specific conditions)</t>
        </is>
      </c>
      <c r="B34" s="357" t="n"/>
      <c r="C34" s="248" t="n"/>
      <c r="D34" s="361">
        <f>B34*C34</f>
        <v/>
      </c>
    </row>
    <row r="35">
      <c r="A35" s="50" t="inlineStr">
        <is>
          <t>D.4 Virtual access to research infrastructure unit costs (if mentioned as eligible in the topic specific conditions)</t>
        </is>
      </c>
      <c r="B35" s="357" t="n"/>
      <c r="C35" s="248" t="n"/>
      <c r="D35" s="361">
        <f>B35*C35</f>
        <v/>
      </c>
    </row>
    <row r="36">
      <c r="A36" s="50" t="inlineStr">
        <is>
          <t>D.5 PCP/PPI procurement costs (if mentioned as eligible in the topic specific conditions)</t>
        </is>
      </c>
      <c r="B36" s="357" t="n"/>
      <c r="C36" s="248" t="n"/>
      <c r="D36" s="361">
        <f>B36*C36</f>
        <v/>
      </c>
    </row>
    <row r="37">
      <c r="A37" s="50" t="n"/>
      <c r="B37" s="346" t="n"/>
      <c r="C37" s="111" t="n"/>
      <c r="D37" s="365" t="n"/>
    </row>
    <row r="38">
      <c r="A38" s="52" t="inlineStr">
        <is>
          <t>TOTAL DIRECT PERSONNEL COSTS AND PURCHASE COSTS (A+C)</t>
        </is>
      </c>
      <c r="B38" s="369" t="n"/>
      <c r="C38" s="230" t="n"/>
      <c r="D38" s="360">
        <f>SUM(D9:D16,D20:D30)</f>
        <v/>
      </c>
    </row>
    <row r="39">
      <c r="A39" s="52" t="inlineStr">
        <is>
          <t>TOTAL DIRECT COSTS  (A+B+C+D)</t>
        </is>
      </c>
      <c r="B39" s="369" t="n"/>
      <c r="C39" s="230" t="n"/>
      <c r="D39" s="360">
        <f>SUM(D9:D36)</f>
        <v/>
      </c>
    </row>
    <row r="40">
      <c r="A40" s="180" t="n"/>
      <c r="B40" s="372" t="n"/>
      <c r="C40" s="176" t="n"/>
      <c r="D40" s="373" t="n"/>
    </row>
    <row r="41">
      <c r="A41" s="29" t="inlineStr">
        <is>
          <t>E. INDIRECT COSTS (25% * (A+C))</t>
        </is>
      </c>
      <c r="B41" s="358" t="n"/>
      <c r="C41" s="110" t="n"/>
      <c r="D41" s="360">
        <f>D38*0.25</f>
        <v/>
      </c>
    </row>
    <row r="42">
      <c r="A42" s="32" t="n"/>
      <c r="B42" s="372" t="n"/>
      <c r="C42" s="176" t="n"/>
      <c r="D42" s="377" t="n"/>
    </row>
    <row r="43">
      <c r="A43" s="29" t="inlineStr">
        <is>
          <t>F. TOTAL COSTS (A+B+C+D+E)</t>
        </is>
      </c>
      <c r="B43" s="369" t="n"/>
      <c r="C43" s="230" t="n"/>
      <c r="D43" s="360">
        <f>D39+D41</f>
        <v/>
      </c>
    </row>
    <row r="44">
      <c r="A44" s="182" t="n"/>
      <c r="B44" s="183" t="n"/>
      <c r="C44" s="184" t="n"/>
      <c r="D44" s="183" t="n"/>
    </row>
    <row r="45">
      <c r="A45" s="190" t="n"/>
      <c r="B45" s="185" t="n"/>
      <c r="C45" s="186" t="n"/>
      <c r="D45" s="187" t="n"/>
    </row>
    <row r="46" ht="21" customHeight="1">
      <c r="A46" s="272">
        <f>CONCATENATE("COSTS WORK PACKAGE 2:"," ","System definition and use case identification")</f>
        <v/>
      </c>
      <c r="B46" s="314" t="n"/>
      <c r="C46" s="314" t="n"/>
      <c r="D46" s="315" t="n"/>
    </row>
    <row r="47">
      <c r="A47" s="182" t="n"/>
      <c r="B47" s="191" t="n"/>
      <c r="C47" s="192" t="n"/>
      <c r="D47" s="191" t="n"/>
    </row>
    <row r="48">
      <c r="A48" s="29" t="inlineStr">
        <is>
          <t>A. DIRECT PERSONNEL COSTS</t>
        </is>
      </c>
      <c r="B48" s="30" t="n"/>
      <c r="C48" s="110" t="n"/>
      <c r="D48" s="354" t="n"/>
    </row>
    <row r="49">
      <c r="A49" s="28" t="inlineStr">
        <is>
          <t>A.1 Employees (or equivalent)</t>
        </is>
      </c>
      <c r="B49" s="89" t="n"/>
      <c r="C49" s="111" t="n"/>
      <c r="D49" s="355" t="n"/>
    </row>
    <row r="50">
      <c r="A50" s="48" t="inlineStr">
        <is>
          <t>SENIOR SCIENTISTS (or equivalent in the private sector)</t>
        </is>
      </c>
      <c r="B50" s="357" t="n">
        <v>0</v>
      </c>
      <c r="C50" s="248" t="n">
        <v>0</v>
      </c>
      <c r="D50" s="232">
        <f>B50*C50</f>
        <v/>
      </c>
    </row>
    <row r="51">
      <c r="A51" s="48" t="inlineStr">
        <is>
          <t>JUNIOR SCIENTISTS (or equivalent in the private sector)</t>
        </is>
      </c>
      <c r="B51" s="357" t="n">
        <v>3</v>
      </c>
      <c r="C51" s="248" t="n">
        <v>6950</v>
      </c>
      <c r="D51" s="232">
        <f>B51*C51</f>
        <v/>
      </c>
    </row>
    <row r="52">
      <c r="A52" s="48" t="inlineStr">
        <is>
          <t>TECHNICAL PERSONNEL (or equivalent in the private sector)</t>
        </is>
      </c>
      <c r="B52" s="357" t="n"/>
      <c r="C52" s="248" t="n"/>
      <c r="D52" s="232">
        <f>B52*C52</f>
        <v/>
      </c>
    </row>
    <row r="53">
      <c r="A53" s="48" t="inlineStr">
        <is>
          <t>ADMINISTRATIVE PERSONNEL (or equivalent in the private sector)</t>
        </is>
      </c>
      <c r="B53" s="357" t="n"/>
      <c r="C53" s="248" t="n"/>
      <c r="D53" s="232">
        <f>B53*C53</f>
        <v/>
      </c>
    </row>
    <row r="54">
      <c r="A54" s="48" t="inlineStr">
        <is>
          <t>OTHERS</t>
        </is>
      </c>
      <c r="B54" s="357" t="n"/>
      <c r="C54" s="248" t="n"/>
      <c r="D54" s="232">
        <f>B54*C54</f>
        <v/>
      </c>
    </row>
    <row r="55">
      <c r="A55" s="28" t="inlineStr">
        <is>
          <t>A.2 Natural Persons under direct contract</t>
        </is>
      </c>
      <c r="B55" s="357" t="n"/>
      <c r="C55" s="248" t="n"/>
      <c r="D55" s="232">
        <f>B55*C55</f>
        <v/>
      </c>
    </row>
    <row r="56">
      <c r="A56" s="28" t="inlineStr">
        <is>
          <t>A.3 Seconded Persons</t>
        </is>
      </c>
      <c r="B56" s="357" t="n"/>
      <c r="C56" s="248" t="n"/>
      <c r="D56" s="232">
        <f>B56*C56</f>
        <v/>
      </c>
    </row>
    <row r="57">
      <c r="A57" s="28" t="inlineStr">
        <is>
          <t>A.4 SME owners and natural person beneficiaries</t>
        </is>
      </c>
      <c r="B57" s="357" t="n"/>
      <c r="C57" s="256" t="n">
        <v>11858.7624</v>
      </c>
      <c r="D57" s="232">
        <f>B57*C57</f>
        <v/>
      </c>
    </row>
    <row r="58">
      <c r="A58" s="29" t="inlineStr">
        <is>
          <t>B. DIRECT SUBCONTRACTING COSTS</t>
        </is>
      </c>
      <c r="B58" s="358" t="n"/>
      <c r="C58" s="110" t="n"/>
      <c r="D58" s="359" t="n"/>
    </row>
    <row r="59">
      <c r="A59" s="53" t="n"/>
      <c r="B59" s="357" t="n"/>
      <c r="C59" s="248" t="n"/>
      <c r="D59" s="361">
        <f>B59*C59</f>
        <v/>
      </c>
    </row>
    <row r="60">
      <c r="A60" s="29" t="inlineStr">
        <is>
          <t>C. DIRECT PURCHASE COSTS</t>
        </is>
      </c>
      <c r="B60" s="358" t="n"/>
      <c r="C60" s="110" t="n"/>
      <c r="D60" s="359" t="n"/>
    </row>
    <row r="61">
      <c r="A61" s="28" t="inlineStr">
        <is>
          <t>C.1 Travel and subsistence</t>
        </is>
      </c>
      <c r="B61" s="357" t="n"/>
      <c r="C61" s="248" t="n"/>
      <c r="D61" s="361">
        <f>B61*C61</f>
        <v/>
      </c>
    </row>
    <row r="62">
      <c r="A62" s="28" t="inlineStr">
        <is>
          <t>C.2 Equipment (complete 'Depreciation costs' sheet)</t>
        </is>
      </c>
      <c r="B62" s="346" t="n"/>
      <c r="C62" s="111" t="n"/>
      <c r="D62" s="364" t="n"/>
    </row>
    <row r="63">
      <c r="A63" s="49" t="inlineStr">
        <is>
          <t>Equipment</t>
        </is>
      </c>
      <c r="B63" s="357" t="n"/>
      <c r="C63" s="248" t="n"/>
      <c r="D63" s="361">
        <f>B63*C63</f>
        <v/>
      </c>
    </row>
    <row r="64">
      <c r="A64" s="49" t="inlineStr">
        <is>
          <t>Infrastructure</t>
        </is>
      </c>
      <c r="B64" s="357" t="n"/>
      <c r="C64" s="248" t="n"/>
      <c r="D64" s="361">
        <f>B64*C64</f>
        <v/>
      </c>
    </row>
    <row r="65">
      <c r="A65" s="49" t="inlineStr">
        <is>
          <t>Other assets</t>
        </is>
      </c>
      <c r="B65" s="357" t="n"/>
      <c r="C65" s="248" t="n"/>
      <c r="D65" s="361">
        <f>B65*C65</f>
        <v/>
      </c>
    </row>
    <row r="66">
      <c r="A66" s="28" t="inlineStr">
        <is>
          <t>C.3 Other goods, works and services</t>
        </is>
      </c>
      <c r="B66" s="346" t="n"/>
      <c r="C66" s="111" t="n"/>
      <c r="D66" s="364" t="n"/>
    </row>
    <row r="67">
      <c r="A67" s="49" t="inlineStr">
        <is>
          <t>Consumables</t>
        </is>
      </c>
      <c r="B67" s="357" t="n"/>
      <c r="C67" s="248" t="n"/>
      <c r="D67" s="361">
        <f>B67*C67</f>
        <v/>
      </c>
    </row>
    <row r="68">
      <c r="A68" s="49" t="inlineStr">
        <is>
          <t>Services for meetings, seminars</t>
        </is>
      </c>
      <c r="B68" s="357" t="n"/>
      <c r="C68" s="248" t="n"/>
      <c r="D68" s="361">
        <f>B68*C68</f>
        <v/>
      </c>
    </row>
    <row r="69">
      <c r="A69" s="49" t="inlineStr">
        <is>
          <t>Services for dissemination activities (including website)</t>
        </is>
      </c>
      <c r="B69" s="357" t="n"/>
      <c r="C69" s="248" t="n"/>
      <c r="D69" s="361">
        <f>B69*C69</f>
        <v/>
      </c>
    </row>
    <row r="70">
      <c r="A70" s="49" t="inlineStr">
        <is>
          <t>Publication fees</t>
        </is>
      </c>
      <c r="B70" s="357" t="n"/>
      <c r="C70" s="248" t="n"/>
      <c r="D70" s="361">
        <f>B70*C70</f>
        <v/>
      </c>
    </row>
    <row r="71">
      <c r="A71" s="49" t="inlineStr">
        <is>
          <t>Other (shipment, insurance, translation, etc.)</t>
        </is>
      </c>
      <c r="B71" s="357" t="n"/>
      <c r="C71" s="248" t="n"/>
      <c r="D71" s="361">
        <f>B71*C71</f>
        <v/>
      </c>
    </row>
    <row r="72">
      <c r="A72" s="29" t="inlineStr">
        <is>
          <t>D. OTHER COST CATEGORIES</t>
        </is>
      </c>
      <c r="B72" s="358" t="n"/>
      <c r="C72" s="110" t="n"/>
      <c r="D72" s="359" t="n"/>
    </row>
    <row r="73">
      <c r="A73" s="50" t="inlineStr">
        <is>
          <t>D.1 Financial support to third parties (if applicable in the topic specific conditions)</t>
        </is>
      </c>
      <c r="B73" s="357" t="n"/>
      <c r="C73" s="248" t="n"/>
      <c r="D73" s="361">
        <f>B73*C73</f>
        <v/>
      </c>
    </row>
    <row r="74">
      <c r="A74" s="50" t="inlineStr">
        <is>
          <t>D.2 Internally invoiced goods and services</t>
        </is>
      </c>
      <c r="B74" s="357" t="n"/>
      <c r="C74" s="248" t="n"/>
      <c r="D74" s="361">
        <f>B74*C74</f>
        <v/>
      </c>
    </row>
    <row r="75">
      <c r="A75" s="50" t="inlineStr">
        <is>
          <t>D.3 Transnational access to research infrastructure unit costs (if mentioned as eligible in the topic specific conditions)</t>
        </is>
      </c>
      <c r="B75" s="357" t="n"/>
      <c r="C75" s="248" t="n"/>
      <c r="D75" s="361">
        <f>B75*C75</f>
        <v/>
      </c>
    </row>
    <row r="76">
      <c r="A76" s="50" t="inlineStr">
        <is>
          <t>D.4 Virtual access to research infrastructure unit costs (if mentioned as eligible in the topic specific conditions)</t>
        </is>
      </c>
      <c r="B76" s="357" t="n"/>
      <c r="C76" s="248" t="n"/>
      <c r="D76" s="361">
        <f>B76*C76</f>
        <v/>
      </c>
    </row>
    <row r="77">
      <c r="A77" s="50" t="inlineStr">
        <is>
          <t>D.5 PCP/PPI procurement costs (if mentioned as eligible in the topic specific conditions)</t>
        </is>
      </c>
      <c r="B77" s="357" t="n"/>
      <c r="C77" s="248" t="n"/>
      <c r="D77" s="361">
        <f>B77*C77</f>
        <v/>
      </c>
    </row>
    <row r="78">
      <c r="A78" s="50" t="n"/>
      <c r="B78" s="346" t="n"/>
      <c r="C78" s="111" t="n"/>
      <c r="D78" s="365" t="n"/>
    </row>
    <row r="79">
      <c r="A79" s="52" t="inlineStr">
        <is>
          <t>TOTAL DIRECT PERSONNEL COSTS AND PURCHASE COSTS (A+C)</t>
        </is>
      </c>
      <c r="B79" s="369" t="n"/>
      <c r="C79" s="230" t="n"/>
      <c r="D79" s="360">
        <f>SUM(D50:D57,D61:D71)</f>
        <v/>
      </c>
    </row>
    <row r="80">
      <c r="A80" s="52" t="inlineStr">
        <is>
          <t>TOTAL DIRECT COSTS  (A+B+C+D)</t>
        </is>
      </c>
      <c r="B80" s="369" t="n"/>
      <c r="C80" s="230" t="n"/>
      <c r="D80" s="360">
        <f>SUM(D50:D77)</f>
        <v/>
      </c>
    </row>
    <row r="81">
      <c r="A81" s="180" t="n"/>
      <c r="B81" s="372" t="n"/>
      <c r="C81" s="176" t="n"/>
      <c r="D81" s="373" t="n"/>
    </row>
    <row r="82">
      <c r="A82" s="29" t="inlineStr">
        <is>
          <t>E. INDIRECT COSTS (25% * (A+C))</t>
        </is>
      </c>
      <c r="B82" s="358" t="n"/>
      <c r="C82" s="110" t="n"/>
      <c r="D82" s="360">
        <f>D79*0.25</f>
        <v/>
      </c>
    </row>
    <row r="83">
      <c r="A83" s="32" t="n"/>
      <c r="B83" s="372" t="n"/>
      <c r="C83" s="176" t="n"/>
      <c r="D83" s="377" t="n"/>
    </row>
    <row r="84">
      <c r="A84" s="29" t="inlineStr">
        <is>
          <t>F. TOTAL COSTS (A+B+C+D+E)</t>
        </is>
      </c>
      <c r="B84" s="369" t="n"/>
      <c r="C84" s="230" t="n"/>
      <c r="D84" s="360">
        <f>D80+D82</f>
        <v/>
      </c>
    </row>
    <row r="85">
      <c r="A85" s="182" t="n"/>
      <c r="B85" s="183" t="n"/>
      <c r="C85" s="184" t="n"/>
      <c r="D85" s="183" t="n"/>
    </row>
    <row r="86">
      <c r="A86" s="190" t="n"/>
      <c r="B86" s="185" t="n"/>
      <c r="C86" s="186" t="n"/>
      <c r="D86" s="187" t="n"/>
    </row>
    <row r="87" ht="21" customHeight="1">
      <c r="A87" s="272">
        <f>CONCATENATE("COSTS WORK PACKAGE 3:"," ","Sensor deployment and analytics  ")</f>
        <v/>
      </c>
      <c r="B87" s="314" t="n"/>
      <c r="C87" s="314" t="n"/>
      <c r="D87" s="315" t="n"/>
    </row>
    <row r="88">
      <c r="A88" s="182" t="n"/>
      <c r="B88" s="191" t="n"/>
      <c r="C88" s="192" t="n"/>
      <c r="D88" s="191" t="n"/>
    </row>
    <row r="89">
      <c r="A89" s="29" t="inlineStr">
        <is>
          <t>A. DIRECT PERSONNEL COSTS</t>
        </is>
      </c>
      <c r="B89" s="30" t="n"/>
      <c r="C89" s="110" t="n"/>
      <c r="D89" s="354" t="n"/>
    </row>
    <row r="90">
      <c r="A90" s="28" t="inlineStr">
        <is>
          <t>A.1 Employees (or equivalent)</t>
        </is>
      </c>
      <c r="B90" s="89" t="n"/>
      <c r="C90" s="111" t="n"/>
      <c r="D90" s="355" t="n"/>
    </row>
    <row r="91">
      <c r="A91" s="48" t="inlineStr">
        <is>
          <t>SENIOR SCIENTISTS (or equivalent in the private sector)</t>
        </is>
      </c>
      <c r="B91" s="357" t="n"/>
      <c r="C91" s="248" t="n"/>
      <c r="D91" s="232">
        <f>B91*C91</f>
        <v/>
      </c>
    </row>
    <row r="92">
      <c r="A92" s="48" t="inlineStr">
        <is>
          <t>JUNIOR SCIENTISTS (or equivalent in the private sector)</t>
        </is>
      </c>
      <c r="B92" s="357" t="n"/>
      <c r="C92" s="248" t="n"/>
      <c r="D92" s="232">
        <f>B92*C92</f>
        <v/>
      </c>
    </row>
    <row r="93">
      <c r="A93" s="48" t="inlineStr">
        <is>
          <t>TECHNICAL PERSONNEL (or equivalent in the private sector)</t>
        </is>
      </c>
      <c r="B93" s="357" t="n"/>
      <c r="C93" s="248" t="n"/>
      <c r="D93" s="232">
        <f>B93*C93</f>
        <v/>
      </c>
    </row>
    <row r="94">
      <c r="A94" s="48" t="inlineStr">
        <is>
          <t>ADMINISTRATIVE PERSONNEL (or equivalent in the private sector)</t>
        </is>
      </c>
      <c r="B94" s="357" t="n"/>
      <c r="C94" s="248" t="n"/>
      <c r="D94" s="232">
        <f>B94*C94</f>
        <v/>
      </c>
    </row>
    <row r="95">
      <c r="A95" s="48" t="inlineStr">
        <is>
          <t>OTHERS</t>
        </is>
      </c>
      <c r="B95" s="357" t="n"/>
      <c r="C95" s="248" t="n"/>
      <c r="D95" s="232">
        <f>B95*C95</f>
        <v/>
      </c>
    </row>
    <row r="96">
      <c r="A96" s="28" t="inlineStr">
        <is>
          <t>A.2 Natural Persons under direct contract</t>
        </is>
      </c>
      <c r="B96" s="357" t="n"/>
      <c r="C96" s="248" t="n"/>
      <c r="D96" s="232">
        <f>B96*C96</f>
        <v/>
      </c>
    </row>
    <row r="97">
      <c r="A97" s="28" t="inlineStr">
        <is>
          <t>A.3 Seconded Persons</t>
        </is>
      </c>
      <c r="B97" s="357" t="n"/>
      <c r="C97" s="248" t="n"/>
      <c r="D97" s="232">
        <f>B97*C97</f>
        <v/>
      </c>
    </row>
    <row r="98">
      <c r="A98" s="28" t="inlineStr">
        <is>
          <t>A.4 SME owners and natural person beneficiaries</t>
        </is>
      </c>
      <c r="B98" s="357" t="n"/>
      <c r="C98" s="256" t="n">
        <v>11858.7624</v>
      </c>
      <c r="D98" s="232">
        <f>B98*C98</f>
        <v/>
      </c>
    </row>
    <row r="99">
      <c r="A99" s="29" t="inlineStr">
        <is>
          <t>B. DIRECT SUBCONTRACTING COSTS</t>
        </is>
      </c>
      <c r="B99" s="358" t="n"/>
      <c r="C99" s="110" t="n"/>
      <c r="D99" s="359" t="n"/>
    </row>
    <row r="100">
      <c r="A100" s="53" t="n"/>
      <c r="B100" s="357" t="n"/>
      <c r="C100" s="248" t="n"/>
      <c r="D100" s="361">
        <f>B100*C100</f>
        <v/>
      </c>
    </row>
    <row r="101">
      <c r="A101" s="29" t="inlineStr">
        <is>
          <t>C. DIRECT PURCHASE COSTS</t>
        </is>
      </c>
      <c r="B101" s="358" t="n"/>
      <c r="C101" s="110" t="n"/>
      <c r="D101" s="359" t="n"/>
    </row>
    <row r="102">
      <c r="A102" s="28" t="inlineStr">
        <is>
          <t>C.1 Travel and subsistence</t>
        </is>
      </c>
      <c r="B102" s="357" t="n"/>
      <c r="C102" s="248" t="n"/>
      <c r="D102" s="361">
        <f>B102*C102</f>
        <v/>
      </c>
    </row>
    <row r="103">
      <c r="A103" s="28" t="inlineStr">
        <is>
          <t>C.2 Equipment (complete 'Depreciation costs' sheet)</t>
        </is>
      </c>
      <c r="B103" s="346" t="n"/>
      <c r="C103" s="111" t="n"/>
      <c r="D103" s="364" t="n"/>
    </row>
    <row r="104">
      <c r="A104" s="49" t="inlineStr">
        <is>
          <t>Equipment</t>
        </is>
      </c>
      <c r="B104" s="357" t="n"/>
      <c r="C104" s="248" t="n"/>
      <c r="D104" s="361">
        <f>B104*C104</f>
        <v/>
      </c>
    </row>
    <row r="105">
      <c r="A105" s="49" t="inlineStr">
        <is>
          <t>Infrastructure</t>
        </is>
      </c>
      <c r="B105" s="357" t="n"/>
      <c r="C105" s="248" t="n"/>
      <c r="D105" s="361">
        <f>B105*C105</f>
        <v/>
      </c>
    </row>
    <row r="106">
      <c r="A106" s="49" t="inlineStr">
        <is>
          <t>Other assets</t>
        </is>
      </c>
      <c r="B106" s="357" t="n"/>
      <c r="C106" s="248" t="n"/>
      <c r="D106" s="361">
        <f>B106*C106</f>
        <v/>
      </c>
    </row>
    <row r="107">
      <c r="A107" s="28" t="inlineStr">
        <is>
          <t>C.3 Other goods, works and services</t>
        </is>
      </c>
      <c r="B107" s="346" t="n"/>
      <c r="C107" s="111" t="n"/>
      <c r="D107" s="364" t="n"/>
    </row>
    <row r="108">
      <c r="A108" s="49" t="inlineStr">
        <is>
          <t>Consumables</t>
        </is>
      </c>
      <c r="B108" s="357" t="n"/>
      <c r="C108" s="248" t="n"/>
      <c r="D108" s="361">
        <f>B108*C108</f>
        <v/>
      </c>
    </row>
    <row r="109">
      <c r="A109" s="49" t="inlineStr">
        <is>
          <t>Services for meetings, seminars</t>
        </is>
      </c>
      <c r="B109" s="357" t="n"/>
      <c r="C109" s="248" t="n"/>
      <c r="D109" s="361">
        <f>B109*C109</f>
        <v/>
      </c>
    </row>
    <row r="110">
      <c r="A110" s="49" t="inlineStr">
        <is>
          <t>Services for dissemination activities (including website)</t>
        </is>
      </c>
      <c r="B110" s="357" t="n"/>
      <c r="C110" s="248" t="n"/>
      <c r="D110" s="361">
        <f>B110*C110</f>
        <v/>
      </c>
    </row>
    <row r="111">
      <c r="A111" s="49" t="inlineStr">
        <is>
          <t>Publication fees</t>
        </is>
      </c>
      <c r="B111" s="357" t="n"/>
      <c r="C111" s="248" t="n"/>
      <c r="D111" s="361">
        <f>B111*C111</f>
        <v/>
      </c>
    </row>
    <row r="112">
      <c r="A112" s="49" t="inlineStr">
        <is>
          <t>Other (shipment, insurance, translation, etc.)</t>
        </is>
      </c>
      <c r="B112" s="357" t="n"/>
      <c r="C112" s="248" t="n"/>
      <c r="D112" s="361">
        <f>B112*C112</f>
        <v/>
      </c>
    </row>
    <row r="113">
      <c r="A113" s="29" t="inlineStr">
        <is>
          <t>D. OTHER COST CATEGORIES</t>
        </is>
      </c>
      <c r="B113" s="358" t="n"/>
      <c r="C113" s="110" t="n"/>
      <c r="D113" s="359" t="n"/>
    </row>
    <row r="114">
      <c r="A114" s="50" t="inlineStr">
        <is>
          <t>D.1 Financial support to third parties (if applicable in the topic specific conditions)</t>
        </is>
      </c>
      <c r="B114" s="357" t="n"/>
      <c r="C114" s="248" t="n"/>
      <c r="D114" s="361">
        <f>B114*C114</f>
        <v/>
      </c>
    </row>
    <row r="115">
      <c r="A115" s="50" t="inlineStr">
        <is>
          <t>D.2 Internally invoiced goods and services</t>
        </is>
      </c>
      <c r="B115" s="357" t="n"/>
      <c r="C115" s="248" t="n"/>
      <c r="D115" s="361">
        <f>B115*C115</f>
        <v/>
      </c>
    </row>
    <row r="116">
      <c r="A116" s="50" t="inlineStr">
        <is>
          <t>D.3 Transnational access to research infrastructure unit costs (if mentioned as eligible in the topic specific conditions)</t>
        </is>
      </c>
      <c r="B116" s="357" t="n"/>
      <c r="C116" s="248" t="n"/>
      <c r="D116" s="361">
        <f>B116*C116</f>
        <v/>
      </c>
    </row>
    <row r="117">
      <c r="A117" s="50" t="inlineStr">
        <is>
          <t>D.4 Virtual access to research infrastructure unit costs (if mentioned as eligible in the topic specific conditions)</t>
        </is>
      </c>
      <c r="B117" s="357" t="n"/>
      <c r="C117" s="248" t="n"/>
      <c r="D117" s="361">
        <f>B117*C117</f>
        <v/>
      </c>
    </row>
    <row r="118">
      <c r="A118" s="50" t="inlineStr">
        <is>
          <t>D.5 PCP/PPI procurement costs (if mentioned as eligible in the topic specific conditions)</t>
        </is>
      </c>
      <c r="B118" s="357" t="n"/>
      <c r="C118" s="248" t="n"/>
      <c r="D118" s="361">
        <f>B118*C118</f>
        <v/>
      </c>
    </row>
    <row r="119">
      <c r="A119" s="50" t="n"/>
      <c r="B119" s="346" t="n"/>
      <c r="C119" s="111" t="n"/>
      <c r="D119" s="365" t="n"/>
    </row>
    <row r="120">
      <c r="A120" s="52" t="inlineStr">
        <is>
          <t>TOTAL DIRECT PERSONNEL COSTS AND PURCHASE COSTS (A+C)</t>
        </is>
      </c>
      <c r="B120" s="369" t="n"/>
      <c r="C120" s="230" t="n"/>
      <c r="D120" s="360">
        <f>SUM(D91:D98,D102:D112)</f>
        <v/>
      </c>
    </row>
    <row r="121">
      <c r="A121" s="52" t="inlineStr">
        <is>
          <t>TOTAL DIRECT COSTS  (A+B+C+D)</t>
        </is>
      </c>
      <c r="B121" s="369" t="n"/>
      <c r="C121" s="230" t="n"/>
      <c r="D121" s="360">
        <f>SUM(D91:D118)</f>
        <v/>
      </c>
    </row>
    <row r="122">
      <c r="A122" s="180" t="n"/>
      <c r="B122" s="372" t="n"/>
      <c r="C122" s="176" t="n"/>
      <c r="D122" s="373" t="n"/>
    </row>
    <row r="123">
      <c r="A123" s="29" t="inlineStr">
        <is>
          <t>E. INDIRECT COSTS (25% * (A+C))</t>
        </is>
      </c>
      <c r="B123" s="358" t="n"/>
      <c r="C123" s="110" t="n"/>
      <c r="D123" s="360">
        <f>D120*0.25</f>
        <v/>
      </c>
    </row>
    <row r="124">
      <c r="A124" s="32" t="n"/>
      <c r="B124" s="372" t="n"/>
      <c r="C124" s="176" t="n"/>
      <c r="D124" s="377" t="n"/>
    </row>
    <row r="125">
      <c r="A125" s="29" t="inlineStr">
        <is>
          <t>F. TOTAL COSTS (A+B+C+D+E)</t>
        </is>
      </c>
      <c r="B125" s="369" t="n"/>
      <c r="C125" s="230" t="n"/>
      <c r="D125" s="360">
        <f>D121+D123</f>
        <v/>
      </c>
    </row>
    <row r="126">
      <c r="A126" s="182" t="n"/>
      <c r="B126" s="183" t="n"/>
      <c r="C126" s="184" t="n"/>
      <c r="D126" s="183" t="n"/>
    </row>
    <row r="127">
      <c r="A127" s="190" t="n"/>
      <c r="B127" s="185" t="n"/>
      <c r="C127" s="186" t="n"/>
      <c r="D127" s="187" t="n"/>
    </row>
    <row r="128" ht="21" customHeight="1">
      <c r="A128" s="272">
        <f>CONCATENATE("COSTS WORK PACKAGE 4:"," ","Digital twins for data generation and augmentation")</f>
        <v/>
      </c>
      <c r="B128" s="314" t="n"/>
      <c r="C128" s="314" t="n"/>
      <c r="D128" s="315" t="n"/>
    </row>
    <row r="129">
      <c r="A129" s="182" t="n"/>
      <c r="B129" s="191" t="n"/>
      <c r="C129" s="192" t="n"/>
      <c r="D129" s="191" t="n"/>
    </row>
    <row r="130">
      <c r="A130" s="29" t="inlineStr">
        <is>
          <t>A. DIRECT PERSONNEL COSTS</t>
        </is>
      </c>
      <c r="B130" s="30" t="n"/>
      <c r="C130" s="110" t="n"/>
      <c r="D130" s="354" t="n"/>
    </row>
    <row r="131">
      <c r="A131" s="28" t="inlineStr">
        <is>
          <t>A.1 Employees (or equivalent)</t>
        </is>
      </c>
      <c r="B131" s="89" t="n"/>
      <c r="C131" s="111" t="n"/>
      <c r="D131" s="355" t="n"/>
    </row>
    <row r="132">
      <c r="A132" s="48" t="inlineStr">
        <is>
          <t>SENIOR SCIENTISTS (or equivalent in the private sector)</t>
        </is>
      </c>
      <c r="B132" s="357" t="n"/>
      <c r="C132" s="248" t="n"/>
      <c r="D132" s="232">
        <f>B132*C132</f>
        <v/>
      </c>
    </row>
    <row r="133">
      <c r="A133" s="48" t="inlineStr">
        <is>
          <t>JUNIOR SCIENTISTS (or equivalent in the private sector)</t>
        </is>
      </c>
      <c r="B133" s="357" t="n"/>
      <c r="C133" s="248" t="n"/>
      <c r="D133" s="232">
        <f>B133*C133</f>
        <v/>
      </c>
    </row>
    <row r="134">
      <c r="A134" s="48" t="inlineStr">
        <is>
          <t>TECHNICAL PERSONNEL (or equivalent in the private sector)</t>
        </is>
      </c>
      <c r="B134" s="357" t="n"/>
      <c r="C134" s="248" t="n"/>
      <c r="D134" s="232">
        <f>B134*C134</f>
        <v/>
      </c>
    </row>
    <row r="135">
      <c r="A135" s="48" t="inlineStr">
        <is>
          <t>ADMINISTRATIVE PERSONNEL (or equivalent in the private sector)</t>
        </is>
      </c>
      <c r="B135" s="357" t="n"/>
      <c r="C135" s="248" t="n"/>
      <c r="D135" s="232">
        <f>B135*C135</f>
        <v/>
      </c>
    </row>
    <row r="136">
      <c r="A136" s="48" t="inlineStr">
        <is>
          <t>OTHERS</t>
        </is>
      </c>
      <c r="B136" s="357" t="n"/>
      <c r="C136" s="248" t="n"/>
      <c r="D136" s="232">
        <f>B136*C136</f>
        <v/>
      </c>
    </row>
    <row r="137">
      <c r="A137" s="28" t="inlineStr">
        <is>
          <t>A.2 Natural Persons under direct contract</t>
        </is>
      </c>
      <c r="B137" s="357" t="n"/>
      <c r="C137" s="248" t="n"/>
      <c r="D137" s="232">
        <f>B137*C137</f>
        <v/>
      </c>
    </row>
    <row r="138">
      <c r="A138" s="28" t="inlineStr">
        <is>
          <t>A.3 Seconded Persons</t>
        </is>
      </c>
      <c r="B138" s="357" t="n"/>
      <c r="C138" s="248" t="n"/>
      <c r="D138" s="232">
        <f>B138*C138</f>
        <v/>
      </c>
    </row>
    <row r="139">
      <c r="A139" s="28" t="inlineStr">
        <is>
          <t>A.4 SME owners and natural person beneficiaries</t>
        </is>
      </c>
      <c r="B139" s="357" t="n"/>
      <c r="C139" s="256" t="n">
        <v>11858.7624</v>
      </c>
      <c r="D139" s="232">
        <f>B139*C139</f>
        <v/>
      </c>
    </row>
    <row r="140">
      <c r="A140" s="29" t="inlineStr">
        <is>
          <t>B. DIRECT SUBCONTRACTING COSTS</t>
        </is>
      </c>
      <c r="B140" s="358" t="n"/>
      <c r="C140" s="110" t="n"/>
      <c r="D140" s="359" t="n"/>
    </row>
    <row r="141">
      <c r="A141" s="53" t="n"/>
      <c r="B141" s="357" t="n"/>
      <c r="C141" s="248" t="n"/>
      <c r="D141" s="361">
        <f>B141*C141</f>
        <v/>
      </c>
    </row>
    <row r="142">
      <c r="A142" s="29" t="inlineStr">
        <is>
          <t>C. DIRECT PURCHASE COSTS</t>
        </is>
      </c>
      <c r="B142" s="358" t="n"/>
      <c r="C142" s="110" t="n"/>
      <c r="D142" s="359" t="n"/>
    </row>
    <row r="143">
      <c r="A143" s="28" t="inlineStr">
        <is>
          <t>C.1 Travel and subsistence</t>
        </is>
      </c>
      <c r="B143" s="357" t="n"/>
      <c r="C143" s="248" t="n"/>
      <c r="D143" s="361">
        <f>B143*C143</f>
        <v/>
      </c>
    </row>
    <row r="144">
      <c r="A144" s="28" t="inlineStr">
        <is>
          <t>C.2 Equipment (complete 'Depreciation costs' sheet)</t>
        </is>
      </c>
      <c r="B144" s="346" t="n"/>
      <c r="C144" s="111" t="n"/>
      <c r="D144" s="364" t="n"/>
    </row>
    <row r="145">
      <c r="A145" s="49" t="inlineStr">
        <is>
          <t>Equipment</t>
        </is>
      </c>
      <c r="B145" s="357" t="n"/>
      <c r="C145" s="248" t="n"/>
      <c r="D145" s="361">
        <f>B145*C145</f>
        <v/>
      </c>
    </row>
    <row r="146">
      <c r="A146" s="49" t="inlineStr">
        <is>
          <t>Infrastructure</t>
        </is>
      </c>
      <c r="B146" s="357" t="n"/>
      <c r="C146" s="248" t="n"/>
      <c r="D146" s="361">
        <f>B146*C146</f>
        <v/>
      </c>
    </row>
    <row r="147">
      <c r="A147" s="49" t="inlineStr">
        <is>
          <t>Other assets</t>
        </is>
      </c>
      <c r="B147" s="357" t="n"/>
      <c r="C147" s="248" t="n"/>
      <c r="D147" s="361">
        <f>B147*C147</f>
        <v/>
      </c>
    </row>
    <row r="148">
      <c r="A148" s="28" t="inlineStr">
        <is>
          <t>C.3 Other goods, works and services</t>
        </is>
      </c>
      <c r="B148" s="346" t="n"/>
      <c r="C148" s="111" t="n"/>
      <c r="D148" s="364" t="n"/>
    </row>
    <row r="149">
      <c r="A149" s="49" t="inlineStr">
        <is>
          <t>Consumables</t>
        </is>
      </c>
      <c r="B149" s="357" t="n"/>
      <c r="C149" s="248" t="n"/>
      <c r="D149" s="361">
        <f>B149*C149</f>
        <v/>
      </c>
    </row>
    <row r="150">
      <c r="A150" s="49" t="inlineStr">
        <is>
          <t>Services for meetings, seminars</t>
        </is>
      </c>
      <c r="B150" s="357" t="n"/>
      <c r="C150" s="248" t="n"/>
      <c r="D150" s="361">
        <f>B150*C150</f>
        <v/>
      </c>
    </row>
    <row r="151">
      <c r="A151" s="49" t="inlineStr">
        <is>
          <t>Services for dissemination activities (including website)</t>
        </is>
      </c>
      <c r="B151" s="357" t="n"/>
      <c r="C151" s="248" t="n"/>
      <c r="D151" s="361">
        <f>B151*C151</f>
        <v/>
      </c>
    </row>
    <row r="152">
      <c r="A152" s="49" t="inlineStr">
        <is>
          <t>Publication fees</t>
        </is>
      </c>
      <c r="B152" s="357" t="n"/>
      <c r="C152" s="248" t="n"/>
      <c r="D152" s="361">
        <f>B152*C152</f>
        <v/>
      </c>
    </row>
    <row r="153">
      <c r="A153" s="49" t="inlineStr">
        <is>
          <t>Other (shipment, insurance, translation, etc.)</t>
        </is>
      </c>
      <c r="B153" s="357" t="n"/>
      <c r="C153" s="248" t="n"/>
      <c r="D153" s="361">
        <f>B153*C153</f>
        <v/>
      </c>
    </row>
    <row r="154">
      <c r="A154" s="29" t="inlineStr">
        <is>
          <t>D. OTHER COST CATEGORIES</t>
        </is>
      </c>
      <c r="B154" s="358" t="n"/>
      <c r="C154" s="110" t="n"/>
      <c r="D154" s="359" t="n"/>
    </row>
    <row r="155">
      <c r="A155" s="50" t="inlineStr">
        <is>
          <t>D.1 Financial support to third parties (if applicable in the topic specific conditions)</t>
        </is>
      </c>
      <c r="B155" s="357" t="n"/>
      <c r="C155" s="248" t="n"/>
      <c r="D155" s="361">
        <f>B155*C155</f>
        <v/>
      </c>
    </row>
    <row r="156">
      <c r="A156" s="50" t="inlineStr">
        <is>
          <t>D.2 Internally invoiced goods and services</t>
        </is>
      </c>
      <c r="B156" s="357" t="n"/>
      <c r="C156" s="248" t="n"/>
      <c r="D156" s="361">
        <f>B156*C156</f>
        <v/>
      </c>
    </row>
    <row r="157">
      <c r="A157" s="50" t="inlineStr">
        <is>
          <t>D.3 Transnational access to research infrastructure unit costs (if mentioned as eligible in the topic specific conditions)</t>
        </is>
      </c>
      <c r="B157" s="357" t="n"/>
      <c r="C157" s="248" t="n"/>
      <c r="D157" s="361">
        <f>B157*C157</f>
        <v/>
      </c>
    </row>
    <row r="158">
      <c r="A158" s="50" t="inlineStr">
        <is>
          <t>D.4 Virtual access to research infrastructure unit costs (if mentioned as eligible in the topic specific conditions)</t>
        </is>
      </c>
      <c r="B158" s="357" t="n"/>
      <c r="C158" s="248" t="n"/>
      <c r="D158" s="361">
        <f>B158*C158</f>
        <v/>
      </c>
    </row>
    <row r="159">
      <c r="A159" s="50" t="inlineStr">
        <is>
          <t>D.5 PCP/PPI procurement costs (if mentioned as eligible in the topic specific conditions)</t>
        </is>
      </c>
      <c r="B159" s="357" t="n"/>
      <c r="C159" s="248" t="n"/>
      <c r="D159" s="361">
        <f>B159*C159</f>
        <v/>
      </c>
    </row>
    <row r="160">
      <c r="A160" s="50" t="n"/>
      <c r="B160" s="346" t="n"/>
      <c r="C160" s="111" t="n"/>
      <c r="D160" s="365" t="n"/>
    </row>
    <row r="161">
      <c r="A161" s="52" t="inlineStr">
        <is>
          <t>TOTAL DIRECT PERSONNEL COSTS AND PURCHASE COSTS (A+C)</t>
        </is>
      </c>
      <c r="B161" s="369" t="n"/>
      <c r="C161" s="230" t="n"/>
      <c r="D161" s="360">
        <f>SUM(D132:D139,D143:D153)</f>
        <v/>
      </c>
    </row>
    <row r="162">
      <c r="A162" s="52" t="inlineStr">
        <is>
          <t>TOTAL DIRECT COSTS  (A+B+C+D)</t>
        </is>
      </c>
      <c r="B162" s="369" t="n"/>
      <c r="C162" s="230" t="n"/>
      <c r="D162" s="360">
        <f>SUM(D132:D159)</f>
        <v/>
      </c>
    </row>
    <row r="163">
      <c r="A163" s="180" t="n"/>
      <c r="B163" s="372" t="n"/>
      <c r="C163" s="176" t="n"/>
      <c r="D163" s="373" t="n"/>
    </row>
    <row r="164">
      <c r="A164" s="29" t="inlineStr">
        <is>
          <t>E. INDIRECT COSTS (25% * (A+C))</t>
        </is>
      </c>
      <c r="B164" s="358" t="n"/>
      <c r="C164" s="110" t="n"/>
      <c r="D164" s="360">
        <f>D161*0.25</f>
        <v/>
      </c>
    </row>
    <row r="165">
      <c r="A165" s="32" t="n"/>
      <c r="B165" s="372" t="n"/>
      <c r="C165" s="176" t="n"/>
      <c r="D165" s="377" t="n"/>
    </row>
    <row r="166">
      <c r="A166" s="29" t="inlineStr">
        <is>
          <t>F. TOTAL COSTS (A+B+C+D+E)</t>
        </is>
      </c>
      <c r="B166" s="369" t="n"/>
      <c r="C166" s="230" t="n"/>
      <c r="D166" s="360">
        <f>D162+D164</f>
        <v/>
      </c>
    </row>
    <row r="167">
      <c r="A167" s="182" t="n"/>
      <c r="B167" s="183" t="n"/>
      <c r="C167" s="184" t="n"/>
      <c r="D167" s="183" t="n"/>
    </row>
    <row r="168">
      <c r="A168" s="190" t="n"/>
      <c r="B168" s="185" t="n"/>
      <c r="C168" s="186" t="n"/>
      <c r="D168" s="187" t="n"/>
    </row>
    <row r="169" ht="21" customHeight="1">
      <c r="A169" s="272">
        <f>CONCATENATE("COSTS WORK PACKAGE 5:"," ","Health Models for Wind Turbine Components")</f>
        <v/>
      </c>
      <c r="B169" s="314" t="n"/>
      <c r="C169" s="314" t="n"/>
      <c r="D169" s="315" t="n"/>
    </row>
    <row r="170">
      <c r="A170" s="182" t="n"/>
      <c r="B170" s="191" t="n"/>
      <c r="C170" s="192" t="n"/>
      <c r="D170" s="191" t="n"/>
    </row>
    <row r="171">
      <c r="A171" s="29" t="inlineStr">
        <is>
          <t>A. DIRECT PERSONNEL COSTS</t>
        </is>
      </c>
      <c r="B171" s="30" t="n"/>
      <c r="C171" s="110" t="n"/>
      <c r="D171" s="354" t="n"/>
    </row>
    <row r="172">
      <c r="A172" s="28" t="inlineStr">
        <is>
          <t>A.1 Employees (or equivalent)</t>
        </is>
      </c>
      <c r="B172" s="89" t="n"/>
      <c r="C172" s="111" t="n"/>
      <c r="D172" s="355" t="n"/>
    </row>
    <row r="173">
      <c r="A173" s="48" t="inlineStr">
        <is>
          <t>SENIOR SCIENTISTS (or equivalent in the private sector)</t>
        </is>
      </c>
      <c r="B173" s="357" t="n"/>
      <c r="C173" s="248" t="n"/>
      <c r="D173" s="232">
        <f>B173*C173</f>
        <v/>
      </c>
    </row>
    <row r="174">
      <c r="A174" s="48" t="inlineStr">
        <is>
          <t>JUNIOR SCIENTISTS (or equivalent in the private sector)</t>
        </is>
      </c>
      <c r="B174" s="357" t="n"/>
      <c r="C174" s="248" t="n"/>
      <c r="D174" s="232">
        <f>B174*C174</f>
        <v/>
      </c>
    </row>
    <row r="175">
      <c r="A175" s="48" t="inlineStr">
        <is>
          <t>TECHNICAL PERSONNEL (or equivalent in the private sector)</t>
        </is>
      </c>
      <c r="B175" s="357" t="n"/>
      <c r="C175" s="248" t="n"/>
      <c r="D175" s="232">
        <f>B175*C175</f>
        <v/>
      </c>
    </row>
    <row r="176">
      <c r="A176" s="48" t="inlineStr">
        <is>
          <t>ADMINISTRATIVE PERSONNEL (or equivalent in the private sector)</t>
        </is>
      </c>
      <c r="B176" s="357" t="n"/>
      <c r="C176" s="248" t="n"/>
      <c r="D176" s="232">
        <f>B176*C176</f>
        <v/>
      </c>
    </row>
    <row r="177">
      <c r="A177" s="48" t="inlineStr">
        <is>
          <t>OTHERS</t>
        </is>
      </c>
      <c r="B177" s="357" t="n"/>
      <c r="C177" s="248" t="n"/>
      <c r="D177" s="232">
        <f>B177*C177</f>
        <v/>
      </c>
    </row>
    <row r="178">
      <c r="A178" s="28" t="inlineStr">
        <is>
          <t>A.2 Natural Persons under direct contract</t>
        </is>
      </c>
      <c r="B178" s="357" t="n"/>
      <c r="C178" s="248" t="n"/>
      <c r="D178" s="232">
        <f>B178*C178</f>
        <v/>
      </c>
    </row>
    <row r="179">
      <c r="A179" s="28" t="inlineStr">
        <is>
          <t>A.3 Seconded Persons</t>
        </is>
      </c>
      <c r="B179" s="357" t="n"/>
      <c r="C179" s="248" t="n"/>
      <c r="D179" s="232">
        <f>B179*C179</f>
        <v/>
      </c>
    </row>
    <row r="180">
      <c r="A180" s="28" t="inlineStr">
        <is>
          <t>A.4 SME owners and natural person beneficiaries</t>
        </is>
      </c>
      <c r="B180" s="357" t="n"/>
      <c r="C180" s="256" t="n">
        <v>11858.7624</v>
      </c>
      <c r="D180" s="232">
        <f>B180*C180</f>
        <v/>
      </c>
    </row>
    <row r="181">
      <c r="A181" s="29" t="inlineStr">
        <is>
          <t>B. DIRECT SUBCONTRACTING COSTS</t>
        </is>
      </c>
      <c r="B181" s="358" t="n"/>
      <c r="C181" s="110" t="n"/>
      <c r="D181" s="359" t="n"/>
    </row>
    <row r="182">
      <c r="A182" s="53" t="n"/>
      <c r="B182" s="357" t="n"/>
      <c r="C182" s="248" t="n"/>
      <c r="D182" s="361">
        <f>B182*C182</f>
        <v/>
      </c>
    </row>
    <row r="183">
      <c r="A183" s="29" t="inlineStr">
        <is>
          <t>C. DIRECT PURCHASE COSTS</t>
        </is>
      </c>
      <c r="B183" s="358" t="n"/>
      <c r="C183" s="110" t="n"/>
      <c r="D183" s="359" t="n"/>
    </row>
    <row r="184">
      <c r="A184" s="28" t="inlineStr">
        <is>
          <t>C.1 Travel and subsistence</t>
        </is>
      </c>
      <c r="B184" s="357" t="n"/>
      <c r="C184" s="248" t="n"/>
      <c r="D184" s="361">
        <f>B184*C184</f>
        <v/>
      </c>
    </row>
    <row r="185">
      <c r="A185" s="28" t="inlineStr">
        <is>
          <t>C.2 Equipment (complete 'Depreciation costs' sheet)</t>
        </is>
      </c>
      <c r="B185" s="346" t="n"/>
      <c r="C185" s="111" t="n"/>
      <c r="D185" s="364" t="n"/>
    </row>
    <row r="186">
      <c r="A186" s="49" t="inlineStr">
        <is>
          <t>Equipment</t>
        </is>
      </c>
      <c r="B186" s="357" t="n"/>
      <c r="C186" s="248" t="n"/>
      <c r="D186" s="361">
        <f>B186*C186</f>
        <v/>
      </c>
    </row>
    <row r="187">
      <c r="A187" s="49" t="inlineStr">
        <is>
          <t>Infrastructure</t>
        </is>
      </c>
      <c r="B187" s="357" t="n"/>
      <c r="C187" s="248" t="n"/>
      <c r="D187" s="361">
        <f>B187*C187</f>
        <v/>
      </c>
    </row>
    <row r="188">
      <c r="A188" s="49" t="inlineStr">
        <is>
          <t>Other assets</t>
        </is>
      </c>
      <c r="B188" s="357" t="n"/>
      <c r="C188" s="248" t="n"/>
      <c r="D188" s="361">
        <f>B188*C188</f>
        <v/>
      </c>
    </row>
    <row r="189">
      <c r="A189" s="28" t="inlineStr">
        <is>
          <t>C.3 Other goods, works and services</t>
        </is>
      </c>
      <c r="B189" s="346" t="n"/>
      <c r="C189" s="111" t="n"/>
      <c r="D189" s="364" t="n"/>
    </row>
    <row r="190">
      <c r="A190" s="49" t="inlineStr">
        <is>
          <t>Consumables</t>
        </is>
      </c>
      <c r="B190" s="357" t="n"/>
      <c r="C190" s="248" t="n"/>
      <c r="D190" s="361">
        <f>B190*C190</f>
        <v/>
      </c>
    </row>
    <row r="191">
      <c r="A191" s="49" t="inlineStr">
        <is>
          <t>Services for meetings, seminars</t>
        </is>
      </c>
      <c r="B191" s="357" t="n"/>
      <c r="C191" s="248" t="n"/>
      <c r="D191" s="361">
        <f>B191*C191</f>
        <v/>
      </c>
    </row>
    <row r="192">
      <c r="A192" s="49" t="inlineStr">
        <is>
          <t>Services for dissemination activities (including website)</t>
        </is>
      </c>
      <c r="B192" s="357" t="n"/>
      <c r="C192" s="248" t="n"/>
      <c r="D192" s="361">
        <f>B192*C192</f>
        <v/>
      </c>
    </row>
    <row r="193">
      <c r="A193" s="49" t="inlineStr">
        <is>
          <t>Publication fees</t>
        </is>
      </c>
      <c r="B193" s="357" t="n"/>
      <c r="C193" s="248" t="n"/>
      <c r="D193" s="361">
        <f>B193*C193</f>
        <v/>
      </c>
    </row>
    <row r="194">
      <c r="A194" s="49" t="inlineStr">
        <is>
          <t>Other (shipment, insurance, translation, etc.)</t>
        </is>
      </c>
      <c r="B194" s="357" t="n"/>
      <c r="C194" s="248" t="n"/>
      <c r="D194" s="361">
        <f>B194*C194</f>
        <v/>
      </c>
    </row>
    <row r="195">
      <c r="A195" s="29" t="inlineStr">
        <is>
          <t>D. OTHER COST CATEGORIES</t>
        </is>
      </c>
      <c r="B195" s="358" t="n"/>
      <c r="C195" s="110" t="n"/>
      <c r="D195" s="359" t="n"/>
    </row>
    <row r="196">
      <c r="A196" s="50" t="inlineStr">
        <is>
          <t>D.1 Financial support to third parties (if applicable in the topic specific conditions)</t>
        </is>
      </c>
      <c r="B196" s="357" t="n"/>
      <c r="C196" s="248" t="n"/>
      <c r="D196" s="361">
        <f>B196*C196</f>
        <v/>
      </c>
    </row>
    <row r="197">
      <c r="A197" s="50" t="inlineStr">
        <is>
          <t>D.2 Internally invoiced goods and services</t>
        </is>
      </c>
      <c r="B197" s="357" t="n"/>
      <c r="C197" s="248" t="n"/>
      <c r="D197" s="361">
        <f>B197*C197</f>
        <v/>
      </c>
    </row>
    <row r="198">
      <c r="A198" s="50" t="inlineStr">
        <is>
          <t>D.3 Transnational access to research infrastructure unit costs (if mentioned as eligible in the topic specific conditions)</t>
        </is>
      </c>
      <c r="B198" s="357" t="n"/>
      <c r="C198" s="248" t="n"/>
      <c r="D198" s="361">
        <f>B198*C198</f>
        <v/>
      </c>
    </row>
    <row r="199">
      <c r="A199" s="50" t="inlineStr">
        <is>
          <t>D.4 Virtual access to research infrastructure unit costs (if mentioned as eligible in the topic specific conditions)</t>
        </is>
      </c>
      <c r="B199" s="357" t="n"/>
      <c r="C199" s="248" t="n"/>
      <c r="D199" s="361">
        <f>B199*C199</f>
        <v/>
      </c>
    </row>
    <row r="200">
      <c r="A200" s="50" t="inlineStr">
        <is>
          <t>D.5 PCP/PPI procurement costs (if mentioned as eligible in the topic specific conditions)</t>
        </is>
      </c>
      <c r="B200" s="357" t="n"/>
      <c r="C200" s="248" t="n"/>
      <c r="D200" s="361">
        <f>B200*C200</f>
        <v/>
      </c>
    </row>
    <row r="201">
      <c r="A201" s="50" t="n"/>
      <c r="B201" s="346" t="n"/>
      <c r="C201" s="111" t="n"/>
      <c r="D201" s="365" t="n"/>
    </row>
    <row r="202">
      <c r="A202" s="52" t="inlineStr">
        <is>
          <t>TOTAL DIRECT PERSONNEL COSTS AND PURCHASE COSTS (A+C)</t>
        </is>
      </c>
      <c r="B202" s="369" t="n"/>
      <c r="C202" s="230" t="n"/>
      <c r="D202" s="360">
        <f>SUM(D173:D180,D184:D194)</f>
        <v/>
      </c>
    </row>
    <row r="203">
      <c r="A203" s="52" t="inlineStr">
        <is>
          <t>TOTAL DIRECT COSTS  (A+B+C+D)</t>
        </is>
      </c>
      <c r="B203" s="369" t="n"/>
      <c r="C203" s="230" t="n"/>
      <c r="D203" s="360">
        <f>SUM(D173:D200)</f>
        <v/>
      </c>
    </row>
    <row r="204">
      <c r="A204" s="180" t="n"/>
      <c r="B204" s="372" t="n"/>
      <c r="C204" s="176" t="n"/>
      <c r="D204" s="373" t="n"/>
    </row>
    <row r="205">
      <c r="A205" s="29" t="inlineStr">
        <is>
          <t>E. INDIRECT COSTS (25% * (A+C))</t>
        </is>
      </c>
      <c r="B205" s="358" t="n"/>
      <c r="C205" s="110" t="n"/>
      <c r="D205" s="360">
        <f>D202*0.25</f>
        <v/>
      </c>
    </row>
    <row r="206">
      <c r="A206" s="32" t="n"/>
      <c r="B206" s="372" t="n"/>
      <c r="C206" s="176" t="n"/>
      <c r="D206" s="377" t="n"/>
    </row>
    <row r="207">
      <c r="A207" s="29" t="inlineStr">
        <is>
          <t>F. TOTAL COSTS (A+B+C+D+E)</t>
        </is>
      </c>
      <c r="B207" s="369" t="n"/>
      <c r="C207" s="230" t="n"/>
      <c r="D207" s="360">
        <f>D203+D205</f>
        <v/>
      </c>
    </row>
    <row r="208">
      <c r="A208" s="182" t="n"/>
      <c r="B208" s="183" t="n"/>
      <c r="C208" s="184" t="n"/>
      <c r="D208" s="183" t="n"/>
    </row>
    <row r="209">
      <c r="A209" s="190" t="n"/>
      <c r="B209" s="185" t="n"/>
      <c r="C209" s="186" t="n"/>
      <c r="D209" s="187" t="n"/>
    </row>
    <row r="210" ht="21" customHeight="1">
      <c r="A210" s="272">
        <f>CONCATENATE("COSTS WORK PACKAGE 6:"," ","Advanced Condition Health Monitoring and Prediction")</f>
        <v/>
      </c>
      <c r="B210" s="314" t="n"/>
      <c r="C210" s="314" t="n"/>
      <c r="D210" s="315" t="n"/>
    </row>
    <row r="211">
      <c r="A211" s="182" t="n"/>
      <c r="B211" s="191" t="n"/>
      <c r="C211" s="192" t="n"/>
      <c r="D211" s="191" t="n"/>
    </row>
    <row r="212">
      <c r="A212" s="29" t="inlineStr">
        <is>
          <t>A. DIRECT PERSONNEL COSTS</t>
        </is>
      </c>
      <c r="B212" s="30" t="n"/>
      <c r="C212" s="110" t="n"/>
      <c r="D212" s="354" t="n"/>
    </row>
    <row r="213">
      <c r="A213" s="28" t="inlineStr">
        <is>
          <t>A.1 Employees (or equivalent)</t>
        </is>
      </c>
      <c r="B213" s="89" t="n"/>
      <c r="C213" s="111" t="n"/>
      <c r="D213" s="355" t="n"/>
    </row>
    <row r="214">
      <c r="A214" s="48" t="inlineStr">
        <is>
          <t>SENIOR SCIENTISTS (or equivalent in the private sector)</t>
        </is>
      </c>
      <c r="B214" s="357" t="n"/>
      <c r="C214" s="248" t="n"/>
      <c r="D214" s="232">
        <f>B214*C214</f>
        <v/>
      </c>
    </row>
    <row r="215">
      <c r="A215" s="48" t="inlineStr">
        <is>
          <t>JUNIOR SCIENTISTS (or equivalent in the private sector)</t>
        </is>
      </c>
      <c r="B215" s="357" t="n"/>
      <c r="C215" s="248" t="n"/>
      <c r="D215" s="232">
        <f>B215*C215</f>
        <v/>
      </c>
    </row>
    <row r="216">
      <c r="A216" s="48" t="inlineStr">
        <is>
          <t>TECHNICAL PERSONNEL (or equivalent in the private sector)</t>
        </is>
      </c>
      <c r="B216" s="357" t="n"/>
      <c r="C216" s="248" t="n"/>
      <c r="D216" s="232">
        <f>B216*C216</f>
        <v/>
      </c>
    </row>
    <row r="217">
      <c r="A217" s="48" t="inlineStr">
        <is>
          <t>ADMINISTRATIVE PERSONNEL (or equivalent in the private sector)</t>
        </is>
      </c>
      <c r="B217" s="357" t="n"/>
      <c r="C217" s="248" t="n"/>
      <c r="D217" s="232">
        <f>B217*C217</f>
        <v/>
      </c>
    </row>
    <row r="218">
      <c r="A218" s="48" t="inlineStr">
        <is>
          <t>OTHERS</t>
        </is>
      </c>
      <c r="B218" s="357" t="n"/>
      <c r="C218" s="248" t="n"/>
      <c r="D218" s="232">
        <f>B218*C218</f>
        <v/>
      </c>
    </row>
    <row r="219">
      <c r="A219" s="28" t="inlineStr">
        <is>
          <t>A.2 Natural Persons under direct contract</t>
        </is>
      </c>
      <c r="B219" s="357" t="n"/>
      <c r="C219" s="248" t="n"/>
      <c r="D219" s="232">
        <f>B219*C219</f>
        <v/>
      </c>
    </row>
    <row r="220">
      <c r="A220" s="28" t="inlineStr">
        <is>
          <t>A.3 Seconded Persons</t>
        </is>
      </c>
      <c r="B220" s="357" t="n"/>
      <c r="C220" s="248" t="n"/>
      <c r="D220" s="232">
        <f>B220*C220</f>
        <v/>
      </c>
    </row>
    <row r="221">
      <c r="A221" s="28" t="inlineStr">
        <is>
          <t>A.4 SME owners and natural person beneficiaries</t>
        </is>
      </c>
      <c r="B221" s="357" t="n"/>
      <c r="C221" s="256" t="n">
        <v>11858.7624</v>
      </c>
      <c r="D221" s="232">
        <f>B221*C221</f>
        <v/>
      </c>
    </row>
    <row r="222">
      <c r="A222" s="29" t="inlineStr">
        <is>
          <t>B. DIRECT SUBCONTRACTING COSTS</t>
        </is>
      </c>
      <c r="B222" s="358" t="n"/>
      <c r="C222" s="110" t="n"/>
      <c r="D222" s="359" t="n"/>
    </row>
    <row r="223">
      <c r="A223" s="53" t="n"/>
      <c r="B223" s="357" t="n"/>
      <c r="C223" s="248" t="n"/>
      <c r="D223" s="361">
        <f>B223*C223</f>
        <v/>
      </c>
    </row>
    <row r="224">
      <c r="A224" s="29" t="inlineStr">
        <is>
          <t>C. DIRECT PURCHASE COSTS</t>
        </is>
      </c>
      <c r="B224" s="358" t="n"/>
      <c r="C224" s="110" t="n"/>
      <c r="D224" s="359" t="n"/>
    </row>
    <row r="225">
      <c r="A225" s="28" t="inlineStr">
        <is>
          <t>C.1 Travel and subsistence</t>
        </is>
      </c>
      <c r="B225" s="357" t="n"/>
      <c r="C225" s="248" t="n"/>
      <c r="D225" s="361">
        <f>B225*C225</f>
        <v/>
      </c>
    </row>
    <row r="226">
      <c r="A226" s="28" t="inlineStr">
        <is>
          <t>C.2 Equipment (complete 'Depreciation costs' sheet)</t>
        </is>
      </c>
      <c r="B226" s="346" t="n"/>
      <c r="C226" s="111" t="n"/>
      <c r="D226" s="364" t="n"/>
    </row>
    <row r="227">
      <c r="A227" s="49" t="inlineStr">
        <is>
          <t>Equipment</t>
        </is>
      </c>
      <c r="B227" s="357" t="n"/>
      <c r="C227" s="248" t="n"/>
      <c r="D227" s="361">
        <f>B227*C227</f>
        <v/>
      </c>
    </row>
    <row r="228">
      <c r="A228" s="49" t="inlineStr">
        <is>
          <t>Infrastructure</t>
        </is>
      </c>
      <c r="B228" s="357" t="n"/>
      <c r="C228" s="248" t="n"/>
      <c r="D228" s="361">
        <f>B228*C228</f>
        <v/>
      </c>
    </row>
    <row r="229">
      <c r="A229" s="49" t="inlineStr">
        <is>
          <t>Other assets</t>
        </is>
      </c>
      <c r="B229" s="357" t="n"/>
      <c r="C229" s="248" t="n"/>
      <c r="D229" s="361">
        <f>B229*C229</f>
        <v/>
      </c>
    </row>
    <row r="230">
      <c r="A230" s="28" t="inlineStr">
        <is>
          <t>C.3 Other goods, works and services</t>
        </is>
      </c>
      <c r="B230" s="346" t="n"/>
      <c r="C230" s="111" t="n"/>
      <c r="D230" s="364" t="n"/>
    </row>
    <row r="231">
      <c r="A231" s="49" t="inlineStr">
        <is>
          <t>Consumables</t>
        </is>
      </c>
      <c r="B231" s="357" t="n"/>
      <c r="C231" s="248" t="n"/>
      <c r="D231" s="361">
        <f>B231*C231</f>
        <v/>
      </c>
    </row>
    <row r="232">
      <c r="A232" s="49" t="inlineStr">
        <is>
          <t>Services for meetings, seminars</t>
        </is>
      </c>
      <c r="B232" s="357" t="n"/>
      <c r="C232" s="248" t="n"/>
      <c r="D232" s="361">
        <f>B232*C232</f>
        <v/>
      </c>
    </row>
    <row r="233">
      <c r="A233" s="49" t="inlineStr">
        <is>
          <t>Services for dissemination activities (including website)</t>
        </is>
      </c>
      <c r="B233" s="357" t="n"/>
      <c r="C233" s="248" t="n"/>
      <c r="D233" s="361">
        <f>B233*C233</f>
        <v/>
      </c>
    </row>
    <row r="234">
      <c r="A234" s="49" t="inlineStr">
        <is>
          <t>Publication fees</t>
        </is>
      </c>
      <c r="B234" s="357" t="n"/>
      <c r="C234" s="248" t="n"/>
      <c r="D234" s="361">
        <f>B234*C234</f>
        <v/>
      </c>
    </row>
    <row r="235">
      <c r="A235" s="49" t="inlineStr">
        <is>
          <t>Other (shipment, insurance, translation, etc.)</t>
        </is>
      </c>
      <c r="B235" s="357" t="n"/>
      <c r="C235" s="248" t="n"/>
      <c r="D235" s="361">
        <f>B235*C235</f>
        <v/>
      </c>
    </row>
    <row r="236">
      <c r="A236" s="29" t="inlineStr">
        <is>
          <t>D. OTHER COST CATEGORIES</t>
        </is>
      </c>
      <c r="B236" s="358" t="n"/>
      <c r="C236" s="110" t="n"/>
      <c r="D236" s="359" t="n"/>
    </row>
    <row r="237">
      <c r="A237" s="50" t="inlineStr">
        <is>
          <t>D.1 Financial support to third parties (if applicable in the topic specific conditions)</t>
        </is>
      </c>
      <c r="B237" s="357" t="n"/>
      <c r="C237" s="248" t="n"/>
      <c r="D237" s="361">
        <f>B237*C237</f>
        <v/>
      </c>
    </row>
    <row r="238">
      <c r="A238" s="50" t="inlineStr">
        <is>
          <t>D.2 Internally invoiced goods and services</t>
        </is>
      </c>
      <c r="B238" s="357" t="n"/>
      <c r="C238" s="248" t="n"/>
      <c r="D238" s="361">
        <f>B238*C238</f>
        <v/>
      </c>
    </row>
    <row r="239">
      <c r="A239" s="50" t="inlineStr">
        <is>
          <t>D.3 Transnational access to research infrastructure unit costs (if mentioned as eligible in the topic specific conditions)</t>
        </is>
      </c>
      <c r="B239" s="357" t="n"/>
      <c r="C239" s="248" t="n"/>
      <c r="D239" s="361">
        <f>B239*C239</f>
        <v/>
      </c>
    </row>
    <row r="240">
      <c r="A240" s="50" t="inlineStr">
        <is>
          <t>D.4 Virtual access to research infrastructure unit costs (if mentioned as eligible in the topic specific conditions)</t>
        </is>
      </c>
      <c r="B240" s="357" t="n"/>
      <c r="C240" s="248" t="n"/>
      <c r="D240" s="361">
        <f>B240*C240</f>
        <v/>
      </c>
    </row>
    <row r="241">
      <c r="A241" s="50" t="inlineStr">
        <is>
          <t>D.5 PCP/PPI procurement costs (if mentioned as eligible in the topic specific conditions)</t>
        </is>
      </c>
      <c r="B241" s="357" t="n"/>
      <c r="C241" s="248" t="n"/>
      <c r="D241" s="361">
        <f>B241*C241</f>
        <v/>
      </c>
    </row>
    <row r="242">
      <c r="A242" s="50" t="n"/>
      <c r="B242" s="346" t="n"/>
      <c r="C242" s="111" t="n"/>
      <c r="D242" s="365" t="n"/>
    </row>
    <row r="243">
      <c r="A243" s="52" t="inlineStr">
        <is>
          <t>TOTAL DIRECT PERSONNEL COSTS AND PURCHASE COSTS (A+C)</t>
        </is>
      </c>
      <c r="B243" s="369" t="n"/>
      <c r="C243" s="230" t="n"/>
      <c r="D243" s="360">
        <f>SUM(D214:D221,D225:D235)</f>
        <v/>
      </c>
    </row>
    <row r="244">
      <c r="A244" s="52" t="inlineStr">
        <is>
          <t>TOTAL DIRECT COSTS  (A+B+C+D)</t>
        </is>
      </c>
      <c r="B244" s="369" t="n"/>
      <c r="C244" s="230" t="n"/>
      <c r="D244" s="360">
        <f>SUM(D214:D241)</f>
        <v/>
      </c>
    </row>
    <row r="245">
      <c r="A245" s="180" t="n"/>
      <c r="B245" s="372" t="n"/>
      <c r="C245" s="176" t="n"/>
      <c r="D245" s="373" t="n"/>
    </row>
    <row r="246">
      <c r="A246" s="29" t="inlineStr">
        <is>
          <t>E. INDIRECT COSTS (25% * (A+C))</t>
        </is>
      </c>
      <c r="B246" s="358" t="n"/>
      <c r="C246" s="110" t="n"/>
      <c r="D246" s="360">
        <f>D243*0.25</f>
        <v/>
      </c>
    </row>
    <row r="247">
      <c r="A247" s="32" t="n"/>
      <c r="B247" s="372" t="n"/>
      <c r="C247" s="176" t="n"/>
      <c r="D247" s="377" t="n"/>
    </row>
    <row r="248">
      <c r="A248" s="29" t="inlineStr">
        <is>
          <t>F. TOTAL COSTS (A+B+C+D+E)</t>
        </is>
      </c>
      <c r="B248" s="369" t="n"/>
      <c r="C248" s="230" t="n"/>
      <c r="D248" s="360">
        <f>D244+D246</f>
        <v/>
      </c>
    </row>
    <row r="249">
      <c r="A249" s="182" t="n"/>
      <c r="B249" s="183" t="n"/>
      <c r="C249" s="184" t="n"/>
      <c r="D249" s="183" t="n"/>
    </row>
    <row r="250">
      <c r="A250" s="190" t="n"/>
      <c r="B250" s="185" t="n"/>
      <c r="C250" s="186" t="n"/>
      <c r="D250" s="187" t="n"/>
    </row>
    <row r="251" ht="21" customHeight="1">
      <c r="A251" s="272">
        <f>CONCATENATE("COSTS WORK PACKAGE 7:"," ","Data Collection, Knowledge Access and Model Evaluation")</f>
        <v/>
      </c>
      <c r="B251" s="314" t="n"/>
      <c r="C251" s="314" t="n"/>
      <c r="D251" s="315" t="n"/>
    </row>
    <row r="252">
      <c r="A252" s="182" t="n"/>
      <c r="B252" s="191" t="n"/>
      <c r="C252" s="192" t="n"/>
      <c r="D252" s="191" t="n"/>
    </row>
    <row r="253">
      <c r="A253" s="29" t="inlineStr">
        <is>
          <t>A. DIRECT PERSONNEL COSTS</t>
        </is>
      </c>
      <c r="B253" s="30" t="n"/>
      <c r="C253" s="110" t="n"/>
      <c r="D253" s="354" t="n"/>
    </row>
    <row r="254">
      <c r="A254" s="28" t="inlineStr">
        <is>
          <t>A.1 Employees (or equivalent)</t>
        </is>
      </c>
      <c r="B254" s="89" t="n"/>
      <c r="C254" s="111" t="n"/>
      <c r="D254" s="355" t="n"/>
    </row>
    <row r="255">
      <c r="A255" s="48" t="inlineStr">
        <is>
          <t>SENIOR SCIENTISTS (or equivalent in the private sector)</t>
        </is>
      </c>
      <c r="B255" s="357" t="n"/>
      <c r="C255" s="248" t="n"/>
      <c r="D255" s="232">
        <f>B255*C255</f>
        <v/>
      </c>
    </row>
    <row r="256">
      <c r="A256" s="48" t="inlineStr">
        <is>
          <t>JUNIOR SCIENTISTS (or equivalent in the private sector)</t>
        </is>
      </c>
      <c r="B256" s="357" t="n"/>
      <c r="C256" s="248" t="n"/>
      <c r="D256" s="232">
        <f>B256*C256</f>
        <v/>
      </c>
    </row>
    <row r="257">
      <c r="A257" s="48" t="inlineStr">
        <is>
          <t>TECHNICAL PERSONNEL (or equivalent in the private sector)</t>
        </is>
      </c>
      <c r="B257" s="357" t="n"/>
      <c r="C257" s="248" t="n"/>
      <c r="D257" s="232">
        <f>B257*C257</f>
        <v/>
      </c>
    </row>
    <row r="258">
      <c r="A258" s="48" t="inlineStr">
        <is>
          <t>ADMINISTRATIVE PERSONNEL (or equivalent in the private sector)</t>
        </is>
      </c>
      <c r="B258" s="357" t="n"/>
      <c r="C258" s="248" t="n"/>
      <c r="D258" s="232">
        <f>B258*C258</f>
        <v/>
      </c>
    </row>
    <row r="259">
      <c r="A259" s="48" t="inlineStr">
        <is>
          <t>OTHERS</t>
        </is>
      </c>
      <c r="B259" s="357" t="n"/>
      <c r="C259" s="248" t="n"/>
      <c r="D259" s="232">
        <f>B259*C259</f>
        <v/>
      </c>
    </row>
    <row r="260">
      <c r="A260" s="28" t="inlineStr">
        <is>
          <t>A.2 Natural Persons under direct contract</t>
        </is>
      </c>
      <c r="B260" s="357" t="n"/>
      <c r="C260" s="248" t="n"/>
      <c r="D260" s="232">
        <f>B260*C260</f>
        <v/>
      </c>
    </row>
    <row r="261">
      <c r="A261" s="28" t="inlineStr">
        <is>
          <t>A.3 Seconded Persons</t>
        </is>
      </c>
      <c r="B261" s="357" t="n"/>
      <c r="C261" s="248" t="n"/>
      <c r="D261" s="232">
        <f>B261*C261</f>
        <v/>
      </c>
    </row>
    <row r="262">
      <c r="A262" s="28" t="inlineStr">
        <is>
          <t>A.4 SME owners and natural person beneficiaries</t>
        </is>
      </c>
      <c r="B262" s="357" t="n"/>
      <c r="C262" s="256" t="n">
        <v>11858.7624</v>
      </c>
      <c r="D262" s="232">
        <f>B262*C262</f>
        <v/>
      </c>
    </row>
    <row r="263">
      <c r="A263" s="29" t="inlineStr">
        <is>
          <t>B. DIRECT SUBCONTRACTING COSTS</t>
        </is>
      </c>
      <c r="B263" s="358" t="n"/>
      <c r="C263" s="110" t="n"/>
      <c r="D263" s="359" t="n"/>
    </row>
    <row r="264">
      <c r="A264" s="53" t="n"/>
      <c r="B264" s="357" t="n"/>
      <c r="C264" s="248" t="n"/>
      <c r="D264" s="361">
        <f>B264*C264</f>
        <v/>
      </c>
    </row>
    <row r="265">
      <c r="A265" s="29" t="inlineStr">
        <is>
          <t>C. DIRECT PURCHASE COSTS</t>
        </is>
      </c>
      <c r="B265" s="358" t="n"/>
      <c r="C265" s="110" t="n"/>
      <c r="D265" s="359" t="n"/>
    </row>
    <row r="266">
      <c r="A266" s="28" t="inlineStr">
        <is>
          <t>C.1 Travel and subsistence</t>
        </is>
      </c>
      <c r="B266" s="357" t="n"/>
      <c r="C266" s="248" t="n"/>
      <c r="D266" s="361">
        <f>B266*C266</f>
        <v/>
      </c>
    </row>
    <row r="267">
      <c r="A267" s="28" t="inlineStr">
        <is>
          <t>C.2 Equipment (complete 'Depreciation costs' sheet)</t>
        </is>
      </c>
      <c r="B267" s="346" t="n"/>
      <c r="C267" s="111" t="n"/>
      <c r="D267" s="364" t="n"/>
    </row>
    <row r="268">
      <c r="A268" s="49" t="inlineStr">
        <is>
          <t>Equipment</t>
        </is>
      </c>
      <c r="B268" s="357" t="n"/>
      <c r="C268" s="248" t="n"/>
      <c r="D268" s="361">
        <f>B268*C268</f>
        <v/>
      </c>
    </row>
    <row r="269">
      <c r="A269" s="49" t="inlineStr">
        <is>
          <t>Infrastructure</t>
        </is>
      </c>
      <c r="B269" s="357" t="n"/>
      <c r="C269" s="248" t="n"/>
      <c r="D269" s="361">
        <f>B269*C269</f>
        <v/>
      </c>
    </row>
    <row r="270">
      <c r="A270" s="49" t="inlineStr">
        <is>
          <t>Other assets</t>
        </is>
      </c>
      <c r="B270" s="357" t="n"/>
      <c r="C270" s="248" t="n"/>
      <c r="D270" s="361">
        <f>B270*C270</f>
        <v/>
      </c>
    </row>
    <row r="271">
      <c r="A271" s="28" t="inlineStr">
        <is>
          <t>C.3 Other goods, works and services</t>
        </is>
      </c>
      <c r="B271" s="346" t="n"/>
      <c r="C271" s="111" t="n"/>
      <c r="D271" s="364" t="n"/>
    </row>
    <row r="272">
      <c r="A272" s="49" t="inlineStr">
        <is>
          <t>Consumables</t>
        </is>
      </c>
      <c r="B272" s="357" t="n"/>
      <c r="C272" s="248" t="n"/>
      <c r="D272" s="361">
        <f>B272*C272</f>
        <v/>
      </c>
    </row>
    <row r="273">
      <c r="A273" s="49" t="inlineStr">
        <is>
          <t>Services for meetings, seminars</t>
        </is>
      </c>
      <c r="B273" s="357" t="n"/>
      <c r="C273" s="248" t="n"/>
      <c r="D273" s="361">
        <f>B273*C273</f>
        <v/>
      </c>
    </row>
    <row r="274">
      <c r="A274" s="49" t="inlineStr">
        <is>
          <t>Services for dissemination activities (including website)</t>
        </is>
      </c>
      <c r="B274" s="357" t="n"/>
      <c r="C274" s="248" t="n"/>
      <c r="D274" s="361">
        <f>B274*C274</f>
        <v/>
      </c>
    </row>
    <row r="275">
      <c r="A275" s="49" t="inlineStr">
        <is>
          <t>Publication fees</t>
        </is>
      </c>
      <c r="B275" s="357" t="n"/>
      <c r="C275" s="248" t="n"/>
      <c r="D275" s="361">
        <f>B275*C275</f>
        <v/>
      </c>
    </row>
    <row r="276">
      <c r="A276" s="49" t="inlineStr">
        <is>
          <t>Other (shipment, insurance, translation, etc.)</t>
        </is>
      </c>
      <c r="B276" s="357" t="n"/>
      <c r="C276" s="248" t="n"/>
      <c r="D276" s="361">
        <f>B276*C276</f>
        <v/>
      </c>
    </row>
    <row r="277">
      <c r="A277" s="29" t="inlineStr">
        <is>
          <t>D. OTHER COST CATEGORIES</t>
        </is>
      </c>
      <c r="B277" s="358" t="n"/>
      <c r="C277" s="110" t="n"/>
      <c r="D277" s="359" t="n"/>
    </row>
    <row r="278">
      <c r="A278" s="50" t="inlineStr">
        <is>
          <t>D.1 Financial support to third parties (if applicable in the topic specific conditions)</t>
        </is>
      </c>
      <c r="B278" s="357" t="n"/>
      <c r="C278" s="248" t="n"/>
      <c r="D278" s="361">
        <f>B278*C278</f>
        <v/>
      </c>
    </row>
    <row r="279">
      <c r="A279" s="50" t="inlineStr">
        <is>
          <t>D.2 Internally invoiced goods and services</t>
        </is>
      </c>
      <c r="B279" s="357" t="n"/>
      <c r="C279" s="248" t="n"/>
      <c r="D279" s="361">
        <f>B279*C279</f>
        <v/>
      </c>
    </row>
    <row r="280">
      <c r="A280" s="50" t="inlineStr">
        <is>
          <t>D.3 Transnational access to research infrastructure unit costs (if mentioned as eligible in the topic specific conditions)</t>
        </is>
      </c>
      <c r="B280" s="357" t="n"/>
      <c r="C280" s="248" t="n"/>
      <c r="D280" s="361">
        <f>B280*C280</f>
        <v/>
      </c>
    </row>
    <row r="281">
      <c r="A281" s="50" t="inlineStr">
        <is>
          <t>D.4 Virtual access to research infrastructure unit costs (if mentioned as eligible in the topic specific conditions)</t>
        </is>
      </c>
      <c r="B281" s="357" t="n"/>
      <c r="C281" s="248" t="n"/>
      <c r="D281" s="361">
        <f>B281*C281</f>
        <v/>
      </c>
    </row>
    <row r="282">
      <c r="A282" s="50" t="inlineStr">
        <is>
          <t>D.5 PCP/PPI procurement costs (if mentioned as eligible in the topic specific conditions)</t>
        </is>
      </c>
      <c r="B282" s="357" t="n"/>
      <c r="C282" s="248" t="n"/>
      <c r="D282" s="361">
        <f>B282*C282</f>
        <v/>
      </c>
    </row>
    <row r="283">
      <c r="A283" s="50" t="n"/>
      <c r="B283" s="346" t="n"/>
      <c r="C283" s="111" t="n"/>
      <c r="D283" s="365" t="n"/>
    </row>
    <row r="284">
      <c r="A284" s="52" t="inlineStr">
        <is>
          <t>TOTAL DIRECT PERSONNEL COSTS AND PURCHASE COSTS (A+C)</t>
        </is>
      </c>
      <c r="B284" s="369" t="n"/>
      <c r="C284" s="230" t="n"/>
      <c r="D284" s="360">
        <f>SUM(D255:D262,D266:D276)</f>
        <v/>
      </c>
    </row>
    <row r="285">
      <c r="A285" s="52" t="inlineStr">
        <is>
          <t>TOTAL DIRECT COSTS  (A+B+C+D)</t>
        </is>
      </c>
      <c r="B285" s="369" t="n"/>
      <c r="C285" s="230" t="n"/>
      <c r="D285" s="360">
        <f>SUM(D255:D282)</f>
        <v/>
      </c>
    </row>
    <row r="286">
      <c r="A286" s="180" t="n"/>
      <c r="B286" s="372" t="n"/>
      <c r="C286" s="176" t="n"/>
      <c r="D286" s="373" t="n"/>
    </row>
    <row r="287">
      <c r="A287" s="29" t="inlineStr">
        <is>
          <t>E. INDIRECT COSTS (25% * (A+C))</t>
        </is>
      </c>
      <c r="B287" s="358" t="n"/>
      <c r="C287" s="110" t="n"/>
      <c r="D287" s="360">
        <f>D284*0.25</f>
        <v/>
      </c>
    </row>
    <row r="288">
      <c r="A288" s="32" t="n"/>
      <c r="B288" s="372" t="n"/>
      <c r="C288" s="176" t="n"/>
      <c r="D288" s="377" t="n"/>
    </row>
    <row r="289">
      <c r="A289" s="29" t="inlineStr">
        <is>
          <t>F. TOTAL COSTS (A+B+C+D+E)</t>
        </is>
      </c>
      <c r="B289" s="369" t="n"/>
      <c r="C289" s="230" t="n"/>
      <c r="D289" s="360">
        <f>D285+D287</f>
        <v/>
      </c>
    </row>
    <row r="290">
      <c r="A290" s="182" t="n"/>
      <c r="B290" s="183" t="n"/>
      <c r="C290" s="184" t="n"/>
      <c r="D290" s="183" t="n"/>
    </row>
    <row r="291">
      <c r="A291" s="190" t="n"/>
      <c r="B291" s="185" t="n"/>
      <c r="C291" s="186" t="n"/>
      <c r="D291" s="187" t="n"/>
    </row>
    <row r="292" ht="21" customHeight="1">
      <c r="A292" s="272">
        <f>CONCATENATE("COSTS WORK PACKAGE 8:"," ","Agentic Workflow Development, Integration and Validation")</f>
        <v/>
      </c>
      <c r="B292" s="314" t="n"/>
      <c r="C292" s="314" t="n"/>
      <c r="D292" s="315" t="n"/>
    </row>
    <row r="293">
      <c r="A293" s="182" t="n"/>
      <c r="B293" s="191" t="n"/>
      <c r="C293" s="192" t="n"/>
      <c r="D293" s="191" t="n"/>
    </row>
    <row r="294">
      <c r="A294" s="29" t="inlineStr">
        <is>
          <t>A. DIRECT PERSONNEL COSTS</t>
        </is>
      </c>
      <c r="B294" s="30" t="n"/>
      <c r="C294" s="110" t="n"/>
      <c r="D294" s="354" t="n"/>
    </row>
    <row r="295">
      <c r="A295" s="28" t="inlineStr">
        <is>
          <t>A.1 Employees (or equivalent)</t>
        </is>
      </c>
      <c r="B295" s="89" t="n"/>
      <c r="C295" s="111" t="n"/>
      <c r="D295" s="355" t="n"/>
    </row>
    <row r="296">
      <c r="A296" s="48" t="inlineStr">
        <is>
          <t>SENIOR SCIENTISTS (or equivalent in the private sector)</t>
        </is>
      </c>
      <c r="B296" s="357" t="n"/>
      <c r="C296" s="248" t="n"/>
      <c r="D296" s="232">
        <f>B296*C296</f>
        <v/>
      </c>
    </row>
    <row r="297">
      <c r="A297" s="48" t="inlineStr">
        <is>
          <t>JUNIOR SCIENTISTS (or equivalent in the private sector)</t>
        </is>
      </c>
      <c r="B297" s="357" t="n"/>
      <c r="C297" s="248" t="n"/>
      <c r="D297" s="232">
        <f>B297*C297</f>
        <v/>
      </c>
    </row>
    <row r="298">
      <c r="A298" s="48" t="inlineStr">
        <is>
          <t>TECHNICAL PERSONNEL (or equivalent in the private sector)</t>
        </is>
      </c>
      <c r="B298" s="357" t="n"/>
      <c r="C298" s="248" t="n"/>
      <c r="D298" s="232">
        <f>B298*C298</f>
        <v/>
      </c>
    </row>
    <row r="299">
      <c r="A299" s="48" t="inlineStr">
        <is>
          <t>ADMINISTRATIVE PERSONNEL (or equivalent in the private sector)</t>
        </is>
      </c>
      <c r="B299" s="357" t="n"/>
      <c r="C299" s="248" t="n"/>
      <c r="D299" s="232">
        <f>B299*C299</f>
        <v/>
      </c>
    </row>
    <row r="300">
      <c r="A300" s="48" t="inlineStr">
        <is>
          <t>OTHERS</t>
        </is>
      </c>
      <c r="B300" s="357" t="n"/>
      <c r="C300" s="248" t="n"/>
      <c r="D300" s="232">
        <f>B300*C300</f>
        <v/>
      </c>
    </row>
    <row r="301">
      <c r="A301" s="28" t="inlineStr">
        <is>
          <t>A.2 Natural Persons under direct contract</t>
        </is>
      </c>
      <c r="B301" s="357" t="n"/>
      <c r="C301" s="248" t="n"/>
      <c r="D301" s="232">
        <f>B301*C301</f>
        <v/>
      </c>
    </row>
    <row r="302">
      <c r="A302" s="28" t="inlineStr">
        <is>
          <t>A.3 Seconded Persons</t>
        </is>
      </c>
      <c r="B302" s="357" t="n"/>
      <c r="C302" s="248" t="n"/>
      <c r="D302" s="232">
        <f>B302*C302</f>
        <v/>
      </c>
    </row>
    <row r="303">
      <c r="A303" s="28" t="inlineStr">
        <is>
          <t>A.4 SME owners and natural person beneficiaries</t>
        </is>
      </c>
      <c r="B303" s="357" t="n"/>
      <c r="C303" s="256" t="n">
        <v>11858.7624</v>
      </c>
      <c r="D303" s="232">
        <f>B303*C303</f>
        <v/>
      </c>
    </row>
    <row r="304">
      <c r="A304" s="29" t="inlineStr">
        <is>
          <t>B. DIRECT SUBCONTRACTING COSTS</t>
        </is>
      </c>
      <c r="B304" s="358" t="n"/>
      <c r="C304" s="110" t="n"/>
      <c r="D304" s="359" t="n"/>
    </row>
    <row r="305">
      <c r="A305" s="53" t="n"/>
      <c r="B305" s="357" t="n"/>
      <c r="C305" s="248" t="n"/>
      <c r="D305" s="361">
        <f>B305*C305</f>
        <v/>
      </c>
    </row>
    <row r="306">
      <c r="A306" s="29" t="inlineStr">
        <is>
          <t>C. DIRECT PURCHASE COSTS</t>
        </is>
      </c>
      <c r="B306" s="358" t="n"/>
      <c r="C306" s="110" t="n"/>
      <c r="D306" s="359" t="n"/>
    </row>
    <row r="307">
      <c r="A307" s="28" t="inlineStr">
        <is>
          <t>C.1 Travel and subsistence</t>
        </is>
      </c>
      <c r="B307" s="357" t="n"/>
      <c r="C307" s="248" t="n"/>
      <c r="D307" s="361">
        <f>B307*C307</f>
        <v/>
      </c>
    </row>
    <row r="308">
      <c r="A308" s="28" t="inlineStr">
        <is>
          <t>C.2 Equipment (complete 'Depreciation costs' sheet)</t>
        </is>
      </c>
      <c r="B308" s="346" t="n"/>
      <c r="C308" s="111" t="n"/>
      <c r="D308" s="364" t="n"/>
    </row>
    <row r="309">
      <c r="A309" s="49" t="inlineStr">
        <is>
          <t>Equipment</t>
        </is>
      </c>
      <c r="B309" s="357" t="n"/>
      <c r="C309" s="248" t="n"/>
      <c r="D309" s="361">
        <f>B309*C309</f>
        <v/>
      </c>
    </row>
    <row r="310">
      <c r="A310" s="49" t="inlineStr">
        <is>
          <t>Infrastructure</t>
        </is>
      </c>
      <c r="B310" s="357" t="n"/>
      <c r="C310" s="248" t="n"/>
      <c r="D310" s="361">
        <f>B310*C310</f>
        <v/>
      </c>
    </row>
    <row r="311">
      <c r="A311" s="49" t="inlineStr">
        <is>
          <t>Other assets</t>
        </is>
      </c>
      <c r="B311" s="357" t="n"/>
      <c r="C311" s="248" t="n"/>
      <c r="D311" s="361">
        <f>B311*C311</f>
        <v/>
      </c>
    </row>
    <row r="312">
      <c r="A312" s="28" t="inlineStr">
        <is>
          <t>C.3 Other goods, works and services</t>
        </is>
      </c>
      <c r="B312" s="346" t="n"/>
      <c r="C312" s="111" t="n"/>
      <c r="D312" s="364" t="n"/>
    </row>
    <row r="313">
      <c r="A313" s="49" t="inlineStr">
        <is>
          <t>Consumables</t>
        </is>
      </c>
      <c r="B313" s="357" t="n"/>
      <c r="C313" s="248" t="n"/>
      <c r="D313" s="361">
        <f>B313*C313</f>
        <v/>
      </c>
    </row>
    <row r="314">
      <c r="A314" s="49" t="inlineStr">
        <is>
          <t>Services for meetings, seminars</t>
        </is>
      </c>
      <c r="B314" s="357" t="n"/>
      <c r="C314" s="248" t="n"/>
      <c r="D314" s="361">
        <f>B314*C314</f>
        <v/>
      </c>
    </row>
    <row r="315">
      <c r="A315" s="49" t="inlineStr">
        <is>
          <t>Services for dissemination activities (including website)</t>
        </is>
      </c>
      <c r="B315" s="357" t="n"/>
      <c r="C315" s="248" t="n"/>
      <c r="D315" s="361">
        <f>B315*C315</f>
        <v/>
      </c>
    </row>
    <row r="316">
      <c r="A316" s="49" t="inlineStr">
        <is>
          <t>Publication fees</t>
        </is>
      </c>
      <c r="B316" s="357" t="n"/>
      <c r="C316" s="248" t="n"/>
      <c r="D316" s="361">
        <f>B316*C316</f>
        <v/>
      </c>
    </row>
    <row r="317">
      <c r="A317" s="49" t="inlineStr">
        <is>
          <t>Other (shipment, insurance, translation, etc.)</t>
        </is>
      </c>
      <c r="B317" s="357" t="n"/>
      <c r="C317" s="248" t="n"/>
      <c r="D317" s="361">
        <f>B317*C317</f>
        <v/>
      </c>
    </row>
    <row r="318">
      <c r="A318" s="29" t="inlineStr">
        <is>
          <t>D. OTHER COST CATEGORIES</t>
        </is>
      </c>
      <c r="B318" s="358" t="n"/>
      <c r="C318" s="110" t="n"/>
      <c r="D318" s="359" t="n"/>
    </row>
    <row r="319">
      <c r="A319" s="50" t="inlineStr">
        <is>
          <t>D.1 Financial support to third parties (if applicable in the topic specific conditions)</t>
        </is>
      </c>
      <c r="B319" s="357" t="n"/>
      <c r="C319" s="248" t="n"/>
      <c r="D319" s="361">
        <f>B319*C319</f>
        <v/>
      </c>
    </row>
    <row r="320">
      <c r="A320" s="50" t="inlineStr">
        <is>
          <t>D.2 Internally invoiced goods and services</t>
        </is>
      </c>
      <c r="B320" s="357" t="n"/>
      <c r="C320" s="248" t="n"/>
      <c r="D320" s="361">
        <f>B320*C320</f>
        <v/>
      </c>
    </row>
    <row r="321">
      <c r="A321" s="50" t="inlineStr">
        <is>
          <t>D.3 Transnational access to research infrastructure unit costs (if mentioned as eligible in the topic specific conditions)</t>
        </is>
      </c>
      <c r="B321" s="357" t="n"/>
      <c r="C321" s="248" t="n"/>
      <c r="D321" s="361">
        <f>B321*C321</f>
        <v/>
      </c>
    </row>
    <row r="322">
      <c r="A322" s="50" t="inlineStr">
        <is>
          <t>D.4 Virtual access to research infrastructure unit costs (if mentioned as eligible in the topic specific conditions)</t>
        </is>
      </c>
      <c r="B322" s="357" t="n"/>
      <c r="C322" s="248" t="n"/>
      <c r="D322" s="361">
        <f>B322*C322</f>
        <v/>
      </c>
    </row>
    <row r="323">
      <c r="A323" s="50" t="inlineStr">
        <is>
          <t>D.5 PCP/PPI procurement costs (if mentioned as eligible in the topic specific conditions)</t>
        </is>
      </c>
      <c r="B323" s="357" t="n"/>
      <c r="C323" s="248" t="n"/>
      <c r="D323" s="361">
        <f>B323*C323</f>
        <v/>
      </c>
    </row>
    <row r="324">
      <c r="A324" s="50" t="n"/>
      <c r="B324" s="346" t="n"/>
      <c r="C324" s="111" t="n"/>
      <c r="D324" s="365" t="n"/>
    </row>
    <row r="325">
      <c r="A325" s="52" t="inlineStr">
        <is>
          <t>TOTAL DIRECT PERSONNEL COSTS AND PURCHASE COSTS (A+C)</t>
        </is>
      </c>
      <c r="B325" s="369" t="n"/>
      <c r="C325" s="230" t="n"/>
      <c r="D325" s="360">
        <f>SUM(D296:D303,D307:D317)</f>
        <v/>
      </c>
    </row>
    <row r="326">
      <c r="A326" s="52" t="inlineStr">
        <is>
          <t>TOTAL DIRECT COSTS  (A+B+C+D)</t>
        </is>
      </c>
      <c r="B326" s="369" t="n"/>
      <c r="C326" s="230" t="n"/>
      <c r="D326" s="360">
        <f>SUM(D296:D323)</f>
        <v/>
      </c>
    </row>
    <row r="327">
      <c r="A327" s="180" t="n"/>
      <c r="B327" s="372" t="n"/>
      <c r="C327" s="176" t="n"/>
      <c r="D327" s="373" t="n"/>
    </row>
    <row r="328">
      <c r="A328" s="29" t="inlineStr">
        <is>
          <t>E. INDIRECT COSTS (25% * (A+C))</t>
        </is>
      </c>
      <c r="B328" s="358" t="n"/>
      <c r="C328" s="110" t="n"/>
      <c r="D328" s="360">
        <f>D325*0.25</f>
        <v/>
      </c>
    </row>
    <row r="329">
      <c r="A329" s="32" t="n"/>
      <c r="B329" s="372" t="n"/>
      <c r="C329" s="176" t="n"/>
      <c r="D329" s="377" t="n"/>
    </row>
    <row r="330">
      <c r="A330" s="29" t="inlineStr">
        <is>
          <t>F. TOTAL COSTS (A+B+C+D+E)</t>
        </is>
      </c>
      <c r="B330" s="369" t="n"/>
      <c r="C330" s="230" t="n"/>
      <c r="D330" s="360">
        <f>D326+D328</f>
        <v/>
      </c>
    </row>
    <row r="331">
      <c r="A331" s="182" t="n"/>
      <c r="B331" s="183" t="n"/>
      <c r="C331" s="184" t="n"/>
      <c r="D331" s="183" t="n"/>
    </row>
    <row r="332">
      <c r="A332" s="190" t="n"/>
      <c r="B332" s="185" t="n"/>
      <c r="C332" s="186" t="n"/>
      <c r="D332" s="187" t="n"/>
    </row>
    <row r="333" ht="21" customHeight="1">
      <c r="A333" s="272">
        <f>CONCATENATE("COSTS WORK PACKAGE 9:"," ","HSE and Environment")</f>
        <v/>
      </c>
      <c r="B333" s="314" t="n"/>
      <c r="C333" s="314" t="n"/>
      <c r="D333" s="315" t="n"/>
    </row>
    <row r="334">
      <c r="A334" s="182" t="n"/>
      <c r="B334" s="191" t="n"/>
      <c r="C334" s="192" t="n"/>
      <c r="D334" s="191" t="n"/>
    </row>
    <row r="335">
      <c r="A335" s="29" t="inlineStr">
        <is>
          <t>A. DIRECT PERSONNEL COSTS</t>
        </is>
      </c>
      <c r="B335" s="30" t="n"/>
      <c r="C335" s="110" t="n"/>
      <c r="D335" s="354" t="n"/>
    </row>
    <row r="336">
      <c r="A336" s="28" t="inlineStr">
        <is>
          <t>A.1 Employees (or equivalent)</t>
        </is>
      </c>
      <c r="B336" s="89" t="n"/>
      <c r="C336" s="111" t="n"/>
      <c r="D336" s="355" t="n"/>
    </row>
    <row r="337">
      <c r="A337" s="48" t="inlineStr">
        <is>
          <t>SENIOR SCIENTISTS (or equivalent in the private sector)</t>
        </is>
      </c>
      <c r="B337" s="357" t="n">
        <v>8</v>
      </c>
      <c r="C337" s="248" t="n">
        <v>9021</v>
      </c>
      <c r="D337" s="232">
        <f>B337*C337</f>
        <v/>
      </c>
    </row>
    <row r="338">
      <c r="A338" s="48" t="inlineStr">
        <is>
          <t>JUNIOR SCIENTISTS (or equivalent in the private sector)</t>
        </is>
      </c>
      <c r="B338" s="357" t="n">
        <v>8</v>
      </c>
      <c r="C338" s="248" t="n">
        <v>6950</v>
      </c>
      <c r="D338" s="232">
        <f>B338*C338</f>
        <v/>
      </c>
    </row>
    <row r="339">
      <c r="A339" s="48" t="inlineStr">
        <is>
          <t>TECHNICAL PERSONNEL (or equivalent in the private sector)</t>
        </is>
      </c>
      <c r="B339" s="357" t="n">
        <v>10</v>
      </c>
      <c r="C339" s="248" t="n">
        <v>8550</v>
      </c>
      <c r="D339" s="232">
        <f>B339*C339</f>
        <v/>
      </c>
    </row>
    <row r="340">
      <c r="A340" s="48" t="inlineStr">
        <is>
          <t>ADMINISTRATIVE PERSONNEL (or equivalent in the private sector)</t>
        </is>
      </c>
      <c r="B340" s="357" t="n">
        <v>6</v>
      </c>
      <c r="C340" s="248" t="n">
        <v>8490</v>
      </c>
      <c r="D340" s="232">
        <f>B340*C340</f>
        <v/>
      </c>
    </row>
    <row r="341">
      <c r="A341" s="48" t="inlineStr">
        <is>
          <t>OTHERS</t>
        </is>
      </c>
      <c r="B341" s="357" t="n"/>
      <c r="C341" s="248" t="n"/>
      <c r="D341" s="232">
        <f>B341*C341</f>
        <v/>
      </c>
    </row>
    <row r="342">
      <c r="A342" s="28" t="inlineStr">
        <is>
          <t>A.2 Natural Persons under direct contract</t>
        </is>
      </c>
      <c r="B342" s="357" t="n"/>
      <c r="C342" s="248" t="n"/>
      <c r="D342" s="232">
        <f>B342*C342</f>
        <v/>
      </c>
    </row>
    <row r="343">
      <c r="A343" s="28" t="inlineStr">
        <is>
          <t>A.3 Seconded Persons</t>
        </is>
      </c>
      <c r="B343" s="357" t="n"/>
      <c r="C343" s="248" t="n"/>
      <c r="D343" s="232">
        <f>B343*C343</f>
        <v/>
      </c>
    </row>
    <row r="344">
      <c r="A344" s="28" t="inlineStr">
        <is>
          <t>A.4 SME owners and natural person beneficiaries</t>
        </is>
      </c>
      <c r="B344" s="357" t="n"/>
      <c r="C344" s="256" t="n">
        <v>11858.7624</v>
      </c>
      <c r="D344" s="232">
        <f>B344*C344</f>
        <v/>
      </c>
    </row>
    <row r="345">
      <c r="A345" s="29" t="inlineStr">
        <is>
          <t>B. DIRECT SUBCONTRACTING COSTS</t>
        </is>
      </c>
      <c r="B345" s="358" t="n"/>
      <c r="C345" s="110" t="n"/>
      <c r="D345" s="359" t="n"/>
    </row>
    <row r="346">
      <c r="A346" s="53" t="n"/>
      <c r="B346" s="357" t="n"/>
      <c r="C346" s="248" t="n"/>
      <c r="D346" s="361">
        <f>B346*C346</f>
        <v/>
      </c>
    </row>
    <row r="347">
      <c r="A347" s="29" t="inlineStr">
        <is>
          <t>C. DIRECT PURCHASE COSTS</t>
        </is>
      </c>
      <c r="B347" s="358" t="n"/>
      <c r="C347" s="110" t="n"/>
      <c r="D347" s="359" t="n"/>
    </row>
    <row r="348">
      <c r="A348" s="28" t="inlineStr">
        <is>
          <t>C.1 Travel and subsistence</t>
        </is>
      </c>
      <c r="B348" s="357" t="n">
        <v>2</v>
      </c>
      <c r="C348" s="248" t="n">
        <v>2000</v>
      </c>
      <c r="D348" s="361">
        <f>B348*C348</f>
        <v/>
      </c>
    </row>
    <row r="349">
      <c r="A349" s="28" t="inlineStr">
        <is>
          <t>C.2 Equipment (complete 'Depreciation costs' sheet)</t>
        </is>
      </c>
      <c r="B349" s="346" t="n"/>
      <c r="C349" s="111" t="n"/>
      <c r="D349" s="364" t="n"/>
    </row>
    <row r="350">
      <c r="A350" s="49" t="inlineStr">
        <is>
          <t>Equipment</t>
        </is>
      </c>
      <c r="B350" s="357" t="n">
        <v>0</v>
      </c>
      <c r="C350" s="248" t="n">
        <v>1700</v>
      </c>
      <c r="D350" s="361">
        <f>B350*C350</f>
        <v/>
      </c>
    </row>
    <row r="351">
      <c r="A351" s="49" t="inlineStr">
        <is>
          <t>Infrastructure</t>
        </is>
      </c>
      <c r="B351" s="357" t="n"/>
      <c r="C351" s="248" t="n"/>
      <c r="D351" s="361">
        <f>B351*C351</f>
        <v/>
      </c>
    </row>
    <row r="352">
      <c r="A352" s="49" t="inlineStr">
        <is>
          <t>Other assets</t>
        </is>
      </c>
      <c r="B352" s="357" t="n"/>
      <c r="C352" s="248" t="n"/>
      <c r="D352" s="361">
        <f>B352*C352</f>
        <v/>
      </c>
    </row>
    <row r="353">
      <c r="A353" s="28" t="inlineStr">
        <is>
          <t>C.3 Other goods, works and services</t>
        </is>
      </c>
      <c r="B353" s="346" t="n"/>
      <c r="C353" s="111" t="n"/>
      <c r="D353" s="364" t="n"/>
    </row>
    <row r="354">
      <c r="A354" s="49" t="inlineStr">
        <is>
          <t>Consumables</t>
        </is>
      </c>
      <c r="B354" s="357" t="n">
        <v>18</v>
      </c>
      <c r="C354" s="248" t="n">
        <v>1700</v>
      </c>
      <c r="D354" s="361">
        <f>B354*C354</f>
        <v/>
      </c>
    </row>
    <row r="355">
      <c r="A355" s="49" t="inlineStr">
        <is>
          <t>Services for meetings, seminars</t>
        </is>
      </c>
      <c r="B355" s="357" t="n"/>
      <c r="C355" s="248" t="n"/>
      <c r="D355" s="361">
        <f>B355*C355</f>
        <v/>
      </c>
    </row>
    <row r="356">
      <c r="A356" s="49" t="inlineStr">
        <is>
          <t>Services for dissemination activities (including website)</t>
        </is>
      </c>
      <c r="B356" s="357" t="n"/>
      <c r="C356" s="248" t="n"/>
      <c r="D356" s="361">
        <f>B356*C356</f>
        <v/>
      </c>
    </row>
    <row r="357">
      <c r="A357" s="49" t="inlineStr">
        <is>
          <t>Publication fees</t>
        </is>
      </c>
      <c r="B357" s="357" t="n"/>
      <c r="C357" s="248" t="n"/>
      <c r="D357" s="361">
        <f>B357*C357</f>
        <v/>
      </c>
    </row>
    <row r="358">
      <c r="A358" s="49" t="inlineStr">
        <is>
          <t>Other (shipment, insurance, translation, etc.)</t>
        </is>
      </c>
      <c r="B358" s="357" t="n"/>
      <c r="C358" s="248" t="n"/>
      <c r="D358" s="361">
        <f>B358*C358</f>
        <v/>
      </c>
    </row>
    <row r="359">
      <c r="A359" s="29" t="inlineStr">
        <is>
          <t>D. OTHER COST CATEGORIES</t>
        </is>
      </c>
      <c r="B359" s="358" t="n"/>
      <c r="C359" s="110" t="n"/>
      <c r="D359" s="359" t="n"/>
    </row>
    <row r="360">
      <c r="A360" s="50" t="inlineStr">
        <is>
          <t>D.1 Financial support to third parties (if applicable in the topic specific conditions)</t>
        </is>
      </c>
      <c r="B360" s="357" t="n"/>
      <c r="C360" s="248" t="n"/>
      <c r="D360" s="361">
        <f>B360*C360</f>
        <v/>
      </c>
    </row>
    <row r="361">
      <c r="A361" s="50" t="inlineStr">
        <is>
          <t>D.2 Internally invoiced goods and services</t>
        </is>
      </c>
      <c r="B361" s="357" t="n"/>
      <c r="C361" s="248" t="n"/>
      <c r="D361" s="361">
        <f>B361*C361</f>
        <v/>
      </c>
    </row>
    <row r="362">
      <c r="A362" s="50" t="inlineStr">
        <is>
          <t>D.3 Transnational access to research infrastructure unit costs (if mentioned as eligible in the topic specific conditions)</t>
        </is>
      </c>
      <c r="B362" s="357" t="n"/>
      <c r="C362" s="248" t="n"/>
      <c r="D362" s="361">
        <f>B362*C362</f>
        <v/>
      </c>
    </row>
    <row r="363">
      <c r="A363" s="50" t="inlineStr">
        <is>
          <t>D.4 Virtual access to research infrastructure unit costs (if mentioned as eligible in the topic specific conditions)</t>
        </is>
      </c>
      <c r="B363" s="357" t="n"/>
      <c r="C363" s="248" t="n"/>
      <c r="D363" s="361">
        <f>B363*C363</f>
        <v/>
      </c>
    </row>
    <row r="364">
      <c r="A364" s="50" t="inlineStr">
        <is>
          <t>D.5 PCP/PPI procurement costs (if mentioned as eligible in the topic specific conditions)</t>
        </is>
      </c>
      <c r="B364" s="357" t="n"/>
      <c r="C364" s="248" t="n"/>
      <c r="D364" s="361">
        <f>B364*C364</f>
        <v/>
      </c>
    </row>
    <row r="365">
      <c r="A365" s="50" t="n"/>
      <c r="B365" s="346" t="n"/>
      <c r="C365" s="111" t="n"/>
      <c r="D365" s="365" t="n"/>
    </row>
    <row r="366">
      <c r="A366" s="52" t="inlineStr">
        <is>
          <t>TOTAL DIRECT PERSONNEL COSTS AND PURCHASE COSTS (A+C)</t>
        </is>
      </c>
      <c r="B366" s="369" t="n"/>
      <c r="C366" s="230" t="n"/>
      <c r="D366" s="360">
        <f>SUM(D337:D344,D348:D358)</f>
        <v/>
      </c>
    </row>
    <row r="367">
      <c r="A367" s="52" t="inlineStr">
        <is>
          <t>TOTAL DIRECT COSTS  (A+B+C+D)</t>
        </is>
      </c>
      <c r="B367" s="369" t="n"/>
      <c r="C367" s="230" t="n"/>
      <c r="D367" s="360">
        <f>SUM(D337:D364)</f>
        <v/>
      </c>
    </row>
    <row r="368">
      <c r="A368" s="180" t="n"/>
      <c r="B368" s="372" t="n"/>
      <c r="C368" s="176" t="n"/>
      <c r="D368" s="373" t="n"/>
    </row>
    <row r="369">
      <c r="A369" s="29" t="inlineStr">
        <is>
          <t>E. INDIRECT COSTS (25% * (A+C))</t>
        </is>
      </c>
      <c r="B369" s="358" t="n"/>
      <c r="C369" s="110" t="n"/>
      <c r="D369" s="360">
        <f>D366*0.25</f>
        <v/>
      </c>
    </row>
    <row r="370">
      <c r="A370" s="32" t="n"/>
      <c r="B370" s="372" t="n"/>
      <c r="C370" s="176" t="n"/>
      <c r="D370" s="377" t="n"/>
    </row>
    <row r="371">
      <c r="A371" s="29" t="inlineStr">
        <is>
          <t>F. TOTAL COSTS (A+B+C+D+E)</t>
        </is>
      </c>
      <c r="B371" s="369" t="n"/>
      <c r="C371" s="230" t="n"/>
      <c r="D371" s="360">
        <f>D367+D369</f>
        <v/>
      </c>
    </row>
    <row r="372">
      <c r="A372" s="182" t="n"/>
      <c r="B372" s="183" t="n"/>
      <c r="C372" s="184" t="n"/>
      <c r="D372" s="183" t="n"/>
    </row>
    <row r="373">
      <c r="A373" s="190" t="n"/>
      <c r="B373" s="185" t="n"/>
      <c r="C373" s="186" t="n"/>
      <c r="D373" s="187" t="n"/>
    </row>
    <row r="374" ht="21" customHeight="1">
      <c r="A374" s="272">
        <f>CONCATENATE("COSTS WORK PACKAGE 10:"," ","Adaptation of O&amp;M Platform")</f>
        <v/>
      </c>
      <c r="B374" s="314" t="n"/>
      <c r="C374" s="314" t="n"/>
      <c r="D374" s="315" t="n"/>
    </row>
    <row r="375">
      <c r="A375" s="182" t="n"/>
      <c r="B375" s="191" t="n"/>
      <c r="C375" s="192" t="n"/>
      <c r="D375" s="191" t="n"/>
    </row>
    <row r="376">
      <c r="A376" s="29" t="inlineStr">
        <is>
          <t>A. DIRECT PERSONNEL COSTS</t>
        </is>
      </c>
      <c r="B376" s="30" t="n"/>
      <c r="C376" s="110" t="n"/>
      <c r="D376" s="354" t="n"/>
    </row>
    <row r="377">
      <c r="A377" s="28" t="inlineStr">
        <is>
          <t>A.1 Employees (or equivalent)</t>
        </is>
      </c>
      <c r="B377" s="89" t="n"/>
      <c r="C377" s="111" t="n"/>
      <c r="D377" s="355" t="n"/>
    </row>
    <row r="378">
      <c r="A378" s="48" t="inlineStr">
        <is>
          <t>SENIOR SCIENTISTS (or equivalent in the private sector)</t>
        </is>
      </c>
      <c r="B378" s="357" t="n"/>
      <c r="C378" s="248" t="n"/>
      <c r="D378" s="232">
        <f>B378*C378</f>
        <v/>
      </c>
    </row>
    <row r="379">
      <c r="A379" s="48" t="inlineStr">
        <is>
          <t>JUNIOR SCIENTISTS (or equivalent in the private sector)</t>
        </is>
      </c>
      <c r="B379" s="357" t="n"/>
      <c r="C379" s="248" t="n"/>
      <c r="D379" s="232">
        <f>B379*C379</f>
        <v/>
      </c>
    </row>
    <row r="380">
      <c r="A380" s="48" t="inlineStr">
        <is>
          <t>TECHNICAL PERSONNEL (or equivalent in the private sector)</t>
        </is>
      </c>
      <c r="B380" s="357" t="n"/>
      <c r="C380" s="248" t="n"/>
      <c r="D380" s="232">
        <f>B380*C380</f>
        <v/>
      </c>
    </row>
    <row r="381">
      <c r="A381" s="48" t="inlineStr">
        <is>
          <t>ADMINISTRATIVE PERSONNEL (or equivalent in the private sector)</t>
        </is>
      </c>
      <c r="B381" s="357" t="n"/>
      <c r="C381" s="248" t="n"/>
      <c r="D381" s="232">
        <f>B381*C381</f>
        <v/>
      </c>
    </row>
    <row r="382">
      <c r="A382" s="48" t="inlineStr">
        <is>
          <t>OTHERS</t>
        </is>
      </c>
      <c r="B382" s="357" t="n"/>
      <c r="C382" s="248" t="n"/>
      <c r="D382" s="232">
        <f>B382*C382</f>
        <v/>
      </c>
    </row>
    <row r="383">
      <c r="A383" s="28" t="inlineStr">
        <is>
          <t>A.2 Natural Persons under direct contract</t>
        </is>
      </c>
      <c r="B383" s="357" t="n"/>
      <c r="C383" s="248" t="n"/>
      <c r="D383" s="232">
        <f>B383*C383</f>
        <v/>
      </c>
    </row>
    <row r="384">
      <c r="A384" s="28" t="inlineStr">
        <is>
          <t>A.3 Seconded Persons</t>
        </is>
      </c>
      <c r="B384" s="357" t="n"/>
      <c r="C384" s="248" t="n"/>
      <c r="D384" s="232">
        <f>B384*C384</f>
        <v/>
      </c>
    </row>
    <row r="385">
      <c r="A385" s="28" t="inlineStr">
        <is>
          <t>A.4 SME owners and natural person beneficiaries</t>
        </is>
      </c>
      <c r="B385" s="357" t="n"/>
      <c r="C385" s="256" t="n">
        <v>11858.7624</v>
      </c>
      <c r="D385" s="232">
        <f>B385*C385</f>
        <v/>
      </c>
    </row>
    <row r="386">
      <c r="A386" s="29" t="inlineStr">
        <is>
          <t>B. DIRECT SUBCONTRACTING COSTS</t>
        </is>
      </c>
      <c r="B386" s="358" t="n"/>
      <c r="C386" s="110" t="n"/>
      <c r="D386" s="359" t="n"/>
    </row>
    <row r="387">
      <c r="A387" s="53" t="n"/>
      <c r="B387" s="357" t="n"/>
      <c r="C387" s="248" t="n"/>
      <c r="D387" s="361">
        <f>B387*C387</f>
        <v/>
      </c>
    </row>
    <row r="388">
      <c r="A388" s="29" t="inlineStr">
        <is>
          <t>C. DIRECT PURCHASE COSTS</t>
        </is>
      </c>
      <c r="B388" s="358" t="n"/>
      <c r="C388" s="110" t="n"/>
      <c r="D388" s="359" t="n"/>
    </row>
    <row r="389">
      <c r="A389" s="28" t="inlineStr">
        <is>
          <t>C.1 Travel and subsistence</t>
        </is>
      </c>
      <c r="B389" s="357" t="n"/>
      <c r="C389" s="248" t="n"/>
      <c r="D389" s="361">
        <f>B389*C389</f>
        <v/>
      </c>
    </row>
    <row r="390">
      <c r="A390" s="28" t="inlineStr">
        <is>
          <t>C.2 Equipment (complete 'Depreciation costs' sheet)</t>
        </is>
      </c>
      <c r="B390" s="346" t="n"/>
      <c r="C390" s="111" t="n"/>
      <c r="D390" s="364" t="n"/>
    </row>
    <row r="391">
      <c r="A391" s="49" t="inlineStr">
        <is>
          <t>Equipment</t>
        </is>
      </c>
      <c r="B391" s="357" t="n"/>
      <c r="C391" s="248" t="n"/>
      <c r="D391" s="361">
        <f>B391*C391</f>
        <v/>
      </c>
    </row>
    <row r="392">
      <c r="A392" s="49" t="inlineStr">
        <is>
          <t>Infrastructure</t>
        </is>
      </c>
      <c r="B392" s="357" t="n"/>
      <c r="C392" s="248" t="n"/>
      <c r="D392" s="361">
        <f>B392*C392</f>
        <v/>
      </c>
    </row>
    <row r="393">
      <c r="A393" s="49" t="inlineStr">
        <is>
          <t>Other assets</t>
        </is>
      </c>
      <c r="B393" s="357" t="n"/>
      <c r="C393" s="248" t="n"/>
      <c r="D393" s="361">
        <f>B393*C393</f>
        <v/>
      </c>
    </row>
    <row r="394">
      <c r="A394" s="28" t="inlineStr">
        <is>
          <t>C.3 Other goods, works and services</t>
        </is>
      </c>
      <c r="B394" s="346" t="n"/>
      <c r="C394" s="111" t="n"/>
      <c r="D394" s="364" t="n"/>
    </row>
    <row r="395">
      <c r="A395" s="49" t="inlineStr">
        <is>
          <t>Consumables</t>
        </is>
      </c>
      <c r="B395" s="357" t="n"/>
      <c r="C395" s="248" t="n"/>
      <c r="D395" s="361">
        <f>B395*C395</f>
        <v/>
      </c>
    </row>
    <row r="396">
      <c r="A396" s="49" t="inlineStr">
        <is>
          <t>Services for meetings, seminars</t>
        </is>
      </c>
      <c r="B396" s="357" t="n"/>
      <c r="C396" s="248" t="n"/>
      <c r="D396" s="361">
        <f>B396*C396</f>
        <v/>
      </c>
    </row>
    <row r="397">
      <c r="A397" s="49" t="inlineStr">
        <is>
          <t>Services for dissemination activities (including website)</t>
        </is>
      </c>
      <c r="B397" s="357" t="n"/>
      <c r="C397" s="248" t="n"/>
      <c r="D397" s="361">
        <f>B397*C397</f>
        <v/>
      </c>
    </row>
    <row r="398">
      <c r="A398" s="49" t="inlineStr">
        <is>
          <t>Publication fees</t>
        </is>
      </c>
      <c r="B398" s="357" t="n"/>
      <c r="C398" s="248" t="n"/>
      <c r="D398" s="361">
        <f>B398*C398</f>
        <v/>
      </c>
    </row>
    <row r="399">
      <c r="A399" s="49" t="inlineStr">
        <is>
          <t>Other (shipment, insurance, translation, etc.)</t>
        </is>
      </c>
      <c r="B399" s="357" t="n"/>
      <c r="C399" s="248" t="n"/>
      <c r="D399" s="361">
        <f>B399*C399</f>
        <v/>
      </c>
    </row>
    <row r="400">
      <c r="A400" s="29" t="inlineStr">
        <is>
          <t>D. OTHER COST CATEGORIES</t>
        </is>
      </c>
      <c r="B400" s="358" t="n"/>
      <c r="C400" s="110" t="n"/>
      <c r="D400" s="359" t="n"/>
    </row>
    <row r="401">
      <c r="A401" s="50" t="inlineStr">
        <is>
          <t>D.1 Financial support to third parties (if applicable in the topic specific conditions)</t>
        </is>
      </c>
      <c r="B401" s="357" t="n"/>
      <c r="C401" s="248" t="n"/>
      <c r="D401" s="361">
        <f>B401*C401</f>
        <v/>
      </c>
    </row>
    <row r="402">
      <c r="A402" s="50" t="inlineStr">
        <is>
          <t>D.2 Internally invoiced goods and services</t>
        </is>
      </c>
      <c r="B402" s="357" t="n"/>
      <c r="C402" s="248" t="n"/>
      <c r="D402" s="361">
        <f>B402*C402</f>
        <v/>
      </c>
    </row>
    <row r="403">
      <c r="A403" s="50" t="inlineStr">
        <is>
          <t>D.3 Transnational access to research infrastructure unit costs (if mentioned as eligible in the topic specific conditions)</t>
        </is>
      </c>
      <c r="B403" s="357" t="n"/>
      <c r="C403" s="248" t="n"/>
      <c r="D403" s="361">
        <f>B403*C403</f>
        <v/>
      </c>
    </row>
    <row r="404">
      <c r="A404" s="50" t="inlineStr">
        <is>
          <t>D.4 Virtual access to research infrastructure unit costs (if mentioned as eligible in the topic specific conditions)</t>
        </is>
      </c>
      <c r="B404" s="357" t="n"/>
      <c r="C404" s="248" t="n"/>
      <c r="D404" s="361">
        <f>B404*C404</f>
        <v/>
      </c>
    </row>
    <row r="405">
      <c r="A405" s="50" t="inlineStr">
        <is>
          <t>D.5 PCP/PPI procurement costs (if mentioned as eligible in the topic specific conditions)</t>
        </is>
      </c>
      <c r="B405" s="357" t="n"/>
      <c r="C405" s="248" t="n"/>
      <c r="D405" s="361">
        <f>B405*C405</f>
        <v/>
      </c>
    </row>
    <row r="406">
      <c r="A406" s="50" t="n"/>
      <c r="B406" s="346" t="n"/>
      <c r="C406" s="111" t="n"/>
      <c r="D406" s="365" t="n"/>
    </row>
    <row r="407">
      <c r="A407" s="52" t="inlineStr">
        <is>
          <t>TOTAL DIRECT PERSONNEL COSTS AND PURCHASE COSTS (A+C)</t>
        </is>
      </c>
      <c r="B407" s="369" t="n"/>
      <c r="C407" s="230" t="n"/>
      <c r="D407" s="360">
        <f>SUM(D378:D385,D389:D399)</f>
        <v/>
      </c>
    </row>
    <row r="408">
      <c r="A408" s="52" t="inlineStr">
        <is>
          <t>TOTAL DIRECT COSTS  (A+B+C+D)</t>
        </is>
      </c>
      <c r="B408" s="369" t="n"/>
      <c r="C408" s="230" t="n"/>
      <c r="D408" s="360">
        <f>SUM(D378:D405)</f>
        <v/>
      </c>
    </row>
    <row r="409">
      <c r="A409" s="180" t="n"/>
      <c r="B409" s="372" t="n"/>
      <c r="C409" s="176" t="n"/>
      <c r="D409" s="373" t="n"/>
    </row>
    <row r="410">
      <c r="A410" s="29" t="inlineStr">
        <is>
          <t>E. INDIRECT COSTS (25% * (A+C))</t>
        </is>
      </c>
      <c r="B410" s="358" t="n"/>
      <c r="C410" s="110" t="n"/>
      <c r="D410" s="360">
        <f>D407*0.25</f>
        <v/>
      </c>
    </row>
    <row r="411">
      <c r="A411" s="32" t="n"/>
      <c r="B411" s="372" t="n"/>
      <c r="C411" s="176" t="n"/>
      <c r="D411" s="377" t="n"/>
    </row>
    <row r="412">
      <c r="A412" s="29" t="inlineStr">
        <is>
          <t>F. TOTAL COSTS (A+B+C+D+E)</t>
        </is>
      </c>
      <c r="B412" s="369" t="n"/>
      <c r="C412" s="230" t="n"/>
      <c r="D412" s="360">
        <f>D408+D410</f>
        <v/>
      </c>
    </row>
    <row r="413">
      <c r="A413" s="182" t="n"/>
      <c r="B413" s="183" t="n"/>
      <c r="C413" s="184" t="n"/>
      <c r="D413" s="183" t="n"/>
    </row>
    <row r="414">
      <c r="A414" s="190" t="n"/>
      <c r="B414" s="185" t="n"/>
      <c r="C414" s="186" t="n"/>
      <c r="D414" s="187" t="n"/>
    </row>
    <row r="415" ht="21" customHeight="1">
      <c r="A415" s="272">
        <f>CONCATENATE("COSTS WORK PACKAGE 11:"," ","System integration for unified O&amp;M Platform")</f>
        <v/>
      </c>
      <c r="B415" s="314" t="n"/>
      <c r="C415" s="314" t="n"/>
      <c r="D415" s="315" t="n"/>
    </row>
    <row r="416">
      <c r="A416" s="182" t="n"/>
      <c r="B416" s="191" t="n"/>
      <c r="C416" s="192" t="n"/>
      <c r="D416" s="191" t="n"/>
    </row>
    <row r="417">
      <c r="A417" s="29" t="inlineStr">
        <is>
          <t>A. DIRECT PERSONNEL COSTS</t>
        </is>
      </c>
      <c r="B417" s="30" t="n"/>
      <c r="C417" s="110" t="n"/>
      <c r="D417" s="354" t="n"/>
    </row>
    <row r="418">
      <c r="A418" s="28" t="inlineStr">
        <is>
          <t>A.1 Employees (or equivalent)</t>
        </is>
      </c>
      <c r="B418" s="89" t="n"/>
      <c r="C418" s="111" t="n"/>
      <c r="D418" s="355" t="n"/>
    </row>
    <row r="419">
      <c r="A419" s="48" t="inlineStr">
        <is>
          <t>SENIOR SCIENTISTS (or equivalent in the private sector)</t>
        </is>
      </c>
      <c r="B419" s="357" t="n">
        <v>1</v>
      </c>
      <c r="C419" s="248" t="n">
        <v>9021</v>
      </c>
      <c r="D419" s="232">
        <f>B419*C419</f>
        <v/>
      </c>
    </row>
    <row r="420">
      <c r="A420" s="48" t="inlineStr">
        <is>
          <t>JUNIOR SCIENTISTS (or equivalent in the private sector)</t>
        </is>
      </c>
      <c r="B420" s="357" t="n"/>
      <c r="C420" s="248" t="n"/>
      <c r="D420" s="232">
        <f>B420*C420</f>
        <v/>
      </c>
    </row>
    <row r="421">
      <c r="A421" s="48" t="inlineStr">
        <is>
          <t>TECHNICAL PERSONNEL (or equivalent in the private sector)</t>
        </is>
      </c>
      <c r="B421" s="357" t="n"/>
      <c r="C421" s="248" t="n"/>
      <c r="D421" s="232">
        <f>B421*C421</f>
        <v/>
      </c>
    </row>
    <row r="422">
      <c r="A422" s="48" t="inlineStr">
        <is>
          <t>ADMINISTRATIVE PERSONNEL (or equivalent in the private sector)</t>
        </is>
      </c>
      <c r="B422" s="357" t="n"/>
      <c r="C422" s="248" t="n"/>
      <c r="D422" s="232">
        <f>B422*C422</f>
        <v/>
      </c>
    </row>
    <row r="423">
      <c r="A423" s="48" t="inlineStr">
        <is>
          <t>OTHERS</t>
        </is>
      </c>
      <c r="B423" s="357" t="n"/>
      <c r="C423" s="248" t="n"/>
      <c r="D423" s="232">
        <f>B423*C423</f>
        <v/>
      </c>
    </row>
    <row r="424">
      <c r="A424" s="28" t="inlineStr">
        <is>
          <t>A.2 Natural Persons under direct contract</t>
        </is>
      </c>
      <c r="B424" s="357" t="n"/>
      <c r="C424" s="248" t="n"/>
      <c r="D424" s="232">
        <f>B424*C424</f>
        <v/>
      </c>
    </row>
    <row r="425">
      <c r="A425" s="28" t="inlineStr">
        <is>
          <t>A.3 Seconded Persons</t>
        </is>
      </c>
      <c r="B425" s="357" t="n"/>
      <c r="C425" s="248" t="n"/>
      <c r="D425" s="232">
        <f>B425*C425</f>
        <v/>
      </c>
    </row>
    <row r="426">
      <c r="A426" s="28" t="inlineStr">
        <is>
          <t>A.4 SME owners and natural person beneficiaries</t>
        </is>
      </c>
      <c r="B426" s="357" t="n"/>
      <c r="C426" s="256" t="n">
        <v>11858.7624</v>
      </c>
      <c r="D426" s="232">
        <f>B426*C426</f>
        <v/>
      </c>
    </row>
    <row r="427">
      <c r="A427" s="29" t="inlineStr">
        <is>
          <t>B. DIRECT SUBCONTRACTING COSTS</t>
        </is>
      </c>
      <c r="B427" s="358" t="n"/>
      <c r="C427" s="110" t="n"/>
      <c r="D427" s="359" t="n"/>
    </row>
    <row r="428">
      <c r="A428" s="53" t="n"/>
      <c r="B428" s="357" t="n"/>
      <c r="C428" s="248" t="n"/>
      <c r="D428" s="361">
        <f>B428*C428</f>
        <v/>
      </c>
    </row>
    <row r="429">
      <c r="A429" s="29" t="inlineStr">
        <is>
          <t>C. DIRECT PURCHASE COSTS</t>
        </is>
      </c>
      <c r="B429" s="358" t="n"/>
      <c r="C429" s="110" t="n"/>
      <c r="D429" s="359" t="n"/>
    </row>
    <row r="430">
      <c r="A430" s="28" t="inlineStr">
        <is>
          <t>C.1 Travel and subsistence</t>
        </is>
      </c>
      <c r="B430" s="357" t="n"/>
      <c r="C430" s="248" t="n"/>
      <c r="D430" s="361">
        <f>B430*C430</f>
        <v/>
      </c>
    </row>
    <row r="431">
      <c r="A431" s="28" t="inlineStr">
        <is>
          <t>C.2 Equipment (complete 'Depreciation costs' sheet)</t>
        </is>
      </c>
      <c r="B431" s="346" t="n"/>
      <c r="C431" s="111" t="n"/>
      <c r="D431" s="364" t="n"/>
    </row>
    <row r="432">
      <c r="A432" s="49" t="inlineStr">
        <is>
          <t>Equipment</t>
        </is>
      </c>
      <c r="B432" s="357" t="n"/>
      <c r="C432" s="248" t="n"/>
      <c r="D432" s="361">
        <f>B432*C432</f>
        <v/>
      </c>
    </row>
    <row r="433">
      <c r="A433" s="49" t="inlineStr">
        <is>
          <t>Infrastructure</t>
        </is>
      </c>
      <c r="B433" s="357" t="n"/>
      <c r="C433" s="248" t="n"/>
      <c r="D433" s="361">
        <f>B433*C433</f>
        <v/>
      </c>
    </row>
    <row r="434">
      <c r="A434" s="49" t="inlineStr">
        <is>
          <t>Other assets</t>
        </is>
      </c>
      <c r="B434" s="357" t="n"/>
      <c r="C434" s="248" t="n"/>
      <c r="D434" s="361">
        <f>B434*C434</f>
        <v/>
      </c>
    </row>
    <row r="435">
      <c r="A435" s="28" t="inlineStr">
        <is>
          <t>C.3 Other goods, works and services</t>
        </is>
      </c>
      <c r="B435" s="346" t="n"/>
      <c r="C435" s="111" t="n"/>
      <c r="D435" s="364" t="n"/>
    </row>
    <row r="436">
      <c r="A436" s="49" t="inlineStr">
        <is>
          <t>Consumables</t>
        </is>
      </c>
      <c r="B436" s="357" t="n"/>
      <c r="C436" s="248" t="n"/>
      <c r="D436" s="361">
        <f>B436*C436</f>
        <v/>
      </c>
    </row>
    <row r="437">
      <c r="A437" s="49" t="inlineStr">
        <is>
          <t>Services for meetings, seminars</t>
        </is>
      </c>
      <c r="B437" s="357" t="n"/>
      <c r="C437" s="248" t="n"/>
      <c r="D437" s="361">
        <f>B437*C437</f>
        <v/>
      </c>
    </row>
    <row r="438">
      <c r="A438" s="49" t="inlineStr">
        <is>
          <t>Services for dissemination activities (including website)</t>
        </is>
      </c>
      <c r="B438" s="357" t="n"/>
      <c r="C438" s="248" t="n"/>
      <c r="D438" s="361">
        <f>B438*C438</f>
        <v/>
      </c>
    </row>
    <row r="439">
      <c r="A439" s="49" t="inlineStr">
        <is>
          <t>Publication fees</t>
        </is>
      </c>
      <c r="B439" s="357" t="n"/>
      <c r="C439" s="248" t="n"/>
      <c r="D439" s="361">
        <f>B439*C439</f>
        <v/>
      </c>
    </row>
    <row r="440">
      <c r="A440" s="49" t="inlineStr">
        <is>
          <t>Other (shipment, insurance, translation, etc.)</t>
        </is>
      </c>
      <c r="B440" s="357" t="n"/>
      <c r="C440" s="248" t="n"/>
      <c r="D440" s="361">
        <f>B440*C440</f>
        <v/>
      </c>
    </row>
    <row r="441">
      <c r="A441" s="29" t="inlineStr">
        <is>
          <t>D. OTHER COST CATEGORIES</t>
        </is>
      </c>
      <c r="B441" s="358" t="n"/>
      <c r="C441" s="110" t="n"/>
      <c r="D441" s="359" t="n"/>
    </row>
    <row r="442">
      <c r="A442" s="50" t="inlineStr">
        <is>
          <t>D.1 Financial support to third parties (if applicable in the topic specific conditions)</t>
        </is>
      </c>
      <c r="B442" s="357" t="n"/>
      <c r="C442" s="248" t="n"/>
      <c r="D442" s="361">
        <f>B442*C442</f>
        <v/>
      </c>
    </row>
    <row r="443">
      <c r="A443" s="50" t="inlineStr">
        <is>
          <t>D.2 Internally invoiced goods and services</t>
        </is>
      </c>
      <c r="B443" s="357" t="n"/>
      <c r="C443" s="248" t="n"/>
      <c r="D443" s="361">
        <f>B443*C443</f>
        <v/>
      </c>
    </row>
    <row r="444">
      <c r="A444" s="50" t="inlineStr">
        <is>
          <t>D.3 Transnational access to research infrastructure unit costs (if mentioned as eligible in the topic specific conditions)</t>
        </is>
      </c>
      <c r="B444" s="357" t="n"/>
      <c r="C444" s="248" t="n"/>
      <c r="D444" s="361">
        <f>B444*C444</f>
        <v/>
      </c>
    </row>
    <row r="445">
      <c r="A445" s="50" t="inlineStr">
        <is>
          <t>D.4 Virtual access to research infrastructure unit costs (if mentioned as eligible in the topic specific conditions)</t>
        </is>
      </c>
      <c r="B445" s="357" t="n"/>
      <c r="C445" s="248" t="n"/>
      <c r="D445" s="361">
        <f>B445*C445</f>
        <v/>
      </c>
    </row>
    <row r="446">
      <c r="A446" s="50" t="inlineStr">
        <is>
          <t>D.5 PCP/PPI procurement costs (if mentioned as eligible in the topic specific conditions)</t>
        </is>
      </c>
      <c r="B446" s="357" t="n"/>
      <c r="C446" s="248" t="n"/>
      <c r="D446" s="361">
        <f>B446*C446</f>
        <v/>
      </c>
    </row>
    <row r="447">
      <c r="A447" s="50" t="n"/>
      <c r="B447" s="346" t="n"/>
      <c r="C447" s="111" t="n"/>
      <c r="D447" s="365" t="n"/>
    </row>
    <row r="448">
      <c r="A448" s="52" t="inlineStr">
        <is>
          <t>TOTAL DIRECT PERSONNEL COSTS AND PURCHASE COSTS (A+C)</t>
        </is>
      </c>
      <c r="B448" s="369" t="n"/>
      <c r="C448" s="230" t="n"/>
      <c r="D448" s="360">
        <f>SUM(D419:D426,D430:D440)</f>
        <v/>
      </c>
    </row>
    <row r="449">
      <c r="A449" s="52" t="inlineStr">
        <is>
          <t>TOTAL DIRECT COSTS  (A+B+C+D)</t>
        </is>
      </c>
      <c r="B449" s="369" t="n"/>
      <c r="C449" s="230" t="n"/>
      <c r="D449" s="360">
        <f>SUM(D419:D446)</f>
        <v/>
      </c>
    </row>
    <row r="450">
      <c r="A450" s="180" t="n"/>
      <c r="B450" s="372" t="n"/>
      <c r="C450" s="176" t="n"/>
      <c r="D450" s="373" t="n"/>
    </row>
    <row r="451">
      <c r="A451" s="29" t="inlineStr">
        <is>
          <t>E. INDIRECT COSTS (25% * (A+C))</t>
        </is>
      </c>
      <c r="B451" s="358" t="n"/>
      <c r="C451" s="110" t="n"/>
      <c r="D451" s="360">
        <f>D448*0.25</f>
        <v/>
      </c>
    </row>
    <row r="452">
      <c r="A452" s="32" t="n"/>
      <c r="B452" s="372" t="n"/>
      <c r="C452" s="176" t="n"/>
      <c r="D452" s="377" t="n"/>
    </row>
    <row r="453">
      <c r="A453" s="29" t="inlineStr">
        <is>
          <t>F. TOTAL COSTS (A+B+C+D+E)</t>
        </is>
      </c>
      <c r="B453" s="369" t="n"/>
      <c r="C453" s="230" t="n"/>
      <c r="D453" s="360">
        <f>D449+D451</f>
        <v/>
      </c>
    </row>
    <row r="454">
      <c r="A454" s="182" t="n"/>
      <c r="B454" s="183" t="n"/>
      <c r="C454" s="184" t="n"/>
      <c r="D454" s="183" t="n"/>
    </row>
    <row r="455">
      <c r="A455" s="190" t="n"/>
      <c r="B455" s="185" t="n"/>
      <c r="C455" s="186" t="n"/>
      <c r="D455" s="187" t="n"/>
    </row>
    <row r="456" ht="21" customHeight="1">
      <c r="A456" s="272">
        <f>CONCATENATE("COSTS WORK PACKAGE 12:"," ","System-Level Demonstration and Validation")</f>
        <v/>
      </c>
      <c r="B456" s="314" t="n"/>
      <c r="C456" s="314" t="n"/>
      <c r="D456" s="315" t="n"/>
    </row>
    <row r="457">
      <c r="A457" s="182" t="n"/>
      <c r="B457" s="191" t="n"/>
      <c r="C457" s="192" t="n"/>
      <c r="D457" s="191" t="n"/>
    </row>
    <row r="458">
      <c r="A458" s="29" t="inlineStr">
        <is>
          <t>A. DIRECT PERSONNEL COSTS</t>
        </is>
      </c>
      <c r="B458" s="30" t="n"/>
      <c r="C458" s="110" t="n"/>
      <c r="D458" s="354" t="n"/>
    </row>
    <row r="459">
      <c r="A459" s="28" t="inlineStr">
        <is>
          <t>A.1 Employees (or equivalent)</t>
        </is>
      </c>
      <c r="B459" s="89" t="n"/>
      <c r="C459" s="111" t="n"/>
      <c r="D459" s="355" t="n"/>
    </row>
    <row r="460">
      <c r="A460" s="48" t="inlineStr">
        <is>
          <t>SENIOR SCIENTISTS (or equivalent in the private sector)</t>
        </is>
      </c>
      <c r="B460" s="357" t="n">
        <v>1</v>
      </c>
      <c r="C460" s="248" t="n">
        <v>9021</v>
      </c>
      <c r="D460" s="232">
        <f>B460*C460</f>
        <v/>
      </c>
    </row>
    <row r="461">
      <c r="A461" s="48" t="inlineStr">
        <is>
          <t>JUNIOR SCIENTISTS (or equivalent in the private sector)</t>
        </is>
      </c>
      <c r="B461" s="357" t="n"/>
      <c r="C461" s="248" t="n"/>
      <c r="D461" s="232">
        <f>B461*C461</f>
        <v/>
      </c>
    </row>
    <row r="462">
      <c r="A462" s="48" t="inlineStr">
        <is>
          <t>TECHNICAL PERSONNEL (or equivalent in the private sector)</t>
        </is>
      </c>
      <c r="B462" s="357" t="n"/>
      <c r="C462" s="248" t="n"/>
      <c r="D462" s="232">
        <f>B462*C462</f>
        <v/>
      </c>
    </row>
    <row r="463">
      <c r="A463" s="48" t="inlineStr">
        <is>
          <t>ADMINISTRATIVE PERSONNEL (or equivalent in the private sector)</t>
        </is>
      </c>
      <c r="B463" s="357" t="n"/>
      <c r="C463" s="248" t="n"/>
      <c r="D463" s="232">
        <f>B463*C463</f>
        <v/>
      </c>
    </row>
    <row r="464">
      <c r="A464" s="48" t="inlineStr">
        <is>
          <t>OTHERS</t>
        </is>
      </c>
      <c r="B464" s="357" t="n"/>
      <c r="C464" s="248" t="n"/>
      <c r="D464" s="232">
        <f>B464*C464</f>
        <v/>
      </c>
    </row>
    <row r="465">
      <c r="A465" s="28" t="inlineStr">
        <is>
          <t>A.2 Natural Persons under direct contract</t>
        </is>
      </c>
      <c r="B465" s="357" t="n"/>
      <c r="C465" s="248" t="n"/>
      <c r="D465" s="232">
        <f>B465*C465</f>
        <v/>
      </c>
    </row>
    <row r="466">
      <c r="A466" s="28" t="inlineStr">
        <is>
          <t>A.3 Seconded Persons</t>
        </is>
      </c>
      <c r="B466" s="357" t="n"/>
      <c r="C466" s="248" t="n"/>
      <c r="D466" s="232">
        <f>B466*C466</f>
        <v/>
      </c>
    </row>
    <row r="467">
      <c r="A467" s="28" t="inlineStr">
        <is>
          <t>A.4 SME owners and natural person beneficiaries</t>
        </is>
      </c>
      <c r="B467" s="357" t="n"/>
      <c r="C467" s="256" t="n">
        <v>11858.7624</v>
      </c>
      <c r="D467" s="232">
        <f>B467*C467</f>
        <v/>
      </c>
    </row>
    <row r="468">
      <c r="A468" s="29" t="inlineStr">
        <is>
          <t>B. DIRECT SUBCONTRACTING COSTS</t>
        </is>
      </c>
      <c r="B468" s="358" t="n"/>
      <c r="C468" s="110" t="n"/>
      <c r="D468" s="359" t="n"/>
    </row>
    <row r="469">
      <c r="A469" s="53" t="n"/>
      <c r="B469" s="357" t="n"/>
      <c r="C469" s="248" t="n"/>
      <c r="D469" s="361">
        <f>B469*C469</f>
        <v/>
      </c>
    </row>
    <row r="470">
      <c r="A470" s="29" t="inlineStr">
        <is>
          <t>C. DIRECT PURCHASE COSTS</t>
        </is>
      </c>
      <c r="B470" s="358" t="n"/>
      <c r="C470" s="110" t="n"/>
      <c r="D470" s="359" t="n"/>
    </row>
    <row r="471">
      <c r="A471" s="28" t="inlineStr">
        <is>
          <t>C.1 Travel and subsistence</t>
        </is>
      </c>
      <c r="B471" s="357" t="n"/>
      <c r="C471" s="248" t="n"/>
      <c r="D471" s="361">
        <f>B471*C471</f>
        <v/>
      </c>
    </row>
    <row r="472">
      <c r="A472" s="28" t="inlineStr">
        <is>
          <t>C.2 Equipment (complete 'Depreciation costs' sheet)</t>
        </is>
      </c>
      <c r="B472" s="346" t="n"/>
      <c r="C472" s="111" t="n"/>
      <c r="D472" s="364" t="n"/>
    </row>
    <row r="473">
      <c r="A473" s="49" t="inlineStr">
        <is>
          <t>Equipment</t>
        </is>
      </c>
      <c r="B473" s="357" t="n"/>
      <c r="C473" s="248" t="n"/>
      <c r="D473" s="361">
        <f>B473*C473</f>
        <v/>
      </c>
    </row>
    <row r="474">
      <c r="A474" s="49" t="inlineStr">
        <is>
          <t>Infrastructure</t>
        </is>
      </c>
      <c r="B474" s="357" t="n"/>
      <c r="C474" s="248" t="n"/>
      <c r="D474" s="361">
        <f>B474*C474</f>
        <v/>
      </c>
    </row>
    <row r="475">
      <c r="A475" s="49" t="inlineStr">
        <is>
          <t>Other assets</t>
        </is>
      </c>
      <c r="B475" s="357" t="n"/>
      <c r="C475" s="248" t="n"/>
      <c r="D475" s="361">
        <f>B475*C475</f>
        <v/>
      </c>
    </row>
    <row r="476">
      <c r="A476" s="28" t="inlineStr">
        <is>
          <t>C.3 Other goods, works and services</t>
        </is>
      </c>
      <c r="B476" s="346" t="n"/>
      <c r="C476" s="111" t="n"/>
      <c r="D476" s="364" t="n"/>
    </row>
    <row r="477">
      <c r="A477" s="49" t="inlineStr">
        <is>
          <t>Consumables</t>
        </is>
      </c>
      <c r="B477" s="357" t="n"/>
      <c r="C477" s="248" t="n"/>
      <c r="D477" s="361">
        <f>B477*C477</f>
        <v/>
      </c>
    </row>
    <row r="478">
      <c r="A478" s="49" t="inlineStr">
        <is>
          <t>Services for meetings, seminars</t>
        </is>
      </c>
      <c r="B478" s="357" t="n"/>
      <c r="C478" s="248" t="n"/>
      <c r="D478" s="361">
        <f>B478*C478</f>
        <v/>
      </c>
    </row>
    <row r="479">
      <c r="A479" s="49" t="inlineStr">
        <is>
          <t>Services for dissemination activities (including website)</t>
        </is>
      </c>
      <c r="B479" s="357" t="n"/>
      <c r="C479" s="248" t="n"/>
      <c r="D479" s="361">
        <f>B479*C479</f>
        <v/>
      </c>
    </row>
    <row r="480">
      <c r="A480" s="49" t="inlineStr">
        <is>
          <t>Publication fees</t>
        </is>
      </c>
      <c r="B480" s="357" t="n"/>
      <c r="C480" s="248" t="n"/>
      <c r="D480" s="361">
        <f>B480*C480</f>
        <v/>
      </c>
    </row>
    <row r="481">
      <c r="A481" s="49" t="inlineStr">
        <is>
          <t>Other (shipment, insurance, translation, etc.)</t>
        </is>
      </c>
      <c r="B481" s="357" t="n"/>
      <c r="C481" s="248" t="n"/>
      <c r="D481" s="361">
        <f>B481*C481</f>
        <v/>
      </c>
    </row>
    <row r="482">
      <c r="A482" s="29" t="inlineStr">
        <is>
          <t>D. OTHER COST CATEGORIES</t>
        </is>
      </c>
      <c r="B482" s="358" t="n"/>
      <c r="C482" s="110" t="n"/>
      <c r="D482" s="359" t="n"/>
    </row>
    <row r="483">
      <c r="A483" s="50" t="inlineStr">
        <is>
          <t>D.1 Financial support to third parties (if applicable in the topic specific conditions)</t>
        </is>
      </c>
      <c r="B483" s="357" t="n"/>
      <c r="C483" s="248" t="n"/>
      <c r="D483" s="361">
        <f>B483*C483</f>
        <v/>
      </c>
    </row>
    <row r="484">
      <c r="A484" s="50" t="inlineStr">
        <is>
          <t>D.2 Internally invoiced goods and services</t>
        </is>
      </c>
      <c r="B484" s="357" t="n"/>
      <c r="C484" s="248" t="n"/>
      <c r="D484" s="361">
        <f>B484*C484</f>
        <v/>
      </c>
    </row>
    <row r="485">
      <c r="A485" s="50" t="inlineStr">
        <is>
          <t>D.3 Transnational access to research infrastructure unit costs (if mentioned as eligible in the topic specific conditions)</t>
        </is>
      </c>
      <c r="B485" s="357" t="n"/>
      <c r="C485" s="248" t="n"/>
      <c r="D485" s="361">
        <f>B485*C485</f>
        <v/>
      </c>
    </row>
    <row r="486">
      <c r="A486" s="50" t="inlineStr">
        <is>
          <t>D.4 Virtual access to research infrastructure unit costs (if mentioned as eligible in the topic specific conditions)</t>
        </is>
      </c>
      <c r="B486" s="357" t="n"/>
      <c r="C486" s="248" t="n"/>
      <c r="D486" s="361">
        <f>B486*C486</f>
        <v/>
      </c>
    </row>
    <row r="487">
      <c r="A487" s="50" t="inlineStr">
        <is>
          <t>D.5 PCP/PPI procurement costs (if mentioned as eligible in the topic specific conditions)</t>
        </is>
      </c>
      <c r="B487" s="357" t="n"/>
      <c r="C487" s="248" t="n"/>
      <c r="D487" s="361">
        <f>B487*C487</f>
        <v/>
      </c>
    </row>
    <row r="488">
      <c r="A488" s="50" t="n"/>
      <c r="B488" s="346" t="n"/>
      <c r="C488" s="111" t="n"/>
      <c r="D488" s="365" t="n"/>
    </row>
    <row r="489">
      <c r="A489" s="52" t="inlineStr">
        <is>
          <t>TOTAL DIRECT PERSONNEL COSTS AND PURCHASE COSTS (A+C)</t>
        </is>
      </c>
      <c r="B489" s="369" t="n"/>
      <c r="C489" s="230" t="n"/>
      <c r="D489" s="360">
        <f>SUM(D460:D467,D471:D481)</f>
        <v/>
      </c>
    </row>
    <row r="490">
      <c r="A490" s="52" t="inlineStr">
        <is>
          <t>TOTAL DIRECT COSTS  (A+B+C+D)</t>
        </is>
      </c>
      <c r="B490" s="369" t="n"/>
      <c r="C490" s="230" t="n"/>
      <c r="D490" s="360">
        <f>SUM(D460:D487)</f>
        <v/>
      </c>
    </row>
    <row r="491">
      <c r="A491" s="180" t="n"/>
      <c r="B491" s="372" t="n"/>
      <c r="C491" s="176" t="n"/>
      <c r="D491" s="373" t="n"/>
    </row>
    <row r="492">
      <c r="A492" s="29" t="inlineStr">
        <is>
          <t>E. INDIRECT COSTS (25% * (A+C))</t>
        </is>
      </c>
      <c r="B492" s="358" t="n"/>
      <c r="C492" s="110" t="n"/>
      <c r="D492" s="360">
        <f>D489*0.25</f>
        <v/>
      </c>
    </row>
    <row r="493">
      <c r="A493" s="32" t="n"/>
      <c r="B493" s="372" t="n"/>
      <c r="C493" s="176" t="n"/>
      <c r="D493" s="377" t="n"/>
    </row>
    <row r="494">
      <c r="A494" s="29" t="inlineStr">
        <is>
          <t>F. TOTAL COSTS (A+B+C+D+E)</t>
        </is>
      </c>
      <c r="B494" s="369" t="n"/>
      <c r="C494" s="230" t="n"/>
      <c r="D494" s="360">
        <f>D490+D492</f>
        <v/>
      </c>
    </row>
    <row r="495">
      <c r="A495" s="182" t="n"/>
      <c r="B495" s="183" t="n"/>
      <c r="C495" s="184" t="n"/>
      <c r="D495" s="183" t="n"/>
    </row>
    <row r="496">
      <c r="A496" s="190" t="n"/>
      <c r="B496" s="185" t="n"/>
      <c r="C496" s="186" t="n"/>
      <c r="D496" s="187" t="n"/>
    </row>
    <row r="497" ht="21" customHeight="1">
      <c r="A497" s="272">
        <f>CONCATENATE("COSTS WORK PACKAGE 13:"," ","Dissemination, exploitation and communication general activity")</f>
        <v/>
      </c>
      <c r="B497" s="314" t="n"/>
      <c r="C497" s="314" t="n"/>
      <c r="D497" s="315" t="n"/>
    </row>
    <row r="498">
      <c r="A498" s="182" t="n"/>
      <c r="B498" s="191" t="n"/>
      <c r="C498" s="192" t="n"/>
      <c r="D498" s="191" t="n"/>
    </row>
    <row r="499">
      <c r="A499" s="29" t="inlineStr">
        <is>
          <t>A. DIRECT PERSONNEL COSTS</t>
        </is>
      </c>
      <c r="B499" s="30" t="n"/>
      <c r="C499" s="110" t="n"/>
      <c r="D499" s="354" t="n"/>
    </row>
    <row r="500">
      <c r="A500" s="28" t="inlineStr">
        <is>
          <t>A.1 Employees (or equivalent)</t>
        </is>
      </c>
      <c r="B500" s="89" t="n"/>
      <c r="C500" s="111" t="n"/>
      <c r="D500" s="355" t="n"/>
    </row>
    <row r="501">
      <c r="A501" s="48" t="inlineStr">
        <is>
          <t>SENIOR SCIENTISTS (or equivalent in the private sector)</t>
        </is>
      </c>
      <c r="B501" s="357" t="n">
        <v>0.5</v>
      </c>
      <c r="C501" s="248" t="n">
        <v>9021</v>
      </c>
      <c r="D501" s="232">
        <f>B501*C501</f>
        <v/>
      </c>
    </row>
    <row r="502">
      <c r="A502" s="48" t="inlineStr">
        <is>
          <t>JUNIOR SCIENTISTS (or equivalent in the private sector)</t>
        </is>
      </c>
      <c r="B502" s="357" t="n"/>
      <c r="C502" s="248" t="n"/>
      <c r="D502" s="232">
        <f>B502*C502</f>
        <v/>
      </c>
    </row>
    <row r="503">
      <c r="A503" s="48" t="inlineStr">
        <is>
          <t>TECHNICAL PERSONNEL (or equivalent in the private sector)</t>
        </is>
      </c>
      <c r="B503" s="357" t="n"/>
      <c r="C503" s="248" t="n"/>
      <c r="D503" s="232">
        <f>B503*C503</f>
        <v/>
      </c>
    </row>
    <row r="504">
      <c r="A504" s="48" t="inlineStr">
        <is>
          <t>ADMINISTRATIVE PERSONNEL (or equivalent in the private sector)</t>
        </is>
      </c>
      <c r="B504" s="357" t="n"/>
      <c r="C504" s="248" t="n"/>
      <c r="D504" s="232">
        <f>B504*C504</f>
        <v/>
      </c>
    </row>
    <row r="505">
      <c r="A505" s="48" t="inlineStr">
        <is>
          <t>OTHERS</t>
        </is>
      </c>
      <c r="B505" s="357" t="n"/>
      <c r="C505" s="248" t="n"/>
      <c r="D505" s="232">
        <f>B505*C505</f>
        <v/>
      </c>
    </row>
    <row r="506">
      <c r="A506" s="28" t="inlineStr">
        <is>
          <t>A.2 Natural Persons under direct contract</t>
        </is>
      </c>
      <c r="B506" s="357" t="n"/>
      <c r="C506" s="248" t="n"/>
      <c r="D506" s="232">
        <f>B506*C506</f>
        <v/>
      </c>
    </row>
    <row r="507">
      <c r="A507" s="28" t="inlineStr">
        <is>
          <t>A.3 Seconded Persons</t>
        </is>
      </c>
      <c r="B507" s="357" t="n"/>
      <c r="C507" s="248" t="n"/>
      <c r="D507" s="232">
        <f>B507*C507</f>
        <v/>
      </c>
    </row>
    <row r="508">
      <c r="A508" s="28" t="inlineStr">
        <is>
          <t>A.4 SME owners and natural person beneficiaries</t>
        </is>
      </c>
      <c r="B508" s="357" t="n"/>
      <c r="C508" s="256" t="n">
        <v>11858.7624</v>
      </c>
      <c r="D508" s="232">
        <f>B508*C508</f>
        <v/>
      </c>
    </row>
    <row r="509">
      <c r="A509" s="29" t="inlineStr">
        <is>
          <t>B. DIRECT SUBCONTRACTING COSTS</t>
        </is>
      </c>
      <c r="B509" s="358" t="n"/>
      <c r="C509" s="110" t="n"/>
      <c r="D509" s="359" t="n"/>
    </row>
    <row r="510">
      <c r="A510" s="53" t="n"/>
      <c r="B510" s="357" t="n"/>
      <c r="C510" s="248" t="n"/>
      <c r="D510" s="361">
        <f>B510*C510</f>
        <v/>
      </c>
    </row>
    <row r="511">
      <c r="A511" s="29" t="inlineStr">
        <is>
          <t>C. DIRECT PURCHASE COSTS</t>
        </is>
      </c>
      <c r="B511" s="358" t="n"/>
      <c r="C511" s="110" t="n"/>
      <c r="D511" s="359" t="n"/>
    </row>
    <row r="512">
      <c r="A512" s="28" t="inlineStr">
        <is>
          <t>C.1 Travel and subsistence</t>
        </is>
      </c>
      <c r="B512" s="357" t="n"/>
      <c r="C512" s="248" t="n"/>
      <c r="D512" s="361">
        <f>B512*C512</f>
        <v/>
      </c>
    </row>
    <row r="513">
      <c r="A513" s="28" t="inlineStr">
        <is>
          <t>C.2 Equipment (complete 'Depreciation costs' sheet)</t>
        </is>
      </c>
      <c r="B513" s="346" t="n"/>
      <c r="C513" s="111" t="n"/>
      <c r="D513" s="364" t="n"/>
    </row>
    <row r="514">
      <c r="A514" s="49" t="inlineStr">
        <is>
          <t>Equipment</t>
        </is>
      </c>
      <c r="B514" s="357" t="n"/>
      <c r="C514" s="248" t="n"/>
      <c r="D514" s="361">
        <f>B514*C514</f>
        <v/>
      </c>
    </row>
    <row r="515">
      <c r="A515" s="49" t="inlineStr">
        <is>
          <t>Infrastructure</t>
        </is>
      </c>
      <c r="B515" s="357" t="n"/>
      <c r="C515" s="248" t="n"/>
      <c r="D515" s="361">
        <f>B515*C515</f>
        <v/>
      </c>
    </row>
    <row r="516">
      <c r="A516" s="49" t="inlineStr">
        <is>
          <t>Other assets</t>
        </is>
      </c>
      <c r="B516" s="357" t="n"/>
      <c r="C516" s="248" t="n"/>
      <c r="D516" s="361">
        <f>B516*C516</f>
        <v/>
      </c>
    </row>
    <row r="517">
      <c r="A517" s="28" t="inlineStr">
        <is>
          <t>C.3 Other goods, works and services</t>
        </is>
      </c>
      <c r="B517" s="346" t="n"/>
      <c r="C517" s="111" t="n"/>
      <c r="D517" s="364" t="n"/>
    </row>
    <row r="518">
      <c r="A518" s="49" t="inlineStr">
        <is>
          <t>Consumables</t>
        </is>
      </c>
      <c r="B518" s="357" t="n"/>
      <c r="C518" s="248" t="n"/>
      <c r="D518" s="361">
        <f>B518*C518</f>
        <v/>
      </c>
    </row>
    <row r="519">
      <c r="A519" s="49" t="inlineStr">
        <is>
          <t>Services for meetings, seminars</t>
        </is>
      </c>
      <c r="B519" s="357" t="n"/>
      <c r="C519" s="248" t="n"/>
      <c r="D519" s="361">
        <f>B519*C519</f>
        <v/>
      </c>
    </row>
    <row r="520">
      <c r="A520" s="49" t="inlineStr">
        <is>
          <t>Services for dissemination activities (including website)</t>
        </is>
      </c>
      <c r="B520" s="357" t="n"/>
      <c r="C520" s="248" t="n"/>
      <c r="D520" s="361">
        <f>B520*C520</f>
        <v/>
      </c>
    </row>
    <row r="521">
      <c r="A521" s="49" t="inlineStr">
        <is>
          <t>Publication fees</t>
        </is>
      </c>
      <c r="B521" s="357" t="n"/>
      <c r="C521" s="248" t="n"/>
      <c r="D521" s="361">
        <f>B521*C521</f>
        <v/>
      </c>
    </row>
    <row r="522">
      <c r="A522" s="49" t="inlineStr">
        <is>
          <t>Other (shipment, insurance, translation, etc.)</t>
        </is>
      </c>
      <c r="B522" s="357" t="n"/>
      <c r="C522" s="248" t="n"/>
      <c r="D522" s="361">
        <f>B522*C522</f>
        <v/>
      </c>
    </row>
    <row r="523">
      <c r="A523" s="29" t="inlineStr">
        <is>
          <t>D. OTHER COST CATEGORIES</t>
        </is>
      </c>
      <c r="B523" s="358" t="n"/>
      <c r="C523" s="110" t="n"/>
      <c r="D523" s="359" t="n"/>
    </row>
    <row r="524">
      <c r="A524" s="50" t="inlineStr">
        <is>
          <t>D.1 Financial support to third parties (if applicable in the topic specific conditions)</t>
        </is>
      </c>
      <c r="B524" s="357" t="n"/>
      <c r="C524" s="248" t="n"/>
      <c r="D524" s="361">
        <f>B524*C524</f>
        <v/>
      </c>
    </row>
    <row r="525">
      <c r="A525" s="50" t="inlineStr">
        <is>
          <t>D.2 Internally invoiced goods and services</t>
        </is>
      </c>
      <c r="B525" s="357" t="n"/>
      <c r="C525" s="248" t="n"/>
      <c r="D525" s="361">
        <f>B525*C525</f>
        <v/>
      </c>
    </row>
    <row r="526">
      <c r="A526" s="50" t="inlineStr">
        <is>
          <t>D.3 Transnational access to research infrastructure unit costs (if mentioned as eligible in the topic specific conditions)</t>
        </is>
      </c>
      <c r="B526" s="357" t="n"/>
      <c r="C526" s="248" t="n"/>
      <c r="D526" s="361">
        <f>B526*C526</f>
        <v/>
      </c>
    </row>
    <row r="527">
      <c r="A527" s="50" t="inlineStr">
        <is>
          <t>D.4 Virtual access to research infrastructure unit costs (if mentioned as eligible in the topic specific conditions)</t>
        </is>
      </c>
      <c r="B527" s="357" t="n"/>
      <c r="C527" s="248" t="n"/>
      <c r="D527" s="361">
        <f>B527*C527</f>
        <v/>
      </c>
    </row>
    <row r="528">
      <c r="A528" s="50" t="inlineStr">
        <is>
          <t>D.5 PCP/PPI procurement costs (if mentioned as eligible in the topic specific conditions)</t>
        </is>
      </c>
      <c r="B528" s="357" t="n"/>
      <c r="C528" s="248" t="n"/>
      <c r="D528" s="361">
        <f>B528*C528</f>
        <v/>
      </c>
    </row>
    <row r="529">
      <c r="A529" s="50" t="n"/>
      <c r="B529" s="346" t="n"/>
      <c r="C529" s="111" t="n"/>
      <c r="D529" s="365" t="n"/>
    </row>
    <row r="530">
      <c r="A530" s="52" t="inlineStr">
        <is>
          <t>TOTAL DIRECT PERSONNEL COSTS AND PURCHASE COSTS (A+C)</t>
        </is>
      </c>
      <c r="B530" s="369" t="n"/>
      <c r="C530" s="230" t="n"/>
      <c r="D530" s="360">
        <f>SUM(D501:D508,D512:D522)</f>
        <v/>
      </c>
    </row>
    <row r="531">
      <c r="A531" s="52" t="inlineStr">
        <is>
          <t>TOTAL DIRECT COSTS  (A+B+C+D)</t>
        </is>
      </c>
      <c r="B531" s="369" t="n"/>
      <c r="C531" s="230" t="n"/>
      <c r="D531" s="360">
        <f>SUM(D501:D528)</f>
        <v/>
      </c>
    </row>
    <row r="532">
      <c r="A532" s="180" t="n"/>
      <c r="B532" s="372" t="n"/>
      <c r="C532" s="176" t="n"/>
      <c r="D532" s="373" t="n"/>
    </row>
    <row r="533">
      <c r="A533" s="29" t="inlineStr">
        <is>
          <t>E. INDIRECT COSTS (25% * (A+C))</t>
        </is>
      </c>
      <c r="B533" s="358" t="n"/>
      <c r="C533" s="110" t="n"/>
      <c r="D533" s="360">
        <f>D530*0.25</f>
        <v/>
      </c>
    </row>
    <row r="534">
      <c r="A534" s="32" t="n"/>
      <c r="B534" s="372" t="n"/>
      <c r="C534" s="176" t="n"/>
      <c r="D534" s="377" t="n"/>
    </row>
    <row r="535">
      <c r="A535" s="29" t="inlineStr">
        <is>
          <t>F. TOTAL COSTS (A+B+C+D+E)</t>
        </is>
      </c>
      <c r="B535" s="369" t="n"/>
      <c r="C535" s="230" t="n"/>
      <c r="D535" s="360">
        <f>D531+D533</f>
        <v/>
      </c>
    </row>
    <row r="536">
      <c r="A536" s="182" t="n"/>
      <c r="B536" s="183" t="n"/>
      <c r="C536" s="184" t="n"/>
      <c r="D536" s="183" t="n"/>
    </row>
    <row r="537">
      <c r="A537" s="190" t="n"/>
      <c r="B537" s="185" t="n"/>
      <c r="C537" s="186" t="n"/>
      <c r="D537" s="187" t="n"/>
    </row>
    <row r="538" ht="21" customHeight="1">
      <c r="A538" s="272">
        <f>CONCATENATE("COSTS WORK PACKAGE 14:"," ","Key Exploitable Results (KER) Strategy and related Plans towards future exploitation and full-scale deployment")</f>
        <v/>
      </c>
      <c r="B538" s="314" t="n"/>
      <c r="C538" s="314" t="n"/>
      <c r="D538" s="315" t="n"/>
    </row>
    <row r="539">
      <c r="A539" s="182" t="n"/>
      <c r="B539" s="191" t="n"/>
      <c r="C539" s="192" t="n"/>
      <c r="D539" s="191" t="n"/>
    </row>
    <row r="540">
      <c r="A540" s="29" t="inlineStr">
        <is>
          <t>A. DIRECT PERSONNEL COSTS</t>
        </is>
      </c>
      <c r="B540" s="30" t="n"/>
      <c r="C540" s="110" t="n"/>
      <c r="D540" s="354" t="n"/>
    </row>
    <row r="541">
      <c r="A541" s="28" t="inlineStr">
        <is>
          <t>A.1 Employees (or equivalent)</t>
        </is>
      </c>
      <c r="B541" s="89" t="n"/>
      <c r="C541" s="111" t="n"/>
      <c r="D541" s="355" t="n"/>
    </row>
    <row r="542">
      <c r="A542" s="48" t="inlineStr">
        <is>
          <t>SENIOR SCIENTISTS (or equivalent in the private sector)</t>
        </is>
      </c>
      <c r="B542" s="357" t="n">
        <v>0.5</v>
      </c>
      <c r="C542" s="248" t="n">
        <v>9021</v>
      </c>
      <c r="D542" s="232">
        <f>B542*C542</f>
        <v/>
      </c>
    </row>
    <row r="543">
      <c r="A543" s="48" t="inlineStr">
        <is>
          <t>JUNIOR SCIENTISTS (or equivalent in the private sector)</t>
        </is>
      </c>
      <c r="B543" s="357" t="n"/>
      <c r="C543" s="248" t="n"/>
      <c r="D543" s="232">
        <f>B543*C543</f>
        <v/>
      </c>
    </row>
    <row r="544">
      <c r="A544" s="48" t="inlineStr">
        <is>
          <t>TECHNICAL PERSONNEL (or equivalent in the private sector)</t>
        </is>
      </c>
      <c r="B544" s="357" t="n"/>
      <c r="C544" s="248" t="n"/>
      <c r="D544" s="232">
        <f>B544*C544</f>
        <v/>
      </c>
    </row>
    <row r="545">
      <c r="A545" s="48" t="inlineStr">
        <is>
          <t>ADMINISTRATIVE PERSONNEL (or equivalent in the private sector)</t>
        </is>
      </c>
      <c r="B545" s="357" t="n"/>
      <c r="C545" s="248" t="n"/>
      <c r="D545" s="232">
        <f>B545*C545</f>
        <v/>
      </c>
    </row>
    <row r="546">
      <c r="A546" s="48" t="inlineStr">
        <is>
          <t>OTHERS</t>
        </is>
      </c>
      <c r="B546" s="357" t="n"/>
      <c r="C546" s="248" t="n"/>
      <c r="D546" s="232">
        <f>B546*C546</f>
        <v/>
      </c>
    </row>
    <row r="547">
      <c r="A547" s="28" t="inlineStr">
        <is>
          <t>A.2 Natural Persons under direct contract</t>
        </is>
      </c>
      <c r="B547" s="357" t="n"/>
      <c r="C547" s="248" t="n"/>
      <c r="D547" s="232">
        <f>B547*C547</f>
        <v/>
      </c>
    </row>
    <row r="548">
      <c r="A548" s="28" t="inlineStr">
        <is>
          <t>A.3 Seconded Persons</t>
        </is>
      </c>
      <c r="B548" s="357" t="n"/>
      <c r="C548" s="248" t="n"/>
      <c r="D548" s="232">
        <f>B548*C548</f>
        <v/>
      </c>
    </row>
    <row r="549">
      <c r="A549" s="28" t="inlineStr">
        <is>
          <t>A.4 SME owners and natural person beneficiaries</t>
        </is>
      </c>
      <c r="B549" s="357" t="n"/>
      <c r="C549" s="256" t="n">
        <v>11858.7624</v>
      </c>
      <c r="D549" s="232">
        <f>B549*C549</f>
        <v/>
      </c>
    </row>
    <row r="550">
      <c r="A550" s="29" t="inlineStr">
        <is>
          <t>B. DIRECT SUBCONTRACTING COSTS</t>
        </is>
      </c>
      <c r="B550" s="358" t="n"/>
      <c r="C550" s="110" t="n"/>
      <c r="D550" s="359" t="n"/>
    </row>
    <row r="551">
      <c r="A551" s="53" t="n"/>
      <c r="B551" s="357" t="n"/>
      <c r="C551" s="248" t="n"/>
      <c r="D551" s="361">
        <f>B551*C551</f>
        <v/>
      </c>
    </row>
    <row r="552">
      <c r="A552" s="29" t="inlineStr">
        <is>
          <t>C. DIRECT PURCHASE COSTS</t>
        </is>
      </c>
      <c r="B552" s="358" t="n"/>
      <c r="C552" s="110" t="n"/>
      <c r="D552" s="359" t="n"/>
    </row>
    <row r="553">
      <c r="A553" s="28" t="inlineStr">
        <is>
          <t>C.1 Travel and subsistence</t>
        </is>
      </c>
      <c r="B553" s="357" t="n"/>
      <c r="C553" s="248" t="n"/>
      <c r="D553" s="361">
        <f>B553*C553</f>
        <v/>
      </c>
    </row>
    <row r="554">
      <c r="A554" s="28" t="inlineStr">
        <is>
          <t>C.2 Equipment (complete 'Depreciation costs' sheet)</t>
        </is>
      </c>
      <c r="B554" s="346" t="n"/>
      <c r="C554" s="111" t="n"/>
      <c r="D554" s="364" t="n"/>
    </row>
    <row r="555">
      <c r="A555" s="49" t="inlineStr">
        <is>
          <t>Equipment</t>
        </is>
      </c>
      <c r="B555" s="357" t="n"/>
      <c r="C555" s="248" t="n"/>
      <c r="D555" s="361">
        <f>B555*C555</f>
        <v/>
      </c>
    </row>
    <row r="556">
      <c r="A556" s="49" t="inlineStr">
        <is>
          <t>Infrastructure</t>
        </is>
      </c>
      <c r="B556" s="357" t="n"/>
      <c r="C556" s="248" t="n"/>
      <c r="D556" s="361">
        <f>B556*C556</f>
        <v/>
      </c>
    </row>
    <row r="557">
      <c r="A557" s="49" t="inlineStr">
        <is>
          <t>Other assets</t>
        </is>
      </c>
      <c r="B557" s="357" t="n"/>
      <c r="C557" s="248" t="n"/>
      <c r="D557" s="361">
        <f>B557*C557</f>
        <v/>
      </c>
    </row>
    <row r="558">
      <c r="A558" s="28" t="inlineStr">
        <is>
          <t>C.3 Other goods, works and services</t>
        </is>
      </c>
      <c r="B558" s="346" t="n"/>
      <c r="C558" s="111" t="n"/>
      <c r="D558" s="364" t="n"/>
    </row>
    <row r="559">
      <c r="A559" s="49" t="inlineStr">
        <is>
          <t>Consumables</t>
        </is>
      </c>
      <c r="B559" s="357" t="n"/>
      <c r="C559" s="248" t="n"/>
      <c r="D559" s="361">
        <f>B559*C559</f>
        <v/>
      </c>
    </row>
    <row r="560">
      <c r="A560" s="49" t="inlineStr">
        <is>
          <t>Services for meetings, seminars</t>
        </is>
      </c>
      <c r="B560" s="357" t="n"/>
      <c r="C560" s="248" t="n"/>
      <c r="D560" s="361">
        <f>B560*C560</f>
        <v/>
      </c>
    </row>
    <row r="561">
      <c r="A561" s="49" t="inlineStr">
        <is>
          <t>Services for dissemination activities (including website)</t>
        </is>
      </c>
      <c r="B561" s="357" t="n"/>
      <c r="C561" s="248" t="n"/>
      <c r="D561" s="361">
        <f>B561*C561</f>
        <v/>
      </c>
    </row>
    <row r="562">
      <c r="A562" s="49" t="inlineStr">
        <is>
          <t>Publication fees</t>
        </is>
      </c>
      <c r="B562" s="357" t="n"/>
      <c r="C562" s="248" t="n"/>
      <c r="D562" s="361">
        <f>B562*C562</f>
        <v/>
      </c>
    </row>
    <row r="563">
      <c r="A563" s="49" t="inlineStr">
        <is>
          <t>Other (shipment, insurance, translation, etc.)</t>
        </is>
      </c>
      <c r="B563" s="357" t="n"/>
      <c r="C563" s="248" t="n"/>
      <c r="D563" s="361">
        <f>B563*C563</f>
        <v/>
      </c>
    </row>
    <row r="564">
      <c r="A564" s="29" t="inlineStr">
        <is>
          <t>D. OTHER COST CATEGORIES</t>
        </is>
      </c>
      <c r="B564" s="358" t="n"/>
      <c r="C564" s="110" t="n"/>
      <c r="D564" s="359" t="n"/>
    </row>
    <row r="565">
      <c r="A565" s="50" t="inlineStr">
        <is>
          <t>D.1 Financial support to third parties (if applicable in the topic specific conditions)</t>
        </is>
      </c>
      <c r="B565" s="357" t="n"/>
      <c r="C565" s="248" t="n"/>
      <c r="D565" s="361">
        <f>B565*C565</f>
        <v/>
      </c>
    </row>
    <row r="566">
      <c r="A566" s="50" t="inlineStr">
        <is>
          <t>D.2 Internally invoiced goods and services</t>
        </is>
      </c>
      <c r="B566" s="357" t="n"/>
      <c r="C566" s="248" t="n"/>
      <c r="D566" s="361">
        <f>B566*C566</f>
        <v/>
      </c>
    </row>
    <row r="567">
      <c r="A567" s="50" t="inlineStr">
        <is>
          <t>D.3 Transnational access to research infrastructure unit costs (if mentioned as eligible in the topic specific conditions)</t>
        </is>
      </c>
      <c r="B567" s="357" t="n"/>
      <c r="C567" s="248" t="n"/>
      <c r="D567" s="361">
        <f>B567*C567</f>
        <v/>
      </c>
    </row>
    <row r="568">
      <c r="A568" s="50" t="inlineStr">
        <is>
          <t>D.4 Virtual access to research infrastructure unit costs (if mentioned as eligible in the topic specific conditions)</t>
        </is>
      </c>
      <c r="B568" s="357" t="n"/>
      <c r="C568" s="248" t="n"/>
      <c r="D568" s="361">
        <f>B568*C568</f>
        <v/>
      </c>
    </row>
    <row r="569">
      <c r="A569" s="50" t="inlineStr">
        <is>
          <t>D.5 PCP/PPI procurement costs (if mentioned as eligible in the topic specific conditions)</t>
        </is>
      </c>
      <c r="B569" s="357" t="n"/>
      <c r="C569" s="248" t="n"/>
      <c r="D569" s="361">
        <f>B569*C569</f>
        <v/>
      </c>
    </row>
    <row r="570">
      <c r="A570" s="50" t="n"/>
      <c r="B570" s="346" t="n"/>
      <c r="C570" s="111" t="n"/>
      <c r="D570" s="365" t="n"/>
    </row>
    <row r="571">
      <c r="A571" s="52" t="inlineStr">
        <is>
          <t>TOTAL DIRECT PERSONNEL COSTS AND PURCHASE COSTS (A+C)</t>
        </is>
      </c>
      <c r="B571" s="369" t="n"/>
      <c r="C571" s="230" t="n"/>
      <c r="D571" s="360">
        <f>SUM(D542:D549,D553:D563)</f>
        <v/>
      </c>
    </row>
    <row r="572">
      <c r="A572" s="52" t="inlineStr">
        <is>
          <t>TOTAL DIRECT COSTS  (A+B+C+D)</t>
        </is>
      </c>
      <c r="B572" s="369" t="n"/>
      <c r="C572" s="230" t="n"/>
      <c r="D572" s="360">
        <f>SUM(D542:D569)</f>
        <v/>
      </c>
    </row>
    <row r="573">
      <c r="A573" s="180" t="n"/>
      <c r="B573" s="372" t="n"/>
      <c r="C573" s="176" t="n"/>
      <c r="D573" s="373" t="n"/>
    </row>
    <row r="574">
      <c r="A574" s="29" t="inlineStr">
        <is>
          <t>E. INDIRECT COSTS (25% * (A+C))</t>
        </is>
      </c>
      <c r="B574" s="358" t="n"/>
      <c r="C574" s="110" t="n"/>
      <c r="D574" s="360">
        <f>D571*0.25</f>
        <v/>
      </c>
    </row>
    <row r="575">
      <c r="A575" s="32" t="n"/>
      <c r="B575" s="372" t="n"/>
      <c r="C575" s="176" t="n"/>
      <c r="D575" s="377" t="n"/>
    </row>
    <row r="576">
      <c r="A576" s="29" t="inlineStr">
        <is>
          <t>F. TOTAL COSTS (A+B+C+D+E)</t>
        </is>
      </c>
      <c r="B576" s="369" t="n"/>
      <c r="C576" s="230" t="n"/>
      <c r="D576" s="360">
        <f>D572+D574</f>
        <v/>
      </c>
    </row>
    <row r="578">
      <c r="A578" s="190" t="n"/>
      <c r="B578" s="185" t="n"/>
      <c r="C578" s="186" t="n"/>
      <c r="D578" s="187" t="n"/>
    </row>
    <row r="579" ht="21" customHeight="1">
      <c r="A579" s="272" t="inlineStr">
        <is>
          <t>SUMMARY</t>
        </is>
      </c>
      <c r="B579" s="314" t="n"/>
      <c r="C579" s="314" t="n"/>
      <c r="D579" s="315" t="n"/>
    </row>
    <row r="580">
      <c r="A580" s="56" t="n"/>
      <c r="B580" s="174" t="n"/>
      <c r="C580" s="175" t="n"/>
      <c r="D580" s="174" t="n"/>
    </row>
    <row r="581">
      <c r="A581" s="29" t="inlineStr">
        <is>
          <t>A. DIRECT PERSONNEL COSTS</t>
        </is>
      </c>
      <c r="B581" s="30" t="n"/>
      <c r="C581" s="110" t="n"/>
      <c r="D581" s="354" t="n"/>
    </row>
    <row r="582">
      <c r="A582" s="28" t="inlineStr">
        <is>
          <t>A.1 Employees (or equivalent)</t>
        </is>
      </c>
      <c r="B582" s="89" t="n"/>
      <c r="C582" s="111" t="n"/>
      <c r="D582" s="355" t="n"/>
    </row>
    <row r="583">
      <c r="A583" s="48" t="inlineStr">
        <is>
          <t>SENIOR SCIENTISTS (or equivalent in the private sector)</t>
        </is>
      </c>
      <c r="B583" s="378">
        <f>B9+B50+B91+B132+B173+B214+B255+B296+B337+B378+B419+B460+B501+B542</f>
        <v/>
      </c>
      <c r="C583" s="249">
        <f>IF(B583&gt;0,D583/B583," ")</f>
        <v/>
      </c>
      <c r="D583" s="361">
        <f>D9+D50+D91+D132+D173+D214+D255+D296+D337+D378+D419+D460+D501+D542</f>
        <v/>
      </c>
    </row>
    <row r="584">
      <c r="A584" s="48" t="inlineStr">
        <is>
          <t>JUNIOR SCIENTISTS (or equivalent in the private sector)</t>
        </is>
      </c>
      <c r="B584" s="378">
        <f>B10+B51+B92+B133+B174+B215+B256+B297+B338+B379+B420+B461+B502+B543</f>
        <v/>
      </c>
      <c r="C584" s="249">
        <f>IF(B584&gt;0,D584/B584," ")</f>
        <v/>
      </c>
      <c r="D584" s="361">
        <f>D10+D51+D92+D133+D174+D215+D256+D297+D338+D379+D420+D461+D502+D543</f>
        <v/>
      </c>
    </row>
    <row r="585">
      <c r="A585" s="48" t="inlineStr">
        <is>
          <t>TECHNICAL PERSONNEL (or equivalent in the private sector)</t>
        </is>
      </c>
      <c r="B585" s="378">
        <f>B11+B52+B93+B134+B175+B216+B257+B298+B339+B380+B421+B462+B503+B544</f>
        <v/>
      </c>
      <c r="C585" s="249">
        <f>IF(B585&gt;0,D585/B585," ")</f>
        <v/>
      </c>
      <c r="D585" s="361">
        <f>D11+D52+D93+D134+D175+D216+D257+D298+D339+D380+D421+D462+D503+D544</f>
        <v/>
      </c>
    </row>
    <row r="586">
      <c r="A586" s="48" t="inlineStr">
        <is>
          <t>ADMINISTRATIVE PERSONNEL (or equivalent in the private sector)</t>
        </is>
      </c>
      <c r="B586" s="378">
        <f>B12+B53+B94+B135+B176+B217+B258+B299+B340+B381+B422+B463+B504+B545</f>
        <v/>
      </c>
      <c r="C586" s="249">
        <f>IF(B586&gt;0,D586/B586," ")</f>
        <v/>
      </c>
      <c r="D586" s="361">
        <f>D12+D53+D94+D135+D176+D217+D258+D299+D340+D381+D422+D463+D504+D545</f>
        <v/>
      </c>
    </row>
    <row r="587">
      <c r="A587" s="48" t="inlineStr">
        <is>
          <t>OTHERS</t>
        </is>
      </c>
      <c r="B587" s="378">
        <f>B13+B54+B95+B136+B177+B218+B259+B300+B341+B382+B423+B464+B505+B546</f>
        <v/>
      </c>
      <c r="C587" s="249">
        <f>IF(B587&gt;0,D587/B587," ")</f>
        <v/>
      </c>
      <c r="D587" s="361">
        <f>D13+D54+D95+D136+D177+D218+D259+D300+D341+D382+D423+D464+D505+D546</f>
        <v/>
      </c>
    </row>
    <row r="588">
      <c r="A588" s="28" t="inlineStr">
        <is>
          <t>A.2 Natural Persons under direct contract</t>
        </is>
      </c>
      <c r="B588" s="378">
        <f>B14+B55+B96+B137+B178+B219+B260+B301+B342+B383+B424+B465+B506+B547</f>
        <v/>
      </c>
      <c r="C588" s="249">
        <f>IF(B588&gt;0,D588/B588," ")</f>
        <v/>
      </c>
      <c r="D588" s="361">
        <f>D14+D55+D96+D137+D178+D219+D260+D301+D342+D383+D424+D465+D506+D547</f>
        <v/>
      </c>
    </row>
    <row r="589">
      <c r="A589" s="28" t="inlineStr">
        <is>
          <t>A.3 Seconded Persons</t>
        </is>
      </c>
      <c r="B589" s="378">
        <f>B15+B56+B97+B138+B179+B220+B261+B302+B343+B384+B425+B466+B507+B548</f>
        <v/>
      </c>
      <c r="C589" s="249">
        <f>IF(B589&gt;0,D589/B589," ")</f>
        <v/>
      </c>
      <c r="D589" s="361">
        <f>D15+D56+D97+D138+D179+D220+D261+D302+D343+D384+D425+D466+D507+D548</f>
        <v/>
      </c>
    </row>
    <row r="590">
      <c r="A590" s="28" t="inlineStr">
        <is>
          <t>A.4 SME owners and natural person beneficiaries</t>
        </is>
      </c>
      <c r="B590" s="378">
        <f>B16+B57+B98+B139+B180+B221+B262+B303+B344+B385+B426+B467+B508+B549</f>
        <v/>
      </c>
      <c r="C590" s="249">
        <f>IF(B590&gt;0,D590/B590," ")</f>
        <v/>
      </c>
      <c r="D590" s="361">
        <f>D16+D57+D98+D139+D180+D221+D262+D303+D344+D385+D426+D467+D508+D549</f>
        <v/>
      </c>
    </row>
    <row r="591">
      <c r="A591" s="29" t="inlineStr">
        <is>
          <t>B. DIRECT SUBCONTRACTING COSTS</t>
        </is>
      </c>
      <c r="B591" s="380" t="n"/>
      <c r="C591" s="250" t="n"/>
      <c r="D591" s="359" t="n"/>
    </row>
    <row r="592">
      <c r="A592" s="28" t="n"/>
      <c r="B592" s="378">
        <f>B18+B59+B100+B141+B182+B223+B264+B305+B346+B387+B428+B469+B510+B551</f>
        <v/>
      </c>
      <c r="C592" s="249">
        <f>IF(B592&gt;0,D592/B592," ")</f>
        <v/>
      </c>
      <c r="D592" s="361">
        <f>D18+D59+D100+D141+D182+D223+D264+D305+D346+D387+D428+D469+D510+D551</f>
        <v/>
      </c>
    </row>
    <row r="593">
      <c r="A593" s="29" t="inlineStr">
        <is>
          <t>C. DIRECT PURCHASE COSTS</t>
        </is>
      </c>
      <c r="B593" s="380" t="n"/>
      <c r="C593" s="250" t="n"/>
      <c r="D593" s="359" t="n"/>
    </row>
    <row r="594">
      <c r="A594" s="28" t="inlineStr">
        <is>
          <t>C.1 Travel and subsistence</t>
        </is>
      </c>
      <c r="B594" s="378">
        <f>B20+B61+B102+B143+B184+B225+B266+B307+B348+B389+B430+B471+B512+B553</f>
        <v/>
      </c>
      <c r="C594" s="249">
        <f>IF(B594&gt;0,D594/B594," ")</f>
        <v/>
      </c>
      <c r="D594" s="361">
        <f>D20+D61+D102+D143+D184+D225+D266+D307+D348+D389+D430+D471+D512+D553</f>
        <v/>
      </c>
    </row>
    <row r="595">
      <c r="A595" s="28" t="inlineStr">
        <is>
          <t>C.2 Equipment (complete 'Depreciation costs' sheet)</t>
        </is>
      </c>
      <c r="B595" s="381" t="n"/>
      <c r="C595" s="251" t="n"/>
      <c r="D595" s="364" t="n"/>
    </row>
    <row r="596">
      <c r="A596" s="49" t="inlineStr">
        <is>
          <t>Equipment</t>
        </is>
      </c>
      <c r="B596" s="378">
        <f>B22+B63+B104+B145+B186+B227+B268+B309+B350+B391+B432+B473+B514+B555</f>
        <v/>
      </c>
      <c r="C596" s="249">
        <f>IF(B596&gt;0,D596/B596," ")</f>
        <v/>
      </c>
      <c r="D596" s="361">
        <f>D22+D63+D104+D145+D186+D227+D268+D309+D350+D391+D432+D473+D514+D555</f>
        <v/>
      </c>
    </row>
    <row r="597">
      <c r="A597" s="49" t="inlineStr">
        <is>
          <t>Infrastructure</t>
        </is>
      </c>
      <c r="B597" s="378">
        <f>B23+B64+B105+B146+B187+B228+B269+B310+B351+B392+B433+B474+B515+B556</f>
        <v/>
      </c>
      <c r="C597" s="249">
        <f>IF(B597&gt;0,D597/B597," ")</f>
        <v/>
      </c>
      <c r="D597" s="361">
        <f>D23+D64+D105+D146+D187+D228+D269+D310+D351+D392+D433+D474+D515+D556</f>
        <v/>
      </c>
    </row>
    <row r="598">
      <c r="A598" s="49" t="inlineStr">
        <is>
          <t>Other assets</t>
        </is>
      </c>
      <c r="B598" s="378">
        <f>B24+B65+B106+B147+B188+B229+B270+B311+B352+B393+B434+B475+B516+B557</f>
        <v/>
      </c>
      <c r="C598" s="249">
        <f>IF(B598&gt;0,D598/B598," ")</f>
        <v/>
      </c>
      <c r="D598" s="361">
        <f>D24+D65+D106+D147+D188+D229+D270+D311+D352+D393+D434+D475+D516+D557</f>
        <v/>
      </c>
    </row>
    <row r="599">
      <c r="A599" s="28" t="inlineStr">
        <is>
          <t>C.3 Other goods, works and services</t>
        </is>
      </c>
      <c r="B599" s="381" t="n"/>
      <c r="C599" s="251" t="n"/>
      <c r="D599" s="364" t="n"/>
    </row>
    <row r="600">
      <c r="A600" s="49" t="inlineStr">
        <is>
          <t>Consumables</t>
        </is>
      </c>
      <c r="B600" s="378">
        <f>B26+B67+B108+B149+B190+B231+B272+B313+B354+B395+B436+B477+B518+B559</f>
        <v/>
      </c>
      <c r="C600" s="249">
        <f>IF(B600&gt;0,D600/B600," ")</f>
        <v/>
      </c>
      <c r="D600" s="361">
        <f>D26+D67+D108+D149+D190+D231+D272+D313+D354+D395+D436+D477+D518+D559</f>
        <v/>
      </c>
    </row>
    <row r="601">
      <c r="A601" s="49" t="inlineStr">
        <is>
          <t>Services for meetings, seminars</t>
        </is>
      </c>
      <c r="B601" s="378">
        <f>B27+B68+B109+B150+B191+B232+B273+B314+B355+B396+B437+B478+B519+B560</f>
        <v/>
      </c>
      <c r="C601" s="249">
        <f>IF(B601&gt;0,D601/B601," ")</f>
        <v/>
      </c>
      <c r="D601" s="361">
        <f>D27+D68+D109+D150+D191+D232+D273+D314+D355+D396+D437+D478+D519+D560</f>
        <v/>
      </c>
    </row>
    <row r="602">
      <c r="A602" s="49" t="inlineStr">
        <is>
          <t>Services for dissemination activities (including website)</t>
        </is>
      </c>
      <c r="B602" s="378">
        <f>B28+B69+B110+B151+B192+B233+B274+B315+B356+B397+B438+B479+B520+B561</f>
        <v/>
      </c>
      <c r="C602" s="249">
        <f>IF(B602&gt;0,D602/B602," ")</f>
        <v/>
      </c>
      <c r="D602" s="361">
        <f>D28+D69+D110+D151+D192+D233+D274+D315+D356+D397+D438+D479+D520+D561</f>
        <v/>
      </c>
    </row>
    <row r="603">
      <c r="A603" s="49" t="inlineStr">
        <is>
          <t>Publication fees</t>
        </is>
      </c>
      <c r="B603" s="378">
        <f>B29+B70+B111+B152+B193+B234+B275+B316+B357+B398+B439+B480+B521+B562</f>
        <v/>
      </c>
      <c r="C603" s="249">
        <f>IF(B603&gt;0,D603/B603," ")</f>
        <v/>
      </c>
      <c r="D603" s="361">
        <f>D29+D70+D111+D152+D193+D234+D275+D316+D357+D398+D439+D480+D521+D562</f>
        <v/>
      </c>
    </row>
    <row r="604">
      <c r="A604" s="49" t="inlineStr">
        <is>
          <t>Other (shipment, insurance, translation, etc.)</t>
        </is>
      </c>
      <c r="B604" s="378">
        <f>B30+B71+B112+B153+B194+B235+B276+B317+B358+B399+B440+B481+B522+B563</f>
        <v/>
      </c>
      <c r="C604" s="249">
        <f>IF(B604&gt;0,D604/B604," ")</f>
        <v/>
      </c>
      <c r="D604" s="361">
        <f>D30+D71+D112+D153+D194+D235+D276+D317+D358+D399+D440+D481+D522+D563</f>
        <v/>
      </c>
    </row>
    <row r="605">
      <c r="A605" s="29" t="inlineStr">
        <is>
          <t>D. OTHER COST CATEGORIES</t>
        </is>
      </c>
      <c r="B605" s="380" t="n"/>
      <c r="C605" s="250" t="n"/>
      <c r="D605" s="359" t="n"/>
    </row>
    <row r="606">
      <c r="A606" s="50" t="inlineStr">
        <is>
          <t>D.1 Financial support to third parties (if applicable in the topic specific conditions)</t>
        </is>
      </c>
      <c r="B606" s="378">
        <f>B32+B73+B114+B155+B196+B237+B278+B319+B360+B401+B442+B483+B524+B565</f>
        <v/>
      </c>
      <c r="C606" s="249">
        <f>IF(B606&gt;0,D606/B606," ")</f>
        <v/>
      </c>
      <c r="D606" s="361">
        <f>D32+D73+D114+D155+D196+D237+D278+D319+D360+D401+D442+D483+D524+D565</f>
        <v/>
      </c>
    </row>
    <row r="607">
      <c r="A607" s="50" t="inlineStr">
        <is>
          <t>D.2 Internally invoiced goods and services</t>
        </is>
      </c>
      <c r="B607" s="378">
        <f>B33+B74+B115+B156+B197+B238+B279+B320+B361+B402+B443+B484+B525+B566</f>
        <v/>
      </c>
      <c r="C607" s="249">
        <f>IF(B607&gt;0,D607/B607," ")</f>
        <v/>
      </c>
      <c r="D607" s="361">
        <f>D33+D74+D115+D156+D197+D238+D279+D320+D361+D402+D443+D484+D525+D566</f>
        <v/>
      </c>
    </row>
    <row r="608">
      <c r="A608" s="50" t="inlineStr">
        <is>
          <t>D.3 Transnational access to research infrastructure unit costs (if mentioned as eligible in the topic specific conditions)</t>
        </is>
      </c>
      <c r="B608" s="378">
        <f>B34+B75+B116+B157+B198+B239+B280+B321+B362+B403+B444+B485+B526+B567</f>
        <v/>
      </c>
      <c r="C608" s="249">
        <f>IF(B608&gt;0,D608/B608," ")</f>
        <v/>
      </c>
      <c r="D608" s="361">
        <f>D34+D75+D116+D157+D198+D239+D280+D321+D362+D403+D444+D485+D526+D567</f>
        <v/>
      </c>
    </row>
    <row r="609">
      <c r="A609" s="50" t="inlineStr">
        <is>
          <t>D.4 Virtual access to research infrastructure unit costs (if mentioned as eligible in the topic specific conditions)</t>
        </is>
      </c>
      <c r="B609" s="378">
        <f>B35+B76+B117+B158+B199+B240+B281+B322+B363+B404+B445+B486+B527+B568</f>
        <v/>
      </c>
      <c r="C609" s="249">
        <f>IF(B609&gt;0,D609/B609," ")</f>
        <v/>
      </c>
      <c r="D609" s="361">
        <f>D35+D76+D117+D158+D199+D240+D281+D322+D363+D404+D445+D486+D527+D568</f>
        <v/>
      </c>
    </row>
    <row r="610">
      <c r="A610" s="50" t="inlineStr">
        <is>
          <t>D.5 PCP/PPI procurement costs (if mentioned as eligible in the topic specific conditions)</t>
        </is>
      </c>
      <c r="B610" s="378">
        <f>B36+B77+B118+B159+B200+B241+B282+B323+B364+B405+B446+B487+B528+B569</f>
        <v/>
      </c>
      <c r="C610" s="249">
        <f>IF(B610&gt;0,D610/B610," ")</f>
        <v/>
      </c>
      <c r="D610" s="361">
        <f>D36+D77+D118+D159+D200+D241+D282+D323+D364+D405+D446+D487+D528+D569</f>
        <v/>
      </c>
    </row>
    <row r="611">
      <c r="A611" s="51" t="n"/>
      <c r="B611" s="346" t="n"/>
      <c r="C611" s="111" t="n"/>
      <c r="D611" s="365" t="n"/>
    </row>
    <row r="612">
      <c r="A612" s="52" t="inlineStr">
        <is>
          <t>TOTAL DIRECT PERSONNEL COSTS AND PURCHASE COSTS (A+C)</t>
        </is>
      </c>
      <c r="B612" s="369" t="n"/>
      <c r="C612" s="230" t="n"/>
      <c r="D612" s="382">
        <f>D38+D79+D120+D161+D202+D243+D284+D325+D366+D407+D448+D489+D530+D571</f>
        <v/>
      </c>
    </row>
    <row r="613">
      <c r="A613" s="52" t="inlineStr">
        <is>
          <t>TOTAL DIRECT COSTS  (A+B+C+D)</t>
        </is>
      </c>
      <c r="B613" s="369" t="n"/>
      <c r="C613" s="230" t="n"/>
      <c r="D613" s="382">
        <f>D39+D80+D121+D162+D203+D244+D285+D326+D367+D408+D449+D490+D531+D572</f>
        <v/>
      </c>
    </row>
    <row r="614">
      <c r="A614" s="182" t="n"/>
      <c r="B614" s="383" t="n"/>
      <c r="C614" s="192" t="n"/>
      <c r="D614" s="191" t="n"/>
    </row>
    <row r="615">
      <c r="A615" s="29" t="inlineStr">
        <is>
          <t>E. INDIRECT COSTS (25% * (A+C))</t>
        </is>
      </c>
      <c r="B615" s="369" t="n"/>
      <c r="C615" s="230" t="n"/>
      <c r="D615" s="382">
        <f>D41+D82+D123+D164+D205+D246+D287+D328+D369+D410+D451+D492+D533+D574</f>
        <v/>
      </c>
    </row>
    <row r="616">
      <c r="A616" s="182" t="n"/>
      <c r="B616" s="383" t="n"/>
      <c r="C616" s="192" t="n"/>
      <c r="D616" s="191" t="n"/>
    </row>
    <row r="617">
      <c r="A617" s="29" t="inlineStr">
        <is>
          <t>F. TOTAL COSTS (A+B+C+D+E)</t>
        </is>
      </c>
      <c r="B617" s="369" t="n"/>
      <c r="C617" s="230" t="n"/>
      <c r="D617" s="382">
        <f>D43+D84+D125+D166+D207+D248+D289+D330+D371+D412+D453+D494+D535+D576</f>
        <v/>
      </c>
    </row>
  </sheetData>
  <sheetProtection selectLockedCells="1" selectUnlockedCells="0" algorithmName="SHA-512" sheet="1" objects="1" insertRows="1" insertHyperlinks="1" autoFilter="1" scenarios="1" formatColumns="1" deleteColumns="1" insertColumns="1" pivotTables="1" deleteRows="1" formatCells="1" saltValue="/Mrt7qiW1soK0fcyCJQK7g==" formatRows="1" sort="1" spinCount="100000" hashValue="NgVdm3BkR2yp8ZzOvtVJHAFh59B7qe0Bh8Y43g7SSLKrATnwM4P8fAS2kHIOe4Sq8aMvLDJoqdpzRBPEEmp34g=="/>
  <mergeCells count="16">
    <mergeCell ref="A497:D497"/>
    <mergeCell ref="A5:D5"/>
    <mergeCell ref="A579:D579"/>
    <mergeCell ref="A456:D456"/>
    <mergeCell ref="A333:D333"/>
    <mergeCell ref="A210:D210"/>
    <mergeCell ref="A538:D538"/>
    <mergeCell ref="A87:D87"/>
    <mergeCell ref="A415:D415"/>
    <mergeCell ref="A251:D251"/>
    <mergeCell ref="B2:D2"/>
    <mergeCell ref="A128:D128"/>
    <mergeCell ref="A292:D292"/>
    <mergeCell ref="A169:D169"/>
    <mergeCell ref="A46:D46"/>
    <mergeCell ref="A374:D374"/>
  </mergeCells>
  <hyperlinks>
    <hyperlink ref="C1" location="A617" tooltip="Go to Summary section" display="A617"/>
  </hyperlinks>
  <pageMargins left="0.7" right="0.7" top="0.75" bottom="0.75" header="0.3" footer="0.3"/>
</worksheet>
</file>

<file path=xl/worksheets/sheet21.xml><?xml version="1.0" encoding="utf-8"?>
<worksheet xmlns="http://schemas.openxmlformats.org/spreadsheetml/2006/main">
  <sheetPr>
    <tabColor rgb="FFFF0000"/>
    <outlinePr summaryBelow="1" summaryRight="1"/>
    <pageSetUpPr/>
  </sheetPr>
  <dimension ref="A1:D617"/>
  <sheetViews>
    <sheetView zoomScale="80" zoomScaleNormal="80" workbookViewId="0">
      <pane xSplit="1" ySplit="3" topLeftCell="B582" activePane="bottomRight" state="frozenSplit"/>
      <selection pane="bottomRight" activeCell="A3" sqref="A3"/>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BE5 - BUDGET SHEET</t>
        </is>
      </c>
      <c r="B1" s="33" t="n"/>
      <c r="C1" s="242" t="inlineStr">
        <is>
          <t>View Summary</t>
        </is>
      </c>
      <c r="D1" s="34" t="n"/>
    </row>
    <row r="2" ht="18.6" customHeight="1">
      <c r="A2" s="265" t="inlineStr">
        <is>
          <t>ab077adb-59f5-4b96-8333-4fdf9cc23418</t>
        </is>
      </c>
      <c r="B2" s="273" t="inlineStr">
        <is>
          <t>NORWEGIAN OFFSHORE WIND AS</t>
        </is>
      </c>
      <c r="C2" s="314" t="n"/>
      <c r="D2" s="315" t="n"/>
    </row>
    <row r="3" ht="18.6" customHeight="1">
      <c r="A3" s="263"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272">
        <f>CONCATENATE("COSTS WORK PACKAGE 1:"," ","Project management and coordination")</f>
        <v/>
      </c>
      <c r="B5" s="314" t="n"/>
      <c r="C5" s="314" t="n"/>
      <c r="D5" s="315" t="n"/>
    </row>
    <row r="6">
      <c r="A6" s="182" t="n"/>
      <c r="B6" s="191" t="n"/>
      <c r="C6" s="192" t="n"/>
      <c r="D6" s="191" t="n"/>
    </row>
    <row r="7">
      <c r="A7" s="29" t="inlineStr">
        <is>
          <t>A. DIRECT PERSONNEL COSTS</t>
        </is>
      </c>
      <c r="B7" s="30" t="n"/>
      <c r="C7" s="110" t="n"/>
      <c r="D7" s="354" t="n"/>
    </row>
    <row r="8">
      <c r="A8" s="28" t="inlineStr">
        <is>
          <t>A.1 Employees (or equivalent)</t>
        </is>
      </c>
      <c r="B8" s="89" t="n"/>
      <c r="C8" s="111" t="n"/>
      <c r="D8" s="355" t="n"/>
    </row>
    <row r="9">
      <c r="A9" s="48" t="inlineStr">
        <is>
          <t>SENIOR SCIENTISTS (or equivalent in the private sector)</t>
        </is>
      </c>
      <c r="B9" s="357" t="n"/>
      <c r="C9" s="248" t="n"/>
      <c r="D9" s="232">
        <f>B9*C9</f>
        <v/>
      </c>
    </row>
    <row r="10">
      <c r="A10" s="48" t="inlineStr">
        <is>
          <t>JUNIOR SCIENTISTS (or equivalent in the private sector)</t>
        </is>
      </c>
      <c r="B10" s="357" t="n"/>
      <c r="C10" s="248" t="n"/>
      <c r="D10" s="232">
        <f>B10*C10</f>
        <v/>
      </c>
    </row>
    <row r="11">
      <c r="A11" s="48" t="inlineStr">
        <is>
          <t>TECHNICAL PERSONNEL (or equivalent in the private sector)</t>
        </is>
      </c>
      <c r="B11" s="357" t="n"/>
      <c r="C11" s="248" t="n"/>
      <c r="D11" s="232">
        <f>B11*C11</f>
        <v/>
      </c>
    </row>
    <row r="12">
      <c r="A12" s="48" t="inlineStr">
        <is>
          <t>ADMINISTRATIVE PERSONNEL (or equivalent in the private sector)</t>
        </is>
      </c>
      <c r="B12" s="357" t="n"/>
      <c r="C12" s="248" t="n"/>
      <c r="D12" s="232">
        <f>B12*C12</f>
        <v/>
      </c>
    </row>
    <row r="13">
      <c r="A13" s="48" t="inlineStr">
        <is>
          <t>OTHERS</t>
        </is>
      </c>
      <c r="B13" s="357" t="n">
        <v>2</v>
      </c>
      <c r="C13" s="248" t="n">
        <v>6800</v>
      </c>
      <c r="D13" s="232">
        <f>B13*C13</f>
        <v/>
      </c>
    </row>
    <row r="14">
      <c r="A14" s="28" t="inlineStr">
        <is>
          <t>A.2 Natural Persons under direct contract</t>
        </is>
      </c>
      <c r="B14" s="357" t="n"/>
      <c r="C14" s="248" t="n"/>
      <c r="D14" s="232">
        <f>B14*C14</f>
        <v/>
      </c>
    </row>
    <row r="15">
      <c r="A15" s="28" t="inlineStr">
        <is>
          <t>A.3 Seconded Persons</t>
        </is>
      </c>
      <c r="B15" s="357" t="n"/>
      <c r="C15" s="248" t="n"/>
      <c r="D15" s="232">
        <f>B15*C15</f>
        <v/>
      </c>
    </row>
    <row r="16">
      <c r="A16" s="28" t="inlineStr">
        <is>
          <t>A.4 SME owners and natural person beneficiaries</t>
        </is>
      </c>
      <c r="B16" s="357" t="n"/>
      <c r="C16" s="256" t="n">
        <v>11858.7624</v>
      </c>
      <c r="D16" s="232">
        <f>B16*C16</f>
        <v/>
      </c>
    </row>
    <row r="17">
      <c r="A17" s="29" t="inlineStr">
        <is>
          <t>B. DIRECT SUBCONTRACTING COSTS</t>
        </is>
      </c>
      <c r="B17" s="358" t="n"/>
      <c r="C17" s="110" t="n"/>
      <c r="D17" s="359" t="n"/>
    </row>
    <row r="18">
      <c r="A18" s="53" t="n"/>
      <c r="B18" s="357" t="n"/>
      <c r="C18" s="248" t="n"/>
      <c r="D18" s="361">
        <f>B18*C18</f>
        <v/>
      </c>
    </row>
    <row r="19">
      <c r="A19" s="29" t="inlineStr">
        <is>
          <t>C. DIRECT PURCHASE COSTS</t>
        </is>
      </c>
      <c r="B19" s="358" t="n"/>
      <c r="C19" s="110" t="n"/>
      <c r="D19" s="359" t="n"/>
    </row>
    <row r="20">
      <c r="A20" s="28" t="inlineStr">
        <is>
          <t>C.1 Travel and subsistence</t>
        </is>
      </c>
      <c r="B20" s="357" t="n">
        <v>6</v>
      </c>
      <c r="C20" s="248" t="n">
        <v>1400</v>
      </c>
      <c r="D20" s="361">
        <f>B20*C20</f>
        <v/>
      </c>
    </row>
    <row r="21">
      <c r="A21" s="28" t="inlineStr">
        <is>
          <t>C.2 Equipment (complete 'Depreciation costs' sheet)</t>
        </is>
      </c>
      <c r="B21" s="346" t="n"/>
      <c r="C21" s="111" t="n"/>
      <c r="D21" s="364" t="n"/>
    </row>
    <row r="22">
      <c r="A22" s="49" t="inlineStr">
        <is>
          <t>Equipment</t>
        </is>
      </c>
      <c r="B22" s="357" t="n"/>
      <c r="C22" s="248" t="n"/>
      <c r="D22" s="361">
        <f>B22*C22</f>
        <v/>
      </c>
    </row>
    <row r="23">
      <c r="A23" s="49" t="inlineStr">
        <is>
          <t>Infrastructure</t>
        </is>
      </c>
      <c r="B23" s="357" t="n"/>
      <c r="C23" s="248" t="n"/>
      <c r="D23" s="361">
        <f>B23*C23</f>
        <v/>
      </c>
    </row>
    <row r="24">
      <c r="A24" s="49" t="inlineStr">
        <is>
          <t>Other assets</t>
        </is>
      </c>
      <c r="B24" s="357" t="n"/>
      <c r="C24" s="248" t="n"/>
      <c r="D24" s="361">
        <f>B24*C24</f>
        <v/>
      </c>
    </row>
    <row r="25">
      <c r="A25" s="28" t="inlineStr">
        <is>
          <t>C.3 Other goods, works and services</t>
        </is>
      </c>
      <c r="B25" s="346" t="n"/>
      <c r="C25" s="111" t="n"/>
      <c r="D25" s="364" t="n"/>
    </row>
    <row r="26">
      <c r="A26" s="49" t="inlineStr">
        <is>
          <t>Consumables</t>
        </is>
      </c>
      <c r="B26" s="357" t="n"/>
      <c r="C26" s="248" t="n"/>
      <c r="D26" s="361">
        <f>B26*C26</f>
        <v/>
      </c>
    </row>
    <row r="27">
      <c r="A27" s="49" t="inlineStr">
        <is>
          <t>Services for meetings, seminars</t>
        </is>
      </c>
      <c r="B27" s="357" t="n"/>
      <c r="C27" s="248" t="n"/>
      <c r="D27" s="361">
        <f>B27*C27</f>
        <v/>
      </c>
    </row>
    <row r="28">
      <c r="A28" s="49" t="inlineStr">
        <is>
          <t>Services for dissemination activities (including website)</t>
        </is>
      </c>
      <c r="B28" s="357" t="n"/>
      <c r="C28" s="248" t="n"/>
      <c r="D28" s="361">
        <f>B28*C28</f>
        <v/>
      </c>
    </row>
    <row r="29">
      <c r="A29" s="49" t="inlineStr">
        <is>
          <t>Publication fees</t>
        </is>
      </c>
      <c r="B29" s="357" t="n"/>
      <c r="C29" s="248" t="n"/>
      <c r="D29" s="361">
        <f>B29*C29</f>
        <v/>
      </c>
    </row>
    <row r="30">
      <c r="A30" s="49" t="inlineStr">
        <is>
          <t>Other (shipment, insurance, translation, etc.)</t>
        </is>
      </c>
      <c r="B30" s="357" t="n"/>
      <c r="C30" s="248" t="n"/>
      <c r="D30" s="361">
        <f>B30*C30</f>
        <v/>
      </c>
    </row>
    <row r="31">
      <c r="A31" s="29" t="inlineStr">
        <is>
          <t>D. OTHER COST CATEGORIES</t>
        </is>
      </c>
      <c r="B31" s="358" t="n"/>
      <c r="C31" s="110" t="n"/>
      <c r="D31" s="359" t="n"/>
    </row>
    <row r="32">
      <c r="A32" s="50" t="inlineStr">
        <is>
          <t>D.1 Financial support to third parties (if applicable in the topic specific conditions)</t>
        </is>
      </c>
      <c r="B32" s="357" t="n"/>
      <c r="C32" s="248" t="n"/>
      <c r="D32" s="361">
        <f>B32*C32</f>
        <v/>
      </c>
    </row>
    <row r="33">
      <c r="A33" s="50" t="inlineStr">
        <is>
          <t>D.2 Internally invoiced goods and services</t>
        </is>
      </c>
      <c r="B33" s="357" t="n"/>
      <c r="C33" s="248" t="n"/>
      <c r="D33" s="361">
        <f>B33*C33</f>
        <v/>
      </c>
    </row>
    <row r="34">
      <c r="A34" s="50" t="inlineStr">
        <is>
          <t>D.3 Transnational access to research infrastructure unit costs (if mentioned as eligible in the topic specific conditions)</t>
        </is>
      </c>
      <c r="B34" s="357" t="n"/>
      <c r="C34" s="248" t="n"/>
      <c r="D34" s="361">
        <f>B34*C34</f>
        <v/>
      </c>
    </row>
    <row r="35">
      <c r="A35" s="50" t="inlineStr">
        <is>
          <t>D.4 Virtual access to research infrastructure unit costs (if mentioned as eligible in the topic specific conditions)</t>
        </is>
      </c>
      <c r="B35" s="357" t="n"/>
      <c r="C35" s="248" t="n"/>
      <c r="D35" s="361">
        <f>B35*C35</f>
        <v/>
      </c>
    </row>
    <row r="36">
      <c r="A36" s="50" t="inlineStr">
        <is>
          <t>D.5 PCP/PPI procurement costs (if mentioned as eligible in the topic specific conditions)</t>
        </is>
      </c>
      <c r="B36" s="357" t="n"/>
      <c r="C36" s="248" t="n"/>
      <c r="D36" s="361">
        <f>B36*C36</f>
        <v/>
      </c>
    </row>
    <row r="37">
      <c r="A37" s="50" t="n"/>
      <c r="B37" s="346" t="n"/>
      <c r="C37" s="111" t="n"/>
      <c r="D37" s="365" t="n"/>
    </row>
    <row r="38">
      <c r="A38" s="52" t="inlineStr">
        <is>
          <t>TOTAL DIRECT PERSONNEL COSTS AND PURCHASE COSTS (A+C)</t>
        </is>
      </c>
      <c r="B38" s="369" t="n"/>
      <c r="C38" s="230" t="n"/>
      <c r="D38" s="360">
        <f>SUM(D9:D16,D20:D30)</f>
        <v/>
      </c>
    </row>
    <row r="39">
      <c r="A39" s="52" t="inlineStr">
        <is>
          <t>TOTAL DIRECT COSTS  (A+B+C+D)</t>
        </is>
      </c>
      <c r="B39" s="369" t="n"/>
      <c r="C39" s="230" t="n"/>
      <c r="D39" s="360">
        <f>SUM(D9:D36)</f>
        <v/>
      </c>
    </row>
    <row r="40">
      <c r="A40" s="180" t="n"/>
      <c r="B40" s="372" t="n"/>
      <c r="C40" s="176" t="n"/>
      <c r="D40" s="373" t="n"/>
    </row>
    <row r="41">
      <c r="A41" s="29" t="inlineStr">
        <is>
          <t>E. INDIRECT COSTS (25% * (A+C))</t>
        </is>
      </c>
      <c r="B41" s="358" t="n"/>
      <c r="C41" s="110" t="n"/>
      <c r="D41" s="360">
        <f>D38*0.25</f>
        <v/>
      </c>
    </row>
    <row r="42">
      <c r="A42" s="32" t="n"/>
      <c r="B42" s="372" t="n"/>
      <c r="C42" s="176" t="n"/>
      <c r="D42" s="377" t="n"/>
    </row>
    <row r="43">
      <c r="A43" s="29" t="inlineStr">
        <is>
          <t>F. TOTAL COSTS (A+B+C+D+E)</t>
        </is>
      </c>
      <c r="B43" s="369" t="n"/>
      <c r="C43" s="230" t="n"/>
      <c r="D43" s="360">
        <f>D39+D41</f>
        <v/>
      </c>
    </row>
    <row r="44">
      <c r="A44" s="182" t="n"/>
      <c r="B44" s="183" t="n"/>
      <c r="C44" s="184" t="n"/>
      <c r="D44" s="183" t="n"/>
    </row>
    <row r="45">
      <c r="A45" s="190" t="n"/>
      <c r="B45" s="185" t="n"/>
      <c r="C45" s="186" t="n"/>
      <c r="D45" s="187" t="n"/>
    </row>
    <row r="46" ht="21" customHeight="1">
      <c r="A46" s="272">
        <f>CONCATENATE("COSTS WORK PACKAGE 2:"," ","System definition and use case identification")</f>
        <v/>
      </c>
      <c r="B46" s="314" t="n"/>
      <c r="C46" s="314" t="n"/>
      <c r="D46" s="315" t="n"/>
    </row>
    <row r="47">
      <c r="A47" s="182" t="n"/>
      <c r="B47" s="191" t="n"/>
      <c r="C47" s="192" t="n"/>
      <c r="D47" s="191" t="n"/>
    </row>
    <row r="48">
      <c r="A48" s="29" t="inlineStr">
        <is>
          <t>A. DIRECT PERSONNEL COSTS</t>
        </is>
      </c>
      <c r="B48" s="30" t="n"/>
      <c r="C48" s="110" t="n"/>
      <c r="D48" s="354" t="n"/>
    </row>
    <row r="49">
      <c r="A49" s="28" t="inlineStr">
        <is>
          <t>A.1 Employees (or equivalent)</t>
        </is>
      </c>
      <c r="B49" s="89" t="n"/>
      <c r="C49" s="111" t="n"/>
      <c r="D49" s="355" t="n"/>
    </row>
    <row r="50">
      <c r="A50" s="48" t="inlineStr">
        <is>
          <t>SENIOR SCIENTISTS (or equivalent in the private sector)</t>
        </is>
      </c>
      <c r="B50" s="357" t="n"/>
      <c r="C50" s="248" t="n"/>
      <c r="D50" s="232">
        <f>B50*C50</f>
        <v/>
      </c>
    </row>
    <row r="51">
      <c r="A51" s="48" t="inlineStr">
        <is>
          <t>JUNIOR SCIENTISTS (or equivalent in the private sector)</t>
        </is>
      </c>
      <c r="B51" s="357" t="n"/>
      <c r="C51" s="248" t="n"/>
      <c r="D51" s="232">
        <f>B51*C51</f>
        <v/>
      </c>
    </row>
    <row r="52">
      <c r="A52" s="48" t="inlineStr">
        <is>
          <t>TECHNICAL PERSONNEL (or equivalent in the private sector)</t>
        </is>
      </c>
      <c r="B52" s="357" t="n">
        <v>4</v>
      </c>
      <c r="C52" s="248" t="n">
        <v>8000</v>
      </c>
      <c r="D52" s="232">
        <f>B52*C52</f>
        <v/>
      </c>
    </row>
    <row r="53">
      <c r="A53" s="48" t="inlineStr">
        <is>
          <t>ADMINISTRATIVE PERSONNEL (or equivalent in the private sector)</t>
        </is>
      </c>
      <c r="B53" s="357" t="n"/>
      <c r="C53" s="248" t="n"/>
      <c r="D53" s="232">
        <f>B53*C53</f>
        <v/>
      </c>
    </row>
    <row r="54">
      <c r="A54" s="48" t="inlineStr">
        <is>
          <t>OTHERS</t>
        </is>
      </c>
      <c r="B54" s="357" t="n"/>
      <c r="C54" s="248" t="n"/>
      <c r="D54" s="232">
        <f>B54*C54</f>
        <v/>
      </c>
    </row>
    <row r="55">
      <c r="A55" s="28" t="inlineStr">
        <is>
          <t>A.2 Natural Persons under direct contract</t>
        </is>
      </c>
      <c r="B55" s="357" t="n"/>
      <c r="C55" s="248" t="n"/>
      <c r="D55" s="232">
        <f>B55*C55</f>
        <v/>
      </c>
    </row>
    <row r="56">
      <c r="A56" s="28" t="inlineStr">
        <is>
          <t>A.3 Seconded Persons</t>
        </is>
      </c>
      <c r="B56" s="357" t="n"/>
      <c r="C56" s="248" t="n"/>
      <c r="D56" s="232">
        <f>B56*C56</f>
        <v/>
      </c>
    </row>
    <row r="57">
      <c r="A57" s="28" t="inlineStr">
        <is>
          <t>A.4 SME owners and natural person beneficiaries</t>
        </is>
      </c>
      <c r="B57" s="357" t="n"/>
      <c r="C57" s="256" t="n">
        <v>11858.7624</v>
      </c>
      <c r="D57" s="232">
        <f>B57*C57</f>
        <v/>
      </c>
    </row>
    <row r="58">
      <c r="A58" s="29" t="inlineStr">
        <is>
          <t>B. DIRECT SUBCONTRACTING COSTS</t>
        </is>
      </c>
      <c r="B58" s="358" t="n"/>
      <c r="C58" s="110" t="n"/>
      <c r="D58" s="359" t="n"/>
    </row>
    <row r="59">
      <c r="A59" s="53" t="n"/>
      <c r="B59" s="357" t="n"/>
      <c r="C59" s="248" t="n"/>
      <c r="D59" s="361">
        <f>B59*C59</f>
        <v/>
      </c>
    </row>
    <row r="60">
      <c r="A60" s="29" t="inlineStr">
        <is>
          <t>C. DIRECT PURCHASE COSTS</t>
        </is>
      </c>
      <c r="B60" s="358" t="n"/>
      <c r="C60" s="110" t="n"/>
      <c r="D60" s="359" t="n"/>
    </row>
    <row r="61">
      <c r="A61" s="28" t="inlineStr">
        <is>
          <t>C.1 Travel and subsistence</t>
        </is>
      </c>
      <c r="B61" s="357" t="n"/>
      <c r="C61" s="248" t="n"/>
      <c r="D61" s="361">
        <f>B61*C61</f>
        <v/>
      </c>
    </row>
    <row r="62">
      <c r="A62" s="28" t="inlineStr">
        <is>
          <t>C.2 Equipment (complete 'Depreciation costs' sheet)</t>
        </is>
      </c>
      <c r="B62" s="346" t="n"/>
      <c r="C62" s="111" t="n"/>
      <c r="D62" s="364" t="n"/>
    </row>
    <row r="63">
      <c r="A63" s="49" t="inlineStr">
        <is>
          <t>Equipment</t>
        </is>
      </c>
      <c r="B63" s="357" t="n"/>
      <c r="C63" s="248" t="n"/>
      <c r="D63" s="361">
        <f>B63*C63</f>
        <v/>
      </c>
    </row>
    <row r="64">
      <c r="A64" s="49" t="inlineStr">
        <is>
          <t>Infrastructure</t>
        </is>
      </c>
      <c r="B64" s="357" t="n"/>
      <c r="C64" s="248" t="n"/>
      <c r="D64" s="361">
        <f>B64*C64</f>
        <v/>
      </c>
    </row>
    <row r="65">
      <c r="A65" s="49" t="inlineStr">
        <is>
          <t>Other assets</t>
        </is>
      </c>
      <c r="B65" s="357" t="n"/>
      <c r="C65" s="248" t="n"/>
      <c r="D65" s="361">
        <f>B65*C65</f>
        <v/>
      </c>
    </row>
    <row r="66">
      <c r="A66" s="28" t="inlineStr">
        <is>
          <t>C.3 Other goods, works and services</t>
        </is>
      </c>
      <c r="B66" s="346" t="n"/>
      <c r="C66" s="111" t="n"/>
      <c r="D66" s="364" t="n"/>
    </row>
    <row r="67">
      <c r="A67" s="49" t="inlineStr">
        <is>
          <t>Consumables</t>
        </is>
      </c>
      <c r="B67" s="357" t="n"/>
      <c r="C67" s="248" t="n"/>
      <c r="D67" s="361">
        <f>B67*C67</f>
        <v/>
      </c>
    </row>
    <row r="68">
      <c r="A68" s="49" t="inlineStr">
        <is>
          <t>Services for meetings, seminars</t>
        </is>
      </c>
      <c r="B68" s="357" t="n"/>
      <c r="C68" s="248" t="n"/>
      <c r="D68" s="361">
        <f>B68*C68</f>
        <v/>
      </c>
    </row>
    <row r="69">
      <c r="A69" s="49" t="inlineStr">
        <is>
          <t>Services for dissemination activities (including website)</t>
        </is>
      </c>
      <c r="B69" s="357" t="n"/>
      <c r="C69" s="248" t="n"/>
      <c r="D69" s="361">
        <f>B69*C69</f>
        <v/>
      </c>
    </row>
    <row r="70">
      <c r="A70" s="49" t="inlineStr">
        <is>
          <t>Publication fees</t>
        </is>
      </c>
      <c r="B70" s="357" t="n"/>
      <c r="C70" s="248" t="n"/>
      <c r="D70" s="361">
        <f>B70*C70</f>
        <v/>
      </c>
    </row>
    <row r="71">
      <c r="A71" s="49" t="inlineStr">
        <is>
          <t>Other (shipment, insurance, translation, etc.)</t>
        </is>
      </c>
      <c r="B71" s="357" t="n"/>
      <c r="C71" s="248" t="n"/>
      <c r="D71" s="361">
        <f>B71*C71</f>
        <v/>
      </c>
    </row>
    <row r="72">
      <c r="A72" s="29" t="inlineStr">
        <is>
          <t>D. OTHER COST CATEGORIES</t>
        </is>
      </c>
      <c r="B72" s="358" t="n"/>
      <c r="C72" s="110" t="n"/>
      <c r="D72" s="359" t="n"/>
    </row>
    <row r="73">
      <c r="A73" s="50" t="inlineStr">
        <is>
          <t>D.1 Financial support to third parties (if applicable in the topic specific conditions)</t>
        </is>
      </c>
      <c r="B73" s="357" t="n"/>
      <c r="C73" s="248" t="n"/>
      <c r="D73" s="361">
        <f>B73*C73</f>
        <v/>
      </c>
    </row>
    <row r="74">
      <c r="A74" s="50" t="inlineStr">
        <is>
          <t>D.2 Internally invoiced goods and services</t>
        </is>
      </c>
      <c r="B74" s="357" t="n"/>
      <c r="C74" s="248" t="n"/>
      <c r="D74" s="361">
        <f>B74*C74</f>
        <v/>
      </c>
    </row>
    <row r="75">
      <c r="A75" s="50" t="inlineStr">
        <is>
          <t>D.3 Transnational access to research infrastructure unit costs (if mentioned as eligible in the topic specific conditions)</t>
        </is>
      </c>
      <c r="B75" s="357" t="n"/>
      <c r="C75" s="248" t="n"/>
      <c r="D75" s="361">
        <f>B75*C75</f>
        <v/>
      </c>
    </row>
    <row r="76">
      <c r="A76" s="50" t="inlineStr">
        <is>
          <t>D.4 Virtual access to research infrastructure unit costs (if mentioned as eligible in the topic specific conditions)</t>
        </is>
      </c>
      <c r="B76" s="357" t="n"/>
      <c r="C76" s="248" t="n"/>
      <c r="D76" s="361">
        <f>B76*C76</f>
        <v/>
      </c>
    </row>
    <row r="77">
      <c r="A77" s="50" t="inlineStr">
        <is>
          <t>D.5 PCP/PPI procurement costs (if mentioned as eligible in the topic specific conditions)</t>
        </is>
      </c>
      <c r="B77" s="357" t="n"/>
      <c r="C77" s="248" t="n"/>
      <c r="D77" s="361">
        <f>B77*C77</f>
        <v/>
      </c>
    </row>
    <row r="78">
      <c r="A78" s="50" t="n"/>
      <c r="B78" s="346" t="n"/>
      <c r="C78" s="111" t="n"/>
      <c r="D78" s="365" t="n"/>
    </row>
    <row r="79">
      <c r="A79" s="52" t="inlineStr">
        <is>
          <t>TOTAL DIRECT PERSONNEL COSTS AND PURCHASE COSTS (A+C)</t>
        </is>
      </c>
      <c r="B79" s="369" t="n"/>
      <c r="C79" s="230" t="n"/>
      <c r="D79" s="360">
        <f>SUM(D50:D57,D61:D71)</f>
        <v/>
      </c>
    </row>
    <row r="80">
      <c r="A80" s="52" t="inlineStr">
        <is>
          <t>TOTAL DIRECT COSTS  (A+B+C+D)</t>
        </is>
      </c>
      <c r="B80" s="369" t="n"/>
      <c r="C80" s="230" t="n"/>
      <c r="D80" s="360">
        <f>SUM(D50:D77)</f>
        <v/>
      </c>
    </row>
    <row r="81">
      <c r="A81" s="180" t="n"/>
      <c r="B81" s="372" t="n"/>
      <c r="C81" s="176" t="n"/>
      <c r="D81" s="373" t="n"/>
    </row>
    <row r="82">
      <c r="A82" s="29" t="inlineStr">
        <is>
          <t>E. INDIRECT COSTS (25% * (A+C))</t>
        </is>
      </c>
      <c r="B82" s="358" t="n"/>
      <c r="C82" s="110" t="n"/>
      <c r="D82" s="360">
        <f>D79*0.25</f>
        <v/>
      </c>
    </row>
    <row r="83">
      <c r="A83" s="32" t="n"/>
      <c r="B83" s="372" t="n"/>
      <c r="C83" s="176" t="n"/>
      <c r="D83" s="377" t="n"/>
    </row>
    <row r="84">
      <c r="A84" s="29" t="inlineStr">
        <is>
          <t>F. TOTAL COSTS (A+B+C+D+E)</t>
        </is>
      </c>
      <c r="B84" s="369" t="n"/>
      <c r="C84" s="230" t="n"/>
      <c r="D84" s="360">
        <f>D80+D82</f>
        <v/>
      </c>
    </row>
    <row r="85">
      <c r="A85" s="182" t="n"/>
      <c r="B85" s="183" t="n"/>
      <c r="C85" s="184" t="n"/>
      <c r="D85" s="183" t="n"/>
    </row>
    <row r="86">
      <c r="A86" s="190" t="n"/>
      <c r="B86" s="185" t="n"/>
      <c r="C86" s="186" t="n"/>
      <c r="D86" s="187" t="n"/>
    </row>
    <row r="87" ht="21" customHeight="1">
      <c r="A87" s="272">
        <f>CONCATENATE("COSTS WORK PACKAGE 3:"," ","Sensor deployment and analytics  ")</f>
        <v/>
      </c>
      <c r="B87" s="314" t="n"/>
      <c r="C87" s="314" t="n"/>
      <c r="D87" s="315" t="n"/>
    </row>
    <row r="88">
      <c r="A88" s="182" t="n"/>
      <c r="B88" s="191" t="n"/>
      <c r="C88" s="192" t="n"/>
      <c r="D88" s="191" t="n"/>
    </row>
    <row r="89">
      <c r="A89" s="29" t="inlineStr">
        <is>
          <t>A. DIRECT PERSONNEL COSTS</t>
        </is>
      </c>
      <c r="B89" s="30" t="n"/>
      <c r="C89" s="110" t="n"/>
      <c r="D89" s="354" t="n"/>
    </row>
    <row r="90">
      <c r="A90" s="28" t="inlineStr">
        <is>
          <t>A.1 Employees (or equivalent)</t>
        </is>
      </c>
      <c r="B90" s="89" t="n"/>
      <c r="C90" s="111" t="n"/>
      <c r="D90" s="355" t="n"/>
    </row>
    <row r="91">
      <c r="A91" s="48" t="inlineStr">
        <is>
          <t>SENIOR SCIENTISTS (or equivalent in the private sector)</t>
        </is>
      </c>
      <c r="B91" s="357" t="n"/>
      <c r="C91" s="248" t="n"/>
      <c r="D91" s="232">
        <f>B91*C91</f>
        <v/>
      </c>
    </row>
    <row r="92">
      <c r="A92" s="48" t="inlineStr">
        <is>
          <t>JUNIOR SCIENTISTS (or equivalent in the private sector)</t>
        </is>
      </c>
      <c r="B92" s="357" t="n">
        <v>4</v>
      </c>
      <c r="C92" s="248" t="n">
        <v>8500</v>
      </c>
      <c r="D92" s="232">
        <f>B92*C92</f>
        <v/>
      </c>
    </row>
    <row r="93">
      <c r="A93" s="48" t="inlineStr">
        <is>
          <t>TECHNICAL PERSONNEL (or equivalent in the private sector)</t>
        </is>
      </c>
      <c r="B93" s="357" t="n"/>
      <c r="C93" s="248" t="n"/>
      <c r="D93" s="232">
        <f>B93*C93</f>
        <v/>
      </c>
    </row>
    <row r="94">
      <c r="A94" s="48" t="inlineStr">
        <is>
          <t>ADMINISTRATIVE PERSONNEL (or equivalent in the private sector)</t>
        </is>
      </c>
      <c r="B94" s="357" t="n"/>
      <c r="C94" s="248" t="n"/>
      <c r="D94" s="232">
        <f>B94*C94</f>
        <v/>
      </c>
    </row>
    <row r="95">
      <c r="A95" s="48" t="inlineStr">
        <is>
          <t>OTHERS</t>
        </is>
      </c>
      <c r="B95" s="357" t="n"/>
      <c r="C95" s="248" t="n"/>
      <c r="D95" s="232">
        <f>B95*C95</f>
        <v/>
      </c>
    </row>
    <row r="96">
      <c r="A96" s="28" t="inlineStr">
        <is>
          <t>A.2 Natural Persons under direct contract</t>
        </is>
      </c>
      <c r="B96" s="357" t="n"/>
      <c r="C96" s="248" t="n"/>
      <c r="D96" s="232">
        <f>B96*C96</f>
        <v/>
      </c>
    </row>
    <row r="97">
      <c r="A97" s="28" t="inlineStr">
        <is>
          <t>A.3 Seconded Persons</t>
        </is>
      </c>
      <c r="B97" s="357" t="n"/>
      <c r="C97" s="248" t="n"/>
      <c r="D97" s="232">
        <f>B97*C97</f>
        <v/>
      </c>
    </row>
    <row r="98">
      <c r="A98" s="28" t="inlineStr">
        <is>
          <t>A.4 SME owners and natural person beneficiaries</t>
        </is>
      </c>
      <c r="B98" s="357" t="n"/>
      <c r="C98" s="256" t="n">
        <v>11858.7624</v>
      </c>
      <c r="D98" s="232">
        <f>B98*C98</f>
        <v/>
      </c>
    </row>
    <row r="99">
      <c r="A99" s="29" t="inlineStr">
        <is>
          <t>B. DIRECT SUBCONTRACTING COSTS</t>
        </is>
      </c>
      <c r="B99" s="358" t="n"/>
      <c r="C99" s="110" t="n"/>
      <c r="D99" s="359" t="n"/>
    </row>
    <row r="100">
      <c r="A100" s="53" t="n"/>
      <c r="B100" s="357" t="n"/>
      <c r="C100" s="248" t="n"/>
      <c r="D100" s="361">
        <f>B100*C100</f>
        <v/>
      </c>
    </row>
    <row r="101">
      <c r="A101" s="29" t="inlineStr">
        <is>
          <t>C. DIRECT PURCHASE COSTS</t>
        </is>
      </c>
      <c r="B101" s="358" t="n"/>
      <c r="C101" s="110" t="n"/>
      <c r="D101" s="359" t="n"/>
    </row>
    <row r="102">
      <c r="A102" s="28" t="inlineStr">
        <is>
          <t>C.1 Travel and subsistence</t>
        </is>
      </c>
      <c r="B102" s="357" t="n"/>
      <c r="C102" s="248" t="n"/>
      <c r="D102" s="361">
        <f>B102*C102</f>
        <v/>
      </c>
    </row>
    <row r="103">
      <c r="A103" s="28" t="inlineStr">
        <is>
          <t>C.2 Equipment (complete 'Depreciation costs' sheet)</t>
        </is>
      </c>
      <c r="B103" s="346" t="n"/>
      <c r="C103" s="111" t="n"/>
      <c r="D103" s="364" t="n"/>
    </row>
    <row r="104">
      <c r="A104" s="49" t="inlineStr">
        <is>
          <t>Equipment</t>
        </is>
      </c>
      <c r="B104" s="357" t="n"/>
      <c r="C104" s="248" t="n"/>
      <c r="D104" s="361">
        <f>B104*C104</f>
        <v/>
      </c>
    </row>
    <row r="105">
      <c r="A105" s="49" t="inlineStr">
        <is>
          <t>Infrastructure</t>
        </is>
      </c>
      <c r="B105" s="357" t="n"/>
      <c r="C105" s="248" t="n"/>
      <c r="D105" s="361">
        <f>B105*C105</f>
        <v/>
      </c>
    </row>
    <row r="106">
      <c r="A106" s="49" t="inlineStr">
        <is>
          <t>Other assets</t>
        </is>
      </c>
      <c r="B106" s="357" t="n"/>
      <c r="C106" s="248" t="n"/>
      <c r="D106" s="361">
        <f>B106*C106</f>
        <v/>
      </c>
    </row>
    <row r="107">
      <c r="A107" s="28" t="inlineStr">
        <is>
          <t>C.3 Other goods, works and services</t>
        </is>
      </c>
      <c r="B107" s="346" t="n"/>
      <c r="C107" s="111" t="n"/>
      <c r="D107" s="364" t="n"/>
    </row>
    <row r="108">
      <c r="A108" s="49" t="inlineStr">
        <is>
          <t>Consumables</t>
        </is>
      </c>
      <c r="B108" s="357" t="n">
        <v>0</v>
      </c>
      <c r="C108" s="248" t="n">
        <v>1000</v>
      </c>
      <c r="D108" s="361">
        <f>B108*C108</f>
        <v/>
      </c>
    </row>
    <row r="109">
      <c r="A109" s="49" t="inlineStr">
        <is>
          <t>Services for meetings, seminars</t>
        </is>
      </c>
      <c r="B109" s="357" t="n"/>
      <c r="C109" s="248" t="n"/>
      <c r="D109" s="361">
        <f>B109*C109</f>
        <v/>
      </c>
    </row>
    <row r="110">
      <c r="A110" s="49" t="inlineStr">
        <is>
          <t>Services for dissemination activities (including website)</t>
        </is>
      </c>
      <c r="B110" s="357" t="n"/>
      <c r="C110" s="248" t="n"/>
      <c r="D110" s="361">
        <f>B110*C110</f>
        <v/>
      </c>
    </row>
    <row r="111">
      <c r="A111" s="49" t="inlineStr">
        <is>
          <t>Publication fees</t>
        </is>
      </c>
      <c r="B111" s="357" t="n"/>
      <c r="C111" s="248" t="n"/>
      <c r="D111" s="361">
        <f>B111*C111</f>
        <v/>
      </c>
    </row>
    <row r="112">
      <c r="A112" s="49" t="inlineStr">
        <is>
          <t>Other (shipment, insurance, translation, etc.)</t>
        </is>
      </c>
      <c r="B112" s="357" t="n"/>
      <c r="C112" s="248" t="n"/>
      <c r="D112" s="361">
        <f>B112*C112</f>
        <v/>
      </c>
    </row>
    <row r="113">
      <c r="A113" s="29" t="inlineStr">
        <is>
          <t>D. OTHER COST CATEGORIES</t>
        </is>
      </c>
      <c r="B113" s="358" t="n"/>
      <c r="C113" s="110" t="n"/>
      <c r="D113" s="359" t="n"/>
    </row>
    <row r="114">
      <c r="A114" s="50" t="inlineStr">
        <is>
          <t>D.1 Financial support to third parties (if applicable in the topic specific conditions)</t>
        </is>
      </c>
      <c r="B114" s="357" t="n"/>
      <c r="C114" s="248" t="n"/>
      <c r="D114" s="361">
        <f>B114*C114</f>
        <v/>
      </c>
    </row>
    <row r="115">
      <c r="A115" s="50" t="inlineStr">
        <is>
          <t>D.2 Internally invoiced goods and services</t>
        </is>
      </c>
      <c r="B115" s="357" t="n"/>
      <c r="C115" s="248" t="n"/>
      <c r="D115" s="361">
        <f>B115*C115</f>
        <v/>
      </c>
    </row>
    <row r="116">
      <c r="A116" s="50" t="inlineStr">
        <is>
          <t>D.3 Transnational access to research infrastructure unit costs (if mentioned as eligible in the topic specific conditions)</t>
        </is>
      </c>
      <c r="B116" s="357" t="n"/>
      <c r="C116" s="248" t="n"/>
      <c r="D116" s="361">
        <f>B116*C116</f>
        <v/>
      </c>
    </row>
    <row r="117">
      <c r="A117" s="50" t="inlineStr">
        <is>
          <t>D.4 Virtual access to research infrastructure unit costs (if mentioned as eligible in the topic specific conditions)</t>
        </is>
      </c>
      <c r="B117" s="357" t="n"/>
      <c r="C117" s="248" t="n"/>
      <c r="D117" s="361">
        <f>B117*C117</f>
        <v/>
      </c>
    </row>
    <row r="118">
      <c r="A118" s="50" t="inlineStr">
        <is>
          <t>D.5 PCP/PPI procurement costs (if mentioned as eligible in the topic specific conditions)</t>
        </is>
      </c>
      <c r="B118" s="357" t="n"/>
      <c r="C118" s="248" t="n"/>
      <c r="D118" s="361">
        <f>B118*C118</f>
        <v/>
      </c>
    </row>
    <row r="119">
      <c r="A119" s="50" t="n"/>
      <c r="B119" s="346" t="n"/>
      <c r="C119" s="111" t="n"/>
      <c r="D119" s="365" t="n"/>
    </row>
    <row r="120">
      <c r="A120" s="52" t="inlineStr">
        <is>
          <t>TOTAL DIRECT PERSONNEL COSTS AND PURCHASE COSTS (A+C)</t>
        </is>
      </c>
      <c r="B120" s="369" t="n"/>
      <c r="C120" s="230" t="n"/>
      <c r="D120" s="360">
        <f>SUM(D91:D98,D102:D112)</f>
        <v/>
      </c>
    </row>
    <row r="121">
      <c r="A121" s="52" t="inlineStr">
        <is>
          <t>TOTAL DIRECT COSTS  (A+B+C+D)</t>
        </is>
      </c>
      <c r="B121" s="369" t="n"/>
      <c r="C121" s="230" t="n"/>
      <c r="D121" s="360">
        <f>SUM(D91:D118)</f>
        <v/>
      </c>
    </row>
    <row r="122">
      <c r="A122" s="180" t="n"/>
      <c r="B122" s="372" t="n"/>
      <c r="C122" s="176" t="n"/>
      <c r="D122" s="373" t="n"/>
    </row>
    <row r="123">
      <c r="A123" s="29" t="inlineStr">
        <is>
          <t>E. INDIRECT COSTS (25% * (A+C))</t>
        </is>
      </c>
      <c r="B123" s="358" t="n"/>
      <c r="C123" s="110" t="n"/>
      <c r="D123" s="360">
        <f>D120*0.25</f>
        <v/>
      </c>
    </row>
    <row r="124">
      <c r="A124" s="32" t="n"/>
      <c r="B124" s="372" t="n"/>
      <c r="C124" s="176" t="n"/>
      <c r="D124" s="377" t="n"/>
    </row>
    <row r="125">
      <c r="A125" s="29" t="inlineStr">
        <is>
          <t>F. TOTAL COSTS (A+B+C+D+E)</t>
        </is>
      </c>
      <c r="B125" s="369" t="n"/>
      <c r="C125" s="230" t="n"/>
      <c r="D125" s="360">
        <f>D121+D123</f>
        <v/>
      </c>
    </row>
    <row r="126">
      <c r="A126" s="182" t="n"/>
      <c r="B126" s="183" t="n"/>
      <c r="C126" s="184" t="n"/>
      <c r="D126" s="183" t="n"/>
    </row>
    <row r="127">
      <c r="A127" s="190" t="n"/>
      <c r="B127" s="185" t="n"/>
      <c r="C127" s="186" t="n"/>
      <c r="D127" s="187" t="n"/>
    </row>
    <row r="128" ht="21" customHeight="1">
      <c r="A128" s="272">
        <f>CONCATENATE("COSTS WORK PACKAGE 4:"," ","Digital twins for data generation and augmentation")</f>
        <v/>
      </c>
      <c r="B128" s="314" t="n"/>
      <c r="C128" s="314" t="n"/>
      <c r="D128" s="315" t="n"/>
    </row>
    <row r="129">
      <c r="A129" s="182" t="n"/>
      <c r="B129" s="191" t="n"/>
      <c r="C129" s="192" t="n"/>
      <c r="D129" s="191" t="n"/>
    </row>
    <row r="130">
      <c r="A130" s="29" t="inlineStr">
        <is>
          <t>A. DIRECT PERSONNEL COSTS</t>
        </is>
      </c>
      <c r="B130" s="30" t="n"/>
      <c r="C130" s="110" t="n"/>
      <c r="D130" s="354" t="n"/>
    </row>
    <row r="131">
      <c r="A131" s="28" t="inlineStr">
        <is>
          <t>A.1 Employees (or equivalent)</t>
        </is>
      </c>
      <c r="B131" s="89" t="n"/>
      <c r="C131" s="111" t="n"/>
      <c r="D131" s="355" t="n"/>
    </row>
    <row r="132">
      <c r="A132" s="48" t="inlineStr">
        <is>
          <t>SENIOR SCIENTISTS (or equivalent in the private sector)</t>
        </is>
      </c>
      <c r="B132" s="357" t="n"/>
      <c r="C132" s="248" t="n"/>
      <c r="D132" s="232">
        <f>B132*C132</f>
        <v/>
      </c>
    </row>
    <row r="133">
      <c r="A133" s="48" t="inlineStr">
        <is>
          <t>JUNIOR SCIENTISTS (or equivalent in the private sector)</t>
        </is>
      </c>
      <c r="B133" s="357" t="n"/>
      <c r="C133" s="248" t="n"/>
      <c r="D133" s="232">
        <f>B133*C133</f>
        <v/>
      </c>
    </row>
    <row r="134">
      <c r="A134" s="48" t="inlineStr">
        <is>
          <t>TECHNICAL PERSONNEL (or equivalent in the private sector)</t>
        </is>
      </c>
      <c r="B134" s="357" t="n"/>
      <c r="C134" s="248" t="n"/>
      <c r="D134" s="232">
        <f>B134*C134</f>
        <v/>
      </c>
    </row>
    <row r="135">
      <c r="A135" s="48" t="inlineStr">
        <is>
          <t>ADMINISTRATIVE PERSONNEL (or equivalent in the private sector)</t>
        </is>
      </c>
      <c r="B135" s="357" t="n"/>
      <c r="C135" s="248" t="n"/>
      <c r="D135" s="232">
        <f>B135*C135</f>
        <v/>
      </c>
    </row>
    <row r="136">
      <c r="A136" s="48" t="inlineStr">
        <is>
          <t>OTHERS</t>
        </is>
      </c>
      <c r="B136" s="357" t="n"/>
      <c r="C136" s="248" t="n"/>
      <c r="D136" s="232">
        <f>B136*C136</f>
        <v/>
      </c>
    </row>
    <row r="137">
      <c r="A137" s="28" t="inlineStr">
        <is>
          <t>A.2 Natural Persons under direct contract</t>
        </is>
      </c>
      <c r="B137" s="357" t="n"/>
      <c r="C137" s="248" t="n"/>
      <c r="D137" s="232">
        <f>B137*C137</f>
        <v/>
      </c>
    </row>
    <row r="138">
      <c r="A138" s="28" t="inlineStr">
        <is>
          <t>A.3 Seconded Persons</t>
        </is>
      </c>
      <c r="B138" s="357" t="n"/>
      <c r="C138" s="248" t="n"/>
      <c r="D138" s="232">
        <f>B138*C138</f>
        <v/>
      </c>
    </row>
    <row r="139">
      <c r="A139" s="28" t="inlineStr">
        <is>
          <t>A.4 SME owners and natural person beneficiaries</t>
        </is>
      </c>
      <c r="B139" s="357" t="n"/>
      <c r="C139" s="256" t="n">
        <v>11858.7624</v>
      </c>
      <c r="D139" s="232">
        <f>B139*C139</f>
        <v/>
      </c>
    </row>
    <row r="140">
      <c r="A140" s="29" t="inlineStr">
        <is>
          <t>B. DIRECT SUBCONTRACTING COSTS</t>
        </is>
      </c>
      <c r="B140" s="358" t="n"/>
      <c r="C140" s="110" t="n"/>
      <c r="D140" s="359" t="n"/>
    </row>
    <row r="141">
      <c r="A141" s="53" t="n"/>
      <c r="B141" s="357" t="n"/>
      <c r="C141" s="248" t="n"/>
      <c r="D141" s="361">
        <f>B141*C141</f>
        <v/>
      </c>
    </row>
    <row r="142">
      <c r="A142" s="29" t="inlineStr">
        <is>
          <t>C. DIRECT PURCHASE COSTS</t>
        </is>
      </c>
      <c r="B142" s="358" t="n"/>
      <c r="C142" s="110" t="n"/>
      <c r="D142" s="359" t="n"/>
    </row>
    <row r="143">
      <c r="A143" s="28" t="inlineStr">
        <is>
          <t>C.1 Travel and subsistence</t>
        </is>
      </c>
      <c r="B143" s="357" t="n"/>
      <c r="C143" s="248" t="n"/>
      <c r="D143" s="361">
        <f>B143*C143</f>
        <v/>
      </c>
    </row>
    <row r="144">
      <c r="A144" s="28" t="inlineStr">
        <is>
          <t>C.2 Equipment (complete 'Depreciation costs' sheet)</t>
        </is>
      </c>
      <c r="B144" s="346" t="n"/>
      <c r="C144" s="111" t="n"/>
      <c r="D144" s="364" t="n"/>
    </row>
    <row r="145">
      <c r="A145" s="49" t="inlineStr">
        <is>
          <t>Equipment</t>
        </is>
      </c>
      <c r="B145" s="357" t="n"/>
      <c r="C145" s="248" t="n"/>
      <c r="D145" s="361">
        <f>B145*C145</f>
        <v/>
      </c>
    </row>
    <row r="146">
      <c r="A146" s="49" t="inlineStr">
        <is>
          <t>Infrastructure</t>
        </is>
      </c>
      <c r="B146" s="357" t="n"/>
      <c r="C146" s="248" t="n"/>
      <c r="D146" s="361">
        <f>B146*C146</f>
        <v/>
      </c>
    </row>
    <row r="147">
      <c r="A147" s="49" t="inlineStr">
        <is>
          <t>Other assets</t>
        </is>
      </c>
      <c r="B147" s="357" t="n"/>
      <c r="C147" s="248" t="n"/>
      <c r="D147" s="361">
        <f>B147*C147</f>
        <v/>
      </c>
    </row>
    <row r="148">
      <c r="A148" s="28" t="inlineStr">
        <is>
          <t>C.3 Other goods, works and services</t>
        </is>
      </c>
      <c r="B148" s="346" t="n"/>
      <c r="C148" s="111" t="n"/>
      <c r="D148" s="364" t="n"/>
    </row>
    <row r="149">
      <c r="A149" s="49" t="inlineStr">
        <is>
          <t>Consumables</t>
        </is>
      </c>
      <c r="B149" s="357" t="n"/>
      <c r="C149" s="248" t="n"/>
      <c r="D149" s="361">
        <f>B149*C149</f>
        <v/>
      </c>
    </row>
    <row r="150">
      <c r="A150" s="49" t="inlineStr">
        <is>
          <t>Services for meetings, seminars</t>
        </is>
      </c>
      <c r="B150" s="357" t="n"/>
      <c r="C150" s="248" t="n"/>
      <c r="D150" s="361">
        <f>B150*C150</f>
        <v/>
      </c>
    </row>
    <row r="151">
      <c r="A151" s="49" t="inlineStr">
        <is>
          <t>Services for dissemination activities (including website)</t>
        </is>
      </c>
      <c r="B151" s="357" t="n"/>
      <c r="C151" s="248" t="n"/>
      <c r="D151" s="361">
        <f>B151*C151</f>
        <v/>
      </c>
    </row>
    <row r="152">
      <c r="A152" s="49" t="inlineStr">
        <is>
          <t>Publication fees</t>
        </is>
      </c>
      <c r="B152" s="357" t="n"/>
      <c r="C152" s="248" t="n"/>
      <c r="D152" s="361">
        <f>B152*C152</f>
        <v/>
      </c>
    </row>
    <row r="153">
      <c r="A153" s="49" t="inlineStr">
        <is>
          <t>Other (shipment, insurance, translation, etc.)</t>
        </is>
      </c>
      <c r="B153" s="357" t="n"/>
      <c r="C153" s="248" t="n"/>
      <c r="D153" s="361">
        <f>B153*C153</f>
        <v/>
      </c>
    </row>
    <row r="154">
      <c r="A154" s="29" t="inlineStr">
        <is>
          <t>D. OTHER COST CATEGORIES</t>
        </is>
      </c>
      <c r="B154" s="358" t="n"/>
      <c r="C154" s="110" t="n"/>
      <c r="D154" s="359" t="n"/>
    </row>
    <row r="155">
      <c r="A155" s="50" t="inlineStr">
        <is>
          <t>D.1 Financial support to third parties (if applicable in the topic specific conditions)</t>
        </is>
      </c>
      <c r="B155" s="357" t="n"/>
      <c r="C155" s="248" t="n"/>
      <c r="D155" s="361">
        <f>B155*C155</f>
        <v/>
      </c>
    </row>
    <row r="156">
      <c r="A156" s="50" t="inlineStr">
        <is>
          <t>D.2 Internally invoiced goods and services</t>
        </is>
      </c>
      <c r="B156" s="357" t="n"/>
      <c r="C156" s="248" t="n"/>
      <c r="D156" s="361">
        <f>B156*C156</f>
        <v/>
      </c>
    </row>
    <row r="157">
      <c r="A157" s="50" t="inlineStr">
        <is>
          <t>D.3 Transnational access to research infrastructure unit costs (if mentioned as eligible in the topic specific conditions)</t>
        </is>
      </c>
      <c r="B157" s="357" t="n"/>
      <c r="C157" s="248" t="n"/>
      <c r="D157" s="361">
        <f>B157*C157</f>
        <v/>
      </c>
    </row>
    <row r="158">
      <c r="A158" s="50" t="inlineStr">
        <is>
          <t>D.4 Virtual access to research infrastructure unit costs (if mentioned as eligible in the topic specific conditions)</t>
        </is>
      </c>
      <c r="B158" s="357" t="n"/>
      <c r="C158" s="248" t="n"/>
      <c r="D158" s="361">
        <f>B158*C158</f>
        <v/>
      </c>
    </row>
    <row r="159">
      <c r="A159" s="50" t="inlineStr">
        <is>
          <t>D.5 PCP/PPI procurement costs (if mentioned as eligible in the topic specific conditions)</t>
        </is>
      </c>
      <c r="B159" s="357" t="n"/>
      <c r="C159" s="248" t="n"/>
      <c r="D159" s="361">
        <f>B159*C159</f>
        <v/>
      </c>
    </row>
    <row r="160">
      <c r="A160" s="50" t="n"/>
      <c r="B160" s="346" t="n"/>
      <c r="C160" s="111" t="n"/>
      <c r="D160" s="365" t="n"/>
    </row>
    <row r="161">
      <c r="A161" s="52" t="inlineStr">
        <is>
          <t>TOTAL DIRECT PERSONNEL COSTS AND PURCHASE COSTS (A+C)</t>
        </is>
      </c>
      <c r="B161" s="369" t="n"/>
      <c r="C161" s="230" t="n"/>
      <c r="D161" s="360">
        <f>SUM(D132:D139,D143:D153)</f>
        <v/>
      </c>
    </row>
    <row r="162">
      <c r="A162" s="52" t="inlineStr">
        <is>
          <t>TOTAL DIRECT COSTS  (A+B+C+D)</t>
        </is>
      </c>
      <c r="B162" s="369" t="n"/>
      <c r="C162" s="230" t="n"/>
      <c r="D162" s="360">
        <f>SUM(D132:D159)</f>
        <v/>
      </c>
    </row>
    <row r="163">
      <c r="A163" s="180" t="n"/>
      <c r="B163" s="372" t="n"/>
      <c r="C163" s="176" t="n"/>
      <c r="D163" s="373" t="n"/>
    </row>
    <row r="164">
      <c r="A164" s="29" t="inlineStr">
        <is>
          <t>E. INDIRECT COSTS (25% * (A+C))</t>
        </is>
      </c>
      <c r="B164" s="358" t="n"/>
      <c r="C164" s="110" t="n"/>
      <c r="D164" s="360">
        <f>D161*0.25</f>
        <v/>
      </c>
    </row>
    <row r="165">
      <c r="A165" s="32" t="n"/>
      <c r="B165" s="372" t="n"/>
      <c r="C165" s="176" t="n"/>
      <c r="D165" s="377" t="n"/>
    </row>
    <row r="166">
      <c r="A166" s="29" t="inlineStr">
        <is>
          <t>F. TOTAL COSTS (A+B+C+D+E)</t>
        </is>
      </c>
      <c r="B166" s="369" t="n"/>
      <c r="C166" s="230" t="n"/>
      <c r="D166" s="360">
        <f>D162+D164</f>
        <v/>
      </c>
    </row>
    <row r="167">
      <c r="A167" s="182" t="n"/>
      <c r="B167" s="183" t="n"/>
      <c r="C167" s="184" t="n"/>
      <c r="D167" s="183" t="n"/>
    </row>
    <row r="168">
      <c r="A168" s="190" t="n"/>
      <c r="B168" s="185" t="n"/>
      <c r="C168" s="186" t="n"/>
      <c r="D168" s="187" t="n"/>
    </row>
    <row r="169" ht="21" customHeight="1">
      <c r="A169" s="272">
        <f>CONCATENATE("COSTS WORK PACKAGE 5:"," ","Health Models for Wind Turbine Components")</f>
        <v/>
      </c>
      <c r="B169" s="314" t="n"/>
      <c r="C169" s="314" t="n"/>
      <c r="D169" s="315" t="n"/>
    </row>
    <row r="170">
      <c r="A170" s="182" t="n"/>
      <c r="B170" s="191" t="n"/>
      <c r="C170" s="192" t="n"/>
      <c r="D170" s="191" t="n"/>
    </row>
    <row r="171">
      <c r="A171" s="29" t="inlineStr">
        <is>
          <t>A. DIRECT PERSONNEL COSTS</t>
        </is>
      </c>
      <c r="B171" s="30" t="n"/>
      <c r="C171" s="110" t="n"/>
      <c r="D171" s="354" t="n"/>
    </row>
    <row r="172">
      <c r="A172" s="28" t="inlineStr">
        <is>
          <t>A.1 Employees (or equivalent)</t>
        </is>
      </c>
      <c r="B172" s="89" t="n"/>
      <c r="C172" s="111" t="n"/>
      <c r="D172" s="355" t="n"/>
    </row>
    <row r="173">
      <c r="A173" s="48" t="inlineStr">
        <is>
          <t>SENIOR SCIENTISTS (or equivalent in the private sector)</t>
        </is>
      </c>
      <c r="B173" s="357" t="n"/>
      <c r="C173" s="248" t="n"/>
      <c r="D173" s="232">
        <f>B173*C173</f>
        <v/>
      </c>
    </row>
    <row r="174">
      <c r="A174" s="48" t="inlineStr">
        <is>
          <t>JUNIOR SCIENTISTS (or equivalent in the private sector)</t>
        </is>
      </c>
      <c r="B174" s="357" t="n"/>
      <c r="C174" s="248" t="n"/>
      <c r="D174" s="232">
        <f>B174*C174</f>
        <v/>
      </c>
    </row>
    <row r="175">
      <c r="A175" s="48" t="inlineStr">
        <is>
          <t>TECHNICAL PERSONNEL (or equivalent in the private sector)</t>
        </is>
      </c>
      <c r="B175" s="357" t="n"/>
      <c r="C175" s="248" t="n"/>
      <c r="D175" s="232">
        <f>B175*C175</f>
        <v/>
      </c>
    </row>
    <row r="176">
      <c r="A176" s="48" t="inlineStr">
        <is>
          <t>ADMINISTRATIVE PERSONNEL (or equivalent in the private sector)</t>
        </is>
      </c>
      <c r="B176" s="357" t="n"/>
      <c r="C176" s="248" t="n"/>
      <c r="D176" s="232">
        <f>B176*C176</f>
        <v/>
      </c>
    </row>
    <row r="177">
      <c r="A177" s="48" t="inlineStr">
        <is>
          <t>OTHERS</t>
        </is>
      </c>
      <c r="B177" s="357" t="n"/>
      <c r="C177" s="248" t="n"/>
      <c r="D177" s="232">
        <f>B177*C177</f>
        <v/>
      </c>
    </row>
    <row r="178">
      <c r="A178" s="28" t="inlineStr">
        <is>
          <t>A.2 Natural Persons under direct contract</t>
        </is>
      </c>
      <c r="B178" s="357" t="n"/>
      <c r="C178" s="248" t="n"/>
      <c r="D178" s="232">
        <f>B178*C178</f>
        <v/>
      </c>
    </row>
    <row r="179">
      <c r="A179" s="28" t="inlineStr">
        <is>
          <t>A.3 Seconded Persons</t>
        </is>
      </c>
      <c r="B179" s="357" t="n"/>
      <c r="C179" s="248" t="n"/>
      <c r="D179" s="232">
        <f>B179*C179</f>
        <v/>
      </c>
    </row>
    <row r="180">
      <c r="A180" s="28" t="inlineStr">
        <is>
          <t>A.4 SME owners and natural person beneficiaries</t>
        </is>
      </c>
      <c r="B180" s="357" t="n"/>
      <c r="C180" s="256" t="n">
        <v>11858.7624</v>
      </c>
      <c r="D180" s="232">
        <f>B180*C180</f>
        <v/>
      </c>
    </row>
    <row r="181">
      <c r="A181" s="29" t="inlineStr">
        <is>
          <t>B. DIRECT SUBCONTRACTING COSTS</t>
        </is>
      </c>
      <c r="B181" s="358" t="n"/>
      <c r="C181" s="110" t="n"/>
      <c r="D181" s="359" t="n"/>
    </row>
    <row r="182">
      <c r="A182" s="53" t="n"/>
      <c r="B182" s="357" t="n"/>
      <c r="C182" s="248" t="n"/>
      <c r="D182" s="361">
        <f>B182*C182</f>
        <v/>
      </c>
    </row>
    <row r="183">
      <c r="A183" s="29" t="inlineStr">
        <is>
          <t>C. DIRECT PURCHASE COSTS</t>
        </is>
      </c>
      <c r="B183" s="358" t="n"/>
      <c r="C183" s="110" t="n"/>
      <c r="D183" s="359" t="n"/>
    </row>
    <row r="184">
      <c r="A184" s="28" t="inlineStr">
        <is>
          <t>C.1 Travel and subsistence</t>
        </is>
      </c>
      <c r="B184" s="357" t="n"/>
      <c r="C184" s="248" t="n"/>
      <c r="D184" s="361">
        <f>B184*C184</f>
        <v/>
      </c>
    </row>
    <row r="185">
      <c r="A185" s="28" t="inlineStr">
        <is>
          <t>C.2 Equipment (complete 'Depreciation costs' sheet)</t>
        </is>
      </c>
      <c r="B185" s="346" t="n"/>
      <c r="C185" s="111" t="n"/>
      <c r="D185" s="364" t="n"/>
    </row>
    <row r="186">
      <c r="A186" s="49" t="inlineStr">
        <is>
          <t>Equipment</t>
        </is>
      </c>
      <c r="B186" s="357" t="n"/>
      <c r="C186" s="248" t="n"/>
      <c r="D186" s="361">
        <f>B186*C186</f>
        <v/>
      </c>
    </row>
    <row r="187">
      <c r="A187" s="49" t="inlineStr">
        <is>
          <t>Infrastructure</t>
        </is>
      </c>
      <c r="B187" s="357" t="n"/>
      <c r="C187" s="248" t="n"/>
      <c r="D187" s="361">
        <f>B187*C187</f>
        <v/>
      </c>
    </row>
    <row r="188">
      <c r="A188" s="49" t="inlineStr">
        <is>
          <t>Other assets</t>
        </is>
      </c>
      <c r="B188" s="357" t="n"/>
      <c r="C188" s="248" t="n"/>
      <c r="D188" s="361">
        <f>B188*C188</f>
        <v/>
      </c>
    </row>
    <row r="189">
      <c r="A189" s="28" t="inlineStr">
        <is>
          <t>C.3 Other goods, works and services</t>
        </is>
      </c>
      <c r="B189" s="346" t="n"/>
      <c r="C189" s="111" t="n"/>
      <c r="D189" s="364" t="n"/>
    </row>
    <row r="190">
      <c r="A190" s="49" t="inlineStr">
        <is>
          <t>Consumables</t>
        </is>
      </c>
      <c r="B190" s="357" t="n"/>
      <c r="C190" s="248" t="n"/>
      <c r="D190" s="361">
        <f>B190*C190</f>
        <v/>
      </c>
    </row>
    <row r="191">
      <c r="A191" s="49" t="inlineStr">
        <is>
          <t>Services for meetings, seminars</t>
        </is>
      </c>
      <c r="B191" s="357" t="n"/>
      <c r="C191" s="248" t="n"/>
      <c r="D191" s="361">
        <f>B191*C191</f>
        <v/>
      </c>
    </row>
    <row r="192">
      <c r="A192" s="49" t="inlineStr">
        <is>
          <t>Services for dissemination activities (including website)</t>
        </is>
      </c>
      <c r="B192" s="357" t="n"/>
      <c r="C192" s="248" t="n"/>
      <c r="D192" s="361">
        <f>B192*C192</f>
        <v/>
      </c>
    </row>
    <row r="193">
      <c r="A193" s="49" t="inlineStr">
        <is>
          <t>Publication fees</t>
        </is>
      </c>
      <c r="B193" s="357" t="n"/>
      <c r="C193" s="248" t="n"/>
      <c r="D193" s="361">
        <f>B193*C193</f>
        <v/>
      </c>
    </row>
    <row r="194">
      <c r="A194" s="49" t="inlineStr">
        <is>
          <t>Other (shipment, insurance, translation, etc.)</t>
        </is>
      </c>
      <c r="B194" s="357" t="n"/>
      <c r="C194" s="248" t="n"/>
      <c r="D194" s="361">
        <f>B194*C194</f>
        <v/>
      </c>
    </row>
    <row r="195">
      <c r="A195" s="29" t="inlineStr">
        <is>
          <t>D. OTHER COST CATEGORIES</t>
        </is>
      </c>
      <c r="B195" s="358" t="n"/>
      <c r="C195" s="110" t="n"/>
      <c r="D195" s="359" t="n"/>
    </row>
    <row r="196">
      <c r="A196" s="50" t="inlineStr">
        <is>
          <t>D.1 Financial support to third parties (if applicable in the topic specific conditions)</t>
        </is>
      </c>
      <c r="B196" s="357" t="n"/>
      <c r="C196" s="248" t="n"/>
      <c r="D196" s="361">
        <f>B196*C196</f>
        <v/>
      </c>
    </row>
    <row r="197">
      <c r="A197" s="50" t="inlineStr">
        <is>
          <t>D.2 Internally invoiced goods and services</t>
        </is>
      </c>
      <c r="B197" s="357" t="n"/>
      <c r="C197" s="248" t="n"/>
      <c r="D197" s="361">
        <f>B197*C197</f>
        <v/>
      </c>
    </row>
    <row r="198">
      <c r="A198" s="50" t="inlineStr">
        <is>
          <t>D.3 Transnational access to research infrastructure unit costs (if mentioned as eligible in the topic specific conditions)</t>
        </is>
      </c>
      <c r="B198" s="357" t="n"/>
      <c r="C198" s="248" t="n"/>
      <c r="D198" s="361">
        <f>B198*C198</f>
        <v/>
      </c>
    </row>
    <row r="199">
      <c r="A199" s="50" t="inlineStr">
        <is>
          <t>D.4 Virtual access to research infrastructure unit costs (if mentioned as eligible in the topic specific conditions)</t>
        </is>
      </c>
      <c r="B199" s="357" t="n"/>
      <c r="C199" s="248" t="n"/>
      <c r="D199" s="361">
        <f>B199*C199</f>
        <v/>
      </c>
    </row>
    <row r="200">
      <c r="A200" s="50" t="inlineStr">
        <is>
          <t>D.5 PCP/PPI procurement costs (if mentioned as eligible in the topic specific conditions)</t>
        </is>
      </c>
      <c r="B200" s="357" t="n"/>
      <c r="C200" s="248" t="n"/>
      <c r="D200" s="361">
        <f>B200*C200</f>
        <v/>
      </c>
    </row>
    <row r="201">
      <c r="A201" s="50" t="n"/>
      <c r="B201" s="346" t="n"/>
      <c r="C201" s="111" t="n"/>
      <c r="D201" s="365" t="n"/>
    </row>
    <row r="202">
      <c r="A202" s="52" t="inlineStr">
        <is>
          <t>TOTAL DIRECT PERSONNEL COSTS AND PURCHASE COSTS (A+C)</t>
        </is>
      </c>
      <c r="B202" s="369" t="n"/>
      <c r="C202" s="230" t="n"/>
      <c r="D202" s="360">
        <f>SUM(D173:D180,D184:D194)</f>
        <v/>
      </c>
    </row>
    <row r="203">
      <c r="A203" s="52" t="inlineStr">
        <is>
          <t>TOTAL DIRECT COSTS  (A+B+C+D)</t>
        </is>
      </c>
      <c r="B203" s="369" t="n"/>
      <c r="C203" s="230" t="n"/>
      <c r="D203" s="360">
        <f>SUM(D173:D200)</f>
        <v/>
      </c>
    </row>
    <row r="204">
      <c r="A204" s="180" t="n"/>
      <c r="B204" s="372" t="n"/>
      <c r="C204" s="176" t="n"/>
      <c r="D204" s="373" t="n"/>
    </row>
    <row r="205">
      <c r="A205" s="29" t="inlineStr">
        <is>
          <t>E. INDIRECT COSTS (25% * (A+C))</t>
        </is>
      </c>
      <c r="B205" s="358" t="n"/>
      <c r="C205" s="110" t="n"/>
      <c r="D205" s="360">
        <f>D202*0.25</f>
        <v/>
      </c>
    </row>
    <row r="206">
      <c r="A206" s="32" t="n"/>
      <c r="B206" s="372" t="n"/>
      <c r="C206" s="176" t="n"/>
      <c r="D206" s="377" t="n"/>
    </row>
    <row r="207">
      <c r="A207" s="29" t="inlineStr">
        <is>
          <t>F. TOTAL COSTS (A+B+C+D+E)</t>
        </is>
      </c>
      <c r="B207" s="369" t="n"/>
      <c r="C207" s="230" t="n"/>
      <c r="D207" s="360">
        <f>D203+D205</f>
        <v/>
      </c>
    </row>
    <row r="208">
      <c r="A208" s="182" t="n"/>
      <c r="B208" s="183" t="n"/>
      <c r="C208" s="184" t="n"/>
      <c r="D208" s="183" t="n"/>
    </row>
    <row r="209">
      <c r="A209" s="190" t="n"/>
      <c r="B209" s="185" t="n"/>
      <c r="C209" s="186" t="n"/>
      <c r="D209" s="187" t="n"/>
    </row>
    <row r="210" ht="21" customHeight="1">
      <c r="A210" s="272">
        <f>CONCATENATE("COSTS WORK PACKAGE 6:"," ","Advanced Condition Health Monitoring and Prediction")</f>
        <v/>
      </c>
      <c r="B210" s="314" t="n"/>
      <c r="C210" s="314" t="n"/>
      <c r="D210" s="315" t="n"/>
    </row>
    <row r="211">
      <c r="A211" s="182" t="n"/>
      <c r="B211" s="191" t="n"/>
      <c r="C211" s="192" t="n"/>
      <c r="D211" s="191" t="n"/>
    </row>
    <row r="212">
      <c r="A212" s="29" t="inlineStr">
        <is>
          <t>A. DIRECT PERSONNEL COSTS</t>
        </is>
      </c>
      <c r="B212" s="30" t="n"/>
      <c r="C212" s="110" t="n"/>
      <c r="D212" s="354" t="n"/>
    </row>
    <row r="213">
      <c r="A213" s="28" t="inlineStr">
        <is>
          <t>A.1 Employees (or equivalent)</t>
        </is>
      </c>
      <c r="B213" s="89" t="n"/>
      <c r="C213" s="111" t="n"/>
      <c r="D213" s="355" t="n"/>
    </row>
    <row r="214">
      <c r="A214" s="48" t="inlineStr">
        <is>
          <t>SENIOR SCIENTISTS (or equivalent in the private sector)</t>
        </is>
      </c>
      <c r="B214" s="357" t="n"/>
      <c r="C214" s="248" t="n"/>
      <c r="D214" s="232">
        <f>B214*C214</f>
        <v/>
      </c>
    </row>
    <row r="215">
      <c r="A215" s="48" t="inlineStr">
        <is>
          <t>JUNIOR SCIENTISTS (or equivalent in the private sector)</t>
        </is>
      </c>
      <c r="B215" s="357" t="n">
        <v>3</v>
      </c>
      <c r="C215" s="248" t="n">
        <v>8500</v>
      </c>
      <c r="D215" s="232">
        <f>B215*C215</f>
        <v/>
      </c>
    </row>
    <row r="216">
      <c r="A216" s="48" t="inlineStr">
        <is>
          <t>TECHNICAL PERSONNEL (or equivalent in the private sector)</t>
        </is>
      </c>
      <c r="B216" s="357" t="n"/>
      <c r="C216" s="248" t="n"/>
      <c r="D216" s="232">
        <f>B216*C216</f>
        <v/>
      </c>
    </row>
    <row r="217">
      <c r="A217" s="48" t="inlineStr">
        <is>
          <t>ADMINISTRATIVE PERSONNEL (or equivalent in the private sector)</t>
        </is>
      </c>
      <c r="B217" s="357" t="n"/>
      <c r="C217" s="248" t="n"/>
      <c r="D217" s="232">
        <f>B217*C217</f>
        <v/>
      </c>
    </row>
    <row r="218">
      <c r="A218" s="48" t="inlineStr">
        <is>
          <t>OTHERS</t>
        </is>
      </c>
      <c r="B218" s="357" t="n"/>
      <c r="C218" s="248" t="n"/>
      <c r="D218" s="232">
        <f>B218*C218</f>
        <v/>
      </c>
    </row>
    <row r="219">
      <c r="A219" s="28" t="inlineStr">
        <is>
          <t>A.2 Natural Persons under direct contract</t>
        </is>
      </c>
      <c r="B219" s="357" t="n"/>
      <c r="C219" s="248" t="n"/>
      <c r="D219" s="232">
        <f>B219*C219</f>
        <v/>
      </c>
    </row>
    <row r="220">
      <c r="A220" s="28" t="inlineStr">
        <is>
          <t>A.3 Seconded Persons</t>
        </is>
      </c>
      <c r="B220" s="357" t="n"/>
      <c r="C220" s="248" t="n"/>
      <c r="D220" s="232">
        <f>B220*C220</f>
        <v/>
      </c>
    </row>
    <row r="221">
      <c r="A221" s="28" t="inlineStr">
        <is>
          <t>A.4 SME owners and natural person beneficiaries</t>
        </is>
      </c>
      <c r="B221" s="357" t="n"/>
      <c r="C221" s="256" t="n">
        <v>11858.7624</v>
      </c>
      <c r="D221" s="232">
        <f>B221*C221</f>
        <v/>
      </c>
    </row>
    <row r="222">
      <c r="A222" s="29" t="inlineStr">
        <is>
          <t>B. DIRECT SUBCONTRACTING COSTS</t>
        </is>
      </c>
      <c r="B222" s="358" t="n"/>
      <c r="C222" s="110" t="n"/>
      <c r="D222" s="359" t="n"/>
    </row>
    <row r="223">
      <c r="A223" s="53" t="n"/>
      <c r="B223" s="357" t="n"/>
      <c r="C223" s="248" t="n"/>
      <c r="D223" s="361">
        <f>B223*C223</f>
        <v/>
      </c>
    </row>
    <row r="224">
      <c r="A224" s="29" t="inlineStr">
        <is>
          <t>C. DIRECT PURCHASE COSTS</t>
        </is>
      </c>
      <c r="B224" s="358" t="n"/>
      <c r="C224" s="110" t="n"/>
      <c r="D224" s="359" t="n"/>
    </row>
    <row r="225">
      <c r="A225" s="28" t="inlineStr">
        <is>
          <t>C.1 Travel and subsistence</t>
        </is>
      </c>
      <c r="B225" s="357" t="n"/>
      <c r="C225" s="248" t="n"/>
      <c r="D225" s="361">
        <f>B225*C225</f>
        <v/>
      </c>
    </row>
    <row r="226">
      <c r="A226" s="28" t="inlineStr">
        <is>
          <t>C.2 Equipment (complete 'Depreciation costs' sheet)</t>
        </is>
      </c>
      <c r="B226" s="346" t="n"/>
      <c r="C226" s="111" t="n"/>
      <c r="D226" s="364" t="n"/>
    </row>
    <row r="227">
      <c r="A227" s="49" t="inlineStr">
        <is>
          <t>Equipment</t>
        </is>
      </c>
      <c r="B227" s="357" t="n"/>
      <c r="C227" s="248" t="n"/>
      <c r="D227" s="361">
        <f>B227*C227</f>
        <v/>
      </c>
    </row>
    <row r="228">
      <c r="A228" s="49" t="inlineStr">
        <is>
          <t>Infrastructure</t>
        </is>
      </c>
      <c r="B228" s="357" t="n"/>
      <c r="C228" s="248" t="n"/>
      <c r="D228" s="361">
        <f>B228*C228</f>
        <v/>
      </c>
    </row>
    <row r="229">
      <c r="A229" s="49" t="inlineStr">
        <is>
          <t>Other assets</t>
        </is>
      </c>
      <c r="B229" s="357" t="n"/>
      <c r="C229" s="248" t="n"/>
      <c r="D229" s="361">
        <f>B229*C229</f>
        <v/>
      </c>
    </row>
    <row r="230">
      <c r="A230" s="28" t="inlineStr">
        <is>
          <t>C.3 Other goods, works and services</t>
        </is>
      </c>
      <c r="B230" s="346" t="n"/>
      <c r="C230" s="111" t="n"/>
      <c r="D230" s="364" t="n"/>
    </row>
    <row r="231">
      <c r="A231" s="49" t="inlineStr">
        <is>
          <t>Consumables</t>
        </is>
      </c>
      <c r="B231" s="357" t="n"/>
      <c r="C231" s="248" t="n"/>
      <c r="D231" s="361">
        <f>B231*C231</f>
        <v/>
      </c>
    </row>
    <row r="232">
      <c r="A232" s="49" t="inlineStr">
        <is>
          <t>Services for meetings, seminars</t>
        </is>
      </c>
      <c r="B232" s="357" t="n"/>
      <c r="C232" s="248" t="n"/>
      <c r="D232" s="361">
        <f>B232*C232</f>
        <v/>
      </c>
    </row>
    <row r="233">
      <c r="A233" s="49" t="inlineStr">
        <is>
          <t>Services for dissemination activities (including website)</t>
        </is>
      </c>
      <c r="B233" s="357" t="n"/>
      <c r="C233" s="248" t="n"/>
      <c r="D233" s="361">
        <f>B233*C233</f>
        <v/>
      </c>
    </row>
    <row r="234">
      <c r="A234" s="49" t="inlineStr">
        <is>
          <t>Publication fees</t>
        </is>
      </c>
      <c r="B234" s="357" t="n"/>
      <c r="C234" s="248" t="n"/>
      <c r="D234" s="361">
        <f>B234*C234</f>
        <v/>
      </c>
    </row>
    <row r="235">
      <c r="A235" s="49" t="inlineStr">
        <is>
          <t>Other (shipment, insurance, translation, etc.)</t>
        </is>
      </c>
      <c r="B235" s="357" t="n"/>
      <c r="C235" s="248" t="n"/>
      <c r="D235" s="361">
        <f>B235*C235</f>
        <v/>
      </c>
    </row>
    <row r="236">
      <c r="A236" s="29" t="inlineStr">
        <is>
          <t>D. OTHER COST CATEGORIES</t>
        </is>
      </c>
      <c r="B236" s="358" t="n"/>
      <c r="C236" s="110" t="n"/>
      <c r="D236" s="359" t="n"/>
    </row>
    <row r="237">
      <c r="A237" s="50" t="inlineStr">
        <is>
          <t>D.1 Financial support to third parties (if applicable in the topic specific conditions)</t>
        </is>
      </c>
      <c r="B237" s="357" t="n"/>
      <c r="C237" s="248" t="n"/>
      <c r="D237" s="361">
        <f>B237*C237</f>
        <v/>
      </c>
    </row>
    <row r="238">
      <c r="A238" s="50" t="inlineStr">
        <is>
          <t>D.2 Internally invoiced goods and services</t>
        </is>
      </c>
      <c r="B238" s="357" t="n"/>
      <c r="C238" s="248" t="n"/>
      <c r="D238" s="361">
        <f>B238*C238</f>
        <v/>
      </c>
    </row>
    <row r="239">
      <c r="A239" s="50" t="inlineStr">
        <is>
          <t>D.3 Transnational access to research infrastructure unit costs (if mentioned as eligible in the topic specific conditions)</t>
        </is>
      </c>
      <c r="B239" s="357" t="n"/>
      <c r="C239" s="248" t="n"/>
      <c r="D239" s="361">
        <f>B239*C239</f>
        <v/>
      </c>
    </row>
    <row r="240">
      <c r="A240" s="50" t="inlineStr">
        <is>
          <t>D.4 Virtual access to research infrastructure unit costs (if mentioned as eligible in the topic specific conditions)</t>
        </is>
      </c>
      <c r="B240" s="357" t="n"/>
      <c r="C240" s="248" t="n"/>
      <c r="D240" s="361">
        <f>B240*C240</f>
        <v/>
      </c>
    </row>
    <row r="241">
      <c r="A241" s="50" t="inlineStr">
        <is>
          <t>D.5 PCP/PPI procurement costs (if mentioned as eligible in the topic specific conditions)</t>
        </is>
      </c>
      <c r="B241" s="357" t="n"/>
      <c r="C241" s="248" t="n"/>
      <c r="D241" s="361">
        <f>B241*C241</f>
        <v/>
      </c>
    </row>
    <row r="242">
      <c r="A242" s="50" t="n"/>
      <c r="B242" s="346" t="n"/>
      <c r="C242" s="111" t="n"/>
      <c r="D242" s="365" t="n"/>
    </row>
    <row r="243">
      <c r="A243" s="52" t="inlineStr">
        <is>
          <t>TOTAL DIRECT PERSONNEL COSTS AND PURCHASE COSTS (A+C)</t>
        </is>
      </c>
      <c r="B243" s="369" t="n"/>
      <c r="C243" s="230" t="n"/>
      <c r="D243" s="360">
        <f>SUM(D214:D221,D225:D235)</f>
        <v/>
      </c>
    </row>
    <row r="244">
      <c r="A244" s="52" t="inlineStr">
        <is>
          <t>TOTAL DIRECT COSTS  (A+B+C+D)</t>
        </is>
      </c>
      <c r="B244" s="369" t="n"/>
      <c r="C244" s="230" t="n"/>
      <c r="D244" s="360">
        <f>SUM(D214:D241)</f>
        <v/>
      </c>
    </row>
    <row r="245">
      <c r="A245" s="180" t="n"/>
      <c r="B245" s="372" t="n"/>
      <c r="C245" s="176" t="n"/>
      <c r="D245" s="373" t="n"/>
    </row>
    <row r="246">
      <c r="A246" s="29" t="inlineStr">
        <is>
          <t>E. INDIRECT COSTS (25% * (A+C))</t>
        </is>
      </c>
      <c r="B246" s="358" t="n"/>
      <c r="C246" s="110" t="n"/>
      <c r="D246" s="360">
        <f>D243*0.25</f>
        <v/>
      </c>
    </row>
    <row r="247">
      <c r="A247" s="32" t="n"/>
      <c r="B247" s="372" t="n"/>
      <c r="C247" s="176" t="n"/>
      <c r="D247" s="377" t="n"/>
    </row>
    <row r="248">
      <c r="A248" s="29" t="inlineStr">
        <is>
          <t>F. TOTAL COSTS (A+B+C+D+E)</t>
        </is>
      </c>
      <c r="B248" s="369" t="n"/>
      <c r="C248" s="230" t="n"/>
      <c r="D248" s="360">
        <f>D244+D246</f>
        <v/>
      </c>
    </row>
    <row r="249">
      <c r="A249" s="182" t="n"/>
      <c r="B249" s="183" t="n"/>
      <c r="C249" s="184" t="n"/>
      <c r="D249" s="183" t="n"/>
    </row>
    <row r="250">
      <c r="A250" s="190" t="n"/>
      <c r="B250" s="185" t="n"/>
      <c r="C250" s="186" t="n"/>
      <c r="D250" s="187" t="n"/>
    </row>
    <row r="251" ht="21" customHeight="1">
      <c r="A251" s="272">
        <f>CONCATENATE("COSTS WORK PACKAGE 7:"," ","Data Collection, Knowledge Access and Model Evaluation")</f>
        <v/>
      </c>
      <c r="B251" s="314" t="n"/>
      <c r="C251" s="314" t="n"/>
      <c r="D251" s="315" t="n"/>
    </row>
    <row r="252">
      <c r="A252" s="182" t="n"/>
      <c r="B252" s="191" t="n"/>
      <c r="C252" s="192" t="n"/>
      <c r="D252" s="191" t="n"/>
    </row>
    <row r="253">
      <c r="A253" s="29" t="inlineStr">
        <is>
          <t>A. DIRECT PERSONNEL COSTS</t>
        </is>
      </c>
      <c r="B253" s="30" t="n"/>
      <c r="C253" s="110" t="n"/>
      <c r="D253" s="354" t="n"/>
    </row>
    <row r="254">
      <c r="A254" s="28" t="inlineStr">
        <is>
          <t>A.1 Employees (or equivalent)</t>
        </is>
      </c>
      <c r="B254" s="89" t="n"/>
      <c r="C254" s="111" t="n"/>
      <c r="D254" s="355" t="n"/>
    </row>
    <row r="255">
      <c r="A255" s="48" t="inlineStr">
        <is>
          <t>SENIOR SCIENTISTS (or equivalent in the private sector)</t>
        </is>
      </c>
      <c r="B255" s="357" t="n"/>
      <c r="C255" s="248" t="n"/>
      <c r="D255" s="232">
        <f>B255*C255</f>
        <v/>
      </c>
    </row>
    <row r="256">
      <c r="A256" s="48" t="inlineStr">
        <is>
          <t>JUNIOR SCIENTISTS (or equivalent in the private sector)</t>
        </is>
      </c>
      <c r="B256" s="357" t="n"/>
      <c r="C256" s="248" t="n"/>
      <c r="D256" s="232">
        <f>B256*C256</f>
        <v/>
      </c>
    </row>
    <row r="257">
      <c r="A257" s="48" t="inlineStr">
        <is>
          <t>TECHNICAL PERSONNEL (or equivalent in the private sector)</t>
        </is>
      </c>
      <c r="B257" s="357" t="n"/>
      <c r="C257" s="248" t="n"/>
      <c r="D257" s="232">
        <f>B257*C257</f>
        <v/>
      </c>
    </row>
    <row r="258">
      <c r="A258" s="48" t="inlineStr">
        <is>
          <t>ADMINISTRATIVE PERSONNEL (or equivalent in the private sector)</t>
        </is>
      </c>
      <c r="B258" s="357" t="n"/>
      <c r="C258" s="248" t="n"/>
      <c r="D258" s="232">
        <f>B258*C258</f>
        <v/>
      </c>
    </row>
    <row r="259">
      <c r="A259" s="48" t="inlineStr">
        <is>
          <t>OTHERS</t>
        </is>
      </c>
      <c r="B259" s="357" t="n"/>
      <c r="C259" s="248" t="n"/>
      <c r="D259" s="232">
        <f>B259*C259</f>
        <v/>
      </c>
    </row>
    <row r="260">
      <c r="A260" s="28" t="inlineStr">
        <is>
          <t>A.2 Natural Persons under direct contract</t>
        </is>
      </c>
      <c r="B260" s="357" t="n"/>
      <c r="C260" s="248" t="n"/>
      <c r="D260" s="232">
        <f>B260*C260</f>
        <v/>
      </c>
    </row>
    <row r="261">
      <c r="A261" s="28" t="inlineStr">
        <is>
          <t>A.3 Seconded Persons</t>
        </is>
      </c>
      <c r="B261" s="357" t="n"/>
      <c r="C261" s="248" t="n"/>
      <c r="D261" s="232">
        <f>B261*C261</f>
        <v/>
      </c>
    </row>
    <row r="262">
      <c r="A262" s="28" t="inlineStr">
        <is>
          <t>A.4 SME owners and natural person beneficiaries</t>
        </is>
      </c>
      <c r="B262" s="357" t="n"/>
      <c r="C262" s="256" t="n">
        <v>11858.7624</v>
      </c>
      <c r="D262" s="232">
        <f>B262*C262</f>
        <v/>
      </c>
    </row>
    <row r="263">
      <c r="A263" s="29" t="inlineStr">
        <is>
          <t>B. DIRECT SUBCONTRACTING COSTS</t>
        </is>
      </c>
      <c r="B263" s="358" t="n"/>
      <c r="C263" s="110" t="n"/>
      <c r="D263" s="359" t="n"/>
    </row>
    <row r="264">
      <c r="A264" s="53" t="n"/>
      <c r="B264" s="357" t="n"/>
      <c r="C264" s="248" t="n"/>
      <c r="D264" s="361">
        <f>B264*C264</f>
        <v/>
      </c>
    </row>
    <row r="265">
      <c r="A265" s="29" t="inlineStr">
        <is>
          <t>C. DIRECT PURCHASE COSTS</t>
        </is>
      </c>
      <c r="B265" s="358" t="n"/>
      <c r="C265" s="110" t="n"/>
      <c r="D265" s="359" t="n"/>
    </row>
    <row r="266">
      <c r="A266" s="28" t="inlineStr">
        <is>
          <t>C.1 Travel and subsistence</t>
        </is>
      </c>
      <c r="B266" s="357" t="n"/>
      <c r="C266" s="248" t="n"/>
      <c r="D266" s="361">
        <f>B266*C266</f>
        <v/>
      </c>
    </row>
    <row r="267">
      <c r="A267" s="28" t="inlineStr">
        <is>
          <t>C.2 Equipment (complete 'Depreciation costs' sheet)</t>
        </is>
      </c>
      <c r="B267" s="346" t="n"/>
      <c r="C267" s="111" t="n"/>
      <c r="D267" s="364" t="n"/>
    </row>
    <row r="268">
      <c r="A268" s="49" t="inlineStr">
        <is>
          <t>Equipment</t>
        </is>
      </c>
      <c r="B268" s="357" t="n"/>
      <c r="C268" s="248" t="n"/>
      <c r="D268" s="361">
        <f>B268*C268</f>
        <v/>
      </c>
    </row>
    <row r="269">
      <c r="A269" s="49" t="inlineStr">
        <is>
          <t>Infrastructure</t>
        </is>
      </c>
      <c r="B269" s="357" t="n"/>
      <c r="C269" s="248" t="n"/>
      <c r="D269" s="361">
        <f>B269*C269</f>
        <v/>
      </c>
    </row>
    <row r="270">
      <c r="A270" s="49" t="inlineStr">
        <is>
          <t>Other assets</t>
        </is>
      </c>
      <c r="B270" s="357" t="n"/>
      <c r="C270" s="248" t="n"/>
      <c r="D270" s="361">
        <f>B270*C270</f>
        <v/>
      </c>
    </row>
    <row r="271">
      <c r="A271" s="28" t="inlineStr">
        <is>
          <t>C.3 Other goods, works and services</t>
        </is>
      </c>
      <c r="B271" s="346" t="n"/>
      <c r="C271" s="111" t="n"/>
      <c r="D271" s="364" t="n"/>
    </row>
    <row r="272">
      <c r="A272" s="49" t="inlineStr">
        <is>
          <t>Consumables</t>
        </is>
      </c>
      <c r="B272" s="357" t="n"/>
      <c r="C272" s="248" t="n"/>
      <c r="D272" s="361">
        <f>B272*C272</f>
        <v/>
      </c>
    </row>
    <row r="273">
      <c r="A273" s="49" t="inlineStr">
        <is>
          <t>Services for meetings, seminars</t>
        </is>
      </c>
      <c r="B273" s="357" t="n"/>
      <c r="C273" s="248" t="n"/>
      <c r="D273" s="361">
        <f>B273*C273</f>
        <v/>
      </c>
    </row>
    <row r="274">
      <c r="A274" s="49" t="inlineStr">
        <is>
          <t>Services for dissemination activities (including website)</t>
        </is>
      </c>
      <c r="B274" s="357" t="n"/>
      <c r="C274" s="248" t="n"/>
      <c r="D274" s="361">
        <f>B274*C274</f>
        <v/>
      </c>
    </row>
    <row r="275">
      <c r="A275" s="49" t="inlineStr">
        <is>
          <t>Publication fees</t>
        </is>
      </c>
      <c r="B275" s="357" t="n"/>
      <c r="C275" s="248" t="n"/>
      <c r="D275" s="361">
        <f>B275*C275</f>
        <v/>
      </c>
    </row>
    <row r="276">
      <c r="A276" s="49" t="inlineStr">
        <is>
          <t>Other (shipment, insurance, translation, etc.)</t>
        </is>
      </c>
      <c r="B276" s="357" t="n"/>
      <c r="C276" s="248" t="n"/>
      <c r="D276" s="361">
        <f>B276*C276</f>
        <v/>
      </c>
    </row>
    <row r="277">
      <c r="A277" s="29" t="inlineStr">
        <is>
          <t>D. OTHER COST CATEGORIES</t>
        </is>
      </c>
      <c r="B277" s="358" t="n"/>
      <c r="C277" s="110" t="n"/>
      <c r="D277" s="359" t="n"/>
    </row>
    <row r="278">
      <c r="A278" s="50" t="inlineStr">
        <is>
          <t>D.1 Financial support to third parties (if applicable in the topic specific conditions)</t>
        </is>
      </c>
      <c r="B278" s="357" t="n"/>
      <c r="C278" s="248" t="n"/>
      <c r="D278" s="361">
        <f>B278*C278</f>
        <v/>
      </c>
    </row>
    <row r="279">
      <c r="A279" s="50" t="inlineStr">
        <is>
          <t>D.2 Internally invoiced goods and services</t>
        </is>
      </c>
      <c r="B279" s="357" t="n"/>
      <c r="C279" s="248" t="n"/>
      <c r="D279" s="361">
        <f>B279*C279</f>
        <v/>
      </c>
    </row>
    <row r="280">
      <c r="A280" s="50" t="inlineStr">
        <is>
          <t>D.3 Transnational access to research infrastructure unit costs (if mentioned as eligible in the topic specific conditions)</t>
        </is>
      </c>
      <c r="B280" s="357" t="n"/>
      <c r="C280" s="248" t="n"/>
      <c r="D280" s="361">
        <f>B280*C280</f>
        <v/>
      </c>
    </row>
    <row r="281">
      <c r="A281" s="50" t="inlineStr">
        <is>
          <t>D.4 Virtual access to research infrastructure unit costs (if mentioned as eligible in the topic specific conditions)</t>
        </is>
      </c>
      <c r="B281" s="357" t="n"/>
      <c r="C281" s="248" t="n"/>
      <c r="D281" s="361">
        <f>B281*C281</f>
        <v/>
      </c>
    </row>
    <row r="282">
      <c r="A282" s="50" t="inlineStr">
        <is>
          <t>D.5 PCP/PPI procurement costs (if mentioned as eligible in the topic specific conditions)</t>
        </is>
      </c>
      <c r="B282" s="357" t="n"/>
      <c r="C282" s="248" t="n"/>
      <c r="D282" s="361">
        <f>B282*C282</f>
        <v/>
      </c>
    </row>
    <row r="283">
      <c r="A283" s="50" t="n"/>
      <c r="B283" s="346" t="n"/>
      <c r="C283" s="111" t="n"/>
      <c r="D283" s="365" t="n"/>
    </row>
    <row r="284">
      <c r="A284" s="52" t="inlineStr">
        <is>
          <t>TOTAL DIRECT PERSONNEL COSTS AND PURCHASE COSTS (A+C)</t>
        </is>
      </c>
      <c r="B284" s="369" t="n"/>
      <c r="C284" s="230" t="n"/>
      <c r="D284" s="360">
        <f>SUM(D255:D262,D266:D276)</f>
        <v/>
      </c>
    </row>
    <row r="285">
      <c r="A285" s="52" t="inlineStr">
        <is>
          <t>TOTAL DIRECT COSTS  (A+B+C+D)</t>
        </is>
      </c>
      <c r="B285" s="369" t="n"/>
      <c r="C285" s="230" t="n"/>
      <c r="D285" s="360">
        <f>SUM(D255:D282)</f>
        <v/>
      </c>
    </row>
    <row r="286">
      <c r="A286" s="180" t="n"/>
      <c r="B286" s="372" t="n"/>
      <c r="C286" s="176" t="n"/>
      <c r="D286" s="373" t="n"/>
    </row>
    <row r="287">
      <c r="A287" s="29" t="inlineStr">
        <is>
          <t>E. INDIRECT COSTS (25% * (A+C))</t>
        </is>
      </c>
      <c r="B287" s="358" t="n"/>
      <c r="C287" s="110" t="n"/>
      <c r="D287" s="360">
        <f>D284*0.25</f>
        <v/>
      </c>
    </row>
    <row r="288">
      <c r="A288" s="32" t="n"/>
      <c r="B288" s="372" t="n"/>
      <c r="C288" s="176" t="n"/>
      <c r="D288" s="377" t="n"/>
    </row>
    <row r="289">
      <c r="A289" s="29" t="inlineStr">
        <is>
          <t>F. TOTAL COSTS (A+B+C+D+E)</t>
        </is>
      </c>
      <c r="B289" s="369" t="n"/>
      <c r="C289" s="230" t="n"/>
      <c r="D289" s="360">
        <f>D285+D287</f>
        <v/>
      </c>
    </row>
    <row r="290">
      <c r="A290" s="182" t="n"/>
      <c r="B290" s="183" t="n"/>
      <c r="C290" s="184" t="n"/>
      <c r="D290" s="183" t="n"/>
    </row>
    <row r="291">
      <c r="A291" s="190" t="n"/>
      <c r="B291" s="185" t="n"/>
      <c r="C291" s="186" t="n"/>
      <c r="D291" s="187" t="n"/>
    </row>
    <row r="292" ht="21" customHeight="1">
      <c r="A292" s="272">
        <f>CONCATENATE("COSTS WORK PACKAGE 8:"," ","Agentic Workflow Development, Integration and Validation")</f>
        <v/>
      </c>
      <c r="B292" s="314" t="n"/>
      <c r="C292" s="314" t="n"/>
      <c r="D292" s="315" t="n"/>
    </row>
    <row r="293">
      <c r="A293" s="182" t="n"/>
      <c r="B293" s="191" t="n"/>
      <c r="C293" s="192" t="n"/>
      <c r="D293" s="191" t="n"/>
    </row>
    <row r="294">
      <c r="A294" s="29" t="inlineStr">
        <is>
          <t>A. DIRECT PERSONNEL COSTS</t>
        </is>
      </c>
      <c r="B294" s="30" t="n"/>
      <c r="C294" s="110" t="n"/>
      <c r="D294" s="354" t="n"/>
    </row>
    <row r="295">
      <c r="A295" s="28" t="inlineStr">
        <is>
          <t>A.1 Employees (or equivalent)</t>
        </is>
      </c>
      <c r="B295" s="89" t="n"/>
      <c r="C295" s="111" t="n"/>
      <c r="D295" s="355" t="n"/>
    </row>
    <row r="296">
      <c r="A296" s="48" t="inlineStr">
        <is>
          <t>SENIOR SCIENTISTS (or equivalent in the private sector)</t>
        </is>
      </c>
      <c r="B296" s="357" t="n"/>
      <c r="C296" s="248" t="n"/>
      <c r="D296" s="232">
        <f>B296*C296</f>
        <v/>
      </c>
    </row>
    <row r="297">
      <c r="A297" s="48" t="inlineStr">
        <is>
          <t>JUNIOR SCIENTISTS (or equivalent in the private sector)</t>
        </is>
      </c>
      <c r="B297" s="357" t="n"/>
      <c r="C297" s="248" t="n"/>
      <c r="D297" s="232">
        <f>B297*C297</f>
        <v/>
      </c>
    </row>
    <row r="298">
      <c r="A298" s="48" t="inlineStr">
        <is>
          <t>TECHNICAL PERSONNEL (or equivalent in the private sector)</t>
        </is>
      </c>
      <c r="B298" s="357" t="n"/>
      <c r="C298" s="248" t="n"/>
      <c r="D298" s="232">
        <f>B298*C298</f>
        <v/>
      </c>
    </row>
    <row r="299">
      <c r="A299" s="48" t="inlineStr">
        <is>
          <t>ADMINISTRATIVE PERSONNEL (or equivalent in the private sector)</t>
        </is>
      </c>
      <c r="B299" s="357" t="n"/>
      <c r="C299" s="248" t="n"/>
      <c r="D299" s="232">
        <f>B299*C299</f>
        <v/>
      </c>
    </row>
    <row r="300">
      <c r="A300" s="48" t="inlineStr">
        <is>
          <t>OTHERS</t>
        </is>
      </c>
      <c r="B300" s="357" t="n"/>
      <c r="C300" s="248" t="n"/>
      <c r="D300" s="232">
        <f>B300*C300</f>
        <v/>
      </c>
    </row>
    <row r="301">
      <c r="A301" s="28" t="inlineStr">
        <is>
          <t>A.2 Natural Persons under direct contract</t>
        </is>
      </c>
      <c r="B301" s="357" t="n"/>
      <c r="C301" s="248" t="n"/>
      <c r="D301" s="232">
        <f>B301*C301</f>
        <v/>
      </c>
    </row>
    <row r="302">
      <c r="A302" s="28" t="inlineStr">
        <is>
          <t>A.3 Seconded Persons</t>
        </is>
      </c>
      <c r="B302" s="357" t="n"/>
      <c r="C302" s="248" t="n"/>
      <c r="D302" s="232">
        <f>B302*C302</f>
        <v/>
      </c>
    </row>
    <row r="303">
      <c r="A303" s="28" t="inlineStr">
        <is>
          <t>A.4 SME owners and natural person beneficiaries</t>
        </is>
      </c>
      <c r="B303" s="357" t="n"/>
      <c r="C303" s="256" t="n">
        <v>11858.7624</v>
      </c>
      <c r="D303" s="232">
        <f>B303*C303</f>
        <v/>
      </c>
    </row>
    <row r="304">
      <c r="A304" s="29" t="inlineStr">
        <is>
          <t>B. DIRECT SUBCONTRACTING COSTS</t>
        </is>
      </c>
      <c r="B304" s="358" t="n"/>
      <c r="C304" s="110" t="n"/>
      <c r="D304" s="359" t="n"/>
    </row>
    <row r="305">
      <c r="A305" s="53" t="n"/>
      <c r="B305" s="357" t="n"/>
      <c r="C305" s="248" t="n"/>
      <c r="D305" s="361">
        <f>B305*C305</f>
        <v/>
      </c>
    </row>
    <row r="306">
      <c r="A306" s="29" t="inlineStr">
        <is>
          <t>C. DIRECT PURCHASE COSTS</t>
        </is>
      </c>
      <c r="B306" s="358" t="n"/>
      <c r="C306" s="110" t="n"/>
      <c r="D306" s="359" t="n"/>
    </row>
    <row r="307">
      <c r="A307" s="28" t="inlineStr">
        <is>
          <t>C.1 Travel and subsistence</t>
        </is>
      </c>
      <c r="B307" s="357" t="n"/>
      <c r="C307" s="248" t="n"/>
      <c r="D307" s="361">
        <f>B307*C307</f>
        <v/>
      </c>
    </row>
    <row r="308">
      <c r="A308" s="28" t="inlineStr">
        <is>
          <t>C.2 Equipment (complete 'Depreciation costs' sheet)</t>
        </is>
      </c>
      <c r="B308" s="346" t="n"/>
      <c r="C308" s="111" t="n"/>
      <c r="D308" s="364" t="n"/>
    </row>
    <row r="309">
      <c r="A309" s="49" t="inlineStr">
        <is>
          <t>Equipment</t>
        </is>
      </c>
      <c r="B309" s="357" t="n"/>
      <c r="C309" s="248" t="n"/>
      <c r="D309" s="361">
        <f>B309*C309</f>
        <v/>
      </c>
    </row>
    <row r="310">
      <c r="A310" s="49" t="inlineStr">
        <is>
          <t>Infrastructure</t>
        </is>
      </c>
      <c r="B310" s="357" t="n"/>
      <c r="C310" s="248" t="n"/>
      <c r="D310" s="361">
        <f>B310*C310</f>
        <v/>
      </c>
    </row>
    <row r="311">
      <c r="A311" s="49" t="inlineStr">
        <is>
          <t>Other assets</t>
        </is>
      </c>
      <c r="B311" s="357" t="n"/>
      <c r="C311" s="248" t="n"/>
      <c r="D311" s="361">
        <f>B311*C311</f>
        <v/>
      </c>
    </row>
    <row r="312">
      <c r="A312" s="28" t="inlineStr">
        <is>
          <t>C.3 Other goods, works and services</t>
        </is>
      </c>
      <c r="B312" s="346" t="n"/>
      <c r="C312" s="111" t="n"/>
      <c r="D312" s="364" t="n"/>
    </row>
    <row r="313">
      <c r="A313" s="49" t="inlineStr">
        <is>
          <t>Consumables</t>
        </is>
      </c>
      <c r="B313" s="357" t="n"/>
      <c r="C313" s="248" t="n"/>
      <c r="D313" s="361">
        <f>B313*C313</f>
        <v/>
      </c>
    </row>
    <row r="314">
      <c r="A314" s="49" t="inlineStr">
        <is>
          <t>Services for meetings, seminars</t>
        </is>
      </c>
      <c r="B314" s="357" t="n"/>
      <c r="C314" s="248" t="n"/>
      <c r="D314" s="361">
        <f>B314*C314</f>
        <v/>
      </c>
    </row>
    <row r="315">
      <c r="A315" s="49" t="inlineStr">
        <is>
          <t>Services for dissemination activities (including website)</t>
        </is>
      </c>
      <c r="B315" s="357" t="n"/>
      <c r="C315" s="248" t="n"/>
      <c r="D315" s="361">
        <f>B315*C315</f>
        <v/>
      </c>
    </row>
    <row r="316">
      <c r="A316" s="49" t="inlineStr">
        <is>
          <t>Publication fees</t>
        </is>
      </c>
      <c r="B316" s="357" t="n"/>
      <c r="C316" s="248" t="n"/>
      <c r="D316" s="361">
        <f>B316*C316</f>
        <v/>
      </c>
    </row>
    <row r="317">
      <c r="A317" s="49" t="inlineStr">
        <is>
          <t>Other (shipment, insurance, translation, etc.)</t>
        </is>
      </c>
      <c r="B317" s="357" t="n"/>
      <c r="C317" s="248" t="n"/>
      <c r="D317" s="361">
        <f>B317*C317</f>
        <v/>
      </c>
    </row>
    <row r="318">
      <c r="A318" s="29" t="inlineStr">
        <is>
          <t>D. OTHER COST CATEGORIES</t>
        </is>
      </c>
      <c r="B318" s="358" t="n"/>
      <c r="C318" s="110" t="n"/>
      <c r="D318" s="359" t="n"/>
    </row>
    <row r="319">
      <c r="A319" s="50" t="inlineStr">
        <is>
          <t>D.1 Financial support to third parties (if applicable in the topic specific conditions)</t>
        </is>
      </c>
      <c r="B319" s="357" t="n"/>
      <c r="C319" s="248" t="n"/>
      <c r="D319" s="361">
        <f>B319*C319</f>
        <v/>
      </c>
    </row>
    <row r="320">
      <c r="A320" s="50" t="inlineStr">
        <is>
          <t>D.2 Internally invoiced goods and services</t>
        </is>
      </c>
      <c r="B320" s="357" t="n"/>
      <c r="C320" s="248" t="n"/>
      <c r="D320" s="361">
        <f>B320*C320</f>
        <v/>
      </c>
    </row>
    <row r="321">
      <c r="A321" s="50" t="inlineStr">
        <is>
          <t>D.3 Transnational access to research infrastructure unit costs (if mentioned as eligible in the topic specific conditions)</t>
        </is>
      </c>
      <c r="B321" s="357" t="n"/>
      <c r="C321" s="248" t="n"/>
      <c r="D321" s="361">
        <f>B321*C321</f>
        <v/>
      </c>
    </row>
    <row r="322">
      <c r="A322" s="50" t="inlineStr">
        <is>
          <t>D.4 Virtual access to research infrastructure unit costs (if mentioned as eligible in the topic specific conditions)</t>
        </is>
      </c>
      <c r="B322" s="357" t="n"/>
      <c r="C322" s="248" t="n"/>
      <c r="D322" s="361">
        <f>B322*C322</f>
        <v/>
      </c>
    </row>
    <row r="323">
      <c r="A323" s="50" t="inlineStr">
        <is>
          <t>D.5 PCP/PPI procurement costs (if mentioned as eligible in the topic specific conditions)</t>
        </is>
      </c>
      <c r="B323" s="357" t="n"/>
      <c r="C323" s="248" t="n"/>
      <c r="D323" s="361">
        <f>B323*C323</f>
        <v/>
      </c>
    </row>
    <row r="324">
      <c r="A324" s="50" t="n"/>
      <c r="B324" s="346" t="n"/>
      <c r="C324" s="111" t="n"/>
      <c r="D324" s="365" t="n"/>
    </row>
    <row r="325">
      <c r="A325" s="52" t="inlineStr">
        <is>
          <t>TOTAL DIRECT PERSONNEL COSTS AND PURCHASE COSTS (A+C)</t>
        </is>
      </c>
      <c r="B325" s="369" t="n"/>
      <c r="C325" s="230" t="n"/>
      <c r="D325" s="360">
        <f>SUM(D296:D303,D307:D317)</f>
        <v/>
      </c>
    </row>
    <row r="326">
      <c r="A326" s="52" t="inlineStr">
        <is>
          <t>TOTAL DIRECT COSTS  (A+B+C+D)</t>
        </is>
      </c>
      <c r="B326" s="369" t="n"/>
      <c r="C326" s="230" t="n"/>
      <c r="D326" s="360">
        <f>SUM(D296:D323)</f>
        <v/>
      </c>
    </row>
    <row r="327">
      <c r="A327" s="180" t="n"/>
      <c r="B327" s="372" t="n"/>
      <c r="C327" s="176" t="n"/>
      <c r="D327" s="373" t="n"/>
    </row>
    <row r="328">
      <c r="A328" s="29" t="inlineStr">
        <is>
          <t>E. INDIRECT COSTS (25% * (A+C))</t>
        </is>
      </c>
      <c r="B328" s="358" t="n"/>
      <c r="C328" s="110" t="n"/>
      <c r="D328" s="360">
        <f>D325*0.25</f>
        <v/>
      </c>
    </row>
    <row r="329">
      <c r="A329" s="32" t="n"/>
      <c r="B329" s="372" t="n"/>
      <c r="C329" s="176" t="n"/>
      <c r="D329" s="377" t="n"/>
    </row>
    <row r="330">
      <c r="A330" s="29" t="inlineStr">
        <is>
          <t>F. TOTAL COSTS (A+B+C+D+E)</t>
        </is>
      </c>
      <c r="B330" s="369" t="n"/>
      <c r="C330" s="230" t="n"/>
      <c r="D330" s="360">
        <f>D326+D328</f>
        <v/>
      </c>
    </row>
    <row r="331">
      <c r="A331" s="182" t="n"/>
      <c r="B331" s="183" t="n"/>
      <c r="C331" s="184" t="n"/>
      <c r="D331" s="183" t="n"/>
    </row>
    <row r="332">
      <c r="A332" s="190" t="n"/>
      <c r="B332" s="185" t="n"/>
      <c r="C332" s="186" t="n"/>
      <c r="D332" s="187" t="n"/>
    </row>
    <row r="333" ht="21" customHeight="1">
      <c r="A333" s="272">
        <f>CONCATENATE("COSTS WORK PACKAGE 9:"," ","HSE and Environment")</f>
        <v/>
      </c>
      <c r="B333" s="314" t="n"/>
      <c r="C333" s="314" t="n"/>
      <c r="D333" s="315" t="n"/>
    </row>
    <row r="334">
      <c r="A334" s="182" t="n"/>
      <c r="B334" s="191" t="n"/>
      <c r="C334" s="192" t="n"/>
      <c r="D334" s="191" t="n"/>
    </row>
    <row r="335">
      <c r="A335" s="29" t="inlineStr">
        <is>
          <t>A. DIRECT PERSONNEL COSTS</t>
        </is>
      </c>
      <c r="B335" s="30" t="n"/>
      <c r="C335" s="110" t="n"/>
      <c r="D335" s="354" t="n"/>
    </row>
    <row r="336">
      <c r="A336" s="28" t="inlineStr">
        <is>
          <t>A.1 Employees (or equivalent)</t>
        </is>
      </c>
      <c r="B336" s="89" t="n"/>
      <c r="C336" s="111" t="n"/>
      <c r="D336" s="355" t="n"/>
    </row>
    <row r="337">
      <c r="A337" s="48" t="inlineStr">
        <is>
          <t>SENIOR SCIENTISTS (or equivalent in the private sector)</t>
        </is>
      </c>
      <c r="B337" s="357" t="n"/>
      <c r="C337" s="248" t="n"/>
      <c r="D337" s="232">
        <f>B337*C337</f>
        <v/>
      </c>
    </row>
    <row r="338">
      <c r="A338" s="48" t="inlineStr">
        <is>
          <t>JUNIOR SCIENTISTS (or equivalent in the private sector)</t>
        </is>
      </c>
      <c r="B338" s="357" t="n">
        <v>1</v>
      </c>
      <c r="C338" s="248" t="n">
        <v>8500</v>
      </c>
      <c r="D338" s="232">
        <f>B338*C338</f>
        <v/>
      </c>
    </row>
    <row r="339">
      <c r="A339" s="48" t="inlineStr">
        <is>
          <t>TECHNICAL PERSONNEL (or equivalent in the private sector)</t>
        </is>
      </c>
      <c r="B339" s="357" t="n"/>
      <c r="C339" s="248" t="n"/>
      <c r="D339" s="232">
        <f>B339*C339</f>
        <v/>
      </c>
    </row>
    <row r="340">
      <c r="A340" s="48" t="inlineStr">
        <is>
          <t>ADMINISTRATIVE PERSONNEL (or equivalent in the private sector)</t>
        </is>
      </c>
      <c r="B340" s="357" t="n"/>
      <c r="C340" s="248" t="n"/>
      <c r="D340" s="232">
        <f>B340*C340</f>
        <v/>
      </c>
    </row>
    <row r="341">
      <c r="A341" s="48" t="inlineStr">
        <is>
          <t>OTHERS</t>
        </is>
      </c>
      <c r="B341" s="357" t="n"/>
      <c r="C341" s="248" t="n"/>
      <c r="D341" s="232">
        <f>B341*C341</f>
        <v/>
      </c>
    </row>
    <row r="342">
      <c r="A342" s="28" t="inlineStr">
        <is>
          <t>A.2 Natural Persons under direct contract</t>
        </is>
      </c>
      <c r="B342" s="357" t="n"/>
      <c r="C342" s="248" t="n"/>
      <c r="D342" s="232">
        <f>B342*C342</f>
        <v/>
      </c>
    </row>
    <row r="343">
      <c r="A343" s="28" t="inlineStr">
        <is>
          <t>A.3 Seconded Persons</t>
        </is>
      </c>
      <c r="B343" s="357" t="n"/>
      <c r="C343" s="248" t="n"/>
      <c r="D343" s="232">
        <f>B343*C343</f>
        <v/>
      </c>
    </row>
    <row r="344">
      <c r="A344" s="28" t="inlineStr">
        <is>
          <t>A.4 SME owners and natural person beneficiaries</t>
        </is>
      </c>
      <c r="B344" s="357" t="n"/>
      <c r="C344" s="256" t="n">
        <v>11858.7624</v>
      </c>
      <c r="D344" s="232">
        <f>B344*C344</f>
        <v/>
      </c>
    </row>
    <row r="345">
      <c r="A345" s="29" t="inlineStr">
        <is>
          <t>B. DIRECT SUBCONTRACTING COSTS</t>
        </is>
      </c>
      <c r="B345" s="358" t="n"/>
      <c r="C345" s="110" t="n"/>
      <c r="D345" s="359" t="n"/>
    </row>
    <row r="346">
      <c r="A346" s="53" t="n"/>
      <c r="B346" s="357" t="n"/>
      <c r="C346" s="248" t="n"/>
      <c r="D346" s="361">
        <f>B346*C346</f>
        <v/>
      </c>
    </row>
    <row r="347">
      <c r="A347" s="29" t="inlineStr">
        <is>
          <t>C. DIRECT PURCHASE COSTS</t>
        </is>
      </c>
      <c r="B347" s="358" t="n"/>
      <c r="C347" s="110" t="n"/>
      <c r="D347" s="359" t="n"/>
    </row>
    <row r="348">
      <c r="A348" s="28" t="inlineStr">
        <is>
          <t>C.1 Travel and subsistence</t>
        </is>
      </c>
      <c r="B348" s="357" t="n"/>
      <c r="C348" s="248" t="n"/>
      <c r="D348" s="361">
        <f>B348*C348</f>
        <v/>
      </c>
    </row>
    <row r="349">
      <c r="A349" s="28" t="inlineStr">
        <is>
          <t>C.2 Equipment (complete 'Depreciation costs' sheet)</t>
        </is>
      </c>
      <c r="B349" s="346" t="n"/>
      <c r="C349" s="111" t="n"/>
      <c r="D349" s="364" t="n"/>
    </row>
    <row r="350">
      <c r="A350" s="49" t="inlineStr">
        <is>
          <t>Equipment</t>
        </is>
      </c>
      <c r="B350" s="357" t="n"/>
      <c r="C350" s="248" t="n"/>
      <c r="D350" s="361">
        <f>B350*C350</f>
        <v/>
      </c>
    </row>
    <row r="351">
      <c r="A351" s="49" t="inlineStr">
        <is>
          <t>Infrastructure</t>
        </is>
      </c>
      <c r="B351" s="357" t="n"/>
      <c r="C351" s="248" t="n"/>
      <c r="D351" s="361">
        <f>B351*C351</f>
        <v/>
      </c>
    </row>
    <row r="352">
      <c r="A352" s="49" t="inlineStr">
        <is>
          <t>Other assets</t>
        </is>
      </c>
      <c r="B352" s="357" t="n"/>
      <c r="C352" s="248" t="n"/>
      <c r="D352" s="361">
        <f>B352*C352</f>
        <v/>
      </c>
    </row>
    <row r="353">
      <c r="A353" s="28" t="inlineStr">
        <is>
          <t>C.3 Other goods, works and services</t>
        </is>
      </c>
      <c r="B353" s="346" t="n"/>
      <c r="C353" s="111" t="n"/>
      <c r="D353" s="364" t="n"/>
    </row>
    <row r="354">
      <c r="A354" s="49" t="inlineStr">
        <is>
          <t>Consumables</t>
        </is>
      </c>
      <c r="B354" s="357" t="n"/>
      <c r="C354" s="248" t="n"/>
      <c r="D354" s="361">
        <f>B354*C354</f>
        <v/>
      </c>
    </row>
    <row r="355">
      <c r="A355" s="49" t="inlineStr">
        <is>
          <t>Services for meetings, seminars</t>
        </is>
      </c>
      <c r="B355" s="357" t="n"/>
      <c r="C355" s="248" t="n"/>
      <c r="D355" s="361">
        <f>B355*C355</f>
        <v/>
      </c>
    </row>
    <row r="356">
      <c r="A356" s="49" t="inlineStr">
        <is>
          <t>Services for dissemination activities (including website)</t>
        </is>
      </c>
      <c r="B356" s="357" t="n"/>
      <c r="C356" s="248" t="n"/>
      <c r="D356" s="361">
        <f>B356*C356</f>
        <v/>
      </c>
    </row>
    <row r="357">
      <c r="A357" s="49" t="inlineStr">
        <is>
          <t>Publication fees</t>
        </is>
      </c>
      <c r="B357" s="357" t="n"/>
      <c r="C357" s="248" t="n"/>
      <c r="D357" s="361">
        <f>B357*C357</f>
        <v/>
      </c>
    </row>
    <row r="358">
      <c r="A358" s="49" t="inlineStr">
        <is>
          <t>Other (shipment, insurance, translation, etc.)</t>
        </is>
      </c>
      <c r="B358" s="357" t="n"/>
      <c r="C358" s="248" t="n"/>
      <c r="D358" s="361">
        <f>B358*C358</f>
        <v/>
      </c>
    </row>
    <row r="359">
      <c r="A359" s="29" t="inlineStr">
        <is>
          <t>D. OTHER COST CATEGORIES</t>
        </is>
      </c>
      <c r="B359" s="358" t="n"/>
      <c r="C359" s="110" t="n"/>
      <c r="D359" s="359" t="n"/>
    </row>
    <row r="360">
      <c r="A360" s="50" t="inlineStr">
        <is>
          <t>D.1 Financial support to third parties (if applicable in the topic specific conditions)</t>
        </is>
      </c>
      <c r="B360" s="357" t="n"/>
      <c r="C360" s="248" t="n"/>
      <c r="D360" s="361">
        <f>B360*C360</f>
        <v/>
      </c>
    </row>
    <row r="361">
      <c r="A361" s="50" t="inlineStr">
        <is>
          <t>D.2 Internally invoiced goods and services</t>
        </is>
      </c>
      <c r="B361" s="357" t="n"/>
      <c r="C361" s="248" t="n"/>
      <c r="D361" s="361">
        <f>B361*C361</f>
        <v/>
      </c>
    </row>
    <row r="362">
      <c r="A362" s="50" t="inlineStr">
        <is>
          <t>D.3 Transnational access to research infrastructure unit costs (if mentioned as eligible in the topic specific conditions)</t>
        </is>
      </c>
      <c r="B362" s="357" t="n"/>
      <c r="C362" s="248" t="n"/>
      <c r="D362" s="361">
        <f>B362*C362</f>
        <v/>
      </c>
    </row>
    <row r="363">
      <c r="A363" s="50" t="inlineStr">
        <is>
          <t>D.4 Virtual access to research infrastructure unit costs (if mentioned as eligible in the topic specific conditions)</t>
        </is>
      </c>
      <c r="B363" s="357" t="n"/>
      <c r="C363" s="248" t="n"/>
      <c r="D363" s="361">
        <f>B363*C363</f>
        <v/>
      </c>
    </row>
    <row r="364">
      <c r="A364" s="50" t="inlineStr">
        <is>
          <t>D.5 PCP/PPI procurement costs (if mentioned as eligible in the topic specific conditions)</t>
        </is>
      </c>
      <c r="B364" s="357" t="n"/>
      <c r="C364" s="248" t="n"/>
      <c r="D364" s="361">
        <f>B364*C364</f>
        <v/>
      </c>
    </row>
    <row r="365">
      <c r="A365" s="50" t="n"/>
      <c r="B365" s="346" t="n"/>
      <c r="C365" s="111" t="n"/>
      <c r="D365" s="365" t="n"/>
    </row>
    <row r="366">
      <c r="A366" s="52" t="inlineStr">
        <is>
          <t>TOTAL DIRECT PERSONNEL COSTS AND PURCHASE COSTS (A+C)</t>
        </is>
      </c>
      <c r="B366" s="369" t="n"/>
      <c r="C366" s="230" t="n"/>
      <c r="D366" s="360">
        <f>SUM(D337:D344,D348:D358)</f>
        <v/>
      </c>
    </row>
    <row r="367">
      <c r="A367" s="52" t="inlineStr">
        <is>
          <t>TOTAL DIRECT COSTS  (A+B+C+D)</t>
        </is>
      </c>
      <c r="B367" s="369" t="n"/>
      <c r="C367" s="230" t="n"/>
      <c r="D367" s="360">
        <f>SUM(D337:D364)</f>
        <v/>
      </c>
    </row>
    <row r="368">
      <c r="A368" s="180" t="n"/>
      <c r="B368" s="372" t="n"/>
      <c r="C368" s="176" t="n"/>
      <c r="D368" s="373" t="n"/>
    </row>
    <row r="369">
      <c r="A369" s="29" t="inlineStr">
        <is>
          <t>E. INDIRECT COSTS (25% * (A+C))</t>
        </is>
      </c>
      <c r="B369" s="358" t="n"/>
      <c r="C369" s="110" t="n"/>
      <c r="D369" s="360">
        <f>D366*0.25</f>
        <v/>
      </c>
    </row>
    <row r="370">
      <c r="A370" s="32" t="n"/>
      <c r="B370" s="372" t="n"/>
      <c r="C370" s="176" t="n"/>
      <c r="D370" s="377" t="n"/>
    </row>
    <row r="371">
      <c r="A371" s="29" t="inlineStr">
        <is>
          <t>F. TOTAL COSTS (A+B+C+D+E)</t>
        </is>
      </c>
      <c r="B371" s="369" t="n"/>
      <c r="C371" s="230" t="n"/>
      <c r="D371" s="360">
        <f>D367+D369</f>
        <v/>
      </c>
    </row>
    <row r="372">
      <c r="A372" s="182" t="n"/>
      <c r="B372" s="183" t="n"/>
      <c r="C372" s="184" t="n"/>
      <c r="D372" s="183" t="n"/>
    </row>
    <row r="373">
      <c r="A373" s="190" t="n"/>
      <c r="B373" s="185" t="n"/>
      <c r="C373" s="186" t="n"/>
      <c r="D373" s="187" t="n"/>
    </row>
    <row r="374" ht="21" customHeight="1">
      <c r="A374" s="272">
        <f>CONCATENATE("COSTS WORK PACKAGE 10:"," ","Adaptation of O&amp;M Platform")</f>
        <v/>
      </c>
      <c r="B374" s="314" t="n"/>
      <c r="C374" s="314" t="n"/>
      <c r="D374" s="315" t="n"/>
    </row>
    <row r="375">
      <c r="A375" s="182" t="n"/>
      <c r="B375" s="191" t="n"/>
      <c r="C375" s="192" t="n"/>
      <c r="D375" s="191" t="n"/>
    </row>
    <row r="376">
      <c r="A376" s="29" t="inlineStr">
        <is>
          <t>A. DIRECT PERSONNEL COSTS</t>
        </is>
      </c>
      <c r="B376" s="30" t="n"/>
      <c r="C376" s="110" t="n"/>
      <c r="D376" s="354" t="n"/>
    </row>
    <row r="377">
      <c r="A377" s="28" t="inlineStr">
        <is>
          <t>A.1 Employees (or equivalent)</t>
        </is>
      </c>
      <c r="B377" s="89" t="n"/>
      <c r="C377" s="111" t="n"/>
      <c r="D377" s="355" t="n"/>
    </row>
    <row r="378">
      <c r="A378" s="48" t="inlineStr">
        <is>
          <t>SENIOR SCIENTISTS (or equivalent in the private sector)</t>
        </is>
      </c>
      <c r="B378" s="357" t="n"/>
      <c r="C378" s="248" t="n"/>
      <c r="D378" s="232">
        <f>B378*C378</f>
        <v/>
      </c>
    </row>
    <row r="379">
      <c r="A379" s="48" t="inlineStr">
        <is>
          <t>JUNIOR SCIENTISTS (or equivalent in the private sector)</t>
        </is>
      </c>
      <c r="B379" s="357" t="n"/>
      <c r="C379" s="248" t="n"/>
      <c r="D379" s="232">
        <f>B379*C379</f>
        <v/>
      </c>
    </row>
    <row r="380">
      <c r="A380" s="48" t="inlineStr">
        <is>
          <t>TECHNICAL PERSONNEL (or equivalent in the private sector)</t>
        </is>
      </c>
      <c r="B380" s="357" t="n"/>
      <c r="C380" s="248" t="n"/>
      <c r="D380" s="232">
        <f>B380*C380</f>
        <v/>
      </c>
    </row>
    <row r="381">
      <c r="A381" s="48" t="inlineStr">
        <is>
          <t>ADMINISTRATIVE PERSONNEL (or equivalent in the private sector)</t>
        </is>
      </c>
      <c r="B381" s="357" t="n"/>
      <c r="C381" s="248" t="n"/>
      <c r="D381" s="232">
        <f>B381*C381</f>
        <v/>
      </c>
    </row>
    <row r="382">
      <c r="A382" s="48" t="inlineStr">
        <is>
          <t>OTHERS</t>
        </is>
      </c>
      <c r="B382" s="357" t="n"/>
      <c r="C382" s="248" t="n"/>
      <c r="D382" s="232">
        <f>B382*C382</f>
        <v/>
      </c>
    </row>
    <row r="383">
      <c r="A383" s="28" t="inlineStr">
        <is>
          <t>A.2 Natural Persons under direct contract</t>
        </is>
      </c>
      <c r="B383" s="357" t="n"/>
      <c r="C383" s="248" t="n"/>
      <c r="D383" s="232">
        <f>B383*C383</f>
        <v/>
      </c>
    </row>
    <row r="384">
      <c r="A384" s="28" t="inlineStr">
        <is>
          <t>A.3 Seconded Persons</t>
        </is>
      </c>
      <c r="B384" s="357" t="n"/>
      <c r="C384" s="248" t="n"/>
      <c r="D384" s="232">
        <f>B384*C384</f>
        <v/>
      </c>
    </row>
    <row r="385">
      <c r="A385" s="28" t="inlineStr">
        <is>
          <t>A.4 SME owners and natural person beneficiaries</t>
        </is>
      </c>
      <c r="B385" s="357" t="n"/>
      <c r="C385" s="256" t="n">
        <v>11858.7624</v>
      </c>
      <c r="D385" s="232">
        <f>B385*C385</f>
        <v/>
      </c>
    </row>
    <row r="386">
      <c r="A386" s="29" t="inlineStr">
        <is>
          <t>B. DIRECT SUBCONTRACTING COSTS</t>
        </is>
      </c>
      <c r="B386" s="358" t="n"/>
      <c r="C386" s="110" t="n"/>
      <c r="D386" s="359" t="n"/>
    </row>
    <row r="387">
      <c r="A387" s="53" t="n"/>
      <c r="B387" s="357" t="n"/>
      <c r="C387" s="248" t="n"/>
      <c r="D387" s="361">
        <f>B387*C387</f>
        <v/>
      </c>
    </row>
    <row r="388">
      <c r="A388" s="29" t="inlineStr">
        <is>
          <t>C. DIRECT PURCHASE COSTS</t>
        </is>
      </c>
      <c r="B388" s="358" t="n"/>
      <c r="C388" s="110" t="n"/>
      <c r="D388" s="359" t="n"/>
    </row>
    <row r="389">
      <c r="A389" s="28" t="inlineStr">
        <is>
          <t>C.1 Travel and subsistence</t>
        </is>
      </c>
      <c r="B389" s="357" t="n"/>
      <c r="C389" s="248" t="n"/>
      <c r="D389" s="361">
        <f>B389*C389</f>
        <v/>
      </c>
    </row>
    <row r="390">
      <c r="A390" s="28" t="inlineStr">
        <is>
          <t>C.2 Equipment (complete 'Depreciation costs' sheet)</t>
        </is>
      </c>
      <c r="B390" s="346" t="n"/>
      <c r="C390" s="111" t="n"/>
      <c r="D390" s="364" t="n"/>
    </row>
    <row r="391">
      <c r="A391" s="49" t="inlineStr">
        <is>
          <t>Equipment</t>
        </is>
      </c>
      <c r="B391" s="357" t="n"/>
      <c r="C391" s="248" t="n"/>
      <c r="D391" s="361">
        <f>B391*C391</f>
        <v/>
      </c>
    </row>
    <row r="392">
      <c r="A392" s="49" t="inlineStr">
        <is>
          <t>Infrastructure</t>
        </is>
      </c>
      <c r="B392" s="357" t="n"/>
      <c r="C392" s="248" t="n"/>
      <c r="D392" s="361">
        <f>B392*C392</f>
        <v/>
      </c>
    </row>
    <row r="393">
      <c r="A393" s="49" t="inlineStr">
        <is>
          <t>Other assets</t>
        </is>
      </c>
      <c r="B393" s="357" t="n"/>
      <c r="C393" s="248" t="n"/>
      <c r="D393" s="361">
        <f>B393*C393</f>
        <v/>
      </c>
    </row>
    <row r="394">
      <c r="A394" s="28" t="inlineStr">
        <is>
          <t>C.3 Other goods, works and services</t>
        </is>
      </c>
      <c r="B394" s="346" t="n"/>
      <c r="C394" s="111" t="n"/>
      <c r="D394" s="364" t="n"/>
    </row>
    <row r="395">
      <c r="A395" s="49" t="inlineStr">
        <is>
          <t>Consumables</t>
        </is>
      </c>
      <c r="B395" s="357" t="n"/>
      <c r="C395" s="248" t="n"/>
      <c r="D395" s="361">
        <f>B395*C395</f>
        <v/>
      </c>
    </row>
    <row r="396">
      <c r="A396" s="49" t="inlineStr">
        <is>
          <t>Services for meetings, seminars</t>
        </is>
      </c>
      <c r="B396" s="357" t="n"/>
      <c r="C396" s="248" t="n"/>
      <c r="D396" s="361">
        <f>B396*C396</f>
        <v/>
      </c>
    </row>
    <row r="397">
      <c r="A397" s="49" t="inlineStr">
        <is>
          <t>Services for dissemination activities (including website)</t>
        </is>
      </c>
      <c r="B397" s="357" t="n"/>
      <c r="C397" s="248" t="n"/>
      <c r="D397" s="361">
        <f>B397*C397</f>
        <v/>
      </c>
    </row>
    <row r="398">
      <c r="A398" s="49" t="inlineStr">
        <is>
          <t>Publication fees</t>
        </is>
      </c>
      <c r="B398" s="357" t="n"/>
      <c r="C398" s="248" t="n"/>
      <c r="D398" s="361">
        <f>B398*C398</f>
        <v/>
      </c>
    </row>
    <row r="399">
      <c r="A399" s="49" t="inlineStr">
        <is>
          <t>Other (shipment, insurance, translation, etc.)</t>
        </is>
      </c>
      <c r="B399" s="357" t="n"/>
      <c r="C399" s="248" t="n"/>
      <c r="D399" s="361">
        <f>B399*C399</f>
        <v/>
      </c>
    </row>
    <row r="400">
      <c r="A400" s="29" t="inlineStr">
        <is>
          <t>D. OTHER COST CATEGORIES</t>
        </is>
      </c>
      <c r="B400" s="358" t="n"/>
      <c r="C400" s="110" t="n"/>
      <c r="D400" s="359" t="n"/>
    </row>
    <row r="401">
      <c r="A401" s="50" t="inlineStr">
        <is>
          <t>D.1 Financial support to third parties (if applicable in the topic specific conditions)</t>
        </is>
      </c>
      <c r="B401" s="357" t="n"/>
      <c r="C401" s="248" t="n"/>
      <c r="D401" s="361">
        <f>B401*C401</f>
        <v/>
      </c>
    </row>
    <row r="402">
      <c r="A402" s="50" t="inlineStr">
        <is>
          <t>D.2 Internally invoiced goods and services</t>
        </is>
      </c>
      <c r="B402" s="357" t="n"/>
      <c r="C402" s="248" t="n"/>
      <c r="D402" s="361">
        <f>B402*C402</f>
        <v/>
      </c>
    </row>
    <row r="403">
      <c r="A403" s="50" t="inlineStr">
        <is>
          <t>D.3 Transnational access to research infrastructure unit costs (if mentioned as eligible in the topic specific conditions)</t>
        </is>
      </c>
      <c r="B403" s="357" t="n"/>
      <c r="C403" s="248" t="n"/>
      <c r="D403" s="361">
        <f>B403*C403</f>
        <v/>
      </c>
    </row>
    <row r="404">
      <c r="A404" s="50" t="inlineStr">
        <is>
          <t>D.4 Virtual access to research infrastructure unit costs (if mentioned as eligible in the topic specific conditions)</t>
        </is>
      </c>
      <c r="B404" s="357" t="n"/>
      <c r="C404" s="248" t="n"/>
      <c r="D404" s="361">
        <f>B404*C404</f>
        <v/>
      </c>
    </row>
    <row r="405">
      <c r="A405" s="50" t="inlineStr">
        <is>
          <t>D.5 PCP/PPI procurement costs (if mentioned as eligible in the topic specific conditions)</t>
        </is>
      </c>
      <c r="B405" s="357" t="n"/>
      <c r="C405" s="248" t="n"/>
      <c r="D405" s="361">
        <f>B405*C405</f>
        <v/>
      </c>
    </row>
    <row r="406">
      <c r="A406" s="50" t="n"/>
      <c r="B406" s="346" t="n"/>
      <c r="C406" s="111" t="n"/>
      <c r="D406" s="365" t="n"/>
    </row>
    <row r="407">
      <c r="A407" s="52" t="inlineStr">
        <is>
          <t>TOTAL DIRECT PERSONNEL COSTS AND PURCHASE COSTS (A+C)</t>
        </is>
      </c>
      <c r="B407" s="369" t="n"/>
      <c r="C407" s="230" t="n"/>
      <c r="D407" s="360">
        <f>SUM(D378:D385,D389:D399)</f>
        <v/>
      </c>
    </row>
    <row r="408">
      <c r="A408" s="52" t="inlineStr">
        <is>
          <t>TOTAL DIRECT COSTS  (A+B+C+D)</t>
        </is>
      </c>
      <c r="B408" s="369" t="n"/>
      <c r="C408" s="230" t="n"/>
      <c r="D408" s="360">
        <f>SUM(D378:D405)</f>
        <v/>
      </c>
    </row>
    <row r="409">
      <c r="A409" s="180" t="n"/>
      <c r="B409" s="372" t="n"/>
      <c r="C409" s="176" t="n"/>
      <c r="D409" s="373" t="n"/>
    </row>
    <row r="410">
      <c r="A410" s="29" t="inlineStr">
        <is>
          <t>E. INDIRECT COSTS (25% * (A+C))</t>
        </is>
      </c>
      <c r="B410" s="358" t="n"/>
      <c r="C410" s="110" t="n"/>
      <c r="D410" s="360">
        <f>D407*0.25</f>
        <v/>
      </c>
    </row>
    <row r="411">
      <c r="A411" s="32" t="n"/>
      <c r="B411" s="372" t="n"/>
      <c r="C411" s="176" t="n"/>
      <c r="D411" s="377" t="n"/>
    </row>
    <row r="412">
      <c r="A412" s="29" t="inlineStr">
        <is>
          <t>F. TOTAL COSTS (A+B+C+D+E)</t>
        </is>
      </c>
      <c r="B412" s="369" t="n"/>
      <c r="C412" s="230" t="n"/>
      <c r="D412" s="360">
        <f>D408+D410</f>
        <v/>
      </c>
    </row>
    <row r="413">
      <c r="A413" s="182" t="n"/>
      <c r="B413" s="183" t="n"/>
      <c r="C413" s="184" t="n"/>
      <c r="D413" s="183" t="n"/>
    </row>
    <row r="414">
      <c r="A414" s="190" t="n"/>
      <c r="B414" s="185" t="n"/>
      <c r="C414" s="186" t="n"/>
      <c r="D414" s="187" t="n"/>
    </row>
    <row r="415" ht="21" customHeight="1">
      <c r="A415" s="272">
        <f>CONCATENATE("COSTS WORK PACKAGE 11:"," ","System integration for unified O&amp;M Platform")</f>
        <v/>
      </c>
      <c r="B415" s="314" t="n"/>
      <c r="C415" s="314" t="n"/>
      <c r="D415" s="315" t="n"/>
    </row>
    <row r="416">
      <c r="A416" s="182" t="n"/>
      <c r="B416" s="191" t="n"/>
      <c r="C416" s="192" t="n"/>
      <c r="D416" s="191" t="n"/>
    </row>
    <row r="417">
      <c r="A417" s="29" t="inlineStr">
        <is>
          <t>A. DIRECT PERSONNEL COSTS</t>
        </is>
      </c>
      <c r="B417" s="30" t="n"/>
      <c r="C417" s="110" t="n"/>
      <c r="D417" s="354" t="n"/>
    </row>
    <row r="418">
      <c r="A418" s="28" t="inlineStr">
        <is>
          <t>A.1 Employees (or equivalent)</t>
        </is>
      </c>
      <c r="B418" s="89" t="n"/>
      <c r="C418" s="111" t="n"/>
      <c r="D418" s="355" t="n"/>
    </row>
    <row r="419">
      <c r="A419" s="48" t="inlineStr">
        <is>
          <t>SENIOR SCIENTISTS (or equivalent in the private sector)</t>
        </is>
      </c>
      <c r="B419" s="357" t="n"/>
      <c r="C419" s="248" t="n"/>
      <c r="D419" s="232">
        <f>B419*C419</f>
        <v/>
      </c>
    </row>
    <row r="420">
      <c r="A420" s="48" t="inlineStr">
        <is>
          <t>JUNIOR SCIENTISTS (or equivalent in the private sector)</t>
        </is>
      </c>
      <c r="B420" s="357" t="n"/>
      <c r="C420" s="248" t="n"/>
      <c r="D420" s="232">
        <f>B420*C420</f>
        <v/>
      </c>
    </row>
    <row r="421">
      <c r="A421" s="48" t="inlineStr">
        <is>
          <t>TECHNICAL PERSONNEL (or equivalent in the private sector)</t>
        </is>
      </c>
      <c r="B421" s="357" t="n"/>
      <c r="C421" s="248" t="n"/>
      <c r="D421" s="232">
        <f>B421*C421</f>
        <v/>
      </c>
    </row>
    <row r="422">
      <c r="A422" s="48" t="inlineStr">
        <is>
          <t>ADMINISTRATIVE PERSONNEL (or equivalent in the private sector)</t>
        </is>
      </c>
      <c r="B422" s="357" t="n"/>
      <c r="C422" s="248" t="n"/>
      <c r="D422" s="232">
        <f>B422*C422</f>
        <v/>
      </c>
    </row>
    <row r="423">
      <c r="A423" s="48" t="inlineStr">
        <is>
          <t>OTHERS</t>
        </is>
      </c>
      <c r="B423" s="357" t="n"/>
      <c r="C423" s="248" t="n"/>
      <c r="D423" s="232">
        <f>B423*C423</f>
        <v/>
      </c>
    </row>
    <row r="424">
      <c r="A424" s="28" t="inlineStr">
        <is>
          <t>A.2 Natural Persons under direct contract</t>
        </is>
      </c>
      <c r="B424" s="357" t="n"/>
      <c r="C424" s="248" t="n"/>
      <c r="D424" s="232">
        <f>B424*C424</f>
        <v/>
      </c>
    </row>
    <row r="425">
      <c r="A425" s="28" t="inlineStr">
        <is>
          <t>A.3 Seconded Persons</t>
        </is>
      </c>
      <c r="B425" s="357" t="n"/>
      <c r="C425" s="248" t="n"/>
      <c r="D425" s="232">
        <f>B425*C425</f>
        <v/>
      </c>
    </row>
    <row r="426">
      <c r="A426" s="28" t="inlineStr">
        <is>
          <t>A.4 SME owners and natural person beneficiaries</t>
        </is>
      </c>
      <c r="B426" s="357" t="n"/>
      <c r="C426" s="256" t="n">
        <v>11858.7624</v>
      </c>
      <c r="D426" s="232">
        <f>B426*C426</f>
        <v/>
      </c>
    </row>
    <row r="427">
      <c r="A427" s="29" t="inlineStr">
        <is>
          <t>B. DIRECT SUBCONTRACTING COSTS</t>
        </is>
      </c>
      <c r="B427" s="358" t="n"/>
      <c r="C427" s="110" t="n"/>
      <c r="D427" s="359" t="n"/>
    </row>
    <row r="428">
      <c r="A428" s="53" t="n"/>
      <c r="B428" s="357" t="n"/>
      <c r="C428" s="248" t="n"/>
      <c r="D428" s="361">
        <f>B428*C428</f>
        <v/>
      </c>
    </row>
    <row r="429">
      <c r="A429" s="29" t="inlineStr">
        <is>
          <t>C. DIRECT PURCHASE COSTS</t>
        </is>
      </c>
      <c r="B429" s="358" t="n"/>
      <c r="C429" s="110" t="n"/>
      <c r="D429" s="359" t="n"/>
    </row>
    <row r="430">
      <c r="A430" s="28" t="inlineStr">
        <is>
          <t>C.1 Travel and subsistence</t>
        </is>
      </c>
      <c r="B430" s="357" t="n"/>
      <c r="C430" s="248" t="n"/>
      <c r="D430" s="361">
        <f>B430*C430</f>
        <v/>
      </c>
    </row>
    <row r="431">
      <c r="A431" s="28" t="inlineStr">
        <is>
          <t>C.2 Equipment (complete 'Depreciation costs' sheet)</t>
        </is>
      </c>
      <c r="B431" s="346" t="n"/>
      <c r="C431" s="111" t="n"/>
      <c r="D431" s="364" t="n"/>
    </row>
    <row r="432">
      <c r="A432" s="49" t="inlineStr">
        <is>
          <t>Equipment</t>
        </is>
      </c>
      <c r="B432" s="357" t="n"/>
      <c r="C432" s="248" t="n"/>
      <c r="D432" s="361">
        <f>B432*C432</f>
        <v/>
      </c>
    </row>
    <row r="433">
      <c r="A433" s="49" t="inlineStr">
        <is>
          <t>Infrastructure</t>
        </is>
      </c>
      <c r="B433" s="357" t="n"/>
      <c r="C433" s="248" t="n"/>
      <c r="D433" s="361">
        <f>B433*C433</f>
        <v/>
      </c>
    </row>
    <row r="434">
      <c r="A434" s="49" t="inlineStr">
        <is>
          <t>Other assets</t>
        </is>
      </c>
      <c r="B434" s="357" t="n"/>
      <c r="C434" s="248" t="n"/>
      <c r="D434" s="361">
        <f>B434*C434</f>
        <v/>
      </c>
    </row>
    <row r="435">
      <c r="A435" s="28" t="inlineStr">
        <is>
          <t>C.3 Other goods, works and services</t>
        </is>
      </c>
      <c r="B435" s="346" t="n"/>
      <c r="C435" s="111" t="n"/>
      <c r="D435" s="364" t="n"/>
    </row>
    <row r="436">
      <c r="A436" s="49" t="inlineStr">
        <is>
          <t>Consumables</t>
        </is>
      </c>
      <c r="B436" s="357" t="n"/>
      <c r="C436" s="248" t="n"/>
      <c r="D436" s="361">
        <f>B436*C436</f>
        <v/>
      </c>
    </row>
    <row r="437">
      <c r="A437" s="49" t="inlineStr">
        <is>
          <t>Services for meetings, seminars</t>
        </is>
      </c>
      <c r="B437" s="357" t="n"/>
      <c r="C437" s="248" t="n"/>
      <c r="D437" s="361">
        <f>B437*C437</f>
        <v/>
      </c>
    </row>
    <row r="438">
      <c r="A438" s="49" t="inlineStr">
        <is>
          <t>Services for dissemination activities (including website)</t>
        </is>
      </c>
      <c r="B438" s="357" t="n"/>
      <c r="C438" s="248" t="n"/>
      <c r="D438" s="361">
        <f>B438*C438</f>
        <v/>
      </c>
    </row>
    <row r="439">
      <c r="A439" s="49" t="inlineStr">
        <is>
          <t>Publication fees</t>
        </is>
      </c>
      <c r="B439" s="357" t="n"/>
      <c r="C439" s="248" t="n"/>
      <c r="D439" s="361">
        <f>B439*C439</f>
        <v/>
      </c>
    </row>
    <row r="440">
      <c r="A440" s="49" t="inlineStr">
        <is>
          <t>Other (shipment, insurance, translation, etc.)</t>
        </is>
      </c>
      <c r="B440" s="357" t="n"/>
      <c r="C440" s="248" t="n"/>
      <c r="D440" s="361">
        <f>B440*C440</f>
        <v/>
      </c>
    </row>
    <row r="441">
      <c r="A441" s="29" t="inlineStr">
        <is>
          <t>D. OTHER COST CATEGORIES</t>
        </is>
      </c>
      <c r="B441" s="358" t="n"/>
      <c r="C441" s="110" t="n"/>
      <c r="D441" s="359" t="n"/>
    </row>
    <row r="442">
      <c r="A442" s="50" t="inlineStr">
        <is>
          <t>D.1 Financial support to third parties (if applicable in the topic specific conditions)</t>
        </is>
      </c>
      <c r="B442" s="357" t="n"/>
      <c r="C442" s="248" t="n"/>
      <c r="D442" s="361">
        <f>B442*C442</f>
        <v/>
      </c>
    </row>
    <row r="443">
      <c r="A443" s="50" t="inlineStr">
        <is>
          <t>D.2 Internally invoiced goods and services</t>
        </is>
      </c>
      <c r="B443" s="357" t="n"/>
      <c r="C443" s="248" t="n"/>
      <c r="D443" s="361">
        <f>B443*C443</f>
        <v/>
      </c>
    </row>
    <row r="444">
      <c r="A444" s="50" t="inlineStr">
        <is>
          <t>D.3 Transnational access to research infrastructure unit costs (if mentioned as eligible in the topic specific conditions)</t>
        </is>
      </c>
      <c r="B444" s="357" t="n"/>
      <c r="C444" s="248" t="n"/>
      <c r="D444" s="361">
        <f>B444*C444</f>
        <v/>
      </c>
    </row>
    <row r="445">
      <c r="A445" s="50" t="inlineStr">
        <is>
          <t>D.4 Virtual access to research infrastructure unit costs (if mentioned as eligible in the topic specific conditions)</t>
        </is>
      </c>
      <c r="B445" s="357" t="n"/>
      <c r="C445" s="248" t="n"/>
      <c r="D445" s="361">
        <f>B445*C445</f>
        <v/>
      </c>
    </row>
    <row r="446">
      <c r="A446" s="50" t="inlineStr">
        <is>
          <t>D.5 PCP/PPI procurement costs (if mentioned as eligible in the topic specific conditions)</t>
        </is>
      </c>
      <c r="B446" s="357" t="n"/>
      <c r="C446" s="248" t="n"/>
      <c r="D446" s="361">
        <f>B446*C446</f>
        <v/>
      </c>
    </row>
    <row r="447">
      <c r="A447" s="50" t="n"/>
      <c r="B447" s="346" t="n"/>
      <c r="C447" s="111" t="n"/>
      <c r="D447" s="365" t="n"/>
    </row>
    <row r="448">
      <c r="A448" s="52" t="inlineStr">
        <is>
          <t>TOTAL DIRECT PERSONNEL COSTS AND PURCHASE COSTS (A+C)</t>
        </is>
      </c>
      <c r="B448" s="369" t="n"/>
      <c r="C448" s="230" t="n"/>
      <c r="D448" s="360">
        <f>SUM(D419:D426,D430:D440)</f>
        <v/>
      </c>
    </row>
    <row r="449">
      <c r="A449" s="52" t="inlineStr">
        <is>
          <t>TOTAL DIRECT COSTS  (A+B+C+D)</t>
        </is>
      </c>
      <c r="B449" s="369" t="n"/>
      <c r="C449" s="230" t="n"/>
      <c r="D449" s="360">
        <f>SUM(D419:D446)</f>
        <v/>
      </c>
    </row>
    <row r="450">
      <c r="A450" s="180" t="n"/>
      <c r="B450" s="372" t="n"/>
      <c r="C450" s="176" t="n"/>
      <c r="D450" s="373" t="n"/>
    </row>
    <row r="451">
      <c r="A451" s="29" t="inlineStr">
        <is>
          <t>E. INDIRECT COSTS (25% * (A+C))</t>
        </is>
      </c>
      <c r="B451" s="358" t="n"/>
      <c r="C451" s="110" t="n"/>
      <c r="D451" s="360">
        <f>D448*0.25</f>
        <v/>
      </c>
    </row>
    <row r="452">
      <c r="A452" s="32" t="n"/>
      <c r="B452" s="372" t="n"/>
      <c r="C452" s="176" t="n"/>
      <c r="D452" s="377" t="n"/>
    </row>
    <row r="453">
      <c r="A453" s="29" t="inlineStr">
        <is>
          <t>F. TOTAL COSTS (A+B+C+D+E)</t>
        </is>
      </c>
      <c r="B453" s="369" t="n"/>
      <c r="C453" s="230" t="n"/>
      <c r="D453" s="360">
        <f>D449+D451</f>
        <v/>
      </c>
    </row>
    <row r="454">
      <c r="A454" s="182" t="n"/>
      <c r="B454" s="183" t="n"/>
      <c r="C454" s="184" t="n"/>
      <c r="D454" s="183" t="n"/>
    </row>
    <row r="455">
      <c r="A455" s="190" t="n"/>
      <c r="B455" s="185" t="n"/>
      <c r="C455" s="186" t="n"/>
      <c r="D455" s="187" t="n"/>
    </row>
    <row r="456" ht="21" customHeight="1">
      <c r="A456" s="272">
        <f>CONCATENATE("COSTS WORK PACKAGE 12:"," ","System-Level Demonstration and Validation")</f>
        <v/>
      </c>
      <c r="B456" s="314" t="n"/>
      <c r="C456" s="314" t="n"/>
      <c r="D456" s="315" t="n"/>
    </row>
    <row r="457">
      <c r="A457" s="182" t="n"/>
      <c r="B457" s="191" t="n"/>
      <c r="C457" s="192" t="n"/>
      <c r="D457" s="191" t="n"/>
    </row>
    <row r="458">
      <c r="A458" s="29" t="inlineStr">
        <is>
          <t>A. DIRECT PERSONNEL COSTS</t>
        </is>
      </c>
      <c r="B458" s="30" t="n"/>
      <c r="C458" s="110" t="n"/>
      <c r="D458" s="354" t="n"/>
    </row>
    <row r="459">
      <c r="A459" s="28" t="inlineStr">
        <is>
          <t>A.1 Employees (or equivalent)</t>
        </is>
      </c>
      <c r="B459" s="89" t="n"/>
      <c r="C459" s="111" t="n"/>
      <c r="D459" s="355" t="n"/>
    </row>
    <row r="460">
      <c r="A460" s="48" t="inlineStr">
        <is>
          <t>SENIOR SCIENTISTS (or equivalent in the private sector)</t>
        </is>
      </c>
      <c r="B460" s="357" t="n"/>
      <c r="C460" s="248" t="n"/>
      <c r="D460" s="232">
        <f>B460*C460</f>
        <v/>
      </c>
    </row>
    <row r="461">
      <c r="A461" s="48" t="inlineStr">
        <is>
          <t>JUNIOR SCIENTISTS (or equivalent in the private sector)</t>
        </is>
      </c>
      <c r="B461" s="357" t="n"/>
      <c r="C461" s="248" t="n"/>
      <c r="D461" s="232">
        <f>B461*C461</f>
        <v/>
      </c>
    </row>
    <row r="462">
      <c r="A462" s="48" t="inlineStr">
        <is>
          <t>TECHNICAL PERSONNEL (or equivalent in the private sector)</t>
        </is>
      </c>
      <c r="B462" s="357" t="n">
        <v>13</v>
      </c>
      <c r="C462" s="248" t="n">
        <v>8000</v>
      </c>
      <c r="D462" s="232">
        <f>B462*C462</f>
        <v/>
      </c>
    </row>
    <row r="463">
      <c r="A463" s="48" t="inlineStr">
        <is>
          <t>ADMINISTRATIVE PERSONNEL (or equivalent in the private sector)</t>
        </is>
      </c>
      <c r="B463" s="357" t="n"/>
      <c r="C463" s="248" t="n"/>
      <c r="D463" s="232">
        <f>B463*C463</f>
        <v/>
      </c>
    </row>
    <row r="464">
      <c r="A464" s="48" t="inlineStr">
        <is>
          <t>OTHERS</t>
        </is>
      </c>
      <c r="B464" s="357" t="n"/>
      <c r="C464" s="248" t="n"/>
      <c r="D464" s="232">
        <f>B464*C464</f>
        <v/>
      </c>
    </row>
    <row r="465">
      <c r="A465" s="28" t="inlineStr">
        <is>
          <t>A.2 Natural Persons under direct contract</t>
        </is>
      </c>
      <c r="B465" s="357" t="n"/>
      <c r="C465" s="248" t="n"/>
      <c r="D465" s="232">
        <f>B465*C465</f>
        <v/>
      </c>
    </row>
    <row r="466">
      <c r="A466" s="28" t="inlineStr">
        <is>
          <t>A.3 Seconded Persons</t>
        </is>
      </c>
      <c r="B466" s="357" t="n"/>
      <c r="C466" s="248" t="n"/>
      <c r="D466" s="232">
        <f>B466*C466</f>
        <v/>
      </c>
    </row>
    <row r="467">
      <c r="A467" s="28" t="inlineStr">
        <is>
          <t>A.4 SME owners and natural person beneficiaries</t>
        </is>
      </c>
      <c r="B467" s="357" t="n"/>
      <c r="C467" s="256" t="n">
        <v>11858.7624</v>
      </c>
      <c r="D467" s="232">
        <f>B467*C467</f>
        <v/>
      </c>
    </row>
    <row r="468">
      <c r="A468" s="29" t="inlineStr">
        <is>
          <t>B. DIRECT SUBCONTRACTING COSTS</t>
        </is>
      </c>
      <c r="B468" s="358" t="n"/>
      <c r="C468" s="110" t="n"/>
      <c r="D468" s="359" t="n"/>
    </row>
    <row r="469">
      <c r="A469" s="53" t="n"/>
      <c r="B469" s="357" t="n"/>
      <c r="C469" s="248" t="n"/>
      <c r="D469" s="361">
        <f>B469*C469</f>
        <v/>
      </c>
    </row>
    <row r="470">
      <c r="A470" s="29" t="inlineStr">
        <is>
          <t>C. DIRECT PURCHASE COSTS</t>
        </is>
      </c>
      <c r="B470" s="358" t="n"/>
      <c r="C470" s="110" t="n"/>
      <c r="D470" s="359" t="n"/>
    </row>
    <row r="471">
      <c r="A471" s="28" t="inlineStr">
        <is>
          <t>C.1 Travel and subsistence</t>
        </is>
      </c>
      <c r="B471" s="357" t="n"/>
      <c r="C471" s="248" t="n"/>
      <c r="D471" s="361">
        <f>B471*C471</f>
        <v/>
      </c>
    </row>
    <row r="472">
      <c r="A472" s="28" t="inlineStr">
        <is>
          <t>C.2 Equipment (complete 'Depreciation costs' sheet)</t>
        </is>
      </c>
      <c r="B472" s="346" t="n"/>
      <c r="C472" s="111" t="n"/>
      <c r="D472" s="364" t="n"/>
    </row>
    <row r="473">
      <c r="A473" s="49" t="inlineStr">
        <is>
          <t>Equipment</t>
        </is>
      </c>
      <c r="B473" s="357" t="n">
        <v>8</v>
      </c>
      <c r="C473" s="248" t="n">
        <v>2900</v>
      </c>
      <c r="D473" s="361">
        <f>B473*C473</f>
        <v/>
      </c>
    </row>
    <row r="474">
      <c r="A474" s="49" t="inlineStr">
        <is>
          <t>Infrastructure</t>
        </is>
      </c>
      <c r="B474" s="357" t="n"/>
      <c r="C474" s="248" t="n"/>
      <c r="D474" s="361">
        <f>B474*C474</f>
        <v/>
      </c>
    </row>
    <row r="475">
      <c r="A475" s="49" t="inlineStr">
        <is>
          <t>Other assets</t>
        </is>
      </c>
      <c r="B475" s="357" t="n"/>
      <c r="C475" s="248" t="n"/>
      <c r="D475" s="361">
        <f>B475*C475</f>
        <v/>
      </c>
    </row>
    <row r="476">
      <c r="A476" s="28" t="inlineStr">
        <is>
          <t>C.3 Other goods, works and services</t>
        </is>
      </c>
      <c r="B476" s="346" t="n"/>
      <c r="C476" s="111" t="n"/>
      <c r="D476" s="364" t="n"/>
    </row>
    <row r="477">
      <c r="A477" s="49" t="inlineStr">
        <is>
          <t>Consumables</t>
        </is>
      </c>
      <c r="B477" s="357" t="n"/>
      <c r="C477" s="248" t="n"/>
      <c r="D477" s="361">
        <f>B477*C477</f>
        <v/>
      </c>
    </row>
    <row r="478">
      <c r="A478" s="49" t="inlineStr">
        <is>
          <t>Services for meetings, seminars</t>
        </is>
      </c>
      <c r="B478" s="357" t="n"/>
      <c r="C478" s="248" t="n"/>
      <c r="D478" s="361">
        <f>B478*C478</f>
        <v/>
      </c>
    </row>
    <row r="479">
      <c r="A479" s="49" t="inlineStr">
        <is>
          <t>Services for dissemination activities (including website)</t>
        </is>
      </c>
      <c r="B479" s="357" t="n"/>
      <c r="C479" s="248" t="n"/>
      <c r="D479" s="361">
        <f>B479*C479</f>
        <v/>
      </c>
    </row>
    <row r="480">
      <c r="A480" s="49" t="inlineStr">
        <is>
          <t>Publication fees</t>
        </is>
      </c>
      <c r="B480" s="357" t="n"/>
      <c r="C480" s="248" t="n"/>
      <c r="D480" s="361">
        <f>B480*C480</f>
        <v/>
      </c>
    </row>
    <row r="481">
      <c r="A481" s="49" t="inlineStr">
        <is>
          <t>Other (shipment, insurance, translation, etc.)</t>
        </is>
      </c>
      <c r="B481" s="357" t="n">
        <v>2</v>
      </c>
      <c r="C481" s="248" t="n">
        <v>11000</v>
      </c>
      <c r="D481" s="361">
        <f>B481*C481</f>
        <v/>
      </c>
    </row>
    <row r="482">
      <c r="A482" s="29" t="inlineStr">
        <is>
          <t>D. OTHER COST CATEGORIES</t>
        </is>
      </c>
      <c r="B482" s="358" t="n"/>
      <c r="C482" s="110" t="n"/>
      <c r="D482" s="359" t="n"/>
    </row>
    <row r="483">
      <c r="A483" s="50" t="inlineStr">
        <is>
          <t>D.1 Financial support to third parties (if applicable in the topic specific conditions)</t>
        </is>
      </c>
      <c r="B483" s="357" t="n"/>
      <c r="C483" s="248" t="n"/>
      <c r="D483" s="361">
        <f>B483*C483</f>
        <v/>
      </c>
    </row>
    <row r="484">
      <c r="A484" s="50" t="inlineStr">
        <is>
          <t>D.2 Internally invoiced goods and services</t>
        </is>
      </c>
      <c r="B484" s="357" t="n"/>
      <c r="C484" s="248" t="n"/>
      <c r="D484" s="361">
        <f>B484*C484</f>
        <v/>
      </c>
    </row>
    <row r="485">
      <c r="A485" s="50" t="inlineStr">
        <is>
          <t>D.3 Transnational access to research infrastructure unit costs (if mentioned as eligible in the topic specific conditions)</t>
        </is>
      </c>
      <c r="B485" s="357" t="n"/>
      <c r="C485" s="248" t="n"/>
      <c r="D485" s="361">
        <f>B485*C485</f>
        <v/>
      </c>
    </row>
    <row r="486">
      <c r="A486" s="50" t="inlineStr">
        <is>
          <t>D.4 Virtual access to research infrastructure unit costs (if mentioned as eligible in the topic specific conditions)</t>
        </is>
      </c>
      <c r="B486" s="357" t="n"/>
      <c r="C486" s="248" t="n"/>
      <c r="D486" s="361">
        <f>B486*C486</f>
        <v/>
      </c>
    </row>
    <row r="487">
      <c r="A487" s="50" t="inlineStr">
        <is>
          <t>D.5 PCP/PPI procurement costs (if mentioned as eligible in the topic specific conditions)</t>
        </is>
      </c>
      <c r="B487" s="357" t="n"/>
      <c r="C487" s="248" t="n"/>
      <c r="D487" s="361">
        <f>B487*C487</f>
        <v/>
      </c>
    </row>
    <row r="488">
      <c r="A488" s="50" t="n"/>
      <c r="B488" s="346" t="n"/>
      <c r="C488" s="111" t="n"/>
      <c r="D488" s="365" t="n"/>
    </row>
    <row r="489">
      <c r="A489" s="52" t="inlineStr">
        <is>
          <t>TOTAL DIRECT PERSONNEL COSTS AND PURCHASE COSTS (A+C)</t>
        </is>
      </c>
      <c r="B489" s="369" t="n"/>
      <c r="C489" s="230" t="n"/>
      <c r="D489" s="360">
        <f>SUM(D460:D467,D471:D481)</f>
        <v/>
      </c>
    </row>
    <row r="490">
      <c r="A490" s="52" t="inlineStr">
        <is>
          <t>TOTAL DIRECT COSTS  (A+B+C+D)</t>
        </is>
      </c>
      <c r="B490" s="369" t="n"/>
      <c r="C490" s="230" t="n"/>
      <c r="D490" s="360">
        <f>SUM(D460:D487)</f>
        <v/>
      </c>
    </row>
    <row r="491">
      <c r="A491" s="180" t="n"/>
      <c r="B491" s="372" t="n"/>
      <c r="C491" s="176" t="n"/>
      <c r="D491" s="373" t="n"/>
    </row>
    <row r="492">
      <c r="A492" s="29" t="inlineStr">
        <is>
          <t>E. INDIRECT COSTS (25% * (A+C))</t>
        </is>
      </c>
      <c r="B492" s="358" t="n"/>
      <c r="C492" s="110" t="n"/>
      <c r="D492" s="360">
        <f>D489*0.25</f>
        <v/>
      </c>
    </row>
    <row r="493">
      <c r="A493" s="32" t="n"/>
      <c r="B493" s="372" t="n"/>
      <c r="C493" s="176" t="n"/>
      <c r="D493" s="377" t="n"/>
    </row>
    <row r="494">
      <c r="A494" s="29" t="inlineStr">
        <is>
          <t>F. TOTAL COSTS (A+B+C+D+E)</t>
        </is>
      </c>
      <c r="B494" s="369" t="n"/>
      <c r="C494" s="230" t="n"/>
      <c r="D494" s="360">
        <f>D490+D492</f>
        <v/>
      </c>
    </row>
    <row r="495">
      <c r="A495" s="182" t="n"/>
      <c r="B495" s="183" t="n"/>
      <c r="C495" s="184" t="n"/>
      <c r="D495" s="183" t="n"/>
    </row>
    <row r="496">
      <c r="A496" s="190" t="n"/>
      <c r="B496" s="185" t="n"/>
      <c r="C496" s="186" t="n"/>
      <c r="D496" s="187" t="n"/>
    </row>
    <row r="497" ht="21" customHeight="1">
      <c r="A497" s="272">
        <f>CONCATENATE("COSTS WORK PACKAGE 13:"," ","Dissemination, exploitation and communication general activity")</f>
        <v/>
      </c>
      <c r="B497" s="314" t="n"/>
      <c r="C497" s="314" t="n"/>
      <c r="D497" s="315" t="n"/>
    </row>
    <row r="498">
      <c r="A498" s="182" t="n"/>
      <c r="B498" s="191" t="n"/>
      <c r="C498" s="192" t="n"/>
      <c r="D498" s="191" t="n"/>
    </row>
    <row r="499">
      <c r="A499" s="29" t="inlineStr">
        <is>
          <t>A. DIRECT PERSONNEL COSTS</t>
        </is>
      </c>
      <c r="B499" s="30" t="n"/>
      <c r="C499" s="110" t="n"/>
      <c r="D499" s="354" t="n"/>
    </row>
    <row r="500">
      <c r="A500" s="28" t="inlineStr">
        <is>
          <t>A.1 Employees (or equivalent)</t>
        </is>
      </c>
      <c r="B500" s="89" t="n"/>
      <c r="C500" s="111" t="n"/>
      <c r="D500" s="355" t="n"/>
    </row>
    <row r="501">
      <c r="A501" s="48" t="inlineStr">
        <is>
          <t>SENIOR SCIENTISTS (or equivalent in the private sector)</t>
        </is>
      </c>
      <c r="B501" s="357" t="n"/>
      <c r="C501" s="248" t="n"/>
      <c r="D501" s="232">
        <f>B501*C501</f>
        <v/>
      </c>
    </row>
    <row r="502">
      <c r="A502" s="48" t="inlineStr">
        <is>
          <t>JUNIOR SCIENTISTS (or equivalent in the private sector)</t>
        </is>
      </c>
      <c r="B502" s="357" t="n"/>
      <c r="C502" s="248" t="n"/>
      <c r="D502" s="232">
        <f>B502*C502</f>
        <v/>
      </c>
    </row>
    <row r="503">
      <c r="A503" s="48" t="inlineStr">
        <is>
          <t>TECHNICAL PERSONNEL (or equivalent in the private sector)</t>
        </is>
      </c>
      <c r="B503" s="357" t="n"/>
      <c r="C503" s="248" t="n"/>
      <c r="D503" s="232">
        <f>B503*C503</f>
        <v/>
      </c>
    </row>
    <row r="504">
      <c r="A504" s="48" t="inlineStr">
        <is>
          <t>ADMINISTRATIVE PERSONNEL (or equivalent in the private sector)</t>
        </is>
      </c>
      <c r="B504" s="357" t="n"/>
      <c r="C504" s="248" t="n"/>
      <c r="D504" s="232">
        <f>B504*C504</f>
        <v/>
      </c>
    </row>
    <row r="505">
      <c r="A505" s="48" t="inlineStr">
        <is>
          <t>OTHERS</t>
        </is>
      </c>
      <c r="B505" s="357" t="n">
        <v>3.5</v>
      </c>
      <c r="C505" s="248" t="n">
        <v>6800</v>
      </c>
      <c r="D505" s="232">
        <f>B505*C505</f>
        <v/>
      </c>
    </row>
    <row r="506">
      <c r="A506" s="28" t="inlineStr">
        <is>
          <t>A.2 Natural Persons under direct contract</t>
        </is>
      </c>
      <c r="B506" s="357" t="n"/>
      <c r="C506" s="248" t="n"/>
      <c r="D506" s="232">
        <f>B506*C506</f>
        <v/>
      </c>
    </row>
    <row r="507">
      <c r="A507" s="28" t="inlineStr">
        <is>
          <t>A.3 Seconded Persons</t>
        </is>
      </c>
      <c r="B507" s="357" t="n"/>
      <c r="C507" s="248" t="n"/>
      <c r="D507" s="232">
        <f>B507*C507</f>
        <v/>
      </c>
    </row>
    <row r="508">
      <c r="A508" s="28" t="inlineStr">
        <is>
          <t>A.4 SME owners and natural person beneficiaries</t>
        </is>
      </c>
      <c r="B508" s="357" t="n"/>
      <c r="C508" s="256" t="n">
        <v>11858.7624</v>
      </c>
      <c r="D508" s="232">
        <f>B508*C508</f>
        <v/>
      </c>
    </row>
    <row r="509">
      <c r="A509" s="29" t="inlineStr">
        <is>
          <t>B. DIRECT SUBCONTRACTING COSTS</t>
        </is>
      </c>
      <c r="B509" s="358" t="n"/>
      <c r="C509" s="110" t="n"/>
      <c r="D509" s="359" t="n"/>
    </row>
    <row r="510">
      <c r="A510" s="53" t="n"/>
      <c r="B510" s="357" t="n"/>
      <c r="C510" s="248" t="n"/>
      <c r="D510" s="361">
        <f>B510*C510</f>
        <v/>
      </c>
    </row>
    <row r="511">
      <c r="A511" s="29" t="inlineStr">
        <is>
          <t>C. DIRECT PURCHASE COSTS</t>
        </is>
      </c>
      <c r="B511" s="358" t="n"/>
      <c r="C511" s="110" t="n"/>
      <c r="D511" s="359" t="n"/>
    </row>
    <row r="512">
      <c r="A512" s="28" t="inlineStr">
        <is>
          <t>C.1 Travel and subsistence</t>
        </is>
      </c>
      <c r="B512" s="357" t="n">
        <v>1</v>
      </c>
      <c r="C512" s="248" t="n">
        <v>1500</v>
      </c>
      <c r="D512" s="361">
        <f>B512*C512</f>
        <v/>
      </c>
    </row>
    <row r="513">
      <c r="A513" s="28" t="inlineStr">
        <is>
          <t>C.2 Equipment (complete 'Depreciation costs' sheet)</t>
        </is>
      </c>
      <c r="B513" s="346" t="n"/>
      <c r="C513" s="111" t="n"/>
      <c r="D513" s="364" t="n"/>
    </row>
    <row r="514">
      <c r="A514" s="49" t="inlineStr">
        <is>
          <t>Equipment</t>
        </is>
      </c>
      <c r="B514" s="357" t="n"/>
      <c r="C514" s="248" t="n"/>
      <c r="D514" s="361">
        <f>B514*C514</f>
        <v/>
      </c>
    </row>
    <row r="515">
      <c r="A515" s="49" t="inlineStr">
        <is>
          <t>Infrastructure</t>
        </is>
      </c>
      <c r="B515" s="357" t="n"/>
      <c r="C515" s="248" t="n"/>
      <c r="D515" s="361">
        <f>B515*C515</f>
        <v/>
      </c>
    </row>
    <row r="516">
      <c r="A516" s="49" t="inlineStr">
        <is>
          <t>Other assets</t>
        </is>
      </c>
      <c r="B516" s="357" t="n"/>
      <c r="C516" s="248" t="n"/>
      <c r="D516" s="361">
        <f>B516*C516</f>
        <v/>
      </c>
    </row>
    <row r="517">
      <c r="A517" s="28" t="inlineStr">
        <is>
          <t>C.3 Other goods, works and services</t>
        </is>
      </c>
      <c r="B517" s="346" t="n"/>
      <c r="C517" s="111" t="n"/>
      <c r="D517" s="364" t="n"/>
    </row>
    <row r="518">
      <c r="A518" s="49" t="inlineStr">
        <is>
          <t>Consumables</t>
        </is>
      </c>
      <c r="B518" s="357" t="n"/>
      <c r="C518" s="248" t="n"/>
      <c r="D518" s="361">
        <f>B518*C518</f>
        <v/>
      </c>
    </row>
    <row r="519">
      <c r="A519" s="49" t="inlineStr">
        <is>
          <t>Services for meetings, seminars</t>
        </is>
      </c>
      <c r="B519" s="357" t="n">
        <v>0</v>
      </c>
      <c r="C519" s="248" t="n">
        <v>6000</v>
      </c>
      <c r="D519" s="361">
        <f>B519*C519</f>
        <v/>
      </c>
    </row>
    <row r="520">
      <c r="A520" s="49" t="inlineStr">
        <is>
          <t>Services for dissemination activities (including website)</t>
        </is>
      </c>
      <c r="B520" s="357" t="n">
        <v>0</v>
      </c>
      <c r="C520" s="248" t="n">
        <v>10500</v>
      </c>
      <c r="D520" s="361">
        <f>B520*C520</f>
        <v/>
      </c>
    </row>
    <row r="521">
      <c r="A521" s="49" t="inlineStr">
        <is>
          <t>Publication fees</t>
        </is>
      </c>
      <c r="B521" s="357" t="n"/>
      <c r="C521" s="248" t="n"/>
      <c r="D521" s="361">
        <f>B521*C521</f>
        <v/>
      </c>
    </row>
    <row r="522">
      <c r="A522" s="49" t="inlineStr">
        <is>
          <t>Other (shipment, insurance, translation, etc.)</t>
        </is>
      </c>
      <c r="B522" s="357" t="n"/>
      <c r="C522" s="248" t="n"/>
      <c r="D522" s="361">
        <f>B522*C522</f>
        <v/>
      </c>
    </row>
    <row r="523">
      <c r="A523" s="29" t="inlineStr">
        <is>
          <t>D. OTHER COST CATEGORIES</t>
        </is>
      </c>
      <c r="B523" s="358" t="n"/>
      <c r="C523" s="110" t="n"/>
      <c r="D523" s="359" t="n"/>
    </row>
    <row r="524">
      <c r="A524" s="50" t="inlineStr">
        <is>
          <t>D.1 Financial support to third parties (if applicable in the topic specific conditions)</t>
        </is>
      </c>
      <c r="B524" s="357" t="n"/>
      <c r="C524" s="248" t="n"/>
      <c r="D524" s="361">
        <f>B524*C524</f>
        <v/>
      </c>
    </row>
    <row r="525">
      <c r="A525" s="50" t="inlineStr">
        <is>
          <t>D.2 Internally invoiced goods and services</t>
        </is>
      </c>
      <c r="B525" s="357" t="n"/>
      <c r="C525" s="248" t="n"/>
      <c r="D525" s="361">
        <f>B525*C525</f>
        <v/>
      </c>
    </row>
    <row r="526">
      <c r="A526" s="50" t="inlineStr">
        <is>
          <t>D.3 Transnational access to research infrastructure unit costs (if mentioned as eligible in the topic specific conditions)</t>
        </is>
      </c>
      <c r="B526" s="357" t="n"/>
      <c r="C526" s="248" t="n"/>
      <c r="D526" s="361">
        <f>B526*C526</f>
        <v/>
      </c>
    </row>
    <row r="527">
      <c r="A527" s="50" t="inlineStr">
        <is>
          <t>D.4 Virtual access to research infrastructure unit costs (if mentioned as eligible in the topic specific conditions)</t>
        </is>
      </c>
      <c r="B527" s="357" t="n"/>
      <c r="C527" s="248" t="n"/>
      <c r="D527" s="361">
        <f>B527*C527</f>
        <v/>
      </c>
    </row>
    <row r="528">
      <c r="A528" s="50" t="inlineStr">
        <is>
          <t>D.5 PCP/PPI procurement costs (if mentioned as eligible in the topic specific conditions)</t>
        </is>
      </c>
      <c r="B528" s="357" t="n"/>
      <c r="C528" s="248" t="n"/>
      <c r="D528" s="361">
        <f>B528*C528</f>
        <v/>
      </c>
    </row>
    <row r="529">
      <c r="A529" s="50" t="n"/>
      <c r="B529" s="346" t="n"/>
      <c r="C529" s="111" t="n"/>
      <c r="D529" s="365" t="n"/>
    </row>
    <row r="530">
      <c r="A530" s="52" t="inlineStr">
        <is>
          <t>TOTAL DIRECT PERSONNEL COSTS AND PURCHASE COSTS (A+C)</t>
        </is>
      </c>
      <c r="B530" s="369" t="n"/>
      <c r="C530" s="230" t="n"/>
      <c r="D530" s="360">
        <f>SUM(D501:D508,D512:D522)</f>
        <v/>
      </c>
    </row>
    <row r="531">
      <c r="A531" s="52" t="inlineStr">
        <is>
          <t>TOTAL DIRECT COSTS  (A+B+C+D)</t>
        </is>
      </c>
      <c r="B531" s="369" t="n"/>
      <c r="C531" s="230" t="n"/>
      <c r="D531" s="360">
        <f>SUM(D501:D528)</f>
        <v/>
      </c>
    </row>
    <row r="532">
      <c r="A532" s="180" t="n"/>
      <c r="B532" s="372" t="n"/>
      <c r="C532" s="176" t="n"/>
      <c r="D532" s="373" t="n"/>
    </row>
    <row r="533">
      <c r="A533" s="29" t="inlineStr">
        <is>
          <t>E. INDIRECT COSTS (25% * (A+C))</t>
        </is>
      </c>
      <c r="B533" s="358" t="n"/>
      <c r="C533" s="110" t="n"/>
      <c r="D533" s="360">
        <f>D530*0.25</f>
        <v/>
      </c>
    </row>
    <row r="534">
      <c r="A534" s="32" t="n"/>
      <c r="B534" s="372" t="n"/>
      <c r="C534" s="176" t="n"/>
      <c r="D534" s="377" t="n"/>
    </row>
    <row r="535">
      <c r="A535" s="29" t="inlineStr">
        <is>
          <t>F. TOTAL COSTS (A+B+C+D+E)</t>
        </is>
      </c>
      <c r="B535" s="369" t="n"/>
      <c r="C535" s="230" t="n"/>
      <c r="D535" s="360">
        <f>D531+D533</f>
        <v/>
      </c>
    </row>
    <row r="536">
      <c r="A536" s="182" t="n"/>
      <c r="B536" s="183" t="n"/>
      <c r="C536" s="184" t="n"/>
      <c r="D536" s="183" t="n"/>
    </row>
    <row r="537">
      <c r="A537" s="190" t="n"/>
      <c r="B537" s="185" t="n"/>
      <c r="C537" s="186" t="n"/>
      <c r="D537" s="187" t="n"/>
    </row>
    <row r="538" ht="21" customHeight="1">
      <c r="A538" s="272">
        <f>CONCATENATE("COSTS WORK PACKAGE 14:"," ","Key Exploitable Results (KER) Strategy and related Plans towards future exploitation and full-scale deployment")</f>
        <v/>
      </c>
      <c r="B538" s="314" t="n"/>
      <c r="C538" s="314" t="n"/>
      <c r="D538" s="315" t="n"/>
    </row>
    <row r="539">
      <c r="A539" s="182" t="n"/>
      <c r="B539" s="191" t="n"/>
      <c r="C539" s="192" t="n"/>
      <c r="D539" s="191" t="n"/>
    </row>
    <row r="540">
      <c r="A540" s="29" t="inlineStr">
        <is>
          <t>A. DIRECT PERSONNEL COSTS</t>
        </is>
      </c>
      <c r="B540" s="30" t="n"/>
      <c r="C540" s="110" t="n"/>
      <c r="D540" s="354" t="n"/>
    </row>
    <row r="541">
      <c r="A541" s="28" t="inlineStr">
        <is>
          <t>A.1 Employees (or equivalent)</t>
        </is>
      </c>
      <c r="B541" s="89" t="n"/>
      <c r="C541" s="111" t="n"/>
      <c r="D541" s="355" t="n"/>
    </row>
    <row r="542">
      <c r="A542" s="48" t="inlineStr">
        <is>
          <t>SENIOR SCIENTISTS (or equivalent in the private sector)</t>
        </is>
      </c>
      <c r="B542" s="357" t="n"/>
      <c r="C542" s="248" t="n"/>
      <c r="D542" s="232">
        <f>B542*C542</f>
        <v/>
      </c>
    </row>
    <row r="543">
      <c r="A543" s="48" t="inlineStr">
        <is>
          <t>JUNIOR SCIENTISTS (or equivalent in the private sector)</t>
        </is>
      </c>
      <c r="B543" s="357" t="n"/>
      <c r="C543" s="248" t="n"/>
      <c r="D543" s="232">
        <f>B543*C543</f>
        <v/>
      </c>
    </row>
    <row r="544">
      <c r="A544" s="48" t="inlineStr">
        <is>
          <t>TECHNICAL PERSONNEL (or equivalent in the private sector)</t>
        </is>
      </c>
      <c r="B544" s="357" t="n"/>
      <c r="C544" s="248" t="n"/>
      <c r="D544" s="232">
        <f>B544*C544</f>
        <v/>
      </c>
    </row>
    <row r="545">
      <c r="A545" s="48" t="inlineStr">
        <is>
          <t>ADMINISTRATIVE PERSONNEL (or equivalent in the private sector)</t>
        </is>
      </c>
      <c r="B545" s="357" t="n"/>
      <c r="C545" s="248" t="n"/>
      <c r="D545" s="232">
        <f>B545*C545</f>
        <v/>
      </c>
    </row>
    <row r="546">
      <c r="A546" s="48" t="inlineStr">
        <is>
          <t>OTHERS</t>
        </is>
      </c>
      <c r="B546" s="357" t="n">
        <v>5</v>
      </c>
      <c r="C546" s="248" t="n">
        <v>6800</v>
      </c>
      <c r="D546" s="232">
        <f>B546*C546</f>
        <v/>
      </c>
    </row>
    <row r="547">
      <c r="A547" s="28" t="inlineStr">
        <is>
          <t>A.2 Natural Persons under direct contract</t>
        </is>
      </c>
      <c r="B547" s="357" t="n"/>
      <c r="C547" s="248" t="n"/>
      <c r="D547" s="232">
        <f>B547*C547</f>
        <v/>
      </c>
    </row>
    <row r="548">
      <c r="A548" s="28" t="inlineStr">
        <is>
          <t>A.3 Seconded Persons</t>
        </is>
      </c>
      <c r="B548" s="357" t="n"/>
      <c r="C548" s="248" t="n"/>
      <c r="D548" s="232">
        <f>B548*C548</f>
        <v/>
      </c>
    </row>
    <row r="549">
      <c r="A549" s="28" t="inlineStr">
        <is>
          <t>A.4 SME owners and natural person beneficiaries</t>
        </is>
      </c>
      <c r="B549" s="357" t="n"/>
      <c r="C549" s="256" t="n">
        <v>11858.7624</v>
      </c>
      <c r="D549" s="232">
        <f>B549*C549</f>
        <v/>
      </c>
    </row>
    <row r="550">
      <c r="A550" s="29" t="inlineStr">
        <is>
          <t>B. DIRECT SUBCONTRACTING COSTS</t>
        </is>
      </c>
      <c r="B550" s="358" t="n"/>
      <c r="C550" s="110" t="n"/>
      <c r="D550" s="359" t="n"/>
    </row>
    <row r="551">
      <c r="A551" s="53" t="n"/>
      <c r="B551" s="357" t="n"/>
      <c r="C551" s="248" t="n"/>
      <c r="D551" s="361">
        <f>B551*C551</f>
        <v/>
      </c>
    </row>
    <row r="552">
      <c r="A552" s="29" t="inlineStr">
        <is>
          <t>C. DIRECT PURCHASE COSTS</t>
        </is>
      </c>
      <c r="B552" s="358" t="n"/>
      <c r="C552" s="110" t="n"/>
      <c r="D552" s="359" t="n"/>
    </row>
    <row r="553">
      <c r="A553" s="28" t="inlineStr">
        <is>
          <t>C.1 Travel and subsistence</t>
        </is>
      </c>
      <c r="B553" s="357" t="n">
        <v>1</v>
      </c>
      <c r="C553" s="248" t="n">
        <v>1500</v>
      </c>
      <c r="D553" s="361">
        <f>B553*C553</f>
        <v/>
      </c>
    </row>
    <row r="554">
      <c r="A554" s="28" t="inlineStr">
        <is>
          <t>C.2 Equipment (complete 'Depreciation costs' sheet)</t>
        </is>
      </c>
      <c r="B554" s="346" t="n"/>
      <c r="C554" s="111" t="n"/>
      <c r="D554" s="364" t="n"/>
    </row>
    <row r="555">
      <c r="A555" s="49" t="inlineStr">
        <is>
          <t>Equipment</t>
        </is>
      </c>
      <c r="B555" s="357" t="n"/>
      <c r="C555" s="248" t="n"/>
      <c r="D555" s="361">
        <f>B555*C555</f>
        <v/>
      </c>
    </row>
    <row r="556">
      <c r="A556" s="49" t="inlineStr">
        <is>
          <t>Infrastructure</t>
        </is>
      </c>
      <c r="B556" s="357" t="n"/>
      <c r="C556" s="248" t="n"/>
      <c r="D556" s="361">
        <f>B556*C556</f>
        <v/>
      </c>
    </row>
    <row r="557">
      <c r="A557" s="49" t="inlineStr">
        <is>
          <t>Other assets</t>
        </is>
      </c>
      <c r="B557" s="357" t="n"/>
      <c r="C557" s="248" t="n"/>
      <c r="D557" s="361">
        <f>B557*C557</f>
        <v/>
      </c>
    </row>
    <row r="558">
      <c r="A558" s="28" t="inlineStr">
        <is>
          <t>C.3 Other goods, works and services</t>
        </is>
      </c>
      <c r="B558" s="346" t="n"/>
      <c r="C558" s="111" t="n"/>
      <c r="D558" s="364" t="n"/>
    </row>
    <row r="559">
      <c r="A559" s="49" t="inlineStr">
        <is>
          <t>Consumables</t>
        </is>
      </c>
      <c r="B559" s="357" t="n"/>
      <c r="C559" s="248" t="n"/>
      <c r="D559" s="361">
        <f>B559*C559</f>
        <v/>
      </c>
    </row>
    <row r="560">
      <c r="A560" s="49" t="inlineStr">
        <is>
          <t>Services for meetings, seminars</t>
        </is>
      </c>
      <c r="B560" s="357" t="n">
        <v>1</v>
      </c>
      <c r="C560" s="248" t="n">
        <v>6000</v>
      </c>
      <c r="D560" s="361">
        <f>B560*C560</f>
        <v/>
      </c>
    </row>
    <row r="561">
      <c r="A561" s="49" t="inlineStr">
        <is>
          <t>Services for dissemination activities (including website)</t>
        </is>
      </c>
      <c r="B561" s="357" t="n">
        <v>0</v>
      </c>
      <c r="C561" s="248" t="n">
        <v>10500</v>
      </c>
      <c r="D561" s="361">
        <f>B561*C561</f>
        <v/>
      </c>
    </row>
    <row r="562">
      <c r="A562" s="49" t="inlineStr">
        <is>
          <t>Publication fees</t>
        </is>
      </c>
      <c r="B562" s="357" t="n"/>
      <c r="C562" s="248" t="n"/>
      <c r="D562" s="361">
        <f>B562*C562</f>
        <v/>
      </c>
    </row>
    <row r="563">
      <c r="A563" s="49" t="inlineStr">
        <is>
          <t>Other (shipment, insurance, translation, etc.)</t>
        </is>
      </c>
      <c r="B563" s="357" t="n"/>
      <c r="C563" s="248" t="n"/>
      <c r="D563" s="361">
        <f>B563*C563</f>
        <v/>
      </c>
    </row>
    <row r="564">
      <c r="A564" s="29" t="inlineStr">
        <is>
          <t>D. OTHER COST CATEGORIES</t>
        </is>
      </c>
      <c r="B564" s="358" t="n"/>
      <c r="C564" s="110" t="n"/>
      <c r="D564" s="359" t="n"/>
    </row>
    <row r="565">
      <c r="A565" s="50" t="inlineStr">
        <is>
          <t>D.1 Financial support to third parties (if applicable in the topic specific conditions)</t>
        </is>
      </c>
      <c r="B565" s="357" t="n"/>
      <c r="C565" s="248" t="n"/>
      <c r="D565" s="361">
        <f>B565*C565</f>
        <v/>
      </c>
    </row>
    <row r="566">
      <c r="A566" s="50" t="inlineStr">
        <is>
          <t>D.2 Internally invoiced goods and services</t>
        </is>
      </c>
      <c r="B566" s="357" t="n"/>
      <c r="C566" s="248" t="n"/>
      <c r="D566" s="361">
        <f>B566*C566</f>
        <v/>
      </c>
    </row>
    <row r="567">
      <c r="A567" s="50" t="inlineStr">
        <is>
          <t>D.3 Transnational access to research infrastructure unit costs (if mentioned as eligible in the topic specific conditions)</t>
        </is>
      </c>
      <c r="B567" s="357" t="n"/>
      <c r="C567" s="248" t="n"/>
      <c r="D567" s="361">
        <f>B567*C567</f>
        <v/>
      </c>
    </row>
    <row r="568">
      <c r="A568" s="50" t="inlineStr">
        <is>
          <t>D.4 Virtual access to research infrastructure unit costs (if mentioned as eligible in the topic specific conditions)</t>
        </is>
      </c>
      <c r="B568" s="357" t="n"/>
      <c r="C568" s="248" t="n"/>
      <c r="D568" s="361">
        <f>B568*C568</f>
        <v/>
      </c>
    </row>
    <row r="569">
      <c r="A569" s="50" t="inlineStr">
        <is>
          <t>D.5 PCP/PPI procurement costs (if mentioned as eligible in the topic specific conditions)</t>
        </is>
      </c>
      <c r="B569" s="357" t="n"/>
      <c r="C569" s="248" t="n"/>
      <c r="D569" s="361">
        <f>B569*C569</f>
        <v/>
      </c>
    </row>
    <row r="570">
      <c r="A570" s="50" t="n"/>
      <c r="B570" s="346" t="n"/>
      <c r="C570" s="111" t="n"/>
      <c r="D570" s="365" t="n"/>
    </row>
    <row r="571">
      <c r="A571" s="52" t="inlineStr">
        <is>
          <t>TOTAL DIRECT PERSONNEL COSTS AND PURCHASE COSTS (A+C)</t>
        </is>
      </c>
      <c r="B571" s="369" t="n"/>
      <c r="C571" s="230" t="n"/>
      <c r="D571" s="360">
        <f>SUM(D542:D549,D553:D563)</f>
        <v/>
      </c>
    </row>
    <row r="572">
      <c r="A572" s="52" t="inlineStr">
        <is>
          <t>TOTAL DIRECT COSTS  (A+B+C+D)</t>
        </is>
      </c>
      <c r="B572" s="369" t="n"/>
      <c r="C572" s="230" t="n"/>
      <c r="D572" s="360">
        <f>SUM(D542:D569)</f>
        <v/>
      </c>
    </row>
    <row r="573">
      <c r="A573" s="180" t="n"/>
      <c r="B573" s="372" t="n"/>
      <c r="C573" s="176" t="n"/>
      <c r="D573" s="373" t="n"/>
    </row>
    <row r="574">
      <c r="A574" s="29" t="inlineStr">
        <is>
          <t>E. INDIRECT COSTS (25% * (A+C))</t>
        </is>
      </c>
      <c r="B574" s="358" t="n"/>
      <c r="C574" s="110" t="n"/>
      <c r="D574" s="360">
        <f>D571*0.25</f>
        <v/>
      </c>
    </row>
    <row r="575">
      <c r="A575" s="32" t="n"/>
      <c r="B575" s="372" t="n"/>
      <c r="C575" s="176" t="n"/>
      <c r="D575" s="377" t="n"/>
    </row>
    <row r="576">
      <c r="A576" s="29" t="inlineStr">
        <is>
          <t>F. TOTAL COSTS (A+B+C+D+E)</t>
        </is>
      </c>
      <c r="B576" s="369" t="n"/>
      <c r="C576" s="230" t="n"/>
      <c r="D576" s="360">
        <f>D572+D574</f>
        <v/>
      </c>
    </row>
    <row r="578">
      <c r="A578" s="190" t="n"/>
      <c r="B578" s="185" t="n"/>
      <c r="C578" s="186" t="n"/>
      <c r="D578" s="187" t="n"/>
    </row>
    <row r="579" ht="21" customHeight="1">
      <c r="A579" s="272" t="inlineStr">
        <is>
          <t>SUMMARY</t>
        </is>
      </c>
      <c r="B579" s="314" t="n"/>
      <c r="C579" s="314" t="n"/>
      <c r="D579" s="315" t="n"/>
    </row>
    <row r="580">
      <c r="A580" s="56" t="n"/>
      <c r="B580" s="174" t="n"/>
      <c r="C580" s="175" t="n"/>
      <c r="D580" s="174" t="n"/>
    </row>
    <row r="581">
      <c r="A581" s="29" t="inlineStr">
        <is>
          <t>A. DIRECT PERSONNEL COSTS</t>
        </is>
      </c>
      <c r="B581" s="30" t="n"/>
      <c r="C581" s="110" t="n"/>
      <c r="D581" s="354" t="n"/>
    </row>
    <row r="582">
      <c r="A582" s="28" t="inlineStr">
        <is>
          <t>A.1 Employees (or equivalent)</t>
        </is>
      </c>
      <c r="B582" s="89" t="n"/>
      <c r="C582" s="111" t="n"/>
      <c r="D582" s="355" t="n"/>
    </row>
    <row r="583">
      <c r="A583" s="48" t="inlineStr">
        <is>
          <t>SENIOR SCIENTISTS (or equivalent in the private sector)</t>
        </is>
      </c>
      <c r="B583" s="378">
        <f>B9+B50+B91+B132+B173+B214+B255+B296+B337+B378+B419+B460+B501+B542</f>
        <v/>
      </c>
      <c r="C583" s="249">
        <f>IF(B583&gt;0,D583/B583," ")</f>
        <v/>
      </c>
      <c r="D583" s="361">
        <f>D9+D50+D91+D132+D173+D214+D255+D296+D337+D378+D419+D460+D501+D542</f>
        <v/>
      </c>
    </row>
    <row r="584">
      <c r="A584" s="48" t="inlineStr">
        <is>
          <t>JUNIOR SCIENTISTS (or equivalent in the private sector)</t>
        </is>
      </c>
      <c r="B584" s="378">
        <f>B10+B51+B92+B133+B174+B215+B256+B297+B338+B379+B420+B461+B502+B543</f>
        <v/>
      </c>
      <c r="C584" s="249">
        <f>IF(B584&gt;0,D584/B584," ")</f>
        <v/>
      </c>
      <c r="D584" s="361">
        <f>D10+D51+D92+D133+D174+D215+D256+D297+D338+D379+D420+D461+D502+D543</f>
        <v/>
      </c>
    </row>
    <row r="585">
      <c r="A585" s="48" t="inlineStr">
        <is>
          <t>TECHNICAL PERSONNEL (or equivalent in the private sector)</t>
        </is>
      </c>
      <c r="B585" s="378">
        <f>B11+B52+B93+B134+B175+B216+B257+B298+B339+B380+B421+B462+B503+B544</f>
        <v/>
      </c>
      <c r="C585" s="249">
        <f>IF(B585&gt;0,D585/B585," ")</f>
        <v/>
      </c>
      <c r="D585" s="361">
        <f>D11+D52+D93+D134+D175+D216+D257+D298+D339+D380+D421+D462+D503+D544</f>
        <v/>
      </c>
    </row>
    <row r="586">
      <c r="A586" s="48" t="inlineStr">
        <is>
          <t>ADMINISTRATIVE PERSONNEL (or equivalent in the private sector)</t>
        </is>
      </c>
      <c r="B586" s="378">
        <f>B12+B53+B94+B135+B176+B217+B258+B299+B340+B381+B422+B463+B504+B545</f>
        <v/>
      </c>
      <c r="C586" s="249">
        <f>IF(B586&gt;0,D586/B586," ")</f>
        <v/>
      </c>
      <c r="D586" s="361">
        <f>D12+D53+D94+D135+D176+D217+D258+D299+D340+D381+D422+D463+D504+D545</f>
        <v/>
      </c>
    </row>
    <row r="587">
      <c r="A587" s="48" t="inlineStr">
        <is>
          <t>OTHERS</t>
        </is>
      </c>
      <c r="B587" s="378">
        <f>B13+B54+B95+B136+B177+B218+B259+B300+B341+B382+B423+B464+B505+B546</f>
        <v/>
      </c>
      <c r="C587" s="249">
        <f>IF(B587&gt;0,D587/B587," ")</f>
        <v/>
      </c>
      <c r="D587" s="361">
        <f>D13+D54+D95+D136+D177+D218+D259+D300+D341+D382+D423+D464+D505+D546</f>
        <v/>
      </c>
    </row>
    <row r="588">
      <c r="A588" s="28" t="inlineStr">
        <is>
          <t>A.2 Natural Persons under direct contract</t>
        </is>
      </c>
      <c r="B588" s="378">
        <f>B14+B55+B96+B137+B178+B219+B260+B301+B342+B383+B424+B465+B506+B547</f>
        <v/>
      </c>
      <c r="C588" s="249">
        <f>IF(B588&gt;0,D588/B588," ")</f>
        <v/>
      </c>
      <c r="D588" s="361">
        <f>D14+D55+D96+D137+D178+D219+D260+D301+D342+D383+D424+D465+D506+D547</f>
        <v/>
      </c>
    </row>
    <row r="589">
      <c r="A589" s="28" t="inlineStr">
        <is>
          <t>A.3 Seconded Persons</t>
        </is>
      </c>
      <c r="B589" s="378">
        <f>B15+B56+B97+B138+B179+B220+B261+B302+B343+B384+B425+B466+B507+B548</f>
        <v/>
      </c>
      <c r="C589" s="249">
        <f>IF(B589&gt;0,D589/B589," ")</f>
        <v/>
      </c>
      <c r="D589" s="361">
        <f>D15+D56+D97+D138+D179+D220+D261+D302+D343+D384+D425+D466+D507+D548</f>
        <v/>
      </c>
    </row>
    <row r="590">
      <c r="A590" s="28" t="inlineStr">
        <is>
          <t>A.4 SME owners and natural person beneficiaries</t>
        </is>
      </c>
      <c r="B590" s="378">
        <f>B16+B57+B98+B139+B180+B221+B262+B303+B344+B385+B426+B467+B508+B549</f>
        <v/>
      </c>
      <c r="C590" s="249">
        <f>IF(B590&gt;0,D590/B590," ")</f>
        <v/>
      </c>
      <c r="D590" s="361">
        <f>D16+D57+D98+D139+D180+D221+D262+D303+D344+D385+D426+D467+D508+D549</f>
        <v/>
      </c>
    </row>
    <row r="591">
      <c r="A591" s="29" t="inlineStr">
        <is>
          <t>B. DIRECT SUBCONTRACTING COSTS</t>
        </is>
      </c>
      <c r="B591" s="380" t="n"/>
      <c r="C591" s="250" t="n"/>
      <c r="D591" s="359" t="n"/>
    </row>
    <row r="592">
      <c r="A592" s="28" t="n"/>
      <c r="B592" s="378">
        <f>B18+B59+B100+B141+B182+B223+B264+B305+B346+B387+B428+B469+B510+B551</f>
        <v/>
      </c>
      <c r="C592" s="249">
        <f>IF(B592&gt;0,D592/B592," ")</f>
        <v/>
      </c>
      <c r="D592" s="361">
        <f>D18+D59+D100+D141+D182+D223+D264+D305+D346+D387+D428+D469+D510+D551</f>
        <v/>
      </c>
    </row>
    <row r="593">
      <c r="A593" s="29" t="inlineStr">
        <is>
          <t>C. DIRECT PURCHASE COSTS</t>
        </is>
      </c>
      <c r="B593" s="380" t="n"/>
      <c r="C593" s="250" t="n"/>
      <c r="D593" s="359" t="n"/>
    </row>
    <row r="594">
      <c r="A594" s="28" t="inlineStr">
        <is>
          <t>C.1 Travel and subsistence</t>
        </is>
      </c>
      <c r="B594" s="378">
        <f>B20+B61+B102+B143+B184+B225+B266+B307+B348+B389+B430+B471+B512+B553</f>
        <v/>
      </c>
      <c r="C594" s="249">
        <f>IF(B594&gt;0,D594/B594," ")</f>
        <v/>
      </c>
      <c r="D594" s="361">
        <f>D20+D61+D102+D143+D184+D225+D266+D307+D348+D389+D430+D471+D512+D553</f>
        <v/>
      </c>
    </row>
    <row r="595">
      <c r="A595" s="28" t="inlineStr">
        <is>
          <t>C.2 Equipment (complete 'Depreciation costs' sheet)</t>
        </is>
      </c>
      <c r="B595" s="381" t="n"/>
      <c r="C595" s="251" t="n"/>
      <c r="D595" s="364" t="n"/>
    </row>
    <row r="596">
      <c r="A596" s="49" t="inlineStr">
        <is>
          <t>Equipment</t>
        </is>
      </c>
      <c r="B596" s="378">
        <f>B22+B63+B104+B145+B186+B227+B268+B309+B350+B391+B432+B473+B514+B555</f>
        <v/>
      </c>
      <c r="C596" s="249">
        <f>IF(B596&gt;0,D596/B596," ")</f>
        <v/>
      </c>
      <c r="D596" s="361">
        <f>D22+D63+D104+D145+D186+D227+D268+D309+D350+D391+D432+D473+D514+D555</f>
        <v/>
      </c>
    </row>
    <row r="597">
      <c r="A597" s="49" t="inlineStr">
        <is>
          <t>Infrastructure</t>
        </is>
      </c>
      <c r="B597" s="378">
        <f>B23+B64+B105+B146+B187+B228+B269+B310+B351+B392+B433+B474+B515+B556</f>
        <v/>
      </c>
      <c r="C597" s="249">
        <f>IF(B597&gt;0,D597/B597," ")</f>
        <v/>
      </c>
      <c r="D597" s="361">
        <f>D23+D64+D105+D146+D187+D228+D269+D310+D351+D392+D433+D474+D515+D556</f>
        <v/>
      </c>
    </row>
    <row r="598">
      <c r="A598" s="49" t="inlineStr">
        <is>
          <t>Other assets</t>
        </is>
      </c>
      <c r="B598" s="378">
        <f>B24+B65+B106+B147+B188+B229+B270+B311+B352+B393+B434+B475+B516+B557</f>
        <v/>
      </c>
      <c r="C598" s="249">
        <f>IF(B598&gt;0,D598/B598," ")</f>
        <v/>
      </c>
      <c r="D598" s="361">
        <f>D24+D65+D106+D147+D188+D229+D270+D311+D352+D393+D434+D475+D516+D557</f>
        <v/>
      </c>
    </row>
    <row r="599">
      <c r="A599" s="28" t="inlineStr">
        <is>
          <t>C.3 Other goods, works and services</t>
        </is>
      </c>
      <c r="B599" s="381" t="n"/>
      <c r="C599" s="251" t="n"/>
      <c r="D599" s="364" t="n"/>
    </row>
    <row r="600">
      <c r="A600" s="49" t="inlineStr">
        <is>
          <t>Consumables</t>
        </is>
      </c>
      <c r="B600" s="378">
        <f>B26+B67+B108+B149+B190+B231+B272+B313+B354+B395+B436+B477+B518+B559</f>
        <v/>
      </c>
      <c r="C600" s="249">
        <f>IF(B600&gt;0,D600/B600," ")</f>
        <v/>
      </c>
      <c r="D600" s="361">
        <f>D26+D67+D108+D149+D190+D231+D272+D313+D354+D395+D436+D477+D518+D559</f>
        <v/>
      </c>
    </row>
    <row r="601">
      <c r="A601" s="49" t="inlineStr">
        <is>
          <t>Services for meetings, seminars</t>
        </is>
      </c>
      <c r="B601" s="378">
        <f>B27+B68+B109+B150+B191+B232+B273+B314+B355+B396+B437+B478+B519+B560</f>
        <v/>
      </c>
      <c r="C601" s="249">
        <f>IF(B601&gt;0,D601/B601," ")</f>
        <v/>
      </c>
      <c r="D601" s="361">
        <f>D27+D68+D109+D150+D191+D232+D273+D314+D355+D396+D437+D478+D519+D560</f>
        <v/>
      </c>
    </row>
    <row r="602">
      <c r="A602" s="49" t="inlineStr">
        <is>
          <t>Services for dissemination activities (including website)</t>
        </is>
      </c>
      <c r="B602" s="378">
        <f>B28+B69+B110+B151+B192+B233+B274+B315+B356+B397+B438+B479+B520+B561</f>
        <v/>
      </c>
      <c r="C602" s="249">
        <f>IF(B602&gt;0,D602/B602," ")</f>
        <v/>
      </c>
      <c r="D602" s="361">
        <f>D28+D69+D110+D151+D192+D233+D274+D315+D356+D397+D438+D479+D520+D561</f>
        <v/>
      </c>
    </row>
    <row r="603">
      <c r="A603" s="49" t="inlineStr">
        <is>
          <t>Publication fees</t>
        </is>
      </c>
      <c r="B603" s="378">
        <f>B29+B70+B111+B152+B193+B234+B275+B316+B357+B398+B439+B480+B521+B562</f>
        <v/>
      </c>
      <c r="C603" s="249">
        <f>IF(B603&gt;0,D603/B603," ")</f>
        <v/>
      </c>
      <c r="D603" s="361">
        <f>D29+D70+D111+D152+D193+D234+D275+D316+D357+D398+D439+D480+D521+D562</f>
        <v/>
      </c>
    </row>
    <row r="604">
      <c r="A604" s="49" t="inlineStr">
        <is>
          <t>Other (shipment, insurance, translation, etc.)</t>
        </is>
      </c>
      <c r="B604" s="378">
        <f>B30+B71+B112+B153+B194+B235+B276+B317+B358+B399+B440+B481+B522+B563</f>
        <v/>
      </c>
      <c r="C604" s="249">
        <f>IF(B604&gt;0,D604/B604," ")</f>
        <v/>
      </c>
      <c r="D604" s="361">
        <f>D30+D71+D112+D153+D194+D235+D276+D317+D358+D399+D440+D481+D522+D563</f>
        <v/>
      </c>
    </row>
    <row r="605">
      <c r="A605" s="29" t="inlineStr">
        <is>
          <t>D. OTHER COST CATEGORIES</t>
        </is>
      </c>
      <c r="B605" s="380" t="n"/>
      <c r="C605" s="250" t="n"/>
      <c r="D605" s="359" t="n"/>
    </row>
    <row r="606">
      <c r="A606" s="50" t="inlineStr">
        <is>
          <t>D.1 Financial support to third parties (if applicable in the topic specific conditions)</t>
        </is>
      </c>
      <c r="B606" s="378">
        <f>B32+B73+B114+B155+B196+B237+B278+B319+B360+B401+B442+B483+B524+B565</f>
        <v/>
      </c>
      <c r="C606" s="249">
        <f>IF(B606&gt;0,D606/B606," ")</f>
        <v/>
      </c>
      <c r="D606" s="361">
        <f>D32+D73+D114+D155+D196+D237+D278+D319+D360+D401+D442+D483+D524+D565</f>
        <v/>
      </c>
    </row>
    <row r="607">
      <c r="A607" s="50" t="inlineStr">
        <is>
          <t>D.2 Internally invoiced goods and services</t>
        </is>
      </c>
      <c r="B607" s="378">
        <f>B33+B74+B115+B156+B197+B238+B279+B320+B361+B402+B443+B484+B525+B566</f>
        <v/>
      </c>
      <c r="C607" s="249">
        <f>IF(B607&gt;0,D607/B607," ")</f>
        <v/>
      </c>
      <c r="D607" s="361">
        <f>D33+D74+D115+D156+D197+D238+D279+D320+D361+D402+D443+D484+D525+D566</f>
        <v/>
      </c>
    </row>
    <row r="608">
      <c r="A608" s="50" t="inlineStr">
        <is>
          <t>D.3 Transnational access to research infrastructure unit costs (if mentioned as eligible in the topic specific conditions)</t>
        </is>
      </c>
      <c r="B608" s="378">
        <f>B34+B75+B116+B157+B198+B239+B280+B321+B362+B403+B444+B485+B526+B567</f>
        <v/>
      </c>
      <c r="C608" s="249">
        <f>IF(B608&gt;0,D608/B608," ")</f>
        <v/>
      </c>
      <c r="D608" s="361">
        <f>D34+D75+D116+D157+D198+D239+D280+D321+D362+D403+D444+D485+D526+D567</f>
        <v/>
      </c>
    </row>
    <row r="609">
      <c r="A609" s="50" t="inlineStr">
        <is>
          <t>D.4 Virtual access to research infrastructure unit costs (if mentioned as eligible in the topic specific conditions)</t>
        </is>
      </c>
      <c r="B609" s="378">
        <f>B35+B76+B117+B158+B199+B240+B281+B322+B363+B404+B445+B486+B527+B568</f>
        <v/>
      </c>
      <c r="C609" s="249">
        <f>IF(B609&gt;0,D609/B609," ")</f>
        <v/>
      </c>
      <c r="D609" s="361">
        <f>D35+D76+D117+D158+D199+D240+D281+D322+D363+D404+D445+D486+D527+D568</f>
        <v/>
      </c>
    </row>
    <row r="610">
      <c r="A610" s="50" t="inlineStr">
        <is>
          <t>D.5 PCP/PPI procurement costs (if mentioned as eligible in the topic specific conditions)</t>
        </is>
      </c>
      <c r="B610" s="378">
        <f>B36+B77+B118+B159+B200+B241+B282+B323+B364+B405+B446+B487+B528+B569</f>
        <v/>
      </c>
      <c r="C610" s="249">
        <f>IF(B610&gt;0,D610/B610," ")</f>
        <v/>
      </c>
      <c r="D610" s="361">
        <f>D36+D77+D118+D159+D200+D241+D282+D323+D364+D405+D446+D487+D528+D569</f>
        <v/>
      </c>
    </row>
    <row r="611">
      <c r="A611" s="51" t="n"/>
      <c r="B611" s="346" t="n"/>
      <c r="C611" s="111" t="n"/>
      <c r="D611" s="365" t="n"/>
    </row>
    <row r="612">
      <c r="A612" s="52" t="inlineStr">
        <is>
          <t>TOTAL DIRECT PERSONNEL COSTS AND PURCHASE COSTS (A+C)</t>
        </is>
      </c>
      <c r="B612" s="369" t="n"/>
      <c r="C612" s="230" t="n"/>
      <c r="D612" s="382">
        <f>D38+D79+D120+D161+D202+D243+D284+D325+D366+D407+D448+D489+D530+D571</f>
        <v/>
      </c>
    </row>
    <row r="613">
      <c r="A613" s="52" t="inlineStr">
        <is>
          <t>TOTAL DIRECT COSTS  (A+B+C+D)</t>
        </is>
      </c>
      <c r="B613" s="369" t="n"/>
      <c r="C613" s="230" t="n"/>
      <c r="D613" s="382">
        <f>D39+D80+D121+D162+D203+D244+D285+D326+D367+D408+D449+D490+D531+D572</f>
        <v/>
      </c>
    </row>
    <row r="614">
      <c r="A614" s="182" t="n"/>
      <c r="B614" s="383" t="n"/>
      <c r="C614" s="192" t="n"/>
      <c r="D614" s="191" t="n"/>
    </row>
    <row r="615">
      <c r="A615" s="29" t="inlineStr">
        <is>
          <t>E. INDIRECT COSTS (25% * (A+C))</t>
        </is>
      </c>
      <c r="B615" s="369" t="n"/>
      <c r="C615" s="230" t="n"/>
      <c r="D615" s="382">
        <f>D41+D82+D123+D164+D205+D246+D287+D328+D369+D410+D451+D492+D533+D574</f>
        <v/>
      </c>
    </row>
    <row r="616">
      <c r="A616" s="182" t="n"/>
      <c r="B616" s="383" t="n"/>
      <c r="C616" s="192" t="n"/>
      <c r="D616" s="191" t="n"/>
    </row>
    <row r="617">
      <c r="A617" s="29" t="inlineStr">
        <is>
          <t>F. TOTAL COSTS (A+B+C+D+E)</t>
        </is>
      </c>
      <c r="B617" s="369" t="n"/>
      <c r="C617" s="230" t="n"/>
      <c r="D617" s="382">
        <f>D43+D84+D125+D166+D207+D248+D289+D330+D371+D412+D453+D494+D535+D576</f>
        <v/>
      </c>
    </row>
  </sheetData>
  <sheetProtection selectLockedCells="1" selectUnlockedCells="0" algorithmName="SHA-512" sheet="1" objects="1" insertRows="1" insertHyperlinks="1" autoFilter="1" scenarios="1" formatColumns="1" deleteColumns="1" insertColumns="1" pivotTables="1" deleteRows="1" formatCells="1" saltValue="YAniwG1bhGL4xFfHpdYBhw==" formatRows="1" sort="1" spinCount="100000" hashValue="x/gdTV9x/gtuRBbqWgfc+sQYBniPLtePSTVoSmSJCv0vCmzcRUoe90QomSunHxm7lH3hg821tJmJjhqgb+Tqnw=="/>
  <mergeCells count="16">
    <mergeCell ref="A497:D497"/>
    <mergeCell ref="A5:D5"/>
    <mergeCell ref="A579:D579"/>
    <mergeCell ref="A456:D456"/>
    <mergeCell ref="A333:D333"/>
    <mergeCell ref="A210:D210"/>
    <mergeCell ref="A538:D538"/>
    <mergeCell ref="A87:D87"/>
    <mergeCell ref="A415:D415"/>
    <mergeCell ref="A251:D251"/>
    <mergeCell ref="B2:D2"/>
    <mergeCell ref="A128:D128"/>
    <mergeCell ref="A292:D292"/>
    <mergeCell ref="A169:D169"/>
    <mergeCell ref="A46:D46"/>
    <mergeCell ref="A374:D374"/>
  </mergeCells>
  <hyperlinks>
    <hyperlink ref="C1" location="A617" tooltip="Go to Summary section" display="A617"/>
  </hyperlinks>
  <pageMargins left="0.7" right="0.7" top="0.75" bottom="0.75" header="0.3" footer="0.3"/>
</worksheet>
</file>

<file path=xl/worksheets/sheet22.xml><?xml version="1.0" encoding="utf-8"?>
<worksheet xmlns="http://schemas.openxmlformats.org/spreadsheetml/2006/main">
  <sheetPr>
    <tabColor rgb="FFFF0000"/>
    <outlinePr summaryBelow="1" summaryRight="1"/>
    <pageSetUpPr/>
  </sheetPr>
  <dimension ref="A1:D617"/>
  <sheetViews>
    <sheetView zoomScale="80" zoomScaleNormal="80" workbookViewId="0">
      <pane xSplit="1" ySplit="3" topLeftCell="B514" activePane="bottomRight" state="frozenSplit"/>
      <selection pane="bottomRight" activeCell="A3" sqref="A3"/>
      <selection pane="bottomLeft" activeCell="A4" sqref="A4"/>
      <selection pane="topRight" activeCell="B1" sqref="B1"/>
    </sheetView>
  </sheetViews>
  <sheetFormatPr baseColWidth="8" defaultColWidth="8.7109375" defaultRowHeight="14.45"/>
  <cols>
    <col width="111.7109375" customWidth="1" min="1" max="1"/>
    <col width="15.28515625" customWidth="1" min="3" max="3"/>
    <col width="16.28515625" bestFit="1" customWidth="1" min="4" max="4"/>
  </cols>
  <sheetData>
    <row r="1" ht="24" customHeight="1" thickBot="1">
      <c r="A1" s="54" t="inlineStr">
        <is>
          <t>Beneficiary: BE6 - BUDGET SHEET</t>
        </is>
      </c>
      <c r="B1" s="33" t="n"/>
      <c r="C1" s="242" t="inlineStr">
        <is>
          <t>View Summary</t>
        </is>
      </c>
      <c r="D1" s="34" t="n"/>
    </row>
    <row r="2" ht="18.6" customHeight="1">
      <c r="A2" s="265" t="inlineStr">
        <is>
          <t>fd834934-8b26-42d6-bc5f-512a25498f6d</t>
        </is>
      </c>
      <c r="B2" s="273" t="inlineStr">
        <is>
          <t>INSTITUTO TECNOLOGICO Y DE ENERGIAS RENOVABLES SA</t>
        </is>
      </c>
      <c r="C2" s="314" t="n"/>
      <c r="D2" s="315" t="n"/>
    </row>
    <row r="3" ht="18.6" customHeight="1">
      <c r="A3" s="263" t="inlineStr">
        <is>
          <t>THIS SHEET IS A BACKUP ONLY!</t>
        </is>
      </c>
      <c r="B3" s="107" t="inlineStr">
        <is>
          <t>ITEMS</t>
        </is>
      </c>
      <c r="C3" s="109" t="inlineStr">
        <is>
          <t>COST PER ITEM</t>
        </is>
      </c>
      <c r="D3" s="107" t="inlineStr">
        <is>
          <t>BE TOTAL COSTS</t>
        </is>
      </c>
    </row>
    <row r="4">
      <c r="A4" s="190" t="n"/>
      <c r="B4" s="185" t="n"/>
      <c r="C4" s="186" t="n"/>
      <c r="D4" s="187" t="n"/>
    </row>
    <row r="5" ht="21" customHeight="1">
      <c r="A5" s="272">
        <f>CONCATENATE("COSTS WORK PACKAGE 1:"," ","Project management and coordination")</f>
        <v/>
      </c>
      <c r="B5" s="314" t="n"/>
      <c r="C5" s="314" t="n"/>
      <c r="D5" s="315" t="n"/>
    </row>
    <row r="6">
      <c r="A6" s="182" t="n"/>
      <c r="B6" s="191" t="n"/>
      <c r="C6" s="192" t="n"/>
      <c r="D6" s="191" t="n"/>
    </row>
    <row r="7">
      <c r="A7" s="29" t="inlineStr">
        <is>
          <t>A. DIRECT PERSONNEL COSTS</t>
        </is>
      </c>
      <c r="B7" s="30" t="n"/>
      <c r="C7" s="110" t="n"/>
      <c r="D7" s="354" t="n"/>
    </row>
    <row r="8">
      <c r="A8" s="28" t="inlineStr">
        <is>
          <t>A.1 Employees (or equivalent)</t>
        </is>
      </c>
      <c r="B8" s="89" t="n"/>
      <c r="C8" s="111" t="n"/>
      <c r="D8" s="355" t="n"/>
    </row>
    <row r="9">
      <c r="A9" s="48" t="inlineStr">
        <is>
          <t>SENIOR SCIENTISTS (or equivalent in the private sector)</t>
        </is>
      </c>
      <c r="B9" s="357" t="n">
        <v>1</v>
      </c>
      <c r="C9" s="248" t="n">
        <v>5000</v>
      </c>
      <c r="D9" s="232">
        <f>B9*C9</f>
        <v/>
      </c>
    </row>
    <row r="10">
      <c r="A10" s="48" t="inlineStr">
        <is>
          <t>JUNIOR SCIENTISTS (or equivalent in the private sector)</t>
        </is>
      </c>
      <c r="B10" s="357" t="n">
        <v>1</v>
      </c>
      <c r="C10" s="248" t="n">
        <v>4000</v>
      </c>
      <c r="D10" s="232">
        <f>B10*C10</f>
        <v/>
      </c>
    </row>
    <row r="11">
      <c r="A11" s="48" t="inlineStr">
        <is>
          <t>TECHNICAL PERSONNEL (or equivalent in the private sector)</t>
        </is>
      </c>
      <c r="B11" s="357" t="n"/>
      <c r="C11" s="248" t="n">
        <v>3400</v>
      </c>
      <c r="D11" s="232">
        <f>B11*C11</f>
        <v/>
      </c>
    </row>
    <row r="12">
      <c r="A12" s="48" t="inlineStr">
        <is>
          <t>ADMINISTRATIVE PERSONNEL (or equivalent in the private sector)</t>
        </is>
      </c>
      <c r="B12" s="357" t="n">
        <v>1.5</v>
      </c>
      <c r="C12" s="248" t="n">
        <v>3400</v>
      </c>
      <c r="D12" s="232">
        <f>B12*C12</f>
        <v/>
      </c>
    </row>
    <row r="13">
      <c r="A13" s="48" t="inlineStr">
        <is>
          <t>OTHERS</t>
        </is>
      </c>
      <c r="B13" s="357" t="n"/>
      <c r="C13" s="248" t="n"/>
      <c r="D13" s="232">
        <f>B13*C13</f>
        <v/>
      </c>
    </row>
    <row r="14">
      <c r="A14" s="28" t="inlineStr">
        <is>
          <t>A.2 Natural Persons under direct contract</t>
        </is>
      </c>
      <c r="B14" s="357" t="n"/>
      <c r="C14" s="248" t="n"/>
      <c r="D14" s="232">
        <f>B14*C14</f>
        <v/>
      </c>
    </row>
    <row r="15">
      <c r="A15" s="28" t="inlineStr">
        <is>
          <t>A.3 Seconded Persons</t>
        </is>
      </c>
      <c r="B15" s="357" t="n"/>
      <c r="C15" s="248" t="n"/>
      <c r="D15" s="232">
        <f>B15*C15</f>
        <v/>
      </c>
    </row>
    <row r="16">
      <c r="A16" s="28" t="inlineStr">
        <is>
          <t>A.4 SME owners and natural person beneficiaries</t>
        </is>
      </c>
      <c r="B16" s="357" t="n"/>
      <c r="C16" s="256" t="n">
        <v>8360.6024</v>
      </c>
      <c r="D16" s="232">
        <f>B16*C16</f>
        <v/>
      </c>
    </row>
    <row r="17">
      <c r="A17" s="29" t="inlineStr">
        <is>
          <t>B. DIRECT SUBCONTRACTING COSTS</t>
        </is>
      </c>
      <c r="B17" s="358" t="n"/>
      <c r="C17" s="110" t="n"/>
      <c r="D17" s="359" t="n"/>
    </row>
    <row r="18">
      <c r="A18" s="53" t="n"/>
      <c r="B18" s="357" t="n"/>
      <c r="C18" s="248" t="n"/>
      <c r="D18" s="361">
        <f>B18*C18</f>
        <v/>
      </c>
    </row>
    <row r="19">
      <c r="A19" s="29" t="inlineStr">
        <is>
          <t>C. DIRECT PURCHASE COSTS</t>
        </is>
      </c>
      <c r="B19" s="358" t="n"/>
      <c r="C19" s="110" t="n"/>
      <c r="D19" s="359" t="n"/>
    </row>
    <row r="20">
      <c r="A20" s="28" t="inlineStr">
        <is>
          <t>C.1 Travel and subsistence</t>
        </is>
      </c>
      <c r="B20" s="357" t="n">
        <v>6</v>
      </c>
      <c r="C20" s="248" t="n">
        <v>2000</v>
      </c>
      <c r="D20" s="361">
        <f>B20*C20</f>
        <v/>
      </c>
    </row>
    <row r="21">
      <c r="A21" s="28" t="inlineStr">
        <is>
          <t>C.2 Equipment (complete 'Depreciation costs' sheet)</t>
        </is>
      </c>
      <c r="B21" s="346" t="n"/>
      <c r="C21" s="111" t="n"/>
      <c r="D21" s="364" t="n"/>
    </row>
    <row r="22">
      <c r="A22" s="49" t="inlineStr">
        <is>
          <t>Equipment</t>
        </is>
      </c>
      <c r="B22" s="357" t="n"/>
      <c r="C22" s="248" t="n"/>
      <c r="D22" s="361">
        <f>B22*C22</f>
        <v/>
      </c>
    </row>
    <row r="23">
      <c r="A23" s="49" t="inlineStr">
        <is>
          <t>Infrastructure</t>
        </is>
      </c>
      <c r="B23" s="357" t="n"/>
      <c r="C23" s="248" t="n"/>
      <c r="D23" s="361">
        <f>B23*C23</f>
        <v/>
      </c>
    </row>
    <row r="24">
      <c r="A24" s="49" t="inlineStr">
        <is>
          <t>Other assets</t>
        </is>
      </c>
      <c r="B24" s="357" t="n"/>
      <c r="C24" s="248" t="n"/>
      <c r="D24" s="361">
        <f>B24*C24</f>
        <v/>
      </c>
    </row>
    <row r="25">
      <c r="A25" s="28" t="inlineStr">
        <is>
          <t>C.3 Other goods, works and services</t>
        </is>
      </c>
      <c r="B25" s="346" t="n"/>
      <c r="C25" s="111" t="n"/>
      <c r="D25" s="364" t="n"/>
    </row>
    <row r="26">
      <c r="A26" s="49" t="inlineStr">
        <is>
          <t>Consumables</t>
        </is>
      </c>
      <c r="B26" s="357" t="n"/>
      <c r="C26" s="248" t="n"/>
      <c r="D26" s="361">
        <f>B26*C26</f>
        <v/>
      </c>
    </row>
    <row r="27">
      <c r="A27" s="49" t="inlineStr">
        <is>
          <t>Services for meetings, seminars</t>
        </is>
      </c>
      <c r="B27" s="357" t="n"/>
      <c r="C27" s="248" t="n"/>
      <c r="D27" s="361">
        <f>B27*C27</f>
        <v/>
      </c>
    </row>
    <row r="28">
      <c r="A28" s="49" t="inlineStr">
        <is>
          <t>Services for dissemination activities (including website)</t>
        </is>
      </c>
      <c r="B28" s="357" t="n"/>
      <c r="C28" s="248" t="n"/>
      <c r="D28" s="361">
        <f>B28*C28</f>
        <v/>
      </c>
    </row>
    <row r="29">
      <c r="A29" s="49" t="inlineStr">
        <is>
          <t>Publication fees</t>
        </is>
      </c>
      <c r="B29" s="357" t="n"/>
      <c r="C29" s="248" t="n"/>
      <c r="D29" s="361">
        <f>B29*C29</f>
        <v/>
      </c>
    </row>
    <row r="30">
      <c r="A30" s="49" t="inlineStr">
        <is>
          <t>Other (shipment, insurance, translation, etc.)</t>
        </is>
      </c>
      <c r="B30" s="357" t="n"/>
      <c r="C30" s="248" t="n"/>
      <c r="D30" s="361">
        <f>B30*C30</f>
        <v/>
      </c>
    </row>
    <row r="31">
      <c r="A31" s="29" t="inlineStr">
        <is>
          <t>D. OTHER COST CATEGORIES</t>
        </is>
      </c>
      <c r="B31" s="358" t="n"/>
      <c r="C31" s="110" t="n"/>
      <c r="D31" s="359" t="n"/>
    </row>
    <row r="32">
      <c r="A32" s="50" t="inlineStr">
        <is>
          <t>D.1 Financial support to third parties (if applicable in the topic specific conditions)</t>
        </is>
      </c>
      <c r="B32" s="357" t="n"/>
      <c r="C32" s="248" t="n"/>
      <c r="D32" s="361">
        <f>B32*C32</f>
        <v/>
      </c>
    </row>
    <row r="33">
      <c r="A33" s="50" t="inlineStr">
        <is>
          <t>D.2 Internally invoiced goods and services</t>
        </is>
      </c>
      <c r="B33" s="357" t="n"/>
      <c r="C33" s="248" t="n"/>
      <c r="D33" s="361">
        <f>B33*C33</f>
        <v/>
      </c>
    </row>
    <row r="34">
      <c r="A34" s="50" t="inlineStr">
        <is>
          <t>D.3 Transnational access to research infrastructure unit costs (if mentioned as eligible in the topic specific conditions)</t>
        </is>
      </c>
      <c r="B34" s="357" t="n"/>
      <c r="C34" s="248" t="n"/>
      <c r="D34" s="361">
        <f>B34*C34</f>
        <v/>
      </c>
    </row>
    <row r="35">
      <c r="A35" s="50" t="inlineStr">
        <is>
          <t>D.4 Virtual access to research infrastructure unit costs (if mentioned as eligible in the topic specific conditions)</t>
        </is>
      </c>
      <c r="B35" s="357" t="n"/>
      <c r="C35" s="248" t="n"/>
      <c r="D35" s="361">
        <f>B35*C35</f>
        <v/>
      </c>
    </row>
    <row r="36">
      <c r="A36" s="50" t="inlineStr">
        <is>
          <t>D.5 PCP/PPI procurement costs (if mentioned as eligible in the topic specific conditions)</t>
        </is>
      </c>
      <c r="B36" s="357" t="n"/>
      <c r="C36" s="248" t="n"/>
      <c r="D36" s="361">
        <f>B36*C36</f>
        <v/>
      </c>
    </row>
    <row r="37">
      <c r="A37" s="50" t="n"/>
      <c r="B37" s="346" t="n"/>
      <c r="C37" s="111" t="n"/>
      <c r="D37" s="365" t="n"/>
    </row>
    <row r="38">
      <c r="A38" s="52" t="inlineStr">
        <is>
          <t>TOTAL DIRECT PERSONNEL COSTS AND PURCHASE COSTS (A+C)</t>
        </is>
      </c>
      <c r="B38" s="369" t="n"/>
      <c r="C38" s="230" t="n"/>
      <c r="D38" s="360">
        <f>SUM(D9:D16,D20:D30)</f>
        <v/>
      </c>
    </row>
    <row r="39">
      <c r="A39" s="52" t="inlineStr">
        <is>
          <t>TOTAL DIRECT COSTS  (A+B+C+D)</t>
        </is>
      </c>
      <c r="B39" s="369" t="n"/>
      <c r="C39" s="230" t="n"/>
      <c r="D39" s="360">
        <f>SUM(D9:D36)</f>
        <v/>
      </c>
    </row>
    <row r="40">
      <c r="A40" s="180" t="n"/>
      <c r="B40" s="372" t="n"/>
      <c r="C40" s="176" t="n"/>
      <c r="D40" s="373" t="n"/>
    </row>
    <row r="41">
      <c r="A41" s="29" t="inlineStr">
        <is>
          <t>E. INDIRECT COSTS (25% * (A+C))</t>
        </is>
      </c>
      <c r="B41" s="358" t="n"/>
      <c r="C41" s="110" t="n"/>
      <c r="D41" s="360">
        <f>D38*0.25</f>
        <v/>
      </c>
    </row>
    <row r="42">
      <c r="A42" s="32" t="n"/>
      <c r="B42" s="372" t="n"/>
      <c r="C42" s="176" t="n"/>
      <c r="D42" s="377" t="n"/>
    </row>
    <row r="43">
      <c r="A43" s="29" t="inlineStr">
        <is>
          <t>F. TOTAL COSTS (A+B+C+D+E)</t>
        </is>
      </c>
      <c r="B43" s="369" t="n"/>
      <c r="C43" s="230" t="n"/>
      <c r="D43" s="360">
        <f>D39+D41</f>
        <v/>
      </c>
    </row>
    <row r="44">
      <c r="A44" s="182" t="n"/>
      <c r="B44" s="183" t="n"/>
      <c r="C44" s="184" t="n"/>
      <c r="D44" s="183" t="n"/>
    </row>
    <row r="45">
      <c r="A45" s="190" t="n"/>
      <c r="B45" s="185" t="n"/>
      <c r="C45" s="186" t="n"/>
      <c r="D45" s="187" t="n"/>
    </row>
    <row r="46" ht="21" customHeight="1">
      <c r="A46" s="272">
        <f>CONCATENATE("COSTS WORK PACKAGE 2:"," ","System definition and use case identification")</f>
        <v/>
      </c>
      <c r="B46" s="314" t="n"/>
      <c r="C46" s="314" t="n"/>
      <c r="D46" s="315" t="n"/>
    </row>
    <row r="47">
      <c r="A47" s="182" t="n"/>
      <c r="B47" s="191" t="n"/>
      <c r="C47" s="192" t="n"/>
      <c r="D47" s="191" t="n"/>
    </row>
    <row r="48">
      <c r="A48" s="29" t="inlineStr">
        <is>
          <t>A. DIRECT PERSONNEL COSTS</t>
        </is>
      </c>
      <c r="B48" s="30" t="n"/>
      <c r="C48" s="110" t="n"/>
      <c r="D48" s="354" t="n"/>
    </row>
    <row r="49">
      <c r="A49" s="28" t="inlineStr">
        <is>
          <t>A.1 Employees (or equivalent)</t>
        </is>
      </c>
      <c r="B49" s="89" t="n"/>
      <c r="C49" s="111" t="n"/>
      <c r="D49" s="355" t="n"/>
    </row>
    <row r="50">
      <c r="A50" s="48" t="inlineStr">
        <is>
          <t>SENIOR SCIENTISTS (or equivalent in the private sector)</t>
        </is>
      </c>
      <c r="B50" s="357" t="n">
        <v>3</v>
      </c>
      <c r="C50" s="248" t="n">
        <v>5000</v>
      </c>
      <c r="D50" s="232">
        <f>B50*C50</f>
        <v/>
      </c>
    </row>
    <row r="51">
      <c r="A51" s="48" t="inlineStr">
        <is>
          <t>JUNIOR SCIENTISTS (or equivalent in the private sector)</t>
        </is>
      </c>
      <c r="B51" s="357" t="n">
        <v>2.5</v>
      </c>
      <c r="C51" s="248" t="n">
        <v>4000</v>
      </c>
      <c r="D51" s="232">
        <f>B51*C51</f>
        <v/>
      </c>
    </row>
    <row r="52">
      <c r="A52" s="48" t="inlineStr">
        <is>
          <t>TECHNICAL PERSONNEL (or equivalent in the private sector)</t>
        </is>
      </c>
      <c r="B52" s="357" t="n">
        <v>1</v>
      </c>
      <c r="C52" s="248" t="n">
        <v>3400</v>
      </c>
      <c r="D52" s="232">
        <f>B52*C52</f>
        <v/>
      </c>
    </row>
    <row r="53">
      <c r="A53" s="48" t="inlineStr">
        <is>
          <t>ADMINISTRATIVE PERSONNEL (or equivalent in the private sector)</t>
        </is>
      </c>
      <c r="B53" s="357" t="n"/>
      <c r="C53" s="248" t="n">
        <v>3400</v>
      </c>
      <c r="D53" s="232">
        <f>B53*C53</f>
        <v/>
      </c>
    </row>
    <row r="54">
      <c r="A54" s="48" t="inlineStr">
        <is>
          <t>OTHERS</t>
        </is>
      </c>
      <c r="B54" s="357" t="n"/>
      <c r="C54" s="248" t="n"/>
      <c r="D54" s="232">
        <f>B54*C54</f>
        <v/>
      </c>
    </row>
    <row r="55">
      <c r="A55" s="28" t="inlineStr">
        <is>
          <t>A.2 Natural Persons under direct contract</t>
        </is>
      </c>
      <c r="B55" s="357" t="n"/>
      <c r="C55" s="248" t="n"/>
      <c r="D55" s="232">
        <f>B55*C55</f>
        <v/>
      </c>
    </row>
    <row r="56">
      <c r="A56" s="28" t="inlineStr">
        <is>
          <t>A.3 Seconded Persons</t>
        </is>
      </c>
      <c r="B56" s="357" t="n"/>
      <c r="C56" s="248" t="n"/>
      <c r="D56" s="232">
        <f>B56*C56</f>
        <v/>
      </c>
    </row>
    <row r="57">
      <c r="A57" s="28" t="inlineStr">
        <is>
          <t>A.4 SME owners and natural person beneficiaries</t>
        </is>
      </c>
      <c r="B57" s="357" t="n"/>
      <c r="C57" s="256" t="n">
        <v>8360.6024</v>
      </c>
      <c r="D57" s="232">
        <f>B57*C57</f>
        <v/>
      </c>
    </row>
    <row r="58">
      <c r="A58" s="29" t="inlineStr">
        <is>
          <t>B. DIRECT SUBCONTRACTING COSTS</t>
        </is>
      </c>
      <c r="B58" s="358" t="n"/>
      <c r="C58" s="110" t="n"/>
      <c r="D58" s="359" t="n"/>
    </row>
    <row r="59">
      <c r="A59" s="53" t="n"/>
      <c r="B59" s="357" t="n"/>
      <c r="C59" s="248" t="n"/>
      <c r="D59" s="361">
        <f>B59*C59</f>
        <v/>
      </c>
    </row>
    <row r="60">
      <c r="A60" s="29" t="inlineStr">
        <is>
          <t>C. DIRECT PURCHASE COSTS</t>
        </is>
      </c>
      <c r="B60" s="358" t="n"/>
      <c r="C60" s="110" t="n"/>
      <c r="D60" s="359" t="n"/>
    </row>
    <row r="61">
      <c r="A61" s="28" t="inlineStr">
        <is>
          <t>C.1 Travel and subsistence</t>
        </is>
      </c>
      <c r="B61" s="357" t="n"/>
      <c r="C61" s="248" t="n"/>
      <c r="D61" s="361">
        <f>B61*C61</f>
        <v/>
      </c>
    </row>
    <row r="62">
      <c r="A62" s="28" t="inlineStr">
        <is>
          <t>C.2 Equipment (complete 'Depreciation costs' sheet)</t>
        </is>
      </c>
      <c r="B62" s="346" t="n"/>
      <c r="C62" s="111" t="n"/>
      <c r="D62" s="364" t="n"/>
    </row>
    <row r="63">
      <c r="A63" s="49" t="inlineStr">
        <is>
          <t>Equipment</t>
        </is>
      </c>
      <c r="B63" s="357" t="n"/>
      <c r="C63" s="248" t="n"/>
      <c r="D63" s="361">
        <f>B63*C63</f>
        <v/>
      </c>
    </row>
    <row r="64">
      <c r="A64" s="49" t="inlineStr">
        <is>
          <t>Infrastructure</t>
        </is>
      </c>
      <c r="B64" s="357" t="n"/>
      <c r="C64" s="248" t="n"/>
      <c r="D64" s="361">
        <f>B64*C64</f>
        <v/>
      </c>
    </row>
    <row r="65">
      <c r="A65" s="49" t="inlineStr">
        <is>
          <t>Other assets</t>
        </is>
      </c>
      <c r="B65" s="357" t="n"/>
      <c r="C65" s="248" t="n"/>
      <c r="D65" s="361">
        <f>B65*C65</f>
        <v/>
      </c>
    </row>
    <row r="66">
      <c r="A66" s="28" t="inlineStr">
        <is>
          <t>C.3 Other goods, works and services</t>
        </is>
      </c>
      <c r="B66" s="346" t="n"/>
      <c r="C66" s="111" t="n"/>
      <c r="D66" s="364" t="n"/>
    </row>
    <row r="67">
      <c r="A67" s="49" t="inlineStr">
        <is>
          <t>Consumables</t>
        </is>
      </c>
      <c r="B67" s="357" t="n"/>
      <c r="C67" s="248" t="n"/>
      <c r="D67" s="361">
        <f>B67*C67</f>
        <v/>
      </c>
    </row>
    <row r="68">
      <c r="A68" s="49" t="inlineStr">
        <is>
          <t>Services for meetings, seminars</t>
        </is>
      </c>
      <c r="B68" s="357" t="n"/>
      <c r="C68" s="248" t="n"/>
      <c r="D68" s="361">
        <f>B68*C68</f>
        <v/>
      </c>
    </row>
    <row r="69">
      <c r="A69" s="49" t="inlineStr">
        <is>
          <t>Services for dissemination activities (including website)</t>
        </is>
      </c>
      <c r="B69" s="357" t="n"/>
      <c r="C69" s="248" t="n"/>
      <c r="D69" s="361">
        <f>B69*C69</f>
        <v/>
      </c>
    </row>
    <row r="70">
      <c r="A70" s="49" t="inlineStr">
        <is>
          <t>Publication fees</t>
        </is>
      </c>
      <c r="B70" s="357" t="n"/>
      <c r="C70" s="248" t="n"/>
      <c r="D70" s="361">
        <f>B70*C70</f>
        <v/>
      </c>
    </row>
    <row r="71">
      <c r="A71" s="49" t="inlineStr">
        <is>
          <t>Other (shipment, insurance, translation, etc.)</t>
        </is>
      </c>
      <c r="B71" s="357" t="n"/>
      <c r="C71" s="248" t="n"/>
      <c r="D71" s="361">
        <f>B71*C71</f>
        <v/>
      </c>
    </row>
    <row r="72">
      <c r="A72" s="29" t="inlineStr">
        <is>
          <t>D. OTHER COST CATEGORIES</t>
        </is>
      </c>
      <c r="B72" s="358" t="n"/>
      <c r="C72" s="110" t="n"/>
      <c r="D72" s="359" t="n"/>
    </row>
    <row r="73">
      <c r="A73" s="50" t="inlineStr">
        <is>
          <t>D.1 Financial support to third parties (if applicable in the topic specific conditions)</t>
        </is>
      </c>
      <c r="B73" s="357" t="n"/>
      <c r="C73" s="248" t="n"/>
      <c r="D73" s="361">
        <f>B73*C73</f>
        <v/>
      </c>
    </row>
    <row r="74">
      <c r="A74" s="50" t="inlineStr">
        <is>
          <t>D.2 Internally invoiced goods and services</t>
        </is>
      </c>
      <c r="B74" s="357" t="n"/>
      <c r="C74" s="248" t="n"/>
      <c r="D74" s="361">
        <f>B74*C74</f>
        <v/>
      </c>
    </row>
    <row r="75">
      <c r="A75" s="50" t="inlineStr">
        <is>
          <t>D.3 Transnational access to research infrastructure unit costs (if mentioned as eligible in the topic specific conditions)</t>
        </is>
      </c>
      <c r="B75" s="357" t="n"/>
      <c r="C75" s="248" t="n"/>
      <c r="D75" s="361">
        <f>B75*C75</f>
        <v/>
      </c>
    </row>
    <row r="76">
      <c r="A76" s="50" t="inlineStr">
        <is>
          <t>D.4 Virtual access to research infrastructure unit costs (if mentioned as eligible in the topic specific conditions)</t>
        </is>
      </c>
      <c r="B76" s="357" t="n"/>
      <c r="C76" s="248" t="n"/>
      <c r="D76" s="361">
        <f>B76*C76</f>
        <v/>
      </c>
    </row>
    <row r="77">
      <c r="A77" s="50" t="inlineStr">
        <is>
          <t>D.5 PCP/PPI procurement costs (if mentioned as eligible in the topic specific conditions)</t>
        </is>
      </c>
      <c r="B77" s="357" t="n"/>
      <c r="C77" s="248" t="n"/>
      <c r="D77" s="361">
        <f>B77*C77</f>
        <v/>
      </c>
    </row>
    <row r="78">
      <c r="A78" s="50" t="n"/>
      <c r="B78" s="346" t="n"/>
      <c r="C78" s="111" t="n"/>
      <c r="D78" s="365" t="n"/>
    </row>
    <row r="79">
      <c r="A79" s="52" t="inlineStr">
        <is>
          <t>TOTAL DIRECT PERSONNEL COSTS AND PURCHASE COSTS (A+C)</t>
        </is>
      </c>
      <c r="B79" s="369" t="n"/>
      <c r="C79" s="230" t="n"/>
      <c r="D79" s="360">
        <f>SUM(D50:D57,D61:D71)</f>
        <v/>
      </c>
    </row>
    <row r="80">
      <c r="A80" s="52" t="inlineStr">
        <is>
          <t>TOTAL DIRECT COSTS  (A+B+C+D)</t>
        </is>
      </c>
      <c r="B80" s="369" t="n"/>
      <c r="C80" s="230" t="n"/>
      <c r="D80" s="360">
        <f>SUM(D50:D77)</f>
        <v/>
      </c>
    </row>
    <row r="81">
      <c r="A81" s="180" t="n"/>
      <c r="B81" s="372" t="n"/>
      <c r="C81" s="176" t="n"/>
      <c r="D81" s="373" t="n"/>
    </row>
    <row r="82">
      <c r="A82" s="29" t="inlineStr">
        <is>
          <t>E. INDIRECT COSTS (25% * (A+C))</t>
        </is>
      </c>
      <c r="B82" s="358" t="n"/>
      <c r="C82" s="110" t="n"/>
      <c r="D82" s="360">
        <f>D79*0.25</f>
        <v/>
      </c>
    </row>
    <row r="83">
      <c r="A83" s="32" t="n"/>
      <c r="B83" s="372" t="n"/>
      <c r="C83" s="176" t="n"/>
      <c r="D83" s="377" t="n"/>
    </row>
    <row r="84">
      <c r="A84" s="29" t="inlineStr">
        <is>
          <t>F. TOTAL COSTS (A+B+C+D+E)</t>
        </is>
      </c>
      <c r="B84" s="369" t="n"/>
      <c r="C84" s="230" t="n"/>
      <c r="D84" s="360">
        <f>D80+D82</f>
        <v/>
      </c>
    </row>
    <row r="85">
      <c r="A85" s="182" t="n"/>
      <c r="B85" s="183" t="n"/>
      <c r="C85" s="184" t="n"/>
      <c r="D85" s="183" t="n"/>
    </row>
    <row r="86">
      <c r="A86" s="190" t="n"/>
      <c r="B86" s="185" t="n"/>
      <c r="C86" s="186" t="n"/>
      <c r="D86" s="187" t="n"/>
    </row>
    <row r="87" ht="21" customHeight="1">
      <c r="A87" s="272">
        <f>CONCATENATE("COSTS WORK PACKAGE 3:"," ","Sensor deployment and analytics  ")</f>
        <v/>
      </c>
      <c r="B87" s="314" t="n"/>
      <c r="C87" s="314" t="n"/>
      <c r="D87" s="315" t="n"/>
    </row>
    <row r="88">
      <c r="A88" s="182" t="n"/>
      <c r="B88" s="191" t="n"/>
      <c r="C88" s="192" t="n"/>
      <c r="D88" s="191" t="n"/>
    </row>
    <row r="89">
      <c r="A89" s="29" t="inlineStr">
        <is>
          <t>A. DIRECT PERSONNEL COSTS</t>
        </is>
      </c>
      <c r="B89" s="30" t="n"/>
      <c r="C89" s="110" t="n"/>
      <c r="D89" s="354" t="n"/>
    </row>
    <row r="90">
      <c r="A90" s="28" t="inlineStr">
        <is>
          <t>A.1 Employees (or equivalent)</t>
        </is>
      </c>
      <c r="B90" s="89" t="n"/>
      <c r="C90" s="111" t="n"/>
      <c r="D90" s="355" t="n"/>
    </row>
    <row r="91">
      <c r="A91" s="48" t="inlineStr">
        <is>
          <t>SENIOR SCIENTISTS (or equivalent in the private sector)</t>
        </is>
      </c>
      <c r="B91" s="357" t="n">
        <v>4</v>
      </c>
      <c r="C91" s="248" t="n">
        <v>5000</v>
      </c>
      <c r="D91" s="232">
        <f>B91*C91</f>
        <v/>
      </c>
    </row>
    <row r="92">
      <c r="A92" s="48" t="inlineStr">
        <is>
          <t>JUNIOR SCIENTISTS (or equivalent in the private sector)</t>
        </is>
      </c>
      <c r="B92" s="357" t="n">
        <v>3</v>
      </c>
      <c r="C92" s="248" t="n">
        <v>4000</v>
      </c>
      <c r="D92" s="232">
        <f>B92*C92</f>
        <v/>
      </c>
    </row>
    <row r="93">
      <c r="A93" s="48" t="inlineStr">
        <is>
          <t>TECHNICAL PERSONNEL (or equivalent in the private sector)</t>
        </is>
      </c>
      <c r="B93" s="357" t="n">
        <v>4</v>
      </c>
      <c r="C93" s="248" t="n">
        <v>3400</v>
      </c>
      <c r="D93" s="232">
        <f>B93*C93</f>
        <v/>
      </c>
    </row>
    <row r="94">
      <c r="A94" s="48" t="inlineStr">
        <is>
          <t>ADMINISTRATIVE PERSONNEL (or equivalent in the private sector)</t>
        </is>
      </c>
      <c r="B94" s="357" t="n"/>
      <c r="C94" s="248" t="n">
        <v>3400</v>
      </c>
      <c r="D94" s="232">
        <f>B94*C94</f>
        <v/>
      </c>
    </row>
    <row r="95">
      <c r="A95" s="48" t="inlineStr">
        <is>
          <t>OTHERS</t>
        </is>
      </c>
      <c r="B95" s="357" t="n"/>
      <c r="C95" s="248" t="n"/>
      <c r="D95" s="232">
        <f>B95*C95</f>
        <v/>
      </c>
    </row>
    <row r="96">
      <c r="A96" s="28" t="inlineStr">
        <is>
          <t>A.2 Natural Persons under direct contract</t>
        </is>
      </c>
      <c r="B96" s="357" t="n"/>
      <c r="C96" s="248" t="n"/>
      <c r="D96" s="232">
        <f>B96*C96</f>
        <v/>
      </c>
    </row>
    <row r="97">
      <c r="A97" s="28" t="inlineStr">
        <is>
          <t>A.3 Seconded Persons</t>
        </is>
      </c>
      <c r="B97" s="357" t="n"/>
      <c r="C97" s="248" t="n"/>
      <c r="D97" s="232">
        <f>B97*C97</f>
        <v/>
      </c>
    </row>
    <row r="98">
      <c r="A98" s="28" t="inlineStr">
        <is>
          <t>A.4 SME owners and natural person beneficiaries</t>
        </is>
      </c>
      <c r="B98" s="357" t="n"/>
      <c r="C98" s="256" t="n">
        <v>8360.6024</v>
      </c>
      <c r="D98" s="232">
        <f>B98*C98</f>
        <v/>
      </c>
    </row>
    <row r="99">
      <c r="A99" s="29" t="inlineStr">
        <is>
          <t>B. DIRECT SUBCONTRACTING COSTS</t>
        </is>
      </c>
      <c r="B99" s="358" t="n"/>
      <c r="C99" s="110" t="n"/>
      <c r="D99" s="359" t="n"/>
    </row>
    <row r="100">
      <c r="A100" s="53" t="n"/>
      <c r="B100" s="357" t="n"/>
      <c r="C100" s="248" t="n"/>
      <c r="D100" s="361">
        <f>B100*C100</f>
        <v/>
      </c>
    </row>
    <row r="101">
      <c r="A101" s="29" t="inlineStr">
        <is>
          <t>C. DIRECT PURCHASE COSTS</t>
        </is>
      </c>
      <c r="B101" s="358" t="n"/>
      <c r="C101" s="110" t="n"/>
      <c r="D101" s="359" t="n"/>
    </row>
    <row r="102">
      <c r="A102" s="28" t="inlineStr">
        <is>
          <t>C.1 Travel and subsistence</t>
        </is>
      </c>
      <c r="B102" s="357" t="n"/>
      <c r="C102" s="248" t="n"/>
      <c r="D102" s="361">
        <f>B102*C102</f>
        <v/>
      </c>
    </row>
    <row r="103">
      <c r="A103" s="28" t="inlineStr">
        <is>
          <t>C.2 Equipment (complete 'Depreciation costs' sheet)</t>
        </is>
      </c>
      <c r="B103" s="346" t="n"/>
      <c r="C103" s="111" t="n"/>
      <c r="D103" s="364" t="n"/>
    </row>
    <row r="104">
      <c r="A104" s="49" t="inlineStr">
        <is>
          <t>Equipment</t>
        </is>
      </c>
      <c r="B104" s="357" t="n">
        <v>3.5</v>
      </c>
      <c r="C104" s="248" t="n">
        <v>2500</v>
      </c>
      <c r="D104" s="361">
        <f>B104*C104</f>
        <v/>
      </c>
    </row>
    <row r="105">
      <c r="A105" s="49" t="inlineStr">
        <is>
          <t>Infrastructure</t>
        </is>
      </c>
      <c r="B105" s="357" t="n"/>
      <c r="C105" s="248" t="n"/>
      <c r="D105" s="361">
        <f>B105*C105</f>
        <v/>
      </c>
    </row>
    <row r="106">
      <c r="A106" s="49" t="inlineStr">
        <is>
          <t>Other assets</t>
        </is>
      </c>
      <c r="B106" s="357" t="n"/>
      <c r="C106" s="248" t="n"/>
      <c r="D106" s="361">
        <f>B106*C106</f>
        <v/>
      </c>
    </row>
    <row r="107">
      <c r="A107" s="28" t="inlineStr">
        <is>
          <t>C.3 Other goods, works and services</t>
        </is>
      </c>
      <c r="B107" s="346" t="n"/>
      <c r="C107" s="111" t="n"/>
      <c r="D107" s="364" t="n"/>
    </row>
    <row r="108">
      <c r="A108" s="49" t="inlineStr">
        <is>
          <t>Consumables</t>
        </is>
      </c>
      <c r="B108" s="357" t="n"/>
      <c r="C108" s="248" t="n"/>
      <c r="D108" s="361">
        <f>B108*C108</f>
        <v/>
      </c>
    </row>
    <row r="109">
      <c r="A109" s="49" t="inlineStr">
        <is>
          <t>Services for meetings, seminars</t>
        </is>
      </c>
      <c r="B109" s="357" t="n"/>
      <c r="C109" s="248" t="n"/>
      <c r="D109" s="361">
        <f>B109*C109</f>
        <v/>
      </c>
    </row>
    <row r="110">
      <c r="A110" s="49" t="inlineStr">
        <is>
          <t>Services for dissemination activities (including website)</t>
        </is>
      </c>
      <c r="B110" s="357" t="n"/>
      <c r="C110" s="248" t="n"/>
      <c r="D110" s="361">
        <f>B110*C110</f>
        <v/>
      </c>
    </row>
    <row r="111">
      <c r="A111" s="49" t="inlineStr">
        <is>
          <t>Publication fees</t>
        </is>
      </c>
      <c r="B111" s="357" t="n"/>
      <c r="C111" s="248" t="n"/>
      <c r="D111" s="361">
        <f>B111*C111</f>
        <v/>
      </c>
    </row>
    <row r="112">
      <c r="A112" s="49" t="inlineStr">
        <is>
          <t>Other (shipment, insurance, translation, etc.)</t>
        </is>
      </c>
      <c r="B112" s="357" t="n"/>
      <c r="C112" s="248" t="n"/>
      <c r="D112" s="361">
        <f>B112*C112</f>
        <v/>
      </c>
    </row>
    <row r="113">
      <c r="A113" s="29" t="inlineStr">
        <is>
          <t>D. OTHER COST CATEGORIES</t>
        </is>
      </c>
      <c r="B113" s="358" t="n"/>
      <c r="C113" s="110" t="n"/>
      <c r="D113" s="359" t="n"/>
    </row>
    <row r="114">
      <c r="A114" s="50" t="inlineStr">
        <is>
          <t>D.1 Financial support to third parties (if applicable in the topic specific conditions)</t>
        </is>
      </c>
      <c r="B114" s="357" t="n"/>
      <c r="C114" s="248" t="n"/>
      <c r="D114" s="361">
        <f>B114*C114</f>
        <v/>
      </c>
    </row>
    <row r="115">
      <c r="A115" s="50" t="inlineStr">
        <is>
          <t>D.2 Internally invoiced goods and services</t>
        </is>
      </c>
      <c r="B115" s="357" t="n"/>
      <c r="C115" s="248" t="n"/>
      <c r="D115" s="361">
        <f>B115*C115</f>
        <v/>
      </c>
    </row>
    <row r="116">
      <c r="A116" s="50" t="inlineStr">
        <is>
          <t>D.3 Transnational access to research infrastructure unit costs (if mentioned as eligible in the topic specific conditions)</t>
        </is>
      </c>
      <c r="B116" s="357" t="n"/>
      <c r="C116" s="248" t="n"/>
      <c r="D116" s="361">
        <f>B116*C116</f>
        <v/>
      </c>
    </row>
    <row r="117">
      <c r="A117" s="50" t="inlineStr">
        <is>
          <t>D.4 Virtual access to research infrastructure unit costs (if mentioned as eligible in the topic specific conditions)</t>
        </is>
      </c>
      <c r="B117" s="357" t="n"/>
      <c r="C117" s="248" t="n"/>
      <c r="D117" s="361">
        <f>B117*C117</f>
        <v/>
      </c>
    </row>
    <row r="118">
      <c r="A118" s="50" t="inlineStr">
        <is>
          <t>D.5 PCP/PPI procurement costs (if mentioned as eligible in the topic specific conditions)</t>
        </is>
      </c>
      <c r="B118" s="357" t="n"/>
      <c r="C118" s="248" t="n"/>
      <c r="D118" s="361">
        <f>B118*C118</f>
        <v/>
      </c>
    </row>
    <row r="119">
      <c r="A119" s="50" t="n"/>
      <c r="B119" s="346" t="n"/>
      <c r="C119" s="111" t="n"/>
      <c r="D119" s="365" t="n"/>
    </row>
    <row r="120">
      <c r="A120" s="52" t="inlineStr">
        <is>
          <t>TOTAL DIRECT PERSONNEL COSTS AND PURCHASE COSTS (A+C)</t>
        </is>
      </c>
      <c r="B120" s="369" t="n"/>
      <c r="C120" s="230" t="n"/>
      <c r="D120" s="360">
        <f>SUM(D91:D98,D102:D112)</f>
        <v/>
      </c>
    </row>
    <row r="121">
      <c r="A121" s="52" t="inlineStr">
        <is>
          <t>TOTAL DIRECT COSTS  (A+B+C+D)</t>
        </is>
      </c>
      <c r="B121" s="369" t="n"/>
      <c r="C121" s="230" t="n"/>
      <c r="D121" s="360">
        <f>SUM(D91:D118)</f>
        <v/>
      </c>
    </row>
    <row r="122">
      <c r="A122" s="180" t="n"/>
      <c r="B122" s="372" t="n"/>
      <c r="C122" s="176" t="n"/>
      <c r="D122" s="373" t="n"/>
    </row>
    <row r="123">
      <c r="A123" s="29" t="inlineStr">
        <is>
          <t>E. INDIRECT COSTS (25% * (A+C))</t>
        </is>
      </c>
      <c r="B123" s="358" t="n"/>
      <c r="C123" s="110" t="n"/>
      <c r="D123" s="360">
        <f>D120*0.25</f>
        <v/>
      </c>
    </row>
    <row r="124">
      <c r="A124" s="32" t="n"/>
      <c r="B124" s="372" t="n"/>
      <c r="C124" s="176" t="n"/>
      <c r="D124" s="377" t="n"/>
    </row>
    <row r="125">
      <c r="A125" s="29" t="inlineStr">
        <is>
          <t>F. TOTAL COSTS (A+B+C+D+E)</t>
        </is>
      </c>
      <c r="B125" s="369" t="n"/>
      <c r="C125" s="230" t="n"/>
      <c r="D125" s="360">
        <f>D121+D123</f>
        <v/>
      </c>
    </row>
    <row r="126">
      <c r="A126" s="182" t="n"/>
      <c r="B126" s="183" t="n"/>
      <c r="C126" s="184" t="n"/>
      <c r="D126" s="183" t="n"/>
    </row>
    <row r="127">
      <c r="A127" s="190" t="n"/>
      <c r="B127" s="185" t="n"/>
      <c r="C127" s="186" t="n"/>
      <c r="D127" s="187" t="n"/>
    </row>
    <row r="128" ht="21" customHeight="1">
      <c r="A128" s="272">
        <f>CONCATENATE("COSTS WORK PACKAGE 4:"," ","Digital twins for data generation and augmentation")</f>
        <v/>
      </c>
      <c r="B128" s="314" t="n"/>
      <c r="C128" s="314" t="n"/>
      <c r="D128" s="315" t="n"/>
    </row>
    <row r="129">
      <c r="A129" s="182" t="n"/>
      <c r="B129" s="191" t="n"/>
      <c r="C129" s="192" t="n"/>
      <c r="D129" s="191" t="n"/>
    </row>
    <row r="130">
      <c r="A130" s="29" t="inlineStr">
        <is>
          <t>A. DIRECT PERSONNEL COSTS</t>
        </is>
      </c>
      <c r="B130" s="30" t="n"/>
      <c r="C130" s="110" t="n"/>
      <c r="D130" s="354" t="n"/>
    </row>
    <row r="131">
      <c r="A131" s="28" t="inlineStr">
        <is>
          <t>A.1 Employees (or equivalent)</t>
        </is>
      </c>
      <c r="B131" s="89" t="n"/>
      <c r="C131" s="111" t="n"/>
      <c r="D131" s="355" t="n"/>
    </row>
    <row r="132">
      <c r="A132" s="48" t="inlineStr">
        <is>
          <t>SENIOR SCIENTISTS (or equivalent in the private sector)</t>
        </is>
      </c>
      <c r="B132" s="357" t="n">
        <v>2</v>
      </c>
      <c r="C132" s="248" t="n">
        <v>5000</v>
      </c>
      <c r="D132" s="232">
        <f>B132*C132</f>
        <v/>
      </c>
    </row>
    <row r="133">
      <c r="A133" s="48" t="inlineStr">
        <is>
          <t>JUNIOR SCIENTISTS (or equivalent in the private sector)</t>
        </is>
      </c>
      <c r="B133" s="357" t="n">
        <v>1</v>
      </c>
      <c r="C133" s="248" t="n">
        <v>4000</v>
      </c>
      <c r="D133" s="232">
        <f>B133*C133</f>
        <v/>
      </c>
    </row>
    <row r="134">
      <c r="A134" s="48" t="inlineStr">
        <is>
          <t>TECHNICAL PERSONNEL (or equivalent in the private sector)</t>
        </is>
      </c>
      <c r="B134" s="357" t="n">
        <v>1</v>
      </c>
      <c r="C134" s="248" t="n">
        <v>3400</v>
      </c>
      <c r="D134" s="232">
        <f>B134*C134</f>
        <v/>
      </c>
    </row>
    <row r="135">
      <c r="A135" s="48" t="inlineStr">
        <is>
          <t>ADMINISTRATIVE PERSONNEL (or equivalent in the private sector)</t>
        </is>
      </c>
      <c r="B135" s="357" t="n"/>
      <c r="C135" s="248" t="n"/>
      <c r="D135" s="232">
        <f>B135*C135</f>
        <v/>
      </c>
    </row>
    <row r="136">
      <c r="A136" s="48" t="inlineStr">
        <is>
          <t>OTHERS</t>
        </is>
      </c>
      <c r="B136" s="357" t="n"/>
      <c r="C136" s="248" t="n"/>
      <c r="D136" s="232">
        <f>B136*C136</f>
        <v/>
      </c>
    </row>
    <row r="137">
      <c r="A137" s="28" t="inlineStr">
        <is>
          <t>A.2 Natural Persons under direct contract</t>
        </is>
      </c>
      <c r="B137" s="357" t="n"/>
      <c r="C137" s="248" t="n"/>
      <c r="D137" s="232">
        <f>B137*C137</f>
        <v/>
      </c>
    </row>
    <row r="138">
      <c r="A138" s="28" t="inlineStr">
        <is>
          <t>A.3 Seconded Persons</t>
        </is>
      </c>
      <c r="B138" s="357" t="n"/>
      <c r="C138" s="248" t="n"/>
      <c r="D138" s="232">
        <f>B138*C138</f>
        <v/>
      </c>
    </row>
    <row r="139">
      <c r="A139" s="28" t="inlineStr">
        <is>
          <t>A.4 SME owners and natural person beneficiaries</t>
        </is>
      </c>
      <c r="B139" s="357" t="n"/>
      <c r="C139" s="256" t="n">
        <v>8360.6024</v>
      </c>
      <c r="D139" s="232">
        <f>B139*C139</f>
        <v/>
      </c>
    </row>
    <row r="140">
      <c r="A140" s="29" t="inlineStr">
        <is>
          <t>B. DIRECT SUBCONTRACTING COSTS</t>
        </is>
      </c>
      <c r="B140" s="358" t="n"/>
      <c r="C140" s="110" t="n"/>
      <c r="D140" s="359" t="n"/>
    </row>
    <row r="141">
      <c r="A141" s="53" t="n"/>
      <c r="B141" s="357" t="n"/>
      <c r="C141" s="248" t="n"/>
      <c r="D141" s="361">
        <f>B141*C141</f>
        <v/>
      </c>
    </row>
    <row r="142">
      <c r="A142" s="29" t="inlineStr">
        <is>
          <t>C. DIRECT PURCHASE COSTS</t>
        </is>
      </c>
      <c r="B142" s="358" t="n"/>
      <c r="C142" s="110" t="n"/>
      <c r="D142" s="359" t="n"/>
    </row>
    <row r="143">
      <c r="A143" s="28" t="inlineStr">
        <is>
          <t>C.1 Travel and subsistence</t>
        </is>
      </c>
      <c r="B143" s="357" t="n"/>
      <c r="C143" s="248" t="n"/>
      <c r="D143" s="361">
        <f>B143*C143</f>
        <v/>
      </c>
    </row>
    <row r="144">
      <c r="A144" s="28" t="inlineStr">
        <is>
          <t>C.2 Equipment (complete 'Depreciation costs' sheet)</t>
        </is>
      </c>
      <c r="B144" s="346" t="n"/>
      <c r="C144" s="111" t="n"/>
      <c r="D144" s="364" t="n"/>
    </row>
    <row r="145">
      <c r="A145" s="49" t="inlineStr">
        <is>
          <t>Equipment</t>
        </is>
      </c>
      <c r="B145" s="357" t="n"/>
      <c r="C145" s="248" t="n"/>
      <c r="D145" s="361">
        <f>B145*C145</f>
        <v/>
      </c>
    </row>
    <row r="146">
      <c r="A146" s="49" t="inlineStr">
        <is>
          <t>Infrastructure</t>
        </is>
      </c>
      <c r="B146" s="357" t="n"/>
      <c r="C146" s="248" t="n"/>
      <c r="D146" s="361">
        <f>B146*C146</f>
        <v/>
      </c>
    </row>
    <row r="147">
      <c r="A147" s="49" t="inlineStr">
        <is>
          <t>Other assets</t>
        </is>
      </c>
      <c r="B147" s="357" t="n"/>
      <c r="C147" s="248" t="n"/>
      <c r="D147" s="361">
        <f>B147*C147</f>
        <v/>
      </c>
    </row>
    <row r="148">
      <c r="A148" s="28" t="inlineStr">
        <is>
          <t>C.3 Other goods, works and services</t>
        </is>
      </c>
      <c r="B148" s="346" t="n"/>
      <c r="C148" s="111" t="n"/>
      <c r="D148" s="364" t="n"/>
    </row>
    <row r="149">
      <c r="A149" s="49" t="inlineStr">
        <is>
          <t>Consumables</t>
        </is>
      </c>
      <c r="B149" s="357" t="n"/>
      <c r="C149" s="248" t="n"/>
      <c r="D149" s="361">
        <f>B149*C149</f>
        <v/>
      </c>
    </row>
    <row r="150">
      <c r="A150" s="49" t="inlineStr">
        <is>
          <t>Services for meetings, seminars</t>
        </is>
      </c>
      <c r="B150" s="357" t="n"/>
      <c r="C150" s="248" t="n"/>
      <c r="D150" s="361">
        <f>B150*C150</f>
        <v/>
      </c>
    </row>
    <row r="151">
      <c r="A151" s="49" t="inlineStr">
        <is>
          <t>Services for dissemination activities (including website)</t>
        </is>
      </c>
      <c r="B151" s="357" t="n"/>
      <c r="C151" s="248" t="n"/>
      <c r="D151" s="361">
        <f>B151*C151</f>
        <v/>
      </c>
    </row>
    <row r="152">
      <c r="A152" s="49" t="inlineStr">
        <is>
          <t>Publication fees</t>
        </is>
      </c>
      <c r="B152" s="357" t="n"/>
      <c r="C152" s="248" t="n"/>
      <c r="D152" s="361">
        <f>B152*C152</f>
        <v/>
      </c>
    </row>
    <row r="153">
      <c r="A153" s="49" t="inlineStr">
        <is>
          <t>Other (shipment, insurance, translation, etc.)</t>
        </is>
      </c>
      <c r="B153" s="357" t="n"/>
      <c r="C153" s="248" t="n"/>
      <c r="D153" s="361">
        <f>B153*C153</f>
        <v/>
      </c>
    </row>
    <row r="154">
      <c r="A154" s="29" t="inlineStr">
        <is>
          <t>D. OTHER COST CATEGORIES</t>
        </is>
      </c>
      <c r="B154" s="358" t="n"/>
      <c r="C154" s="110" t="n"/>
      <c r="D154" s="359" t="n"/>
    </row>
    <row r="155">
      <c r="A155" s="50" t="inlineStr">
        <is>
          <t>D.1 Financial support to third parties (if applicable in the topic specific conditions)</t>
        </is>
      </c>
      <c r="B155" s="357" t="n"/>
      <c r="C155" s="248" t="n"/>
      <c r="D155" s="361">
        <f>B155*C155</f>
        <v/>
      </c>
    </row>
    <row r="156">
      <c r="A156" s="50" t="inlineStr">
        <is>
          <t>D.2 Internally invoiced goods and services</t>
        </is>
      </c>
      <c r="B156" s="357" t="n"/>
      <c r="C156" s="248" t="n"/>
      <c r="D156" s="361">
        <f>B156*C156</f>
        <v/>
      </c>
    </row>
    <row r="157">
      <c r="A157" s="50" t="inlineStr">
        <is>
          <t>D.3 Transnational access to research infrastructure unit costs (if mentioned as eligible in the topic specific conditions)</t>
        </is>
      </c>
      <c r="B157" s="357" t="n"/>
      <c r="C157" s="248" t="n"/>
      <c r="D157" s="361">
        <f>B157*C157</f>
        <v/>
      </c>
    </row>
    <row r="158">
      <c r="A158" s="50" t="inlineStr">
        <is>
          <t>D.4 Virtual access to research infrastructure unit costs (if mentioned as eligible in the topic specific conditions)</t>
        </is>
      </c>
      <c r="B158" s="357" t="n"/>
      <c r="C158" s="248" t="n"/>
      <c r="D158" s="361">
        <f>B158*C158</f>
        <v/>
      </c>
    </row>
    <row r="159">
      <c r="A159" s="50" t="inlineStr">
        <is>
          <t>D.5 PCP/PPI procurement costs (if mentioned as eligible in the topic specific conditions)</t>
        </is>
      </c>
      <c r="B159" s="357" t="n"/>
      <c r="C159" s="248" t="n"/>
      <c r="D159" s="361">
        <f>B159*C159</f>
        <v/>
      </c>
    </row>
    <row r="160">
      <c r="A160" s="50" t="n"/>
      <c r="B160" s="346" t="n"/>
      <c r="C160" s="111" t="n"/>
      <c r="D160" s="365" t="n"/>
    </row>
    <row r="161">
      <c r="A161" s="52" t="inlineStr">
        <is>
          <t>TOTAL DIRECT PERSONNEL COSTS AND PURCHASE COSTS (A+C)</t>
        </is>
      </c>
      <c r="B161" s="369" t="n"/>
      <c r="C161" s="230" t="n"/>
      <c r="D161" s="360">
        <f>SUM(D132:D139,D143:D153)</f>
        <v/>
      </c>
    </row>
    <row r="162">
      <c r="A162" s="52" t="inlineStr">
        <is>
          <t>TOTAL DIRECT COSTS  (A+B+C+D)</t>
        </is>
      </c>
      <c r="B162" s="369" t="n"/>
      <c r="C162" s="230" t="n"/>
      <c r="D162" s="360">
        <f>SUM(D132:D159)</f>
        <v/>
      </c>
    </row>
    <row r="163">
      <c r="A163" s="180" t="n"/>
      <c r="B163" s="372" t="n"/>
      <c r="C163" s="176" t="n"/>
      <c r="D163" s="373" t="n"/>
    </row>
    <row r="164">
      <c r="A164" s="29" t="inlineStr">
        <is>
          <t>E. INDIRECT COSTS (25% * (A+C))</t>
        </is>
      </c>
      <c r="B164" s="358" t="n"/>
      <c r="C164" s="110" t="n"/>
      <c r="D164" s="360">
        <f>D161*0.25</f>
        <v/>
      </c>
    </row>
    <row r="165">
      <c r="A165" s="32" t="n"/>
      <c r="B165" s="372" t="n"/>
      <c r="C165" s="176" t="n"/>
      <c r="D165" s="377" t="n"/>
    </row>
    <row r="166">
      <c r="A166" s="29" t="inlineStr">
        <is>
          <t>F. TOTAL COSTS (A+B+C+D+E)</t>
        </is>
      </c>
      <c r="B166" s="369" t="n"/>
      <c r="C166" s="230" t="n"/>
      <c r="D166" s="360">
        <f>D162+D164</f>
        <v/>
      </c>
    </row>
    <row r="167">
      <c r="A167" s="182" t="n"/>
      <c r="B167" s="183" t="n"/>
      <c r="C167" s="184" t="n"/>
      <c r="D167" s="183" t="n"/>
    </row>
    <row r="168">
      <c r="A168" s="190" t="n"/>
      <c r="B168" s="185" t="n"/>
      <c r="C168" s="186" t="n"/>
      <c r="D168" s="187" t="n"/>
    </row>
    <row r="169" ht="21" customHeight="1">
      <c r="A169" s="272">
        <f>CONCATENATE("COSTS WORK PACKAGE 5:"," ","Health Models for Wind Turbine Components")</f>
        <v/>
      </c>
      <c r="B169" s="314" t="n"/>
      <c r="C169" s="314" t="n"/>
      <c r="D169" s="315" t="n"/>
    </row>
    <row r="170">
      <c r="A170" s="182" t="n"/>
      <c r="B170" s="191" t="n"/>
      <c r="C170" s="192" t="n"/>
      <c r="D170" s="191" t="n"/>
    </row>
    <row r="171">
      <c r="A171" s="29" t="inlineStr">
        <is>
          <t>A. DIRECT PERSONNEL COSTS</t>
        </is>
      </c>
      <c r="B171" s="30" t="n"/>
      <c r="C171" s="110" t="n"/>
      <c r="D171" s="354" t="n"/>
    </row>
    <row r="172">
      <c r="A172" s="28" t="inlineStr">
        <is>
          <t>A.1 Employees (or equivalent)</t>
        </is>
      </c>
      <c r="B172" s="89" t="n"/>
      <c r="C172" s="111" t="n"/>
      <c r="D172" s="355" t="n"/>
    </row>
    <row r="173">
      <c r="A173" s="48" t="inlineStr">
        <is>
          <t>SENIOR SCIENTISTS (or equivalent in the private sector)</t>
        </is>
      </c>
      <c r="B173" s="357" t="n">
        <v>1</v>
      </c>
      <c r="C173" s="248" t="n">
        <v>5000</v>
      </c>
      <c r="D173" s="232">
        <f>B173*C173</f>
        <v/>
      </c>
    </row>
    <row r="174">
      <c r="A174" s="48" t="inlineStr">
        <is>
          <t>JUNIOR SCIENTISTS (or equivalent in the private sector)</t>
        </is>
      </c>
      <c r="B174" s="357" t="n">
        <v>2</v>
      </c>
      <c r="C174" s="248" t="n">
        <v>4000</v>
      </c>
      <c r="D174" s="232">
        <f>B174*C174</f>
        <v/>
      </c>
    </row>
    <row r="175">
      <c r="A175" s="48" t="inlineStr">
        <is>
          <t>TECHNICAL PERSONNEL (or equivalent in the private sector)</t>
        </is>
      </c>
      <c r="B175" s="357" t="n"/>
      <c r="C175" s="248" t="n">
        <v>3400</v>
      </c>
      <c r="D175" s="232">
        <f>B175*C175</f>
        <v/>
      </c>
    </row>
    <row r="176">
      <c r="A176" s="48" t="inlineStr">
        <is>
          <t>ADMINISTRATIVE PERSONNEL (or equivalent in the private sector)</t>
        </is>
      </c>
      <c r="B176" s="357" t="n"/>
      <c r="C176" s="248" t="n">
        <v>3400</v>
      </c>
      <c r="D176" s="232">
        <f>B176*C176</f>
        <v/>
      </c>
    </row>
    <row r="177">
      <c r="A177" s="48" t="inlineStr">
        <is>
          <t>OTHERS</t>
        </is>
      </c>
      <c r="B177" s="357" t="n"/>
      <c r="C177" s="248" t="n"/>
      <c r="D177" s="232">
        <f>B177*C177</f>
        <v/>
      </c>
    </row>
    <row r="178">
      <c r="A178" s="28" t="inlineStr">
        <is>
          <t>A.2 Natural Persons under direct contract</t>
        </is>
      </c>
      <c r="B178" s="357" t="n"/>
      <c r="C178" s="248" t="n"/>
      <c r="D178" s="232">
        <f>B178*C178</f>
        <v/>
      </c>
    </row>
    <row r="179">
      <c r="A179" s="28" t="inlineStr">
        <is>
          <t>A.3 Seconded Persons</t>
        </is>
      </c>
      <c r="B179" s="357" t="n"/>
      <c r="C179" s="248" t="n"/>
      <c r="D179" s="232">
        <f>B179*C179</f>
        <v/>
      </c>
    </row>
    <row r="180">
      <c r="A180" s="28" t="inlineStr">
        <is>
          <t>A.4 SME owners and natural person beneficiaries</t>
        </is>
      </c>
      <c r="B180" s="357" t="n"/>
      <c r="C180" s="256" t="n">
        <v>8360.6024</v>
      </c>
      <c r="D180" s="232">
        <f>B180*C180</f>
        <v/>
      </c>
    </row>
    <row r="181">
      <c r="A181" s="29" t="inlineStr">
        <is>
          <t>B. DIRECT SUBCONTRACTING COSTS</t>
        </is>
      </c>
      <c r="B181" s="358" t="n"/>
      <c r="C181" s="110" t="n"/>
      <c r="D181" s="359" t="n"/>
    </row>
    <row r="182">
      <c r="A182" s="53" t="n"/>
      <c r="B182" s="357" t="n"/>
      <c r="C182" s="248" t="n"/>
      <c r="D182" s="361">
        <f>B182*C182</f>
        <v/>
      </c>
    </row>
    <row r="183">
      <c r="A183" s="29" t="inlineStr">
        <is>
          <t>C. DIRECT PURCHASE COSTS</t>
        </is>
      </c>
      <c r="B183" s="358" t="n"/>
      <c r="C183" s="110" t="n"/>
      <c r="D183" s="359" t="n"/>
    </row>
    <row r="184">
      <c r="A184" s="28" t="inlineStr">
        <is>
          <t>C.1 Travel and subsistence</t>
        </is>
      </c>
      <c r="B184" s="357" t="n"/>
      <c r="C184" s="248" t="n"/>
      <c r="D184" s="361">
        <f>B184*C184</f>
        <v/>
      </c>
    </row>
    <row r="185">
      <c r="A185" s="28" t="inlineStr">
        <is>
          <t>C.2 Equipment (complete 'Depreciation costs' sheet)</t>
        </is>
      </c>
      <c r="B185" s="346" t="n"/>
      <c r="C185" s="111" t="n"/>
      <c r="D185" s="364" t="n"/>
    </row>
    <row r="186">
      <c r="A186" s="49" t="inlineStr">
        <is>
          <t>Equipment</t>
        </is>
      </c>
      <c r="B186" s="357" t="n"/>
      <c r="C186" s="248" t="n"/>
      <c r="D186" s="361">
        <f>B186*C186</f>
        <v/>
      </c>
    </row>
    <row r="187">
      <c r="A187" s="49" t="inlineStr">
        <is>
          <t>Infrastructure</t>
        </is>
      </c>
      <c r="B187" s="357" t="n"/>
      <c r="C187" s="248" t="n"/>
      <c r="D187" s="361">
        <f>B187*C187</f>
        <v/>
      </c>
    </row>
    <row r="188">
      <c r="A188" s="49" t="inlineStr">
        <is>
          <t>Other assets</t>
        </is>
      </c>
      <c r="B188" s="357" t="n"/>
      <c r="C188" s="248" t="n"/>
      <c r="D188" s="361">
        <f>B188*C188</f>
        <v/>
      </c>
    </row>
    <row r="189">
      <c r="A189" s="28" t="inlineStr">
        <is>
          <t>C.3 Other goods, works and services</t>
        </is>
      </c>
      <c r="B189" s="346" t="n"/>
      <c r="C189" s="111" t="n"/>
      <c r="D189" s="364" t="n"/>
    </row>
    <row r="190">
      <c r="A190" s="49" t="inlineStr">
        <is>
          <t>Consumables</t>
        </is>
      </c>
      <c r="B190" s="357" t="n"/>
      <c r="C190" s="248" t="n"/>
      <c r="D190" s="361">
        <f>B190*C190</f>
        <v/>
      </c>
    </row>
    <row r="191">
      <c r="A191" s="49" t="inlineStr">
        <is>
          <t>Services for meetings, seminars</t>
        </is>
      </c>
      <c r="B191" s="357" t="n"/>
      <c r="C191" s="248" t="n"/>
      <c r="D191" s="361">
        <f>B191*C191</f>
        <v/>
      </c>
    </row>
    <row r="192">
      <c r="A192" s="49" t="inlineStr">
        <is>
          <t>Services for dissemination activities (including website)</t>
        </is>
      </c>
      <c r="B192" s="357" t="n"/>
      <c r="C192" s="248" t="n"/>
      <c r="D192" s="361">
        <f>B192*C192</f>
        <v/>
      </c>
    </row>
    <row r="193">
      <c r="A193" s="49" t="inlineStr">
        <is>
          <t>Publication fees</t>
        </is>
      </c>
      <c r="B193" s="357" t="n"/>
      <c r="C193" s="248" t="n"/>
      <c r="D193" s="361">
        <f>B193*C193</f>
        <v/>
      </c>
    </row>
    <row r="194">
      <c r="A194" s="49" t="inlineStr">
        <is>
          <t>Other (shipment, insurance, translation, etc.)</t>
        </is>
      </c>
      <c r="B194" s="357" t="n"/>
      <c r="C194" s="248" t="n"/>
      <c r="D194" s="361">
        <f>B194*C194</f>
        <v/>
      </c>
    </row>
    <row r="195">
      <c r="A195" s="29" t="inlineStr">
        <is>
          <t>D. OTHER COST CATEGORIES</t>
        </is>
      </c>
      <c r="B195" s="358" t="n"/>
      <c r="C195" s="110" t="n"/>
      <c r="D195" s="359" t="n"/>
    </row>
    <row r="196">
      <c r="A196" s="50" t="inlineStr">
        <is>
          <t>D.1 Financial support to third parties (if applicable in the topic specific conditions)</t>
        </is>
      </c>
      <c r="B196" s="357" t="n"/>
      <c r="C196" s="248" t="n"/>
      <c r="D196" s="361">
        <f>B196*C196</f>
        <v/>
      </c>
    </row>
    <row r="197">
      <c r="A197" s="50" t="inlineStr">
        <is>
          <t>D.2 Internally invoiced goods and services</t>
        </is>
      </c>
      <c r="B197" s="357" t="n"/>
      <c r="C197" s="248" t="n"/>
      <c r="D197" s="361">
        <f>B197*C197</f>
        <v/>
      </c>
    </row>
    <row r="198">
      <c r="A198" s="50" t="inlineStr">
        <is>
          <t>D.3 Transnational access to research infrastructure unit costs (if mentioned as eligible in the topic specific conditions)</t>
        </is>
      </c>
      <c r="B198" s="357" t="n"/>
      <c r="C198" s="248" t="n"/>
      <c r="D198" s="361">
        <f>B198*C198</f>
        <v/>
      </c>
    </row>
    <row r="199">
      <c r="A199" s="50" t="inlineStr">
        <is>
          <t>D.4 Virtual access to research infrastructure unit costs (if mentioned as eligible in the topic specific conditions)</t>
        </is>
      </c>
      <c r="B199" s="357" t="n"/>
      <c r="C199" s="248" t="n"/>
      <c r="D199" s="361">
        <f>B199*C199</f>
        <v/>
      </c>
    </row>
    <row r="200">
      <c r="A200" s="50" t="inlineStr">
        <is>
          <t>D.5 PCP/PPI procurement costs (if mentioned as eligible in the topic specific conditions)</t>
        </is>
      </c>
      <c r="B200" s="357" t="n"/>
      <c r="C200" s="248" t="n"/>
      <c r="D200" s="361">
        <f>B200*C200</f>
        <v/>
      </c>
    </row>
    <row r="201">
      <c r="A201" s="50" t="n"/>
      <c r="B201" s="346" t="n"/>
      <c r="C201" s="111" t="n"/>
      <c r="D201" s="365" t="n"/>
    </row>
    <row r="202">
      <c r="A202" s="52" t="inlineStr">
        <is>
          <t>TOTAL DIRECT PERSONNEL COSTS AND PURCHASE COSTS (A+C)</t>
        </is>
      </c>
      <c r="B202" s="369" t="n"/>
      <c r="C202" s="230" t="n"/>
      <c r="D202" s="360">
        <f>SUM(D173:D180,D184:D194)</f>
        <v/>
      </c>
    </row>
    <row r="203">
      <c r="A203" s="52" t="inlineStr">
        <is>
          <t>TOTAL DIRECT COSTS  (A+B+C+D)</t>
        </is>
      </c>
      <c r="B203" s="369" t="n"/>
      <c r="C203" s="230" t="n"/>
      <c r="D203" s="360">
        <f>SUM(D173:D200)</f>
        <v/>
      </c>
    </row>
    <row r="204">
      <c r="A204" s="180" t="n"/>
      <c r="B204" s="372" t="n"/>
      <c r="C204" s="176" t="n"/>
      <c r="D204" s="373" t="n"/>
    </row>
    <row r="205">
      <c r="A205" s="29" t="inlineStr">
        <is>
          <t>E. INDIRECT COSTS (25% * (A+C))</t>
        </is>
      </c>
      <c r="B205" s="358" t="n"/>
      <c r="C205" s="110" t="n"/>
      <c r="D205" s="360">
        <f>D202*0.25</f>
        <v/>
      </c>
    </row>
    <row r="206">
      <c r="A206" s="32" t="n"/>
      <c r="B206" s="372" t="n"/>
      <c r="C206" s="176" t="n"/>
      <c r="D206" s="377" t="n"/>
    </row>
    <row r="207">
      <c r="A207" s="29" t="inlineStr">
        <is>
          <t>F. TOTAL COSTS (A+B+C+D+E)</t>
        </is>
      </c>
      <c r="B207" s="369" t="n"/>
      <c r="C207" s="230" t="n"/>
      <c r="D207" s="360">
        <f>D203+D205</f>
        <v/>
      </c>
    </row>
    <row r="208">
      <c r="A208" s="182" t="n"/>
      <c r="B208" s="183" t="n"/>
      <c r="C208" s="184" t="n"/>
      <c r="D208" s="183" t="n"/>
    </row>
    <row r="209">
      <c r="A209" s="190" t="n"/>
      <c r="B209" s="185" t="n"/>
      <c r="C209" s="186" t="n"/>
      <c r="D209" s="187" t="n"/>
    </row>
    <row r="210" ht="21" customHeight="1">
      <c r="A210" s="272">
        <f>CONCATENATE("COSTS WORK PACKAGE 6:"," ","Advanced Condition Health Monitoring and Prediction")</f>
        <v/>
      </c>
      <c r="B210" s="314" t="n"/>
      <c r="C210" s="314" t="n"/>
      <c r="D210" s="315" t="n"/>
    </row>
    <row r="211">
      <c r="A211" s="182" t="n"/>
      <c r="B211" s="191" t="n"/>
      <c r="C211" s="192" t="n"/>
      <c r="D211" s="191" t="n"/>
    </row>
    <row r="212">
      <c r="A212" s="29" t="inlineStr">
        <is>
          <t>A. DIRECT PERSONNEL COSTS</t>
        </is>
      </c>
      <c r="B212" s="30" t="n"/>
      <c r="C212" s="110" t="n"/>
      <c r="D212" s="354" t="n"/>
    </row>
    <row r="213">
      <c r="A213" s="28" t="inlineStr">
        <is>
          <t>A.1 Employees (or equivalent)</t>
        </is>
      </c>
      <c r="B213" s="89" t="n"/>
      <c r="C213" s="111" t="n"/>
      <c r="D213" s="355" t="n"/>
    </row>
    <row r="214">
      <c r="A214" s="48" t="inlineStr">
        <is>
          <t>SENIOR SCIENTISTS (or equivalent in the private sector)</t>
        </is>
      </c>
      <c r="B214" s="357" t="n">
        <v>1</v>
      </c>
      <c r="C214" s="248" t="n">
        <v>5000</v>
      </c>
      <c r="D214" s="232">
        <f>B214*C214</f>
        <v/>
      </c>
    </row>
    <row r="215">
      <c r="A215" s="48" t="inlineStr">
        <is>
          <t>JUNIOR SCIENTISTS (or equivalent in the private sector)</t>
        </is>
      </c>
      <c r="B215" s="357" t="n">
        <v>3</v>
      </c>
      <c r="C215" s="248" t="n">
        <v>4000</v>
      </c>
      <c r="D215" s="232">
        <f>B215*C215</f>
        <v/>
      </c>
    </row>
    <row r="216">
      <c r="A216" s="48" t="inlineStr">
        <is>
          <t>TECHNICAL PERSONNEL (or equivalent in the private sector)</t>
        </is>
      </c>
      <c r="B216" s="357" t="n">
        <v>1</v>
      </c>
      <c r="C216" s="248" t="n">
        <v>3400</v>
      </c>
      <c r="D216" s="232">
        <f>B216*C216</f>
        <v/>
      </c>
    </row>
    <row r="217">
      <c r="A217" s="48" t="inlineStr">
        <is>
          <t>ADMINISTRATIVE PERSONNEL (or equivalent in the private sector)</t>
        </is>
      </c>
      <c r="B217" s="357" t="n"/>
      <c r="C217" s="248" t="n">
        <v>3400</v>
      </c>
      <c r="D217" s="232">
        <f>B217*C217</f>
        <v/>
      </c>
    </row>
    <row r="218">
      <c r="A218" s="48" t="inlineStr">
        <is>
          <t>OTHERS</t>
        </is>
      </c>
      <c r="B218" s="357" t="n"/>
      <c r="C218" s="248" t="n"/>
      <c r="D218" s="232">
        <f>B218*C218</f>
        <v/>
      </c>
    </row>
    <row r="219">
      <c r="A219" s="28" t="inlineStr">
        <is>
          <t>A.2 Natural Persons under direct contract</t>
        </is>
      </c>
      <c r="B219" s="357" t="n"/>
      <c r="C219" s="248" t="n"/>
      <c r="D219" s="232">
        <f>B219*C219</f>
        <v/>
      </c>
    </row>
    <row r="220">
      <c r="A220" s="28" t="inlineStr">
        <is>
          <t>A.3 Seconded Persons</t>
        </is>
      </c>
      <c r="B220" s="357" t="n"/>
      <c r="C220" s="248" t="n"/>
      <c r="D220" s="232">
        <f>B220*C220</f>
        <v/>
      </c>
    </row>
    <row r="221">
      <c r="A221" s="28" t="inlineStr">
        <is>
          <t>A.4 SME owners and natural person beneficiaries</t>
        </is>
      </c>
      <c r="B221" s="357" t="n"/>
      <c r="C221" s="256" t="n">
        <v>8360.6024</v>
      </c>
      <c r="D221" s="232">
        <f>B221*C221</f>
        <v/>
      </c>
    </row>
    <row r="222">
      <c r="A222" s="29" t="inlineStr">
        <is>
          <t>B. DIRECT SUBCONTRACTING COSTS</t>
        </is>
      </c>
      <c r="B222" s="358" t="n"/>
      <c r="C222" s="110" t="n"/>
      <c r="D222" s="359" t="n"/>
    </row>
    <row r="223">
      <c r="A223" s="53" t="n"/>
      <c r="B223" s="357" t="n"/>
      <c r="C223" s="248" t="n"/>
      <c r="D223" s="361">
        <f>B223*C223</f>
        <v/>
      </c>
    </row>
    <row r="224">
      <c r="A224" s="29" t="inlineStr">
        <is>
          <t>C. DIRECT PURCHASE COSTS</t>
        </is>
      </c>
      <c r="B224" s="358" t="n"/>
      <c r="C224" s="110" t="n"/>
      <c r="D224" s="359" t="n"/>
    </row>
    <row r="225">
      <c r="A225" s="28" t="inlineStr">
        <is>
          <t>C.1 Travel and subsistence</t>
        </is>
      </c>
      <c r="B225" s="357" t="n"/>
      <c r="C225" s="248" t="n"/>
      <c r="D225" s="361">
        <f>B225*C225</f>
        <v/>
      </c>
    </row>
    <row r="226">
      <c r="A226" s="28" t="inlineStr">
        <is>
          <t>C.2 Equipment (complete 'Depreciation costs' sheet)</t>
        </is>
      </c>
      <c r="B226" s="346" t="n"/>
      <c r="C226" s="111" t="n"/>
      <c r="D226" s="364" t="n"/>
    </row>
    <row r="227">
      <c r="A227" s="49" t="inlineStr">
        <is>
          <t>Equipment</t>
        </is>
      </c>
      <c r="B227" s="357" t="n"/>
      <c r="C227" s="248" t="n"/>
      <c r="D227" s="361">
        <f>B227*C227</f>
        <v/>
      </c>
    </row>
    <row r="228">
      <c r="A228" s="49" t="inlineStr">
        <is>
          <t>Infrastructure</t>
        </is>
      </c>
      <c r="B228" s="357" t="n"/>
      <c r="C228" s="248" t="n"/>
      <c r="D228" s="361">
        <f>B228*C228</f>
        <v/>
      </c>
    </row>
    <row r="229">
      <c r="A229" s="49" t="inlineStr">
        <is>
          <t>Other assets</t>
        </is>
      </c>
      <c r="B229" s="357" t="n"/>
      <c r="C229" s="248" t="n"/>
      <c r="D229" s="361">
        <f>B229*C229</f>
        <v/>
      </c>
    </row>
    <row r="230">
      <c r="A230" s="28" t="inlineStr">
        <is>
          <t>C.3 Other goods, works and services</t>
        </is>
      </c>
      <c r="B230" s="346" t="n"/>
      <c r="C230" s="111" t="n"/>
      <c r="D230" s="364" t="n"/>
    </row>
    <row r="231">
      <c r="A231" s="49" t="inlineStr">
        <is>
          <t>Consumables</t>
        </is>
      </c>
      <c r="B231" s="357" t="n"/>
      <c r="C231" s="248" t="n"/>
      <c r="D231" s="361">
        <f>B231*C231</f>
        <v/>
      </c>
    </row>
    <row r="232">
      <c r="A232" s="49" t="inlineStr">
        <is>
          <t>Services for meetings, seminars</t>
        </is>
      </c>
      <c r="B232" s="357" t="n"/>
      <c r="C232" s="248" t="n"/>
      <c r="D232" s="361">
        <f>B232*C232</f>
        <v/>
      </c>
    </row>
    <row r="233">
      <c r="A233" s="49" t="inlineStr">
        <is>
          <t>Services for dissemination activities (including website)</t>
        </is>
      </c>
      <c r="B233" s="357" t="n"/>
      <c r="C233" s="248" t="n"/>
      <c r="D233" s="361">
        <f>B233*C233</f>
        <v/>
      </c>
    </row>
    <row r="234">
      <c r="A234" s="49" t="inlineStr">
        <is>
          <t>Publication fees</t>
        </is>
      </c>
      <c r="B234" s="357" t="n"/>
      <c r="C234" s="248" t="n"/>
      <c r="D234" s="361">
        <f>B234*C234</f>
        <v/>
      </c>
    </row>
    <row r="235">
      <c r="A235" s="49" t="inlineStr">
        <is>
          <t>Other (shipment, insurance, translation, etc.)</t>
        </is>
      </c>
      <c r="B235" s="357" t="n"/>
      <c r="C235" s="248" t="n"/>
      <c r="D235" s="361">
        <f>B235*C235</f>
        <v/>
      </c>
    </row>
    <row r="236">
      <c r="A236" s="29" t="inlineStr">
        <is>
          <t>D. OTHER COST CATEGORIES</t>
        </is>
      </c>
      <c r="B236" s="358" t="n"/>
      <c r="C236" s="110" t="n"/>
      <c r="D236" s="359" t="n"/>
    </row>
    <row r="237">
      <c r="A237" s="50" t="inlineStr">
        <is>
          <t>D.1 Financial support to third parties (if applicable in the topic specific conditions)</t>
        </is>
      </c>
      <c r="B237" s="357" t="n"/>
      <c r="C237" s="248" t="n"/>
      <c r="D237" s="361">
        <f>B237*C237</f>
        <v/>
      </c>
    </row>
    <row r="238">
      <c r="A238" s="50" t="inlineStr">
        <is>
          <t>D.2 Internally invoiced goods and services</t>
        </is>
      </c>
      <c r="B238" s="357" t="n"/>
      <c r="C238" s="248" t="n"/>
      <c r="D238" s="361">
        <f>B238*C238</f>
        <v/>
      </c>
    </row>
    <row r="239">
      <c r="A239" s="50" t="inlineStr">
        <is>
          <t>D.3 Transnational access to research infrastructure unit costs (if mentioned as eligible in the topic specific conditions)</t>
        </is>
      </c>
      <c r="B239" s="357" t="n"/>
      <c r="C239" s="248" t="n"/>
      <c r="D239" s="361">
        <f>B239*C239</f>
        <v/>
      </c>
    </row>
    <row r="240">
      <c r="A240" s="50" t="inlineStr">
        <is>
          <t>D.4 Virtual access to research infrastructure unit costs (if mentioned as eligible in the topic specific conditions)</t>
        </is>
      </c>
      <c r="B240" s="357" t="n"/>
      <c r="C240" s="248" t="n"/>
      <c r="D240" s="361">
        <f>B240*C240</f>
        <v/>
      </c>
    </row>
    <row r="241">
      <c r="A241" s="50" t="inlineStr">
        <is>
          <t>D.5 PCP/PPI procurement costs (if mentioned as eligible in the topic specific conditions)</t>
        </is>
      </c>
      <c r="B241" s="357" t="n"/>
      <c r="C241" s="248" t="n"/>
      <c r="D241" s="361">
        <f>B241*C241</f>
        <v/>
      </c>
    </row>
    <row r="242">
      <c r="A242" s="50" t="n"/>
      <c r="B242" s="346" t="n"/>
      <c r="C242" s="111" t="n"/>
      <c r="D242" s="365" t="n"/>
    </row>
    <row r="243">
      <c r="A243" s="52" t="inlineStr">
        <is>
          <t>TOTAL DIRECT PERSONNEL COSTS AND PURCHASE COSTS (A+C)</t>
        </is>
      </c>
      <c r="B243" s="369" t="n"/>
      <c r="C243" s="230" t="n"/>
      <c r="D243" s="360">
        <f>SUM(D214:D221,D225:D235)</f>
        <v/>
      </c>
    </row>
    <row r="244">
      <c r="A244" s="52" t="inlineStr">
        <is>
          <t>TOTAL DIRECT COSTS  (A+B+C+D)</t>
        </is>
      </c>
      <c r="B244" s="369" t="n"/>
      <c r="C244" s="230" t="n"/>
      <c r="D244" s="360">
        <f>SUM(D214:D241)</f>
        <v/>
      </c>
    </row>
    <row r="245">
      <c r="A245" s="180" t="n"/>
      <c r="B245" s="372" t="n"/>
      <c r="C245" s="176" t="n"/>
      <c r="D245" s="373" t="n"/>
    </row>
    <row r="246">
      <c r="A246" s="29" t="inlineStr">
        <is>
          <t>E. INDIRECT COSTS (25% * (A+C))</t>
        </is>
      </c>
      <c r="B246" s="358" t="n"/>
      <c r="C246" s="110" t="n"/>
      <c r="D246" s="360">
        <f>D243*0.25</f>
        <v/>
      </c>
    </row>
    <row r="247">
      <c r="A247" s="32" t="n"/>
      <c r="B247" s="372" t="n"/>
      <c r="C247" s="176" t="n"/>
      <c r="D247" s="377" t="n"/>
    </row>
    <row r="248">
      <c r="A248" s="29" t="inlineStr">
        <is>
          <t>F. TOTAL COSTS (A+B+C+D+E)</t>
        </is>
      </c>
      <c r="B248" s="369" t="n"/>
      <c r="C248" s="230" t="n"/>
      <c r="D248" s="360">
        <f>D244+D246</f>
        <v/>
      </c>
    </row>
    <row r="249">
      <c r="A249" s="182" t="n"/>
      <c r="B249" s="183" t="n"/>
      <c r="C249" s="184" t="n"/>
      <c r="D249" s="183" t="n"/>
    </row>
    <row r="250">
      <c r="A250" s="190" t="n"/>
      <c r="B250" s="185" t="n"/>
      <c r="C250" s="186" t="n"/>
      <c r="D250" s="187" t="n"/>
    </row>
    <row r="251" ht="21" customHeight="1">
      <c r="A251" s="272">
        <f>CONCATENATE("COSTS WORK PACKAGE 7:"," ","Data Collection, Knowledge Access and Model Evaluation")</f>
        <v/>
      </c>
      <c r="B251" s="314" t="n"/>
      <c r="C251" s="314" t="n"/>
      <c r="D251" s="315" t="n"/>
    </row>
    <row r="252">
      <c r="A252" s="182" t="n"/>
      <c r="B252" s="191" t="n"/>
      <c r="C252" s="192" t="n"/>
      <c r="D252" s="191" t="n"/>
    </row>
    <row r="253">
      <c r="A253" s="29" t="inlineStr">
        <is>
          <t>A. DIRECT PERSONNEL COSTS</t>
        </is>
      </c>
      <c r="B253" s="30" t="n"/>
      <c r="C253" s="110" t="n"/>
      <c r="D253" s="354" t="n"/>
    </row>
    <row r="254">
      <c r="A254" s="28" t="inlineStr">
        <is>
          <t>A.1 Employees (or equivalent)</t>
        </is>
      </c>
      <c r="B254" s="89" t="n"/>
      <c r="C254" s="111" t="n"/>
      <c r="D254" s="355" t="n"/>
    </row>
    <row r="255">
      <c r="A255" s="48" t="inlineStr">
        <is>
          <t>SENIOR SCIENTISTS (or equivalent in the private sector)</t>
        </is>
      </c>
      <c r="B255" s="357" t="n">
        <v>1</v>
      </c>
      <c r="C255" s="248" t="n">
        <v>5000</v>
      </c>
      <c r="D255" s="232">
        <f>B255*C255</f>
        <v/>
      </c>
    </row>
    <row r="256">
      <c r="A256" s="48" t="inlineStr">
        <is>
          <t>JUNIOR SCIENTISTS (or equivalent in the private sector)</t>
        </is>
      </c>
      <c r="B256" s="357" t="n"/>
      <c r="C256" s="248" t="n">
        <v>4000</v>
      </c>
      <c r="D256" s="232">
        <f>B256*C256</f>
        <v/>
      </c>
    </row>
    <row r="257">
      <c r="A257" s="48" t="inlineStr">
        <is>
          <t>TECHNICAL PERSONNEL (or equivalent in the private sector)</t>
        </is>
      </c>
      <c r="B257" s="357" t="n"/>
      <c r="C257" s="248" t="n">
        <v>3400</v>
      </c>
      <c r="D257" s="232">
        <f>B257*C257</f>
        <v/>
      </c>
    </row>
    <row r="258">
      <c r="A258" s="48" t="inlineStr">
        <is>
          <t>ADMINISTRATIVE PERSONNEL (or equivalent in the private sector)</t>
        </is>
      </c>
      <c r="B258" s="357" t="n"/>
      <c r="C258" s="248" t="n">
        <v>3400</v>
      </c>
      <c r="D258" s="232">
        <f>B258*C258</f>
        <v/>
      </c>
    </row>
    <row r="259">
      <c r="A259" s="48" t="inlineStr">
        <is>
          <t>OTHERS</t>
        </is>
      </c>
      <c r="B259" s="357" t="n"/>
      <c r="C259" s="248" t="n"/>
      <c r="D259" s="232">
        <f>B259*C259</f>
        <v/>
      </c>
    </row>
    <row r="260">
      <c r="A260" s="28" t="inlineStr">
        <is>
          <t>A.2 Natural Persons under direct contract</t>
        </is>
      </c>
      <c r="B260" s="357" t="n"/>
      <c r="C260" s="248" t="n"/>
      <c r="D260" s="232">
        <f>B260*C260</f>
        <v/>
      </c>
    </row>
    <row r="261">
      <c r="A261" s="28" t="inlineStr">
        <is>
          <t>A.3 Seconded Persons</t>
        </is>
      </c>
      <c r="B261" s="357" t="n"/>
      <c r="C261" s="248" t="n"/>
      <c r="D261" s="232">
        <f>B261*C261</f>
        <v/>
      </c>
    </row>
    <row r="262">
      <c r="A262" s="28" t="inlineStr">
        <is>
          <t>A.4 SME owners and natural person beneficiaries</t>
        </is>
      </c>
      <c r="B262" s="357" t="n"/>
      <c r="C262" s="256" t="n">
        <v>8360.6024</v>
      </c>
      <c r="D262" s="232">
        <f>B262*C262</f>
        <v/>
      </c>
    </row>
    <row r="263">
      <c r="A263" s="29" t="inlineStr">
        <is>
          <t>B. DIRECT SUBCONTRACTING COSTS</t>
        </is>
      </c>
      <c r="B263" s="358" t="n"/>
      <c r="C263" s="110" t="n"/>
      <c r="D263" s="359" t="n"/>
    </row>
    <row r="264">
      <c r="A264" s="53" t="n"/>
      <c r="B264" s="357" t="n"/>
      <c r="C264" s="248" t="n"/>
      <c r="D264" s="361">
        <f>B264*C264</f>
        <v/>
      </c>
    </row>
    <row r="265">
      <c r="A265" s="29" t="inlineStr">
        <is>
          <t>C. DIRECT PURCHASE COSTS</t>
        </is>
      </c>
      <c r="B265" s="358" t="n"/>
      <c r="C265" s="110" t="n"/>
      <c r="D265" s="359" t="n"/>
    </row>
    <row r="266">
      <c r="A266" s="28" t="inlineStr">
        <is>
          <t>C.1 Travel and subsistence</t>
        </is>
      </c>
      <c r="B266" s="357" t="n"/>
      <c r="C266" s="248" t="n"/>
      <c r="D266" s="361">
        <f>B266*C266</f>
        <v/>
      </c>
    </row>
    <row r="267">
      <c r="A267" s="28" t="inlineStr">
        <is>
          <t>C.2 Equipment (complete 'Depreciation costs' sheet)</t>
        </is>
      </c>
      <c r="B267" s="346" t="n"/>
      <c r="C267" s="111" t="n"/>
      <c r="D267" s="364" t="n"/>
    </row>
    <row r="268">
      <c r="A268" s="49" t="inlineStr">
        <is>
          <t>Equipment</t>
        </is>
      </c>
      <c r="B268" s="357" t="n"/>
      <c r="C268" s="248" t="n"/>
      <c r="D268" s="361">
        <f>B268*C268</f>
        <v/>
      </c>
    </row>
    <row r="269">
      <c r="A269" s="49" t="inlineStr">
        <is>
          <t>Infrastructure</t>
        </is>
      </c>
      <c r="B269" s="357" t="n"/>
      <c r="C269" s="248" t="n"/>
      <c r="D269" s="361">
        <f>B269*C269</f>
        <v/>
      </c>
    </row>
    <row r="270">
      <c r="A270" s="49" t="inlineStr">
        <is>
          <t>Other assets</t>
        </is>
      </c>
      <c r="B270" s="357" t="n"/>
      <c r="C270" s="248" t="n"/>
      <c r="D270" s="361">
        <f>B270*C270</f>
        <v/>
      </c>
    </row>
    <row r="271">
      <c r="A271" s="28" t="inlineStr">
        <is>
          <t>C.3 Other goods, works and services</t>
        </is>
      </c>
      <c r="B271" s="346" t="n"/>
      <c r="C271" s="111" t="n"/>
      <c r="D271" s="364" t="n"/>
    </row>
    <row r="272">
      <c r="A272" s="49" t="inlineStr">
        <is>
          <t>Consumables</t>
        </is>
      </c>
      <c r="B272" s="357" t="n"/>
      <c r="C272" s="248" t="n"/>
      <c r="D272" s="361">
        <f>B272*C272</f>
        <v/>
      </c>
    </row>
    <row r="273">
      <c r="A273" s="49" t="inlineStr">
        <is>
          <t>Services for meetings, seminars</t>
        </is>
      </c>
      <c r="B273" s="357" t="n"/>
      <c r="C273" s="248" t="n"/>
      <c r="D273" s="361">
        <f>B273*C273</f>
        <v/>
      </c>
    </row>
    <row r="274">
      <c r="A274" s="49" t="inlineStr">
        <is>
          <t>Services for dissemination activities (including website)</t>
        </is>
      </c>
      <c r="B274" s="357" t="n"/>
      <c r="C274" s="248" t="n"/>
      <c r="D274" s="361">
        <f>B274*C274</f>
        <v/>
      </c>
    </row>
    <row r="275">
      <c r="A275" s="49" t="inlineStr">
        <is>
          <t>Publication fees</t>
        </is>
      </c>
      <c r="B275" s="357" t="n"/>
      <c r="C275" s="248" t="n"/>
      <c r="D275" s="361">
        <f>B275*C275</f>
        <v/>
      </c>
    </row>
    <row r="276">
      <c r="A276" s="49" t="inlineStr">
        <is>
          <t>Other (shipment, insurance, translation, etc.)</t>
        </is>
      </c>
      <c r="B276" s="357" t="n"/>
      <c r="C276" s="248" t="n"/>
      <c r="D276" s="361">
        <f>B276*C276</f>
        <v/>
      </c>
    </row>
    <row r="277">
      <c r="A277" s="29" t="inlineStr">
        <is>
          <t>D. OTHER COST CATEGORIES</t>
        </is>
      </c>
      <c r="B277" s="358" t="n"/>
      <c r="C277" s="110" t="n"/>
      <c r="D277" s="359" t="n"/>
    </row>
    <row r="278">
      <c r="A278" s="50" t="inlineStr">
        <is>
          <t>D.1 Financial support to third parties (if applicable in the topic specific conditions)</t>
        </is>
      </c>
      <c r="B278" s="357" t="n"/>
      <c r="C278" s="248" t="n"/>
      <c r="D278" s="361">
        <f>B278*C278</f>
        <v/>
      </c>
    </row>
    <row r="279">
      <c r="A279" s="50" t="inlineStr">
        <is>
          <t>D.2 Internally invoiced goods and services</t>
        </is>
      </c>
      <c r="B279" s="357" t="n"/>
      <c r="C279" s="248" t="n"/>
      <c r="D279" s="361">
        <f>B279*C279</f>
        <v/>
      </c>
    </row>
    <row r="280">
      <c r="A280" s="50" t="inlineStr">
        <is>
          <t>D.3 Transnational access to research infrastructure unit costs (if mentioned as eligible in the topic specific conditions)</t>
        </is>
      </c>
      <c r="B280" s="357" t="n"/>
      <c r="C280" s="248" t="n"/>
      <c r="D280" s="361">
        <f>B280*C280</f>
        <v/>
      </c>
    </row>
    <row r="281">
      <c r="A281" s="50" t="inlineStr">
        <is>
          <t>D.4 Virtual access to research infrastructure unit costs (if mentioned as eligible in the topic specific conditions)</t>
        </is>
      </c>
      <c r="B281" s="357" t="n"/>
      <c r="C281" s="248" t="n"/>
      <c r="D281" s="361">
        <f>B281*C281</f>
        <v/>
      </c>
    </row>
    <row r="282">
      <c r="A282" s="50" t="inlineStr">
        <is>
          <t>D.5 PCP/PPI procurement costs (if mentioned as eligible in the topic specific conditions)</t>
        </is>
      </c>
      <c r="B282" s="357" t="n"/>
      <c r="C282" s="248" t="n"/>
      <c r="D282" s="361">
        <f>B282*C282</f>
        <v/>
      </c>
    </row>
    <row r="283">
      <c r="A283" s="50" t="n"/>
      <c r="B283" s="346" t="n"/>
      <c r="C283" s="111" t="n"/>
      <c r="D283" s="365" t="n"/>
    </row>
    <row r="284">
      <c r="A284" s="52" t="inlineStr">
        <is>
          <t>TOTAL DIRECT PERSONNEL COSTS AND PURCHASE COSTS (A+C)</t>
        </is>
      </c>
      <c r="B284" s="369" t="n"/>
      <c r="C284" s="230" t="n"/>
      <c r="D284" s="360">
        <f>SUM(D255:D262,D266:D276)</f>
        <v/>
      </c>
    </row>
    <row r="285">
      <c r="A285" s="52" t="inlineStr">
        <is>
          <t>TOTAL DIRECT COSTS  (A+B+C+D)</t>
        </is>
      </c>
      <c r="B285" s="369" t="n"/>
      <c r="C285" s="230" t="n"/>
      <c r="D285" s="360">
        <f>SUM(D255:D282)</f>
        <v/>
      </c>
    </row>
    <row r="286">
      <c r="A286" s="180" t="n"/>
      <c r="B286" s="372" t="n"/>
      <c r="C286" s="176" t="n"/>
      <c r="D286" s="373" t="n"/>
    </row>
    <row r="287">
      <c r="A287" s="29" t="inlineStr">
        <is>
          <t>E. INDIRECT COSTS (25% * (A+C))</t>
        </is>
      </c>
      <c r="B287" s="358" t="n"/>
      <c r="C287" s="110" t="n"/>
      <c r="D287" s="360">
        <f>D284*0.25</f>
        <v/>
      </c>
    </row>
    <row r="288">
      <c r="A288" s="32" t="n"/>
      <c r="B288" s="372" t="n"/>
      <c r="C288" s="176" t="n"/>
      <c r="D288" s="377" t="n"/>
    </row>
    <row r="289">
      <c r="A289" s="29" t="inlineStr">
        <is>
          <t>F. TOTAL COSTS (A+B+C+D+E)</t>
        </is>
      </c>
      <c r="B289" s="369" t="n"/>
      <c r="C289" s="230" t="n"/>
      <c r="D289" s="360">
        <f>D285+D287</f>
        <v/>
      </c>
    </row>
    <row r="290">
      <c r="A290" s="182" t="n"/>
      <c r="B290" s="183" t="n"/>
      <c r="C290" s="184" t="n"/>
      <c r="D290" s="183" t="n"/>
    </row>
    <row r="291">
      <c r="A291" s="190" t="n"/>
      <c r="B291" s="185" t="n"/>
      <c r="C291" s="186" t="n"/>
      <c r="D291" s="187" t="n"/>
    </row>
    <row r="292" ht="21" customHeight="1">
      <c r="A292" s="272">
        <f>CONCATENATE("COSTS WORK PACKAGE 8:"," ","Agentic Workflow Development, Integration and Validation")</f>
        <v/>
      </c>
      <c r="B292" s="314" t="n"/>
      <c r="C292" s="314" t="n"/>
      <c r="D292" s="315" t="n"/>
    </row>
    <row r="293">
      <c r="A293" s="182" t="n"/>
      <c r="B293" s="191" t="n"/>
      <c r="C293" s="192" t="n"/>
      <c r="D293" s="191" t="n"/>
    </row>
    <row r="294">
      <c r="A294" s="29" t="inlineStr">
        <is>
          <t>A. DIRECT PERSONNEL COSTS</t>
        </is>
      </c>
      <c r="B294" s="30" t="n"/>
      <c r="C294" s="110" t="n"/>
      <c r="D294" s="354" t="n"/>
    </row>
    <row r="295">
      <c r="A295" s="28" t="inlineStr">
        <is>
          <t>A.1 Employees (or equivalent)</t>
        </is>
      </c>
      <c r="B295" s="89" t="n"/>
      <c r="C295" s="111" t="n"/>
      <c r="D295" s="355" t="n"/>
    </row>
    <row r="296">
      <c r="A296" s="48" t="inlineStr">
        <is>
          <t>SENIOR SCIENTISTS (or equivalent in the private sector)</t>
        </is>
      </c>
      <c r="B296" s="357" t="n"/>
      <c r="C296" s="248" t="n"/>
      <c r="D296" s="232">
        <f>B296*C296</f>
        <v/>
      </c>
    </row>
    <row r="297">
      <c r="A297" s="48" t="inlineStr">
        <is>
          <t>JUNIOR SCIENTISTS (or equivalent in the private sector)</t>
        </is>
      </c>
      <c r="B297" s="357" t="n"/>
      <c r="C297" s="248" t="n"/>
      <c r="D297" s="232">
        <f>B297*C297</f>
        <v/>
      </c>
    </row>
    <row r="298">
      <c r="A298" s="48" t="inlineStr">
        <is>
          <t>TECHNICAL PERSONNEL (or equivalent in the private sector)</t>
        </is>
      </c>
      <c r="B298" s="357" t="n"/>
      <c r="C298" s="248" t="n"/>
      <c r="D298" s="232">
        <f>B298*C298</f>
        <v/>
      </c>
    </row>
    <row r="299">
      <c r="A299" s="48" t="inlineStr">
        <is>
          <t>ADMINISTRATIVE PERSONNEL (or equivalent in the private sector)</t>
        </is>
      </c>
      <c r="B299" s="357" t="n"/>
      <c r="C299" s="248" t="n"/>
      <c r="D299" s="232">
        <f>B299*C299</f>
        <v/>
      </c>
    </row>
    <row r="300">
      <c r="A300" s="48" t="inlineStr">
        <is>
          <t>OTHERS</t>
        </is>
      </c>
      <c r="B300" s="357" t="n"/>
      <c r="C300" s="248" t="n"/>
      <c r="D300" s="232">
        <f>B300*C300</f>
        <v/>
      </c>
    </row>
    <row r="301">
      <c r="A301" s="28" t="inlineStr">
        <is>
          <t>A.2 Natural Persons under direct contract</t>
        </is>
      </c>
      <c r="B301" s="357" t="n"/>
      <c r="C301" s="248" t="n"/>
      <c r="D301" s="232">
        <f>B301*C301</f>
        <v/>
      </c>
    </row>
    <row r="302">
      <c r="A302" s="28" t="inlineStr">
        <is>
          <t>A.3 Seconded Persons</t>
        </is>
      </c>
      <c r="B302" s="357" t="n"/>
      <c r="C302" s="248" t="n"/>
      <c r="D302" s="232">
        <f>B302*C302</f>
        <v/>
      </c>
    </row>
    <row r="303">
      <c r="A303" s="28" t="inlineStr">
        <is>
          <t>A.4 SME owners and natural person beneficiaries</t>
        </is>
      </c>
      <c r="B303" s="357" t="n"/>
      <c r="C303" s="256" t="n">
        <v>8360.6024</v>
      </c>
      <c r="D303" s="232">
        <f>B303*C303</f>
        <v/>
      </c>
    </row>
    <row r="304">
      <c r="A304" s="29" t="inlineStr">
        <is>
          <t>B. DIRECT SUBCONTRACTING COSTS</t>
        </is>
      </c>
      <c r="B304" s="358" t="n"/>
      <c r="C304" s="110" t="n"/>
      <c r="D304" s="359" t="n"/>
    </row>
    <row r="305">
      <c r="A305" s="53" t="n"/>
      <c r="B305" s="357" t="n"/>
      <c r="C305" s="248" t="n"/>
      <c r="D305" s="361">
        <f>B305*C305</f>
        <v/>
      </c>
    </row>
    <row r="306">
      <c r="A306" s="29" t="inlineStr">
        <is>
          <t>C. DIRECT PURCHASE COSTS</t>
        </is>
      </c>
      <c r="B306" s="358" t="n"/>
      <c r="C306" s="110" t="n"/>
      <c r="D306" s="359" t="n"/>
    </row>
    <row r="307">
      <c r="A307" s="28" t="inlineStr">
        <is>
          <t>C.1 Travel and subsistence</t>
        </is>
      </c>
      <c r="B307" s="357" t="n"/>
      <c r="C307" s="248" t="n"/>
      <c r="D307" s="361">
        <f>B307*C307</f>
        <v/>
      </c>
    </row>
    <row r="308">
      <c r="A308" s="28" t="inlineStr">
        <is>
          <t>C.2 Equipment (complete 'Depreciation costs' sheet)</t>
        </is>
      </c>
      <c r="B308" s="346" t="n"/>
      <c r="C308" s="111" t="n"/>
      <c r="D308" s="364" t="n"/>
    </row>
    <row r="309">
      <c r="A309" s="49" t="inlineStr">
        <is>
          <t>Equipment</t>
        </is>
      </c>
      <c r="B309" s="357" t="n"/>
      <c r="C309" s="248" t="n"/>
      <c r="D309" s="361">
        <f>B309*C309</f>
        <v/>
      </c>
    </row>
    <row r="310">
      <c r="A310" s="49" t="inlineStr">
        <is>
          <t>Infrastructure</t>
        </is>
      </c>
      <c r="B310" s="357" t="n"/>
      <c r="C310" s="248" t="n"/>
      <c r="D310" s="361">
        <f>B310*C310</f>
        <v/>
      </c>
    </row>
    <row r="311">
      <c r="A311" s="49" t="inlineStr">
        <is>
          <t>Other assets</t>
        </is>
      </c>
      <c r="B311" s="357" t="n"/>
      <c r="C311" s="248" t="n"/>
      <c r="D311" s="361">
        <f>B311*C311</f>
        <v/>
      </c>
    </row>
    <row r="312">
      <c r="A312" s="28" t="inlineStr">
        <is>
          <t>C.3 Other goods, works and services</t>
        </is>
      </c>
      <c r="B312" s="346" t="n"/>
      <c r="C312" s="111" t="n"/>
      <c r="D312" s="364" t="n"/>
    </row>
    <row r="313">
      <c r="A313" s="49" t="inlineStr">
        <is>
          <t>Consumables</t>
        </is>
      </c>
      <c r="B313" s="357" t="n"/>
      <c r="C313" s="248" t="n"/>
      <c r="D313" s="361">
        <f>B313*C313</f>
        <v/>
      </c>
    </row>
    <row r="314">
      <c r="A314" s="49" t="inlineStr">
        <is>
          <t>Services for meetings, seminars</t>
        </is>
      </c>
      <c r="B314" s="357" t="n"/>
      <c r="C314" s="248" t="n"/>
      <c r="D314" s="361">
        <f>B314*C314</f>
        <v/>
      </c>
    </row>
    <row r="315">
      <c r="A315" s="49" t="inlineStr">
        <is>
          <t>Services for dissemination activities (including website)</t>
        </is>
      </c>
      <c r="B315" s="357" t="n"/>
      <c r="C315" s="248" t="n"/>
      <c r="D315" s="361">
        <f>B315*C315</f>
        <v/>
      </c>
    </row>
    <row r="316">
      <c r="A316" s="49" t="inlineStr">
        <is>
          <t>Publication fees</t>
        </is>
      </c>
      <c r="B316" s="357" t="n"/>
      <c r="C316" s="248" t="n"/>
      <c r="D316" s="361">
        <f>B316*C316</f>
        <v/>
      </c>
    </row>
    <row r="317">
      <c r="A317" s="49" t="inlineStr">
        <is>
          <t>Other (shipment, insurance, translation, etc.)</t>
        </is>
      </c>
      <c r="B317" s="357" t="n"/>
      <c r="C317" s="248" t="n"/>
      <c r="D317" s="361">
        <f>B317*C317</f>
        <v/>
      </c>
    </row>
    <row r="318">
      <c r="A318" s="29" t="inlineStr">
        <is>
          <t>D. OTHER COST CATEGORIES</t>
        </is>
      </c>
      <c r="B318" s="358" t="n"/>
      <c r="C318" s="110" t="n"/>
      <c r="D318" s="359" t="n"/>
    </row>
    <row r="319">
      <c r="A319" s="50" t="inlineStr">
        <is>
          <t>D.1 Financial support to third parties (if applicable in the topic specific conditions)</t>
        </is>
      </c>
      <c r="B319" s="357" t="n"/>
      <c r="C319" s="248" t="n"/>
      <c r="D319" s="361">
        <f>B319*C319</f>
        <v/>
      </c>
    </row>
    <row r="320">
      <c r="A320" s="50" t="inlineStr">
        <is>
          <t>D.2 Internally invoiced goods and services</t>
        </is>
      </c>
      <c r="B320" s="357" t="n"/>
      <c r="C320" s="248" t="n"/>
      <c r="D320" s="361">
        <f>B320*C320</f>
        <v/>
      </c>
    </row>
    <row r="321">
      <c r="A321" s="50" t="inlineStr">
        <is>
          <t>D.3 Transnational access to research infrastructure unit costs (if mentioned as eligible in the topic specific conditions)</t>
        </is>
      </c>
      <c r="B321" s="357" t="n"/>
      <c r="C321" s="248" t="n"/>
      <c r="D321" s="361">
        <f>B321*C321</f>
        <v/>
      </c>
    </row>
    <row r="322">
      <c r="A322" s="50" t="inlineStr">
        <is>
          <t>D.4 Virtual access to research infrastructure unit costs (if mentioned as eligible in the topic specific conditions)</t>
        </is>
      </c>
      <c r="B322" s="357" t="n"/>
      <c r="C322" s="248" t="n"/>
      <c r="D322" s="361">
        <f>B322*C322</f>
        <v/>
      </c>
    </row>
    <row r="323">
      <c r="A323" s="50" t="inlineStr">
        <is>
          <t>D.5 PCP/PPI procurement costs (if mentioned as eligible in the topic specific conditions)</t>
        </is>
      </c>
      <c r="B323" s="357" t="n"/>
      <c r="C323" s="248" t="n"/>
      <c r="D323" s="361">
        <f>B323*C323</f>
        <v/>
      </c>
    </row>
    <row r="324">
      <c r="A324" s="50" t="n"/>
      <c r="B324" s="346" t="n"/>
      <c r="C324" s="111" t="n"/>
      <c r="D324" s="365" t="n"/>
    </row>
    <row r="325">
      <c r="A325" s="52" t="inlineStr">
        <is>
          <t>TOTAL DIRECT PERSONNEL COSTS AND PURCHASE COSTS (A+C)</t>
        </is>
      </c>
      <c r="B325" s="369" t="n"/>
      <c r="C325" s="230" t="n"/>
      <c r="D325" s="360">
        <f>SUM(D296:D303,D307:D317)</f>
        <v/>
      </c>
    </row>
    <row r="326">
      <c r="A326" s="52" t="inlineStr">
        <is>
          <t>TOTAL DIRECT COSTS  (A+B+C+D)</t>
        </is>
      </c>
      <c r="B326" s="369" t="n"/>
      <c r="C326" s="230" t="n"/>
      <c r="D326" s="360">
        <f>SUM(D296:D323)</f>
        <v/>
      </c>
    </row>
    <row r="327">
      <c r="A327" s="180" t="n"/>
      <c r="B327" s="372" t="n"/>
      <c r="C327" s="176" t="n"/>
      <c r="D327" s="373" t="n"/>
    </row>
    <row r="328">
      <c r="A328" s="29" t="inlineStr">
        <is>
          <t>E. INDIRECT COSTS (25% * (A+C))</t>
        </is>
      </c>
      <c r="B328" s="358" t="n"/>
      <c r="C328" s="110" t="n"/>
      <c r="D328" s="360">
        <f>D325*0.25</f>
        <v/>
      </c>
    </row>
    <row r="329">
      <c r="A329" s="32" t="n"/>
      <c r="B329" s="372" t="n"/>
      <c r="C329" s="176" t="n"/>
      <c r="D329" s="377" t="n"/>
    </row>
    <row r="330">
      <c r="A330" s="29" t="inlineStr">
        <is>
          <t>F. TOTAL COSTS (A+B+C+D+E)</t>
        </is>
      </c>
      <c r="B330" s="369" t="n"/>
      <c r="C330" s="230" t="n"/>
      <c r="D330" s="360">
        <f>D326+D328</f>
        <v/>
      </c>
    </row>
    <row r="331">
      <c r="A331" s="182" t="n"/>
      <c r="B331" s="183" t="n"/>
      <c r="C331" s="184" t="n"/>
      <c r="D331" s="183" t="n"/>
    </row>
    <row r="332">
      <c r="A332" s="190" t="n"/>
      <c r="B332" s="185" t="n"/>
      <c r="C332" s="186" t="n"/>
      <c r="D332" s="187" t="n"/>
    </row>
    <row r="333" ht="21" customHeight="1">
      <c r="A333" s="272">
        <f>CONCATENATE("COSTS WORK PACKAGE 9:"," ","HSE and Environment")</f>
        <v/>
      </c>
      <c r="B333" s="314" t="n"/>
      <c r="C333" s="314" t="n"/>
      <c r="D333" s="315" t="n"/>
    </row>
    <row r="334">
      <c r="A334" s="182" t="n"/>
      <c r="B334" s="191" t="n"/>
      <c r="C334" s="192" t="n"/>
      <c r="D334" s="191" t="n"/>
    </row>
    <row r="335">
      <c r="A335" s="29" t="inlineStr">
        <is>
          <t>A. DIRECT PERSONNEL COSTS</t>
        </is>
      </c>
      <c r="B335" s="30" t="n"/>
      <c r="C335" s="110" t="n"/>
      <c r="D335" s="354" t="n"/>
    </row>
    <row r="336">
      <c r="A336" s="28" t="inlineStr">
        <is>
          <t>A.1 Employees (or equivalent)</t>
        </is>
      </c>
      <c r="B336" s="89" t="n"/>
      <c r="C336" s="111" t="n"/>
      <c r="D336" s="355" t="n"/>
    </row>
    <row r="337">
      <c r="A337" s="48" t="inlineStr">
        <is>
          <t>SENIOR SCIENTISTS (or equivalent in the private sector)</t>
        </is>
      </c>
      <c r="B337" s="357" t="n">
        <v>1</v>
      </c>
      <c r="C337" s="248" t="n">
        <v>5000</v>
      </c>
      <c r="D337" s="232">
        <f>B337*C337</f>
        <v/>
      </c>
    </row>
    <row r="338">
      <c r="A338" s="48" t="inlineStr">
        <is>
          <t>JUNIOR SCIENTISTS (or equivalent in the private sector)</t>
        </is>
      </c>
      <c r="B338" s="357" t="n">
        <v>2</v>
      </c>
      <c r="C338" s="248" t="n">
        <v>4000</v>
      </c>
      <c r="D338" s="232">
        <f>B338*C338</f>
        <v/>
      </c>
    </row>
    <row r="339">
      <c r="A339" s="48" t="inlineStr">
        <is>
          <t>TECHNICAL PERSONNEL (or equivalent in the private sector)</t>
        </is>
      </c>
      <c r="B339" s="357" t="n">
        <v>2</v>
      </c>
      <c r="C339" s="248" t="n">
        <v>3400</v>
      </c>
      <c r="D339" s="232">
        <f>B339*C339</f>
        <v/>
      </c>
    </row>
    <row r="340">
      <c r="A340" s="48" t="inlineStr">
        <is>
          <t>ADMINISTRATIVE PERSONNEL (or equivalent in the private sector)</t>
        </is>
      </c>
      <c r="B340" s="357" t="n"/>
      <c r="C340" s="248" t="n"/>
      <c r="D340" s="232">
        <f>B340*C340</f>
        <v/>
      </c>
    </row>
    <row r="341">
      <c r="A341" s="48" t="inlineStr">
        <is>
          <t>OTHERS</t>
        </is>
      </c>
      <c r="B341" s="357" t="n"/>
      <c r="C341" s="248" t="n"/>
      <c r="D341" s="232">
        <f>B341*C341</f>
        <v/>
      </c>
    </row>
    <row r="342">
      <c r="A342" s="28" t="inlineStr">
        <is>
          <t>A.2 Natural Persons under direct contract</t>
        </is>
      </c>
      <c r="B342" s="357" t="n"/>
      <c r="C342" s="248" t="n"/>
      <c r="D342" s="232">
        <f>B342*C342</f>
        <v/>
      </c>
    </row>
    <row r="343">
      <c r="A343" s="28" t="inlineStr">
        <is>
          <t>A.3 Seconded Persons</t>
        </is>
      </c>
      <c r="B343" s="357" t="n"/>
      <c r="C343" s="248" t="n"/>
      <c r="D343" s="232">
        <f>B343*C343</f>
        <v/>
      </c>
    </row>
    <row r="344">
      <c r="A344" s="28" t="inlineStr">
        <is>
          <t>A.4 SME owners and natural person beneficiaries</t>
        </is>
      </c>
      <c r="B344" s="357" t="n"/>
      <c r="C344" s="256" t="n">
        <v>8360.6024</v>
      </c>
      <c r="D344" s="232">
        <f>B344*C344</f>
        <v/>
      </c>
    </row>
    <row r="345">
      <c r="A345" s="29" t="inlineStr">
        <is>
          <t>B. DIRECT SUBCONTRACTING COSTS</t>
        </is>
      </c>
      <c r="B345" s="358" t="n"/>
      <c r="C345" s="110" t="n"/>
      <c r="D345" s="359" t="n"/>
    </row>
    <row r="346">
      <c r="A346" s="53" t="n"/>
      <c r="B346" s="357" t="n"/>
      <c r="C346" s="248" t="n"/>
      <c r="D346" s="361">
        <f>B346*C346</f>
        <v/>
      </c>
    </row>
    <row r="347">
      <c r="A347" s="29" t="inlineStr">
        <is>
          <t>C. DIRECT PURCHASE COSTS</t>
        </is>
      </c>
      <c r="B347" s="358" t="n"/>
      <c r="C347" s="110" t="n"/>
      <c r="D347" s="359" t="n"/>
    </row>
    <row r="348">
      <c r="A348" s="28" t="inlineStr">
        <is>
          <t>C.1 Travel and subsistence</t>
        </is>
      </c>
      <c r="B348" s="357" t="n"/>
      <c r="C348" s="248" t="n"/>
      <c r="D348" s="361">
        <f>B348*C348</f>
        <v/>
      </c>
    </row>
    <row r="349">
      <c r="A349" s="28" t="inlineStr">
        <is>
          <t>C.2 Equipment (complete 'Depreciation costs' sheet)</t>
        </is>
      </c>
      <c r="B349" s="346" t="n"/>
      <c r="C349" s="111" t="n"/>
      <c r="D349" s="364" t="n"/>
    </row>
    <row r="350">
      <c r="A350" s="49" t="inlineStr">
        <is>
          <t>Equipment</t>
        </is>
      </c>
      <c r="B350" s="357" t="n"/>
      <c r="C350" s="248" t="n"/>
      <c r="D350" s="361">
        <f>B350*C350</f>
        <v/>
      </c>
    </row>
    <row r="351">
      <c r="A351" s="49" t="inlineStr">
        <is>
          <t>Infrastructure</t>
        </is>
      </c>
      <c r="B351" s="357" t="n"/>
      <c r="C351" s="248" t="n"/>
      <c r="D351" s="361">
        <f>B351*C351</f>
        <v/>
      </c>
    </row>
    <row r="352">
      <c r="A352" s="49" t="inlineStr">
        <is>
          <t>Other assets</t>
        </is>
      </c>
      <c r="B352" s="357" t="n"/>
      <c r="C352" s="248" t="n"/>
      <c r="D352" s="361">
        <f>B352*C352</f>
        <v/>
      </c>
    </row>
    <row r="353">
      <c r="A353" s="28" t="inlineStr">
        <is>
          <t>C.3 Other goods, works and services</t>
        </is>
      </c>
      <c r="B353" s="346" t="n"/>
      <c r="C353" s="111" t="n"/>
      <c r="D353" s="364" t="n"/>
    </row>
    <row r="354">
      <c r="A354" s="49" t="inlineStr">
        <is>
          <t>Consumables</t>
        </is>
      </c>
      <c r="B354" s="357" t="n"/>
      <c r="C354" s="248" t="n"/>
      <c r="D354" s="361">
        <f>B354*C354</f>
        <v/>
      </c>
    </row>
    <row r="355">
      <c r="A355" s="49" t="inlineStr">
        <is>
          <t>Services for meetings, seminars</t>
        </is>
      </c>
      <c r="B355" s="357" t="n"/>
      <c r="C355" s="248" t="n"/>
      <c r="D355" s="361">
        <f>B355*C355</f>
        <v/>
      </c>
    </row>
    <row r="356">
      <c r="A356" s="49" t="inlineStr">
        <is>
          <t>Services for dissemination activities (including website)</t>
        </is>
      </c>
      <c r="B356" s="357" t="n"/>
      <c r="C356" s="248" t="n"/>
      <c r="D356" s="361">
        <f>B356*C356</f>
        <v/>
      </c>
    </row>
    <row r="357">
      <c r="A357" s="49" t="inlineStr">
        <is>
          <t>Publication fees</t>
        </is>
      </c>
      <c r="B357" s="357" t="n"/>
      <c r="C357" s="248" t="n"/>
      <c r="D357" s="361">
        <f>B357*C357</f>
        <v/>
      </c>
    </row>
    <row r="358">
      <c r="A358" s="49" t="inlineStr">
        <is>
          <t>Other (shipment, insurance, translation, etc.)</t>
        </is>
      </c>
      <c r="B358" s="357" t="n"/>
      <c r="C358" s="248" t="n"/>
      <c r="D358" s="361">
        <f>B358*C358</f>
        <v/>
      </c>
    </row>
    <row r="359">
      <c r="A359" s="29" t="inlineStr">
        <is>
          <t>D. OTHER COST CATEGORIES</t>
        </is>
      </c>
      <c r="B359" s="358" t="n"/>
      <c r="C359" s="110" t="n"/>
      <c r="D359" s="359" t="n"/>
    </row>
    <row r="360">
      <c r="A360" s="50" t="inlineStr">
        <is>
          <t>D.1 Financial support to third parties (if applicable in the topic specific conditions)</t>
        </is>
      </c>
      <c r="B360" s="357" t="n"/>
      <c r="C360" s="248" t="n"/>
      <c r="D360" s="361">
        <f>B360*C360</f>
        <v/>
      </c>
    </row>
    <row r="361">
      <c r="A361" s="50" t="inlineStr">
        <is>
          <t>D.2 Internally invoiced goods and services</t>
        </is>
      </c>
      <c r="B361" s="357" t="n"/>
      <c r="C361" s="248" t="n"/>
      <c r="D361" s="361">
        <f>B361*C361</f>
        <v/>
      </c>
    </row>
    <row r="362">
      <c r="A362" s="50" t="inlineStr">
        <is>
          <t>D.3 Transnational access to research infrastructure unit costs (if mentioned as eligible in the topic specific conditions)</t>
        </is>
      </c>
      <c r="B362" s="357" t="n"/>
      <c r="C362" s="248" t="n"/>
      <c r="D362" s="361">
        <f>B362*C362</f>
        <v/>
      </c>
    </row>
    <row r="363">
      <c r="A363" s="50" t="inlineStr">
        <is>
          <t>D.4 Virtual access to research infrastructure unit costs (if mentioned as eligible in the topic specific conditions)</t>
        </is>
      </c>
      <c r="B363" s="357" t="n"/>
      <c r="C363" s="248" t="n"/>
      <c r="D363" s="361">
        <f>B363*C363</f>
        <v/>
      </c>
    </row>
    <row r="364">
      <c r="A364" s="50" t="inlineStr">
        <is>
          <t>D.5 PCP/PPI procurement costs (if mentioned as eligible in the topic specific conditions)</t>
        </is>
      </c>
      <c r="B364" s="357" t="n"/>
      <c r="C364" s="248" t="n"/>
      <c r="D364" s="361">
        <f>B364*C364</f>
        <v/>
      </c>
    </row>
    <row r="365">
      <c r="A365" s="50" t="n"/>
      <c r="B365" s="346" t="n"/>
      <c r="C365" s="111" t="n"/>
      <c r="D365" s="365" t="n"/>
    </row>
    <row r="366">
      <c r="A366" s="52" t="inlineStr">
        <is>
          <t>TOTAL DIRECT PERSONNEL COSTS AND PURCHASE COSTS (A+C)</t>
        </is>
      </c>
      <c r="B366" s="369" t="n"/>
      <c r="C366" s="230" t="n"/>
      <c r="D366" s="360">
        <f>SUM(D337:D344,D348:D358)</f>
        <v/>
      </c>
    </row>
    <row r="367">
      <c r="A367" s="52" t="inlineStr">
        <is>
          <t>TOTAL DIRECT COSTS  (A+B+C+D)</t>
        </is>
      </c>
      <c r="B367" s="369" t="n"/>
      <c r="C367" s="230" t="n"/>
      <c r="D367" s="360">
        <f>SUM(D337:D364)</f>
        <v/>
      </c>
    </row>
    <row r="368">
      <c r="A368" s="180" t="n"/>
      <c r="B368" s="372" t="n"/>
      <c r="C368" s="176" t="n"/>
      <c r="D368" s="373" t="n"/>
    </row>
    <row r="369">
      <c r="A369" s="29" t="inlineStr">
        <is>
          <t>E. INDIRECT COSTS (25% * (A+C))</t>
        </is>
      </c>
      <c r="B369" s="358" t="n"/>
      <c r="C369" s="110" t="n"/>
      <c r="D369" s="360">
        <f>D366*0.25</f>
        <v/>
      </c>
    </row>
    <row r="370">
      <c r="A370" s="32" t="n"/>
      <c r="B370" s="372" t="n"/>
      <c r="C370" s="176" t="n"/>
      <c r="D370" s="377" t="n"/>
    </row>
    <row r="371">
      <c r="A371" s="29" t="inlineStr">
        <is>
          <t>F. TOTAL COSTS (A+B+C+D+E)</t>
        </is>
      </c>
      <c r="B371" s="369" t="n"/>
      <c r="C371" s="230" t="n"/>
      <c r="D371" s="360">
        <f>D367+D369</f>
        <v/>
      </c>
    </row>
    <row r="372">
      <c r="A372" s="182" t="n"/>
      <c r="B372" s="183" t="n"/>
      <c r="C372" s="184" t="n"/>
      <c r="D372" s="183" t="n"/>
    </row>
    <row r="373">
      <c r="A373" s="190" t="n"/>
      <c r="B373" s="185" t="n"/>
      <c r="C373" s="186" t="n"/>
      <c r="D373" s="187" t="n"/>
    </row>
    <row r="374" ht="21" customHeight="1">
      <c r="A374" s="272">
        <f>CONCATENATE("COSTS WORK PACKAGE 10:"," ","Adaptation of O&amp;M Platform")</f>
        <v/>
      </c>
      <c r="B374" s="314" t="n"/>
      <c r="C374" s="314" t="n"/>
      <c r="D374" s="315" t="n"/>
    </row>
    <row r="375">
      <c r="A375" s="182" t="n"/>
      <c r="B375" s="191" t="n"/>
      <c r="C375" s="192" t="n"/>
      <c r="D375" s="191" t="n"/>
    </row>
    <row r="376">
      <c r="A376" s="29" t="inlineStr">
        <is>
          <t>A. DIRECT PERSONNEL COSTS</t>
        </is>
      </c>
      <c r="B376" s="30" t="n"/>
      <c r="C376" s="110" t="n"/>
      <c r="D376" s="354" t="n"/>
    </row>
    <row r="377">
      <c r="A377" s="28" t="inlineStr">
        <is>
          <t>A.1 Employees (or equivalent)</t>
        </is>
      </c>
      <c r="B377" s="89" t="n"/>
      <c r="C377" s="111" t="n"/>
      <c r="D377" s="355" t="n"/>
    </row>
    <row r="378">
      <c r="A378" s="48" t="inlineStr">
        <is>
          <t>SENIOR SCIENTISTS (or equivalent in the private sector)</t>
        </is>
      </c>
      <c r="B378" s="357" t="n"/>
      <c r="C378" s="248" t="n">
        <v>5000</v>
      </c>
      <c r="D378" s="232">
        <f>B378*C378</f>
        <v/>
      </c>
    </row>
    <row r="379">
      <c r="A379" s="48" t="inlineStr">
        <is>
          <t>JUNIOR SCIENTISTS (or equivalent in the private sector)</t>
        </is>
      </c>
      <c r="B379" s="357" t="n">
        <v>2</v>
      </c>
      <c r="C379" s="248" t="n">
        <v>4000</v>
      </c>
      <c r="D379" s="232">
        <f>B379*C379</f>
        <v/>
      </c>
    </row>
    <row r="380">
      <c r="A380" s="48" t="inlineStr">
        <is>
          <t>TECHNICAL PERSONNEL (or equivalent in the private sector)</t>
        </is>
      </c>
      <c r="B380" s="357" t="n">
        <v>7</v>
      </c>
      <c r="C380" s="248" t="n">
        <v>3400</v>
      </c>
      <c r="D380" s="232">
        <f>B380*C380</f>
        <v/>
      </c>
    </row>
    <row r="381">
      <c r="A381" s="48" t="inlineStr">
        <is>
          <t>ADMINISTRATIVE PERSONNEL (or equivalent in the private sector)</t>
        </is>
      </c>
      <c r="B381" s="357" t="n"/>
      <c r="C381" s="248" t="n">
        <v>3400</v>
      </c>
      <c r="D381" s="232">
        <f>B381*C381</f>
        <v/>
      </c>
    </row>
    <row r="382">
      <c r="A382" s="48" t="inlineStr">
        <is>
          <t>OTHERS</t>
        </is>
      </c>
      <c r="B382" s="357" t="n"/>
      <c r="C382" s="248" t="n"/>
      <c r="D382" s="232">
        <f>B382*C382</f>
        <v/>
      </c>
    </row>
    <row r="383">
      <c r="A383" s="28" t="inlineStr">
        <is>
          <t>A.2 Natural Persons under direct contract</t>
        </is>
      </c>
      <c r="B383" s="357" t="n"/>
      <c r="C383" s="248" t="n"/>
      <c r="D383" s="232">
        <f>B383*C383</f>
        <v/>
      </c>
    </row>
    <row r="384">
      <c r="A384" s="28" t="inlineStr">
        <is>
          <t>A.3 Seconded Persons</t>
        </is>
      </c>
      <c r="B384" s="357" t="n"/>
      <c r="C384" s="248" t="n"/>
      <c r="D384" s="232">
        <f>B384*C384</f>
        <v/>
      </c>
    </row>
    <row r="385">
      <c r="A385" s="28" t="inlineStr">
        <is>
          <t>A.4 SME owners and natural person beneficiaries</t>
        </is>
      </c>
      <c r="B385" s="357" t="n"/>
      <c r="C385" s="256" t="n">
        <v>8360.6024</v>
      </c>
      <c r="D385" s="232">
        <f>B385*C385</f>
        <v/>
      </c>
    </row>
    <row r="386">
      <c r="A386" s="29" t="inlineStr">
        <is>
          <t>B. DIRECT SUBCONTRACTING COSTS</t>
        </is>
      </c>
      <c r="B386" s="358" t="n"/>
      <c r="C386" s="110" t="n"/>
      <c r="D386" s="359" t="n"/>
    </row>
    <row r="387">
      <c r="A387" s="53" t="n"/>
      <c r="B387" s="357" t="n"/>
      <c r="C387" s="248" t="n"/>
      <c r="D387" s="361">
        <f>B387*C387</f>
        <v/>
      </c>
    </row>
    <row r="388">
      <c r="A388" s="29" t="inlineStr">
        <is>
          <t>C. DIRECT PURCHASE COSTS</t>
        </is>
      </c>
      <c r="B388" s="358" t="n"/>
      <c r="C388" s="110" t="n"/>
      <c r="D388" s="359" t="n"/>
    </row>
    <row r="389">
      <c r="A389" s="28" t="inlineStr">
        <is>
          <t>C.1 Travel and subsistence</t>
        </is>
      </c>
      <c r="B389" s="357" t="n"/>
      <c r="C389" s="248" t="n"/>
      <c r="D389" s="361">
        <f>B389*C389</f>
        <v/>
      </c>
    </row>
    <row r="390">
      <c r="A390" s="28" t="inlineStr">
        <is>
          <t>C.2 Equipment (complete 'Depreciation costs' sheet)</t>
        </is>
      </c>
      <c r="B390" s="346" t="n"/>
      <c r="C390" s="111" t="n"/>
      <c r="D390" s="364" t="n"/>
    </row>
    <row r="391">
      <c r="A391" s="49" t="inlineStr">
        <is>
          <t>Equipment</t>
        </is>
      </c>
      <c r="B391" s="357" t="n"/>
      <c r="C391" s="248" t="n"/>
      <c r="D391" s="361">
        <f>B391*C391</f>
        <v/>
      </c>
    </row>
    <row r="392">
      <c r="A392" s="49" t="inlineStr">
        <is>
          <t>Infrastructure</t>
        </is>
      </c>
      <c r="B392" s="357" t="n"/>
      <c r="C392" s="248" t="n"/>
      <c r="D392" s="361">
        <f>B392*C392</f>
        <v/>
      </c>
    </row>
    <row r="393">
      <c r="A393" s="49" t="inlineStr">
        <is>
          <t>Other assets</t>
        </is>
      </c>
      <c r="B393" s="357" t="n"/>
      <c r="C393" s="248" t="n"/>
      <c r="D393" s="361">
        <f>B393*C393</f>
        <v/>
      </c>
    </row>
    <row r="394">
      <c r="A394" s="28" t="inlineStr">
        <is>
          <t>C.3 Other goods, works and services</t>
        </is>
      </c>
      <c r="B394" s="346" t="n"/>
      <c r="C394" s="111" t="n"/>
      <c r="D394" s="364" t="n"/>
    </row>
    <row r="395">
      <c r="A395" s="49" t="inlineStr">
        <is>
          <t>Consumables</t>
        </is>
      </c>
      <c r="B395" s="357" t="n"/>
      <c r="C395" s="248" t="n"/>
      <c r="D395" s="361">
        <f>B395*C395</f>
        <v/>
      </c>
    </row>
    <row r="396">
      <c r="A396" s="49" t="inlineStr">
        <is>
          <t>Services for meetings, seminars</t>
        </is>
      </c>
      <c r="B396" s="357" t="n"/>
      <c r="C396" s="248" t="n"/>
      <c r="D396" s="361">
        <f>B396*C396</f>
        <v/>
      </c>
    </row>
    <row r="397">
      <c r="A397" s="49" t="inlineStr">
        <is>
          <t>Services for dissemination activities (including website)</t>
        </is>
      </c>
      <c r="B397" s="357" t="n"/>
      <c r="C397" s="248" t="n"/>
      <c r="D397" s="361">
        <f>B397*C397</f>
        <v/>
      </c>
    </row>
    <row r="398">
      <c r="A398" s="49" t="inlineStr">
        <is>
          <t>Publication fees</t>
        </is>
      </c>
      <c r="B398" s="357" t="n"/>
      <c r="C398" s="248" t="n"/>
      <c r="D398" s="361">
        <f>B398*C398</f>
        <v/>
      </c>
    </row>
    <row r="399">
      <c r="A399" s="49" t="inlineStr">
        <is>
          <t>Other (shipment, insurance, translation, etc.)</t>
        </is>
      </c>
      <c r="B399" s="357" t="n"/>
      <c r="C399" s="248" t="n"/>
      <c r="D399" s="361">
        <f>B399*C399</f>
        <v/>
      </c>
    </row>
    <row r="400">
      <c r="A400" s="29" t="inlineStr">
        <is>
          <t>D. OTHER COST CATEGORIES</t>
        </is>
      </c>
      <c r="B400" s="358" t="n"/>
      <c r="C400" s="110" t="n"/>
      <c r="D400" s="359" t="n"/>
    </row>
    <row r="401">
      <c r="A401" s="50" t="inlineStr">
        <is>
          <t>D.1 Financial support to third parties (if applicable in the topic specific conditions)</t>
        </is>
      </c>
      <c r="B401" s="357" t="n"/>
      <c r="C401" s="248" t="n"/>
      <c r="D401" s="361">
        <f>B401*C401</f>
        <v/>
      </c>
    </row>
    <row r="402">
      <c r="A402" s="50" t="inlineStr">
        <is>
          <t>D.2 Internally invoiced goods and services</t>
        </is>
      </c>
      <c r="B402" s="357" t="n"/>
      <c r="C402" s="248" t="n"/>
      <c r="D402" s="361">
        <f>B402*C402</f>
        <v/>
      </c>
    </row>
    <row r="403">
      <c r="A403" s="50" t="inlineStr">
        <is>
          <t>D.3 Transnational access to research infrastructure unit costs (if mentioned as eligible in the topic specific conditions)</t>
        </is>
      </c>
      <c r="B403" s="357" t="n"/>
      <c r="C403" s="248" t="n"/>
      <c r="D403" s="361">
        <f>B403*C403</f>
        <v/>
      </c>
    </row>
    <row r="404">
      <c r="A404" s="50" t="inlineStr">
        <is>
          <t>D.4 Virtual access to research infrastructure unit costs (if mentioned as eligible in the topic specific conditions)</t>
        </is>
      </c>
      <c r="B404" s="357" t="n"/>
      <c r="C404" s="248" t="n"/>
      <c r="D404" s="361">
        <f>B404*C404</f>
        <v/>
      </c>
    </row>
    <row r="405">
      <c r="A405" s="50" t="inlineStr">
        <is>
          <t>D.5 PCP/PPI procurement costs (if mentioned as eligible in the topic specific conditions)</t>
        </is>
      </c>
      <c r="B405" s="357" t="n"/>
      <c r="C405" s="248" t="n"/>
      <c r="D405" s="361">
        <f>B405*C405</f>
        <v/>
      </c>
    </row>
    <row r="406">
      <c r="A406" s="50" t="n"/>
      <c r="B406" s="346" t="n"/>
      <c r="C406" s="111" t="n"/>
      <c r="D406" s="365" t="n"/>
    </row>
    <row r="407">
      <c r="A407" s="52" t="inlineStr">
        <is>
          <t>TOTAL DIRECT PERSONNEL COSTS AND PURCHASE COSTS (A+C)</t>
        </is>
      </c>
      <c r="B407" s="369" t="n"/>
      <c r="C407" s="230" t="n"/>
      <c r="D407" s="360">
        <f>SUM(D378:D385,D389:D399)</f>
        <v/>
      </c>
    </row>
    <row r="408">
      <c r="A408" s="52" t="inlineStr">
        <is>
          <t>TOTAL DIRECT COSTS  (A+B+C+D)</t>
        </is>
      </c>
      <c r="B408" s="369" t="n"/>
      <c r="C408" s="230" t="n"/>
      <c r="D408" s="360">
        <f>SUM(D378:D405)</f>
        <v/>
      </c>
    </row>
    <row r="409">
      <c r="A409" s="180" t="n"/>
      <c r="B409" s="372" t="n"/>
      <c r="C409" s="176" t="n"/>
      <c r="D409" s="373" t="n"/>
    </row>
    <row r="410">
      <c r="A410" s="29" t="inlineStr">
        <is>
          <t>E. INDIRECT COSTS (25% * (A+C))</t>
        </is>
      </c>
      <c r="B410" s="358" t="n"/>
      <c r="C410" s="110" t="n"/>
      <c r="D410" s="360">
        <f>D407*0.25</f>
        <v/>
      </c>
    </row>
    <row r="411">
      <c r="A411" s="32" t="n"/>
      <c r="B411" s="372" t="n"/>
      <c r="C411" s="176" t="n"/>
      <c r="D411" s="377" t="n"/>
    </row>
    <row r="412">
      <c r="A412" s="29" t="inlineStr">
        <is>
          <t>F. TOTAL COSTS (A+B+C+D+E)</t>
        </is>
      </c>
      <c r="B412" s="369" t="n"/>
      <c r="C412" s="230" t="n"/>
      <c r="D412" s="360">
        <f>D408+D410</f>
        <v/>
      </c>
    </row>
    <row r="413">
      <c r="A413" s="182" t="n"/>
      <c r="B413" s="183" t="n"/>
      <c r="C413" s="184" t="n"/>
      <c r="D413" s="183" t="n"/>
    </row>
    <row r="414">
      <c r="A414" s="190" t="n"/>
      <c r="B414" s="185" t="n"/>
      <c r="C414" s="186" t="n"/>
      <c r="D414" s="187" t="n"/>
    </row>
    <row r="415" ht="21" customHeight="1">
      <c r="A415" s="272">
        <f>CONCATENATE("COSTS WORK PACKAGE 11:"," ","System integration for unified O&amp;M Platform")</f>
        <v/>
      </c>
      <c r="B415" s="314" t="n"/>
      <c r="C415" s="314" t="n"/>
      <c r="D415" s="315" t="n"/>
    </row>
    <row r="416">
      <c r="A416" s="182" t="n"/>
      <c r="B416" s="191" t="n"/>
      <c r="C416" s="192" t="n"/>
      <c r="D416" s="191" t="n"/>
    </row>
    <row r="417">
      <c r="A417" s="29" t="inlineStr">
        <is>
          <t>A. DIRECT PERSONNEL COSTS</t>
        </is>
      </c>
      <c r="B417" s="30" t="n"/>
      <c r="C417" s="110" t="n"/>
      <c r="D417" s="354" t="n"/>
    </row>
    <row r="418">
      <c r="A418" s="28" t="inlineStr">
        <is>
          <t>A.1 Employees (or equivalent)</t>
        </is>
      </c>
      <c r="B418" s="89" t="n"/>
      <c r="C418" s="111" t="n"/>
      <c r="D418" s="355" t="n"/>
    </row>
    <row r="419">
      <c r="A419" s="48" t="inlineStr">
        <is>
          <t>SENIOR SCIENTISTS (or equivalent in the private sector)</t>
        </is>
      </c>
      <c r="B419" s="357" t="n"/>
      <c r="C419" s="248" t="n">
        <v>5000</v>
      </c>
      <c r="D419" s="232">
        <f>B419*C419</f>
        <v/>
      </c>
    </row>
    <row r="420">
      <c r="A420" s="48" t="inlineStr">
        <is>
          <t>JUNIOR SCIENTISTS (or equivalent in the private sector)</t>
        </is>
      </c>
      <c r="B420" s="357" t="n">
        <v>2</v>
      </c>
      <c r="C420" s="248" t="n">
        <v>4000</v>
      </c>
      <c r="D420" s="232">
        <f>B420*C420</f>
        <v/>
      </c>
    </row>
    <row r="421">
      <c r="A421" s="48" t="inlineStr">
        <is>
          <t>TECHNICAL PERSONNEL (or equivalent in the private sector)</t>
        </is>
      </c>
      <c r="B421" s="357" t="n">
        <v>2</v>
      </c>
      <c r="C421" s="248" t="n">
        <v>3400</v>
      </c>
      <c r="D421" s="232">
        <f>B421*C421</f>
        <v/>
      </c>
    </row>
    <row r="422">
      <c r="A422" s="48" t="inlineStr">
        <is>
          <t>ADMINISTRATIVE PERSONNEL (or equivalent in the private sector)</t>
        </is>
      </c>
      <c r="B422" s="357" t="n"/>
      <c r="C422" s="248" t="n">
        <v>3400</v>
      </c>
      <c r="D422" s="232">
        <f>B422*C422</f>
        <v/>
      </c>
    </row>
    <row r="423">
      <c r="A423" s="48" t="inlineStr">
        <is>
          <t>OTHERS</t>
        </is>
      </c>
      <c r="B423" s="357" t="n"/>
      <c r="C423" s="248" t="n"/>
      <c r="D423" s="232">
        <f>B423*C423</f>
        <v/>
      </c>
    </row>
    <row r="424">
      <c r="A424" s="28" t="inlineStr">
        <is>
          <t>A.2 Natural Persons under direct contract</t>
        </is>
      </c>
      <c r="B424" s="357" t="n"/>
      <c r="C424" s="248" t="n"/>
      <c r="D424" s="232">
        <f>B424*C424</f>
        <v/>
      </c>
    </row>
    <row r="425">
      <c r="A425" s="28" t="inlineStr">
        <is>
          <t>A.3 Seconded Persons</t>
        </is>
      </c>
      <c r="B425" s="357" t="n"/>
      <c r="C425" s="248" t="n"/>
      <c r="D425" s="232">
        <f>B425*C425</f>
        <v/>
      </c>
    </row>
    <row r="426">
      <c r="A426" s="28" t="inlineStr">
        <is>
          <t>A.4 SME owners and natural person beneficiaries</t>
        </is>
      </c>
      <c r="B426" s="357" t="n"/>
      <c r="C426" s="256" t="n">
        <v>8360.6024</v>
      </c>
      <c r="D426" s="232">
        <f>B426*C426</f>
        <v/>
      </c>
    </row>
    <row r="427">
      <c r="A427" s="29" t="inlineStr">
        <is>
          <t>B. DIRECT SUBCONTRACTING COSTS</t>
        </is>
      </c>
      <c r="B427" s="358" t="n"/>
      <c r="C427" s="110" t="n"/>
      <c r="D427" s="359" t="n"/>
    </row>
    <row r="428">
      <c r="A428" s="53" t="n"/>
      <c r="B428" s="357" t="n"/>
      <c r="C428" s="248" t="n"/>
      <c r="D428" s="361">
        <f>B428*C428</f>
        <v/>
      </c>
    </row>
    <row r="429">
      <c r="A429" s="29" t="inlineStr">
        <is>
          <t>C. DIRECT PURCHASE COSTS</t>
        </is>
      </c>
      <c r="B429" s="358" t="n"/>
      <c r="C429" s="110" t="n"/>
      <c r="D429" s="359" t="n"/>
    </row>
    <row r="430">
      <c r="A430" s="28" t="inlineStr">
        <is>
          <t>C.1 Travel and subsistence</t>
        </is>
      </c>
      <c r="B430" s="357" t="n"/>
      <c r="C430" s="248" t="n"/>
      <c r="D430" s="361">
        <f>B430*C430</f>
        <v/>
      </c>
    </row>
    <row r="431">
      <c r="A431" s="28" t="inlineStr">
        <is>
          <t>C.2 Equipment (complete 'Depreciation costs' sheet)</t>
        </is>
      </c>
      <c r="B431" s="346" t="n"/>
      <c r="C431" s="111" t="n"/>
      <c r="D431" s="364" t="n"/>
    </row>
    <row r="432">
      <c r="A432" s="49" t="inlineStr">
        <is>
          <t>Equipment</t>
        </is>
      </c>
      <c r="B432" s="357" t="n"/>
      <c r="C432" s="248" t="n"/>
      <c r="D432" s="361">
        <f>B432*C432</f>
        <v/>
      </c>
    </row>
    <row r="433">
      <c r="A433" s="49" t="inlineStr">
        <is>
          <t>Infrastructure</t>
        </is>
      </c>
      <c r="B433" s="357" t="n"/>
      <c r="C433" s="248" t="n"/>
      <c r="D433" s="361">
        <f>B433*C433</f>
        <v/>
      </c>
    </row>
    <row r="434">
      <c r="A434" s="49" t="inlineStr">
        <is>
          <t>Other assets</t>
        </is>
      </c>
      <c r="B434" s="357" t="n"/>
      <c r="C434" s="248" t="n"/>
      <c r="D434" s="361">
        <f>B434*C434</f>
        <v/>
      </c>
    </row>
    <row r="435">
      <c r="A435" s="28" t="inlineStr">
        <is>
          <t>C.3 Other goods, works and services</t>
        </is>
      </c>
      <c r="B435" s="346" t="n"/>
      <c r="C435" s="111" t="n"/>
      <c r="D435" s="364" t="n"/>
    </row>
    <row r="436">
      <c r="A436" s="49" t="inlineStr">
        <is>
          <t>Consumables</t>
        </is>
      </c>
      <c r="B436" s="357" t="n"/>
      <c r="C436" s="248" t="n"/>
      <c r="D436" s="361">
        <f>B436*C436</f>
        <v/>
      </c>
    </row>
    <row r="437">
      <c r="A437" s="49" t="inlineStr">
        <is>
          <t>Services for meetings, seminars</t>
        </is>
      </c>
      <c r="B437" s="357" t="n"/>
      <c r="C437" s="248" t="n"/>
      <c r="D437" s="361">
        <f>B437*C437</f>
        <v/>
      </c>
    </row>
    <row r="438">
      <c r="A438" s="49" t="inlineStr">
        <is>
          <t>Services for dissemination activities (including website)</t>
        </is>
      </c>
      <c r="B438" s="357" t="n"/>
      <c r="C438" s="248" t="n"/>
      <c r="D438" s="361">
        <f>B438*C438</f>
        <v/>
      </c>
    </row>
    <row r="439">
      <c r="A439" s="49" t="inlineStr">
        <is>
          <t>Publication fees</t>
        </is>
      </c>
      <c r="B439" s="357" t="n"/>
      <c r="C439" s="248" t="n"/>
      <c r="D439" s="361">
        <f>B439*C439</f>
        <v/>
      </c>
    </row>
    <row r="440">
      <c r="A440" s="49" t="inlineStr">
        <is>
          <t>Other (shipment, insurance, translation, etc.)</t>
        </is>
      </c>
      <c r="B440" s="357" t="n"/>
      <c r="C440" s="248" t="n"/>
      <c r="D440" s="361">
        <f>B440*C440</f>
        <v/>
      </c>
    </row>
    <row r="441">
      <c r="A441" s="29" t="inlineStr">
        <is>
          <t>D. OTHER COST CATEGORIES</t>
        </is>
      </c>
      <c r="B441" s="358" t="n"/>
      <c r="C441" s="110" t="n"/>
      <c r="D441" s="359" t="n"/>
    </row>
    <row r="442">
      <c r="A442" s="50" t="inlineStr">
        <is>
          <t>D.1 Financial support to third parties (if applicable in the topic specific conditions)</t>
        </is>
      </c>
      <c r="B442" s="357" t="n"/>
      <c r="C442" s="248" t="n"/>
      <c r="D442" s="361">
        <f>B442*C442</f>
        <v/>
      </c>
    </row>
    <row r="443">
      <c r="A443" s="50" t="inlineStr">
        <is>
          <t>D.2 Internally invoiced goods and services</t>
        </is>
      </c>
      <c r="B443" s="357" t="n"/>
      <c r="C443" s="248" t="n"/>
      <c r="D443" s="361">
        <f>B443*C443</f>
        <v/>
      </c>
    </row>
    <row r="444">
      <c r="A444" s="50" t="inlineStr">
        <is>
          <t>D.3 Transnational access to research infrastructure unit costs (if mentioned as eligible in the topic specific conditions)</t>
        </is>
      </c>
      <c r="B444" s="357" t="n"/>
      <c r="C444" s="248" t="n"/>
      <c r="D444" s="361">
        <f>B444*C444</f>
        <v/>
      </c>
    </row>
    <row r="445">
      <c r="A445" s="50" t="inlineStr">
        <is>
          <t>D.4 Virtual access to research infrastructure unit costs (if mentioned as eligible in the topic specific conditions)</t>
        </is>
      </c>
      <c r="B445" s="357" t="n"/>
      <c r="C445" s="248" t="n"/>
      <c r="D445" s="361">
        <f>B445*C445</f>
        <v/>
      </c>
    </row>
    <row r="446">
      <c r="A446" s="50" t="inlineStr">
        <is>
          <t>D.5 PCP/PPI procurement costs (if mentioned as eligible in the topic specific conditions)</t>
        </is>
      </c>
      <c r="B446" s="357" t="n"/>
      <c r="C446" s="248" t="n"/>
      <c r="D446" s="361">
        <f>B446*C446</f>
        <v/>
      </c>
    </row>
    <row r="447">
      <c r="A447" s="50" t="n"/>
      <c r="B447" s="346" t="n"/>
      <c r="C447" s="111" t="n"/>
      <c r="D447" s="365" t="n"/>
    </row>
    <row r="448">
      <c r="A448" s="52" t="inlineStr">
        <is>
          <t>TOTAL DIRECT PERSONNEL COSTS AND PURCHASE COSTS (A+C)</t>
        </is>
      </c>
      <c r="B448" s="369" t="n"/>
      <c r="C448" s="230" t="n"/>
      <c r="D448" s="360">
        <f>SUM(D419:D426,D430:D440)</f>
        <v/>
      </c>
    </row>
    <row r="449">
      <c r="A449" s="52" t="inlineStr">
        <is>
          <t>TOTAL DIRECT COSTS  (A+B+C+D)</t>
        </is>
      </c>
      <c r="B449" s="369" t="n"/>
      <c r="C449" s="230" t="n"/>
      <c r="D449" s="360">
        <f>SUM(D419:D446)</f>
        <v/>
      </c>
    </row>
    <row r="450">
      <c r="A450" s="180" t="n"/>
      <c r="B450" s="372" t="n"/>
      <c r="C450" s="176" t="n"/>
      <c r="D450" s="373" t="n"/>
    </row>
    <row r="451">
      <c r="A451" s="29" t="inlineStr">
        <is>
          <t>E. INDIRECT COSTS (25% * (A+C))</t>
        </is>
      </c>
      <c r="B451" s="358" t="n"/>
      <c r="C451" s="110" t="n"/>
      <c r="D451" s="360">
        <f>D448*0.25</f>
        <v/>
      </c>
    </row>
    <row r="452">
      <c r="A452" s="32" t="n"/>
      <c r="B452" s="372" t="n"/>
      <c r="C452" s="176" t="n"/>
      <c r="D452" s="377" t="n"/>
    </row>
    <row r="453">
      <c r="A453" s="29" t="inlineStr">
        <is>
          <t>F. TOTAL COSTS (A+B+C+D+E)</t>
        </is>
      </c>
      <c r="B453" s="369" t="n"/>
      <c r="C453" s="230" t="n"/>
      <c r="D453" s="360">
        <f>D449+D451</f>
        <v/>
      </c>
    </row>
    <row r="454">
      <c r="A454" s="182" t="n"/>
      <c r="B454" s="183" t="n"/>
      <c r="C454" s="184" t="n"/>
      <c r="D454" s="183" t="n"/>
    </row>
    <row r="455">
      <c r="A455" s="190" t="n"/>
      <c r="B455" s="185" t="n"/>
      <c r="C455" s="186" t="n"/>
      <c r="D455" s="187" t="n"/>
    </row>
    <row r="456" ht="21" customHeight="1">
      <c r="A456" s="272">
        <f>CONCATENATE("COSTS WORK PACKAGE 12:"," ","System-Level Demonstration and Validation")</f>
        <v/>
      </c>
      <c r="B456" s="314" t="n"/>
      <c r="C456" s="314" t="n"/>
      <c r="D456" s="315" t="n"/>
    </row>
    <row r="457">
      <c r="A457" s="182" t="n"/>
      <c r="B457" s="191" t="n"/>
      <c r="C457" s="192" t="n"/>
      <c r="D457" s="191" t="n"/>
    </row>
    <row r="458">
      <c r="A458" s="29" t="inlineStr">
        <is>
          <t>A. DIRECT PERSONNEL COSTS</t>
        </is>
      </c>
      <c r="B458" s="30" t="n"/>
      <c r="C458" s="110" t="n"/>
      <c r="D458" s="354" t="n"/>
    </row>
    <row r="459">
      <c r="A459" s="28" t="inlineStr">
        <is>
          <t>A.1 Employees (or equivalent)</t>
        </is>
      </c>
      <c r="B459" s="89" t="n"/>
      <c r="C459" s="111" t="n"/>
      <c r="D459" s="355" t="n"/>
    </row>
    <row r="460">
      <c r="A460" s="48" t="inlineStr">
        <is>
          <t>SENIOR SCIENTISTS (or equivalent in the private sector)</t>
        </is>
      </c>
      <c r="B460" s="357" t="n">
        <v>6</v>
      </c>
      <c r="C460" s="248" t="n">
        <v>5000</v>
      </c>
      <c r="D460" s="232">
        <f>B460*C460</f>
        <v/>
      </c>
    </row>
    <row r="461">
      <c r="A461" s="48" t="inlineStr">
        <is>
          <t>JUNIOR SCIENTISTS (or equivalent in the private sector)</t>
        </is>
      </c>
      <c r="B461" s="357" t="n">
        <v>3</v>
      </c>
      <c r="C461" s="248" t="n">
        <v>4000</v>
      </c>
      <c r="D461" s="232">
        <f>B461*C461</f>
        <v/>
      </c>
    </row>
    <row r="462">
      <c r="A462" s="48" t="inlineStr">
        <is>
          <t>TECHNICAL PERSONNEL (or equivalent in the private sector)</t>
        </is>
      </c>
      <c r="B462" s="357" t="n">
        <v>10</v>
      </c>
      <c r="C462" s="248" t="n">
        <v>3400</v>
      </c>
      <c r="D462" s="232">
        <f>B462*C462</f>
        <v/>
      </c>
    </row>
    <row r="463">
      <c r="A463" s="48" t="inlineStr">
        <is>
          <t>ADMINISTRATIVE PERSONNEL (or equivalent in the private sector)</t>
        </is>
      </c>
      <c r="B463" s="357" t="n"/>
      <c r="C463" s="248" t="n">
        <v>3400</v>
      </c>
      <c r="D463" s="232">
        <f>B463*C463</f>
        <v/>
      </c>
    </row>
    <row r="464">
      <c r="A464" s="48" t="inlineStr">
        <is>
          <t>OTHERS</t>
        </is>
      </c>
      <c r="B464" s="357" t="n"/>
      <c r="C464" s="248" t="n"/>
      <c r="D464" s="232">
        <f>B464*C464</f>
        <v/>
      </c>
    </row>
    <row r="465">
      <c r="A465" s="28" t="inlineStr">
        <is>
          <t>A.2 Natural Persons under direct contract</t>
        </is>
      </c>
      <c r="B465" s="357" t="n"/>
      <c r="C465" s="248" t="n"/>
      <c r="D465" s="232">
        <f>B465*C465</f>
        <v/>
      </c>
    </row>
    <row r="466">
      <c r="A466" s="28" t="inlineStr">
        <is>
          <t>A.3 Seconded Persons</t>
        </is>
      </c>
      <c r="B466" s="357" t="n"/>
      <c r="C466" s="248" t="n"/>
      <c r="D466" s="232">
        <f>B466*C466</f>
        <v/>
      </c>
    </row>
    <row r="467">
      <c r="A467" s="28" t="inlineStr">
        <is>
          <t>A.4 SME owners and natural person beneficiaries</t>
        </is>
      </c>
      <c r="B467" s="357" t="n"/>
      <c r="C467" s="256" t="n">
        <v>8360.6024</v>
      </c>
      <c r="D467" s="232">
        <f>B467*C467</f>
        <v/>
      </c>
    </row>
    <row r="468">
      <c r="A468" s="29" t="inlineStr">
        <is>
          <t>B. DIRECT SUBCONTRACTING COSTS</t>
        </is>
      </c>
      <c r="B468" s="358" t="n"/>
      <c r="C468" s="110" t="n"/>
      <c r="D468" s="359" t="n"/>
    </row>
    <row r="469">
      <c r="A469" s="53" t="n"/>
      <c r="B469" s="357" t="n"/>
      <c r="C469" s="248" t="n"/>
      <c r="D469" s="361">
        <f>B469*C469</f>
        <v/>
      </c>
    </row>
    <row r="470">
      <c r="A470" s="29" t="inlineStr">
        <is>
          <t>C. DIRECT PURCHASE COSTS</t>
        </is>
      </c>
      <c r="B470" s="358" t="n"/>
      <c r="C470" s="110" t="n"/>
      <c r="D470" s="359" t="n"/>
    </row>
    <row r="471">
      <c r="A471" s="28" t="inlineStr">
        <is>
          <t>C.1 Travel and subsistence</t>
        </is>
      </c>
      <c r="B471" s="357" t="n"/>
      <c r="C471" s="248" t="n"/>
      <c r="D471" s="361">
        <f>B471*C471</f>
        <v/>
      </c>
    </row>
    <row r="472">
      <c r="A472" s="28" t="inlineStr">
        <is>
          <t>C.2 Equipment (complete 'Depreciation costs' sheet)</t>
        </is>
      </c>
      <c r="B472" s="346" t="n"/>
      <c r="C472" s="111" t="n"/>
      <c r="D472" s="364" t="n"/>
    </row>
    <row r="473">
      <c r="A473" s="49" t="inlineStr">
        <is>
          <t>Equipment</t>
        </is>
      </c>
      <c r="B473" s="357" t="n">
        <v>1</v>
      </c>
      <c r="C473" s="248" t="n">
        <v>15000</v>
      </c>
      <c r="D473" s="361">
        <f>B473*C473</f>
        <v/>
      </c>
    </row>
    <row r="474">
      <c r="A474" s="49" t="inlineStr">
        <is>
          <t>Infrastructure</t>
        </is>
      </c>
      <c r="B474" s="357" t="n"/>
      <c r="C474" s="248" t="n"/>
      <c r="D474" s="361">
        <f>B474*C474</f>
        <v/>
      </c>
    </row>
    <row r="475">
      <c r="A475" s="49" t="inlineStr">
        <is>
          <t>Other assets</t>
        </is>
      </c>
      <c r="B475" s="357" t="n"/>
      <c r="C475" s="248" t="n"/>
      <c r="D475" s="361">
        <f>B475*C475</f>
        <v/>
      </c>
    </row>
    <row r="476">
      <c r="A476" s="28" t="inlineStr">
        <is>
          <t>C.3 Other goods, works and services</t>
        </is>
      </c>
      <c r="B476" s="346" t="n"/>
      <c r="C476" s="111" t="n"/>
      <c r="D476" s="364" t="n"/>
    </row>
    <row r="477">
      <c r="A477" s="49" t="inlineStr">
        <is>
          <t>Consumables</t>
        </is>
      </c>
      <c r="B477" s="357" t="n">
        <v>1</v>
      </c>
      <c r="C477" s="248" t="n">
        <v>4000</v>
      </c>
      <c r="D477" s="361">
        <f>B477*C477</f>
        <v/>
      </c>
    </row>
    <row r="478">
      <c r="A478" s="49" t="inlineStr">
        <is>
          <t>Services for meetings, seminars</t>
        </is>
      </c>
      <c r="B478" s="357" t="n">
        <v>1</v>
      </c>
      <c r="C478" s="248" t="n">
        <v>4500</v>
      </c>
      <c r="D478" s="361">
        <f>B478*C478</f>
        <v/>
      </c>
    </row>
    <row r="479">
      <c r="A479" s="49" t="inlineStr">
        <is>
          <t>Services for dissemination activities (including website)</t>
        </is>
      </c>
      <c r="B479" s="357" t="n"/>
      <c r="C479" s="248" t="n"/>
      <c r="D479" s="361">
        <f>B479*C479</f>
        <v/>
      </c>
    </row>
    <row r="480">
      <c r="A480" s="49" t="inlineStr">
        <is>
          <t>Publication fees</t>
        </is>
      </c>
      <c r="B480" s="357" t="n"/>
      <c r="C480" s="248" t="n"/>
      <c r="D480" s="361">
        <f>B480*C480</f>
        <v/>
      </c>
    </row>
    <row r="481">
      <c r="A481" s="49" t="inlineStr">
        <is>
          <t>Other (shipment, insurance, translation, etc.)</t>
        </is>
      </c>
      <c r="B481" s="357" t="n"/>
      <c r="C481" s="248" t="n"/>
      <c r="D481" s="361">
        <f>B481*C481</f>
        <v/>
      </c>
    </row>
    <row r="482">
      <c r="A482" s="29" t="inlineStr">
        <is>
          <t>D. OTHER COST CATEGORIES</t>
        </is>
      </c>
      <c r="B482" s="358" t="n"/>
      <c r="C482" s="110" t="n"/>
      <c r="D482" s="359" t="n"/>
    </row>
    <row r="483">
      <c r="A483" s="50" t="inlineStr">
        <is>
          <t>D.1 Financial support to third parties (if applicable in the topic specific conditions)</t>
        </is>
      </c>
      <c r="B483" s="357" t="n"/>
      <c r="C483" s="248" t="n"/>
      <c r="D483" s="361">
        <f>B483*C483</f>
        <v/>
      </c>
    </row>
    <row r="484">
      <c r="A484" s="50" t="inlineStr">
        <is>
          <t>D.2 Internally invoiced goods and services</t>
        </is>
      </c>
      <c r="B484" s="357" t="n"/>
      <c r="C484" s="248" t="n"/>
      <c r="D484" s="361">
        <f>B484*C484</f>
        <v/>
      </c>
    </row>
    <row r="485">
      <c r="A485" s="50" t="inlineStr">
        <is>
          <t>D.3 Transnational access to research infrastructure unit costs (if mentioned as eligible in the topic specific conditions)</t>
        </is>
      </c>
      <c r="B485" s="357" t="n"/>
      <c r="C485" s="248" t="n"/>
      <c r="D485" s="361">
        <f>B485*C485</f>
        <v/>
      </c>
    </row>
    <row r="486">
      <c r="A486" s="50" t="inlineStr">
        <is>
          <t>D.4 Virtual access to research infrastructure unit costs (if mentioned as eligible in the topic specific conditions)</t>
        </is>
      </c>
      <c r="B486" s="357" t="n"/>
      <c r="C486" s="248" t="n"/>
      <c r="D486" s="361">
        <f>B486*C486</f>
        <v/>
      </c>
    </row>
    <row r="487">
      <c r="A487" s="50" t="inlineStr">
        <is>
          <t>D.5 PCP/PPI procurement costs (if mentioned as eligible in the topic specific conditions)</t>
        </is>
      </c>
      <c r="B487" s="357" t="n"/>
      <c r="C487" s="248" t="n"/>
      <c r="D487" s="361">
        <f>B487*C487</f>
        <v/>
      </c>
    </row>
    <row r="488">
      <c r="A488" s="50" t="n"/>
      <c r="B488" s="346" t="n"/>
      <c r="C488" s="111" t="n"/>
      <c r="D488" s="365" t="n"/>
    </row>
    <row r="489">
      <c r="A489" s="52" t="inlineStr">
        <is>
          <t>TOTAL DIRECT PERSONNEL COSTS AND PURCHASE COSTS (A+C)</t>
        </is>
      </c>
      <c r="B489" s="369" t="n"/>
      <c r="C489" s="230" t="n"/>
      <c r="D489" s="360">
        <f>SUM(D460:D467,D471:D481)</f>
        <v/>
      </c>
    </row>
    <row r="490">
      <c r="A490" s="52" t="inlineStr">
        <is>
          <t>TOTAL DIRECT COSTS  (A+B+C+D)</t>
        </is>
      </c>
      <c r="B490" s="369" t="n"/>
      <c r="C490" s="230" t="n"/>
      <c r="D490" s="360">
        <f>SUM(D460:D487)</f>
        <v/>
      </c>
    </row>
    <row r="491">
      <c r="A491" s="180" t="n"/>
      <c r="B491" s="372" t="n"/>
      <c r="C491" s="176" t="n"/>
      <c r="D491" s="373" t="n"/>
    </row>
    <row r="492">
      <c r="A492" s="29" t="inlineStr">
        <is>
          <t>E. INDIRECT COSTS (25% * (A+C))</t>
        </is>
      </c>
      <c r="B492" s="358" t="n"/>
      <c r="C492" s="110" t="n"/>
      <c r="D492" s="360">
        <f>D489*0.25</f>
        <v/>
      </c>
    </row>
    <row r="493">
      <c r="A493" s="32" t="n"/>
      <c r="B493" s="372" t="n"/>
      <c r="C493" s="176" t="n"/>
      <c r="D493" s="377" t="n"/>
    </row>
    <row r="494">
      <c r="A494" s="29" t="inlineStr">
        <is>
          <t>F. TOTAL COSTS (A+B+C+D+E)</t>
        </is>
      </c>
      <c r="B494" s="369" t="n"/>
      <c r="C494" s="230" t="n"/>
      <c r="D494" s="360">
        <f>D490+D492</f>
        <v/>
      </c>
    </row>
    <row r="495">
      <c r="A495" s="182" t="n"/>
      <c r="B495" s="183" t="n"/>
      <c r="C495" s="184" t="n"/>
      <c r="D495" s="183" t="n"/>
    </row>
    <row r="496">
      <c r="A496" s="190" t="n"/>
      <c r="B496" s="185" t="n"/>
      <c r="C496" s="186" t="n"/>
      <c r="D496" s="187" t="n"/>
    </row>
    <row r="497" ht="21" customHeight="1">
      <c r="A497" s="272">
        <f>CONCATENATE("COSTS WORK PACKAGE 13:"," ","Dissemination, exploitation and communication general activity")</f>
        <v/>
      </c>
      <c r="B497" s="314" t="n"/>
      <c r="C497" s="314" t="n"/>
      <c r="D497" s="315" t="n"/>
    </row>
    <row r="498">
      <c r="A498" s="182" t="n"/>
      <c r="B498" s="191" t="n"/>
      <c r="C498" s="192" t="n"/>
      <c r="D498" s="191" t="n"/>
    </row>
    <row r="499">
      <c r="A499" s="29" t="inlineStr">
        <is>
          <t>A. DIRECT PERSONNEL COSTS</t>
        </is>
      </c>
      <c r="B499" s="30" t="n"/>
      <c r="C499" s="110" t="n"/>
      <c r="D499" s="354" t="n"/>
    </row>
    <row r="500">
      <c r="A500" s="28" t="inlineStr">
        <is>
          <t>A.1 Employees (or equivalent)</t>
        </is>
      </c>
      <c r="B500" s="89" t="n"/>
      <c r="C500" s="111" t="n"/>
      <c r="D500" s="355" t="n"/>
    </row>
    <row r="501">
      <c r="A501" s="48" t="inlineStr">
        <is>
          <t>SENIOR SCIENTISTS (or equivalent in the private sector)</t>
        </is>
      </c>
      <c r="B501" s="357" t="n">
        <v>1</v>
      </c>
      <c r="C501" s="248" t="n">
        <v>5000</v>
      </c>
      <c r="D501" s="232">
        <f>B501*C501</f>
        <v/>
      </c>
    </row>
    <row r="502">
      <c r="A502" s="48" t="inlineStr">
        <is>
          <t>JUNIOR SCIENTISTS (or equivalent in the private sector)</t>
        </is>
      </c>
      <c r="B502" s="357" t="n"/>
      <c r="C502" s="248" t="n">
        <v>4000</v>
      </c>
      <c r="D502" s="232">
        <f>B502*C502</f>
        <v/>
      </c>
    </row>
    <row r="503">
      <c r="A503" s="48" t="inlineStr">
        <is>
          <t>TECHNICAL PERSONNEL (or equivalent in the private sector)</t>
        </is>
      </c>
      <c r="B503" s="357" t="n">
        <v>0</v>
      </c>
      <c r="C503" s="248" t="n">
        <v>3400</v>
      </c>
      <c r="D503" s="232">
        <f>B503*C503</f>
        <v/>
      </c>
    </row>
    <row r="504">
      <c r="A504" s="48" t="inlineStr">
        <is>
          <t>ADMINISTRATIVE PERSONNEL (or equivalent in the private sector)</t>
        </is>
      </c>
      <c r="B504" s="357" t="n"/>
      <c r="C504" s="248" t="n">
        <v>3400</v>
      </c>
      <c r="D504" s="232">
        <f>B504*C504</f>
        <v/>
      </c>
    </row>
    <row r="505">
      <c r="A505" s="48" t="inlineStr">
        <is>
          <t>OTHERS</t>
        </is>
      </c>
      <c r="B505" s="357" t="n"/>
      <c r="C505" s="248" t="n"/>
      <c r="D505" s="232">
        <f>B505*C505</f>
        <v/>
      </c>
    </row>
    <row r="506">
      <c r="A506" s="28" t="inlineStr">
        <is>
          <t>A.2 Natural Persons under direct contract</t>
        </is>
      </c>
      <c r="B506" s="357" t="n"/>
      <c r="C506" s="248" t="n"/>
      <c r="D506" s="232">
        <f>B506*C506</f>
        <v/>
      </c>
    </row>
    <row r="507">
      <c r="A507" s="28" t="inlineStr">
        <is>
          <t>A.3 Seconded Persons</t>
        </is>
      </c>
      <c r="B507" s="357" t="n"/>
      <c r="C507" s="248" t="n"/>
      <c r="D507" s="232">
        <f>B507*C507</f>
        <v/>
      </c>
    </row>
    <row r="508">
      <c r="A508" s="28" t="inlineStr">
        <is>
          <t>A.4 SME owners and natural person beneficiaries</t>
        </is>
      </c>
      <c r="B508" s="357" t="n"/>
      <c r="C508" s="256" t="n">
        <v>8360.6024</v>
      </c>
      <c r="D508" s="232">
        <f>B508*C508</f>
        <v/>
      </c>
    </row>
    <row r="509">
      <c r="A509" s="29" t="inlineStr">
        <is>
          <t>B. DIRECT SUBCONTRACTING COSTS</t>
        </is>
      </c>
      <c r="B509" s="358" t="n"/>
      <c r="C509" s="110" t="n"/>
      <c r="D509" s="359" t="n"/>
    </row>
    <row r="510">
      <c r="A510" s="53" t="n"/>
      <c r="B510" s="357" t="n"/>
      <c r="C510" s="248" t="n"/>
      <c r="D510" s="361">
        <f>B510*C510</f>
        <v/>
      </c>
    </row>
    <row r="511">
      <c r="A511" s="29" t="inlineStr">
        <is>
          <t>C. DIRECT PURCHASE COSTS</t>
        </is>
      </c>
      <c r="B511" s="358" t="n"/>
      <c r="C511" s="110" t="n"/>
      <c r="D511" s="359" t="n"/>
    </row>
    <row r="512">
      <c r="A512" s="28" t="inlineStr">
        <is>
          <t>C.1 Travel and subsistence</t>
        </is>
      </c>
      <c r="B512" s="357" t="n"/>
      <c r="C512" s="248" t="n"/>
      <c r="D512" s="361">
        <f>B512*C512</f>
        <v/>
      </c>
    </row>
    <row r="513">
      <c r="A513" s="28" t="inlineStr">
        <is>
          <t>C.2 Equipment (complete 'Depreciation costs' sheet)</t>
        </is>
      </c>
      <c r="B513" s="346" t="n"/>
      <c r="C513" s="111" t="n"/>
      <c r="D513" s="364" t="n"/>
    </row>
    <row r="514">
      <c r="A514" s="49" t="inlineStr">
        <is>
          <t>Equipment</t>
        </is>
      </c>
      <c r="B514" s="357" t="n"/>
      <c r="C514" s="248" t="n"/>
      <c r="D514" s="361">
        <f>B514*C514</f>
        <v/>
      </c>
    </row>
    <row r="515">
      <c r="A515" s="49" t="inlineStr">
        <is>
          <t>Infrastructure</t>
        </is>
      </c>
      <c r="B515" s="357" t="n"/>
      <c r="C515" s="248" t="n"/>
      <c r="D515" s="361">
        <f>B515*C515</f>
        <v/>
      </c>
    </row>
    <row r="516">
      <c r="A516" s="49" t="inlineStr">
        <is>
          <t>Other assets</t>
        </is>
      </c>
      <c r="B516" s="357" t="n"/>
      <c r="C516" s="248" t="n"/>
      <c r="D516" s="361">
        <f>B516*C516</f>
        <v/>
      </c>
    </row>
    <row r="517">
      <c r="A517" s="28" t="inlineStr">
        <is>
          <t>C.3 Other goods, works and services</t>
        </is>
      </c>
      <c r="B517" s="346" t="n"/>
      <c r="C517" s="111" t="n"/>
      <c r="D517" s="364" t="n"/>
    </row>
    <row r="518">
      <c r="A518" s="49" t="inlineStr">
        <is>
          <t>Consumables</t>
        </is>
      </c>
      <c r="B518" s="357" t="n"/>
      <c r="C518" s="248" t="n"/>
      <c r="D518" s="361">
        <f>B518*C518</f>
        <v/>
      </c>
    </row>
    <row r="519">
      <c r="A519" s="49" t="inlineStr">
        <is>
          <t>Services for meetings, seminars</t>
        </is>
      </c>
      <c r="B519" s="357" t="n"/>
      <c r="C519" s="248" t="n"/>
      <c r="D519" s="361">
        <f>B519*C519</f>
        <v/>
      </c>
    </row>
    <row r="520">
      <c r="A520" s="49" t="inlineStr">
        <is>
          <t>Services for dissemination activities (including website)</t>
        </is>
      </c>
      <c r="B520" s="357" t="n"/>
      <c r="C520" s="248" t="n"/>
      <c r="D520" s="361">
        <f>B520*C520</f>
        <v/>
      </c>
    </row>
    <row r="521">
      <c r="A521" s="49" t="inlineStr">
        <is>
          <t>Publication fees</t>
        </is>
      </c>
      <c r="B521" s="357" t="n">
        <v>2</v>
      </c>
      <c r="C521" s="248" t="n">
        <v>2500</v>
      </c>
      <c r="D521" s="361">
        <f>B521*C521</f>
        <v/>
      </c>
    </row>
    <row r="522">
      <c r="A522" s="49" t="inlineStr">
        <is>
          <t>Other (shipment, insurance, translation, etc.)</t>
        </is>
      </c>
      <c r="B522" s="357" t="n"/>
      <c r="C522" s="248" t="n"/>
      <c r="D522" s="361">
        <f>B522*C522</f>
        <v/>
      </c>
    </row>
    <row r="523">
      <c r="A523" s="29" t="inlineStr">
        <is>
          <t>D. OTHER COST CATEGORIES</t>
        </is>
      </c>
      <c r="B523" s="358" t="n"/>
      <c r="C523" s="110" t="n"/>
      <c r="D523" s="359" t="n"/>
    </row>
    <row r="524">
      <c r="A524" s="50" t="inlineStr">
        <is>
          <t>D.1 Financial support to third parties (if applicable in the topic specific conditions)</t>
        </is>
      </c>
      <c r="B524" s="357" t="n"/>
      <c r="C524" s="248" t="n"/>
      <c r="D524" s="361">
        <f>B524*C524</f>
        <v/>
      </c>
    </row>
    <row r="525">
      <c r="A525" s="50" t="inlineStr">
        <is>
          <t>D.2 Internally invoiced goods and services</t>
        </is>
      </c>
      <c r="B525" s="357" t="n"/>
      <c r="C525" s="248" t="n"/>
      <c r="D525" s="361">
        <f>B525*C525</f>
        <v/>
      </c>
    </row>
    <row r="526">
      <c r="A526" s="50" t="inlineStr">
        <is>
          <t>D.3 Transnational access to research infrastructure unit costs (if mentioned as eligible in the topic specific conditions)</t>
        </is>
      </c>
      <c r="B526" s="357" t="n"/>
      <c r="C526" s="248" t="n"/>
      <c r="D526" s="361">
        <f>B526*C526</f>
        <v/>
      </c>
    </row>
    <row r="527">
      <c r="A527" s="50" t="inlineStr">
        <is>
          <t>D.4 Virtual access to research infrastructure unit costs (if mentioned as eligible in the topic specific conditions)</t>
        </is>
      </c>
      <c r="B527" s="357" t="n"/>
      <c r="C527" s="248" t="n"/>
      <c r="D527" s="361">
        <f>B527*C527</f>
        <v/>
      </c>
    </row>
    <row r="528">
      <c r="A528" s="50" t="inlineStr">
        <is>
          <t>D.5 PCP/PPI procurement costs (if mentioned as eligible in the topic specific conditions)</t>
        </is>
      </c>
      <c r="B528" s="357" t="n"/>
      <c r="C528" s="248" t="n"/>
      <c r="D528" s="361">
        <f>B528*C528</f>
        <v/>
      </c>
    </row>
    <row r="529">
      <c r="A529" s="50" t="n"/>
      <c r="B529" s="346" t="n"/>
      <c r="C529" s="111" t="n"/>
      <c r="D529" s="365" t="n"/>
    </row>
    <row r="530">
      <c r="A530" s="52" t="inlineStr">
        <is>
          <t>TOTAL DIRECT PERSONNEL COSTS AND PURCHASE COSTS (A+C)</t>
        </is>
      </c>
      <c r="B530" s="369" t="n"/>
      <c r="C530" s="230" t="n"/>
      <c r="D530" s="360">
        <f>SUM(D501:D508,D512:D522)</f>
        <v/>
      </c>
    </row>
    <row r="531">
      <c r="A531" s="52" t="inlineStr">
        <is>
          <t>TOTAL DIRECT COSTS  (A+B+C+D)</t>
        </is>
      </c>
      <c r="B531" s="369" t="n"/>
      <c r="C531" s="230" t="n"/>
      <c r="D531" s="360">
        <f>SUM(D501:D528)</f>
        <v/>
      </c>
    </row>
    <row r="532">
      <c r="A532" s="180" t="n"/>
      <c r="B532" s="372" t="n"/>
      <c r="C532" s="176" t="n"/>
      <c r="D532" s="373" t="n"/>
    </row>
    <row r="533">
      <c r="A533" s="29" t="inlineStr">
        <is>
          <t>E. INDIRECT COSTS (25% * (A+C))</t>
        </is>
      </c>
      <c r="B533" s="358" t="n"/>
      <c r="C533" s="110" t="n"/>
      <c r="D533" s="360">
        <f>D530*0.25</f>
        <v/>
      </c>
    </row>
    <row r="534">
      <c r="A534" s="32" t="n"/>
      <c r="B534" s="372" t="n"/>
      <c r="C534" s="176" t="n"/>
      <c r="D534" s="377" t="n"/>
    </row>
    <row r="535">
      <c r="A535" s="29" t="inlineStr">
        <is>
          <t>F. TOTAL COSTS (A+B+C+D+E)</t>
        </is>
      </c>
      <c r="B535" s="369" t="n"/>
      <c r="C535" s="230" t="n"/>
      <c r="D535" s="360">
        <f>D531+D533</f>
        <v/>
      </c>
    </row>
    <row r="536">
      <c r="A536" s="182" t="n"/>
      <c r="B536" s="183" t="n"/>
      <c r="C536" s="184" t="n"/>
      <c r="D536" s="183" t="n"/>
    </row>
    <row r="537">
      <c r="A537" s="190" t="n"/>
      <c r="B537" s="185" t="n"/>
      <c r="C537" s="186" t="n"/>
      <c r="D537" s="187" t="n"/>
    </row>
    <row r="538" ht="21" customHeight="1">
      <c r="A538" s="272">
        <f>CONCATENATE("COSTS WORK PACKAGE 14:"," ","Key Exploitable Results (KER) Strategy and related Plans towards future exploitation and full-scale deployment")</f>
        <v/>
      </c>
      <c r="B538" s="314" t="n"/>
      <c r="C538" s="314" t="n"/>
      <c r="D538" s="315" t="n"/>
    </row>
    <row r="539">
      <c r="A539" s="182" t="n"/>
      <c r="B539" s="191" t="n"/>
      <c r="C539" s="192" t="n"/>
      <c r="D539" s="191" t="n"/>
    </row>
    <row r="540">
      <c r="A540" s="29" t="inlineStr">
        <is>
          <t>A. DIRECT PERSONNEL COSTS</t>
        </is>
      </c>
      <c r="B540" s="30" t="n"/>
      <c r="C540" s="110" t="n"/>
      <c r="D540" s="354" t="n"/>
    </row>
    <row r="541">
      <c r="A541" s="28" t="inlineStr">
        <is>
          <t>A.1 Employees (or equivalent)</t>
        </is>
      </c>
      <c r="B541" s="89" t="n"/>
      <c r="C541" s="111" t="n"/>
      <c r="D541" s="355" t="n"/>
    </row>
    <row r="542">
      <c r="A542" s="48" t="inlineStr">
        <is>
          <t>SENIOR SCIENTISTS (or equivalent in the private sector)</t>
        </is>
      </c>
      <c r="B542" s="357" t="n"/>
      <c r="C542" s="248" t="n"/>
      <c r="D542" s="232">
        <f>B542*C542</f>
        <v/>
      </c>
    </row>
    <row r="543">
      <c r="A543" s="48" t="inlineStr">
        <is>
          <t>JUNIOR SCIENTISTS (or equivalent in the private sector)</t>
        </is>
      </c>
      <c r="B543" s="357" t="n"/>
      <c r="C543" s="248" t="n"/>
      <c r="D543" s="232">
        <f>B543*C543</f>
        <v/>
      </c>
    </row>
    <row r="544">
      <c r="A544" s="48" t="inlineStr">
        <is>
          <t>TECHNICAL PERSONNEL (or equivalent in the private sector)</t>
        </is>
      </c>
      <c r="B544" s="357" t="n">
        <v>2</v>
      </c>
      <c r="C544" s="248" t="n">
        <v>3400</v>
      </c>
      <c r="D544" s="232">
        <f>B544*C544</f>
        <v/>
      </c>
    </row>
    <row r="545">
      <c r="A545" s="48" t="inlineStr">
        <is>
          <t>ADMINISTRATIVE PERSONNEL (or equivalent in the private sector)</t>
        </is>
      </c>
      <c r="B545" s="357" t="n"/>
      <c r="C545" s="248" t="n"/>
      <c r="D545" s="232">
        <f>B545*C545</f>
        <v/>
      </c>
    </row>
    <row r="546">
      <c r="A546" s="48" t="inlineStr">
        <is>
          <t>OTHERS</t>
        </is>
      </c>
      <c r="B546" s="357" t="n"/>
      <c r="C546" s="248" t="n"/>
      <c r="D546" s="232">
        <f>B546*C546</f>
        <v/>
      </c>
    </row>
    <row r="547">
      <c r="A547" s="28" t="inlineStr">
        <is>
          <t>A.2 Natural Persons under direct contract</t>
        </is>
      </c>
      <c r="B547" s="357" t="n"/>
      <c r="C547" s="248" t="n"/>
      <c r="D547" s="232">
        <f>B547*C547</f>
        <v/>
      </c>
    </row>
    <row r="548">
      <c r="A548" s="28" t="inlineStr">
        <is>
          <t>A.3 Seconded Persons</t>
        </is>
      </c>
      <c r="B548" s="357" t="n"/>
      <c r="C548" s="248" t="n"/>
      <c r="D548" s="232">
        <f>B548*C548</f>
        <v/>
      </c>
    </row>
    <row r="549">
      <c r="A549" s="28" t="inlineStr">
        <is>
          <t>A.4 SME owners and natural person beneficiaries</t>
        </is>
      </c>
      <c r="B549" s="357" t="n"/>
      <c r="C549" s="256" t="n">
        <v>8360.6024</v>
      </c>
      <c r="D549" s="232">
        <f>B549*C549</f>
        <v/>
      </c>
    </row>
    <row r="550">
      <c r="A550" s="29" t="inlineStr">
        <is>
          <t>B. DIRECT SUBCONTRACTING COSTS</t>
        </is>
      </c>
      <c r="B550" s="358" t="n"/>
      <c r="C550" s="110" t="n"/>
      <c r="D550" s="359" t="n"/>
    </row>
    <row r="551">
      <c r="A551" s="53" t="n"/>
      <c r="B551" s="357" t="n"/>
      <c r="C551" s="248" t="n"/>
      <c r="D551" s="361">
        <f>B551*C551</f>
        <v/>
      </c>
    </row>
    <row r="552">
      <c r="A552" s="29" t="inlineStr">
        <is>
          <t>C. DIRECT PURCHASE COSTS</t>
        </is>
      </c>
      <c r="B552" s="358" t="n"/>
      <c r="C552" s="110" t="n"/>
      <c r="D552" s="359" t="n"/>
    </row>
    <row r="553">
      <c r="A553" s="28" t="inlineStr">
        <is>
          <t>C.1 Travel and subsistence</t>
        </is>
      </c>
      <c r="B553" s="357" t="n"/>
      <c r="C553" s="248" t="n"/>
      <c r="D553" s="361">
        <f>B553*C553</f>
        <v/>
      </c>
    </row>
    <row r="554">
      <c r="A554" s="28" t="inlineStr">
        <is>
          <t>C.2 Equipment (complete 'Depreciation costs' sheet)</t>
        </is>
      </c>
      <c r="B554" s="346" t="n"/>
      <c r="C554" s="111" t="n"/>
      <c r="D554" s="364" t="n"/>
    </row>
    <row r="555">
      <c r="A555" s="49" t="inlineStr">
        <is>
          <t>Equipment</t>
        </is>
      </c>
      <c r="B555" s="357" t="n"/>
      <c r="C555" s="248" t="n"/>
      <c r="D555" s="361">
        <f>B555*C555</f>
        <v/>
      </c>
    </row>
    <row r="556">
      <c r="A556" s="49" t="inlineStr">
        <is>
          <t>Infrastructure</t>
        </is>
      </c>
      <c r="B556" s="357" t="n"/>
      <c r="C556" s="248" t="n"/>
      <c r="D556" s="361">
        <f>B556*C556</f>
        <v/>
      </c>
    </row>
    <row r="557">
      <c r="A557" s="49" t="inlineStr">
        <is>
          <t>Other assets</t>
        </is>
      </c>
      <c r="B557" s="357" t="n"/>
      <c r="C557" s="248" t="n"/>
      <c r="D557" s="361">
        <f>B557*C557</f>
        <v/>
      </c>
    </row>
    <row r="558">
      <c r="A558" s="28" t="inlineStr">
        <is>
          <t>C.3 Other goods, works and services</t>
        </is>
      </c>
      <c r="B558" s="346" t="n"/>
      <c r="C558" s="111" t="n"/>
      <c r="D558" s="364" t="n"/>
    </row>
    <row r="559">
      <c r="A559" s="49" t="inlineStr">
        <is>
          <t>Consumables</t>
        </is>
      </c>
      <c r="B559" s="357" t="n"/>
      <c r="C559" s="248" t="n"/>
      <c r="D559" s="361">
        <f>B559*C559</f>
        <v/>
      </c>
    </row>
    <row r="560">
      <c r="A560" s="49" t="inlineStr">
        <is>
          <t>Services for meetings, seminars</t>
        </is>
      </c>
      <c r="B560" s="357" t="n"/>
      <c r="C560" s="248" t="n"/>
      <c r="D560" s="361">
        <f>B560*C560</f>
        <v/>
      </c>
    </row>
    <row r="561">
      <c r="A561" s="49" t="inlineStr">
        <is>
          <t>Services for dissemination activities (including website)</t>
        </is>
      </c>
      <c r="B561" s="357" t="n"/>
      <c r="C561" s="248" t="n"/>
      <c r="D561" s="361">
        <f>B561*C561</f>
        <v/>
      </c>
    </row>
    <row r="562">
      <c r="A562" s="49" t="inlineStr">
        <is>
          <t>Publication fees</t>
        </is>
      </c>
      <c r="B562" s="357" t="n"/>
      <c r="C562" s="248" t="n"/>
      <c r="D562" s="361">
        <f>B562*C562</f>
        <v/>
      </c>
    </row>
    <row r="563">
      <c r="A563" s="49" t="inlineStr">
        <is>
          <t>Other (shipment, insurance, translation, etc.)</t>
        </is>
      </c>
      <c r="B563" s="357" t="n"/>
      <c r="C563" s="248" t="n"/>
      <c r="D563" s="361">
        <f>B563*C563</f>
        <v/>
      </c>
    </row>
    <row r="564">
      <c r="A564" s="29" t="inlineStr">
        <is>
          <t>D. OTHER COST CATEGORIES</t>
        </is>
      </c>
      <c r="B564" s="358" t="n"/>
      <c r="C564" s="110" t="n"/>
      <c r="D564" s="359" t="n"/>
    </row>
    <row r="565">
      <c r="A565" s="50" t="inlineStr">
        <is>
          <t>D.1 Financial support to third parties (if applicable in the topic specific conditions)</t>
        </is>
      </c>
      <c r="B565" s="357" t="n"/>
      <c r="C565" s="248" t="n"/>
      <c r="D565" s="361">
        <f>B565*C565</f>
        <v/>
      </c>
    </row>
    <row r="566">
      <c r="A566" s="50" t="inlineStr">
        <is>
          <t>D.2 Internally invoiced goods and services</t>
        </is>
      </c>
      <c r="B566" s="357" t="n"/>
      <c r="C566" s="248" t="n"/>
      <c r="D566" s="361">
        <f>B566*C566</f>
        <v/>
      </c>
    </row>
    <row r="567">
      <c r="A567" s="50" t="inlineStr">
        <is>
          <t>D.3 Transnational access to research infrastructure unit costs (if mentioned as eligible in the topic specific conditions)</t>
        </is>
      </c>
      <c r="B567" s="357" t="n"/>
      <c r="C567" s="248" t="n"/>
      <c r="D567" s="361">
        <f>B567*C567</f>
        <v/>
      </c>
    </row>
    <row r="568">
      <c r="A568" s="50" t="inlineStr">
        <is>
          <t>D.4 Virtual access to research infrastructure unit costs (if mentioned as eligible in the topic specific conditions)</t>
        </is>
      </c>
      <c r="B568" s="357" t="n"/>
      <c r="C568" s="248" t="n"/>
      <c r="D568" s="361">
        <f>B568*C568</f>
        <v/>
      </c>
    </row>
    <row r="569">
      <c r="A569" s="50" t="inlineStr">
        <is>
          <t>D.5 PCP/PPI procurement costs (if mentioned as eligible in the topic specific conditions)</t>
        </is>
      </c>
      <c r="B569" s="357" t="n"/>
      <c r="C569" s="248" t="n"/>
      <c r="D569" s="361">
        <f>B569*C569</f>
        <v/>
      </c>
    </row>
    <row r="570">
      <c r="A570" s="50" t="n"/>
      <c r="B570" s="346" t="n"/>
      <c r="C570" s="111" t="n"/>
      <c r="D570" s="365" t="n"/>
    </row>
    <row r="571">
      <c r="A571" s="52" t="inlineStr">
        <is>
          <t>TOTAL DIRECT PERSONNEL COSTS AND PURCHASE COSTS (A+C)</t>
        </is>
      </c>
      <c r="B571" s="369" t="n"/>
      <c r="C571" s="230" t="n"/>
      <c r="D571" s="360">
        <f>SUM(D542:D549,D553:D563)</f>
        <v/>
      </c>
    </row>
    <row r="572">
      <c r="A572" s="52" t="inlineStr">
        <is>
          <t>TOTAL DIRECT COSTS  (A+B+C+D)</t>
        </is>
      </c>
      <c r="B572" s="369" t="n"/>
      <c r="C572" s="230" t="n"/>
      <c r="D572" s="360">
        <f>SUM(D542:D569)</f>
        <v/>
      </c>
    </row>
    <row r="573">
      <c r="A573" s="180" t="n"/>
      <c r="B573" s="372" t="n"/>
      <c r="C573" s="176" t="n"/>
      <c r="D573" s="373" t="n"/>
    </row>
    <row r="574">
      <c r="A574" s="29" t="inlineStr">
        <is>
          <t>E. INDIRECT COSTS (25% * (A+C))</t>
        </is>
      </c>
      <c r="B574" s="358" t="n"/>
      <c r="C574" s="110" t="n"/>
      <c r="D574" s="360">
        <f>D571*0.25</f>
        <v/>
      </c>
    </row>
    <row r="575">
      <c r="A575" s="32" t="n"/>
      <c r="B575" s="372" t="n"/>
      <c r="C575" s="176" t="n"/>
      <c r="D575" s="377" t="n"/>
    </row>
    <row r="576">
      <c r="A576" s="29" t="inlineStr">
        <is>
          <t>F. TOTAL COSTS (A+B+C+D+E)</t>
        </is>
      </c>
      <c r="B576" s="369" t="n"/>
      <c r="C576" s="230" t="n"/>
      <c r="D576" s="360">
        <f>D572+D574</f>
        <v/>
      </c>
    </row>
    <row r="578">
      <c r="A578" s="190" t="n"/>
      <c r="B578" s="185" t="n"/>
      <c r="C578" s="186" t="n"/>
      <c r="D578" s="187" t="n"/>
    </row>
    <row r="579" ht="21" customHeight="1">
      <c r="A579" s="272" t="inlineStr">
        <is>
          <t>SUMMARY</t>
        </is>
      </c>
      <c r="B579" s="314" t="n"/>
      <c r="C579" s="314" t="n"/>
      <c r="D579" s="315" t="n"/>
    </row>
    <row r="580">
      <c r="A580" s="56" t="n"/>
      <c r="B580" s="174" t="n"/>
      <c r="C580" s="175" t="n"/>
      <c r="D580" s="174" t="n"/>
    </row>
    <row r="581">
      <c r="A581" s="29" t="inlineStr">
        <is>
          <t>A. DIRECT PERSONNEL COSTS</t>
        </is>
      </c>
      <c r="B581" s="30" t="n"/>
      <c r="C581" s="110" t="n"/>
      <c r="D581" s="354" t="n"/>
    </row>
    <row r="582">
      <c r="A582" s="28" t="inlineStr">
        <is>
          <t>A.1 Employees (or equivalent)</t>
        </is>
      </c>
      <c r="B582" s="89" t="n"/>
      <c r="C582" s="111" t="n"/>
      <c r="D582" s="355" t="n"/>
    </row>
    <row r="583">
      <c r="A583" s="48" t="inlineStr">
        <is>
          <t>SENIOR SCIENTISTS (or equivalent in the private sector)</t>
        </is>
      </c>
      <c r="B583" s="378">
        <f>B9+B50+B91+B132+B173+B214+B255+B296+B337+B378+B419+B460+B501+B542</f>
        <v/>
      </c>
      <c r="C583" s="249">
        <f>IF(B583&gt;0,D583/B583," ")</f>
        <v/>
      </c>
      <c r="D583" s="361">
        <f>D9+D50+D91+D132+D173+D214+D255+D296+D337+D378+D419+D460+D501+D542</f>
        <v/>
      </c>
    </row>
    <row r="584">
      <c r="A584" s="48" t="inlineStr">
        <is>
          <t>JUNIOR SCIENTISTS (or equivalent in the private sector)</t>
        </is>
      </c>
      <c r="B584" s="378">
        <f>B10+B51+B92+B133+B174+B215+B256+B297+B338+B379+B420+B461+B502+B543</f>
        <v/>
      </c>
      <c r="C584" s="249">
        <f>IF(B584&gt;0,D584/B584," ")</f>
        <v/>
      </c>
      <c r="D584" s="361">
        <f>D10+D51+D92+D133+D174+D215+D256+D297+D338+D379+D420+D461+D502+D543</f>
        <v/>
      </c>
    </row>
    <row r="585">
      <c r="A585" s="48" t="inlineStr">
        <is>
          <t>TECHNICAL PERSONNEL (or equivalent in the private sector)</t>
        </is>
      </c>
      <c r="B585" s="378">
        <f>B11+B52+B93+B134+B175+B216+B257+B298+B339+B380+B421+B462+B503+B544</f>
        <v/>
      </c>
      <c r="C585" s="249">
        <f>IF(B585&gt;0,D585/B585," ")</f>
        <v/>
      </c>
      <c r="D585" s="361">
        <f>D11+D52+D93+D134+D175+D216+D257+D298+D339+D380+D421+D462+D503+D544</f>
        <v/>
      </c>
    </row>
    <row r="586">
      <c r="A586" s="48" t="inlineStr">
        <is>
          <t>ADMINISTRATIVE PERSONNEL (or equivalent in the private sector)</t>
        </is>
      </c>
      <c r="B586" s="378">
        <f>B12+B53+B94+B135+B176+B217+B258+B299+B340+B381+B422+B463+B504+B545</f>
        <v/>
      </c>
      <c r="C586" s="249">
        <f>IF(B586&gt;0,D586/B586," ")</f>
        <v/>
      </c>
      <c r="D586" s="361">
        <f>D12+D53+D94+D135+D176+D217+D258+D299+D340+D381+D422+D463+D504+D545</f>
        <v/>
      </c>
    </row>
    <row r="587">
      <c r="A587" s="48" t="inlineStr">
        <is>
          <t>OTHERS</t>
        </is>
      </c>
      <c r="B587" s="378">
        <f>B13+B54+B95+B136+B177+B218+B259+B300+B341+B382+B423+B464+B505+B546</f>
        <v/>
      </c>
      <c r="C587" s="249">
        <f>IF(B587&gt;0,D587/B587," ")</f>
        <v/>
      </c>
      <c r="D587" s="361">
        <f>D13+D54+D95+D136+D177+D218+D259+D300+D341+D382+D423+D464+D505+D546</f>
        <v/>
      </c>
    </row>
    <row r="588">
      <c r="A588" s="28" t="inlineStr">
        <is>
          <t>A.2 Natural Persons under direct contract</t>
        </is>
      </c>
      <c r="B588" s="378">
        <f>B14+B55+B96+B137+B178+B219+B260+B301+B342+B383+B424+B465+B506+B547</f>
        <v/>
      </c>
      <c r="C588" s="249">
        <f>IF(B588&gt;0,D588/B588," ")</f>
        <v/>
      </c>
      <c r="D588" s="361">
        <f>D14+D55+D96+D137+D178+D219+D260+D301+D342+D383+D424+D465+D506+D547</f>
        <v/>
      </c>
    </row>
    <row r="589">
      <c r="A589" s="28" t="inlineStr">
        <is>
          <t>A.3 Seconded Persons</t>
        </is>
      </c>
      <c r="B589" s="378">
        <f>B15+B56+B97+B138+B179+B220+B261+B302+B343+B384+B425+B466+B507+B548</f>
        <v/>
      </c>
      <c r="C589" s="249">
        <f>IF(B589&gt;0,D589/B589," ")</f>
        <v/>
      </c>
      <c r="D589" s="361">
        <f>D15+D56+D97+D138+D179+D220+D261+D302+D343+D384+D425+D466+D507+D548</f>
        <v/>
      </c>
    </row>
    <row r="590">
      <c r="A590" s="28" t="inlineStr">
        <is>
          <t>A.4 SME owners and natural person beneficiaries</t>
        </is>
      </c>
      <c r="B590" s="378">
        <f>B16+B57+B98+B139+B180+B221+B262+B303+B344+B385+B426+B467+B508+B549</f>
        <v/>
      </c>
      <c r="C590" s="249">
        <f>IF(B590&gt;0,D590/B590," ")</f>
        <v/>
      </c>
      <c r="D590" s="361">
        <f>D16+D57+D98+D139+D180+D221+D262+D303+D344+D385+D426+D467+D508+D549</f>
        <v/>
      </c>
    </row>
    <row r="591">
      <c r="A591" s="29" t="inlineStr">
        <is>
          <t>B. DIRECT SUBCONTRACTING COSTS</t>
        </is>
      </c>
      <c r="B591" s="380" t="n"/>
      <c r="C591" s="250" t="n"/>
      <c r="D591" s="359" t="n"/>
    </row>
    <row r="592">
      <c r="A592" s="28" t="n"/>
      <c r="B592" s="378">
        <f>B18+B59+B100+B141+B182+B223+B264+B305+B346+B387+B428+B469+B510+B551</f>
        <v/>
      </c>
      <c r="C592" s="249">
        <f>IF(B592&gt;0,D592/B592," ")</f>
        <v/>
      </c>
      <c r="D592" s="361">
        <f>D18+D59+D100+D141+D182+D223+D264+D305+D346+D387+D428+D469+D510+D551</f>
        <v/>
      </c>
    </row>
    <row r="593">
      <c r="A593" s="29" t="inlineStr">
        <is>
          <t>C. DIRECT PURCHASE COSTS</t>
        </is>
      </c>
      <c r="B593" s="380" t="n"/>
      <c r="C593" s="250" t="n"/>
      <c r="D593" s="359" t="n"/>
    </row>
    <row r="594">
      <c r="A594" s="28" t="inlineStr">
        <is>
          <t>C.1 Travel and subsistence</t>
        </is>
      </c>
      <c r="B594" s="378">
        <f>B20+B61+B102+B143+B184+B225+B266+B307+B348+B389+B430+B471+B512+B553</f>
        <v/>
      </c>
      <c r="C594" s="249">
        <f>IF(B594&gt;0,D594/B594," ")</f>
        <v/>
      </c>
      <c r="D594" s="361">
        <f>D20+D61+D102+D143+D184+D225+D266+D307+D348+D389+D430+D471+D512+D553</f>
        <v/>
      </c>
    </row>
    <row r="595">
      <c r="A595" s="28" t="inlineStr">
        <is>
          <t>C.2 Equipment (complete 'Depreciation costs' sheet)</t>
        </is>
      </c>
      <c r="B595" s="381" t="n"/>
      <c r="C595" s="251" t="n"/>
      <c r="D595" s="364" t="n"/>
    </row>
    <row r="596">
      <c r="A596" s="49" t="inlineStr">
        <is>
          <t>Equipment</t>
        </is>
      </c>
      <c r="B596" s="378">
        <f>B22+B63+B104+B145+B186+B227+B268+B309+B350+B391+B432+B473+B514+B555</f>
        <v/>
      </c>
      <c r="C596" s="249">
        <f>IF(B596&gt;0,D596/B596," ")</f>
        <v/>
      </c>
      <c r="D596" s="361">
        <f>D22+D63+D104+D145+D186+D227+D268+D309+D350+D391+D432+D473+D514+D555</f>
        <v/>
      </c>
    </row>
    <row r="597">
      <c r="A597" s="49" t="inlineStr">
        <is>
          <t>Infrastructure</t>
        </is>
      </c>
      <c r="B597" s="378">
        <f>B23+B64+B105+B146+B187+B228+B269+B310+B351+B392+B433+B474+B515+B556</f>
        <v/>
      </c>
      <c r="C597" s="249">
        <f>IF(B597&gt;0,D597/B597," ")</f>
        <v/>
      </c>
      <c r="D597" s="361">
        <f>D23+D64+D105+D146+D187+D228+D269+D310+D351+D392+D433+D474+D515+D556</f>
        <v/>
      </c>
    </row>
    <row r="598">
      <c r="A598" s="49" t="inlineStr">
        <is>
          <t>Other assets</t>
        </is>
      </c>
      <c r="B598" s="378">
        <f>B24+B65+B106+B147+B188+B229+B270+B311+B352+B393+B434+B475+B516+B557</f>
        <v/>
      </c>
      <c r="C598" s="249">
        <f>IF(B598&gt;0,D598/B598," ")</f>
        <v/>
      </c>
      <c r="D598" s="361">
        <f>D24+D65+D106+D147+D188+D229+D270+D311+D352+D393+D434+D475+D516+D557</f>
        <v/>
      </c>
    </row>
    <row r="599">
      <c r="A599" s="28" t="inlineStr">
        <is>
          <t>C.3 Other goods, works and services</t>
        </is>
      </c>
      <c r="B599" s="381" t="n"/>
      <c r="C599" s="251" t="n"/>
      <c r="D599" s="364" t="n"/>
    </row>
    <row r="600">
      <c r="A600" s="49" t="inlineStr">
        <is>
          <t>Consumables</t>
        </is>
      </c>
      <c r="B600" s="378">
        <f>B26+B67+B108+B149+B190+B231+B272+B313+B354+B395+B436+B477+B518+B559</f>
        <v/>
      </c>
      <c r="C600" s="249">
        <f>IF(B600&gt;0,D600/B600," ")</f>
        <v/>
      </c>
      <c r="D600" s="361">
        <f>D26+D67+D108+D149+D190+D231+D272+D313+D354+D395+D436+D477+D518+D559</f>
        <v/>
      </c>
    </row>
    <row r="601">
      <c r="A601" s="49" t="inlineStr">
        <is>
          <t>Services for meetings, seminars</t>
        </is>
      </c>
      <c r="B601" s="378">
        <f>B27+B68+B109+B150+B191+B232+B273+B314+B355+B396+B437+B478+B519+B560</f>
        <v/>
      </c>
      <c r="C601" s="249">
        <f>IF(B601&gt;0,D601/B601," ")</f>
        <v/>
      </c>
      <c r="D601" s="361">
        <f>D27+D68+D109+D150+D191+D232+D273+D314+D355+D396+D437+D478+D519+D560</f>
        <v/>
      </c>
    </row>
    <row r="602">
      <c r="A602" s="49" t="inlineStr">
        <is>
          <t>Services for dissemination activities (including website)</t>
        </is>
      </c>
      <c r="B602" s="378">
        <f>B28+B69+B110+B151+B192+B233+B274+B315+B356+B397+B438+B479+B520+B561</f>
        <v/>
      </c>
      <c r="C602" s="249">
        <f>IF(B602&gt;0,D602/B602," ")</f>
        <v/>
      </c>
      <c r="D602" s="361">
        <f>D28+D69+D110+D151+D192+D233+D274+D315+D356+D397+D438+D479+D520+D561</f>
        <v/>
      </c>
    </row>
    <row r="603">
      <c r="A603" s="49" t="inlineStr">
        <is>
          <t>Publication fees</t>
        </is>
      </c>
      <c r="B603" s="378">
        <f>B29+B70+B111+B152+B193+B234+B275+B316+B357+B398+B439+B480+B521+B562</f>
        <v/>
      </c>
      <c r="C603" s="249">
        <f>IF(B603&gt;0,D603/B603," ")</f>
        <v/>
      </c>
      <c r="D603" s="361">
        <f>D29+D70+D111+D152+D193+D234+D275+D316+D357+D398+D439+D480+D521+D562</f>
        <v/>
      </c>
    </row>
    <row r="604">
      <c r="A604" s="49" t="inlineStr">
        <is>
          <t>Other (shipment, insurance, translation, etc.)</t>
        </is>
      </c>
      <c r="B604" s="378">
        <f>B30+B71+B112+B153+B194+B235+B276+B317+B358+B399+B440+B481+B522+B563</f>
        <v/>
      </c>
      <c r="C604" s="249">
        <f>IF(B604&gt;0,D604/B604," ")</f>
        <v/>
      </c>
      <c r="D604" s="361">
        <f>D30+D71+D112+D153+D194+D235+D276+D317+D358+D399+D440+D481+D522+D563</f>
        <v/>
      </c>
    </row>
    <row r="605">
      <c r="A605" s="29" t="inlineStr">
        <is>
          <t>D. OTHER COST CATEGORIES</t>
        </is>
      </c>
      <c r="B605" s="380" t="n"/>
      <c r="C605" s="250" t="n"/>
      <c r="D605" s="359" t="n"/>
    </row>
    <row r="606">
      <c r="A606" s="50" t="inlineStr">
        <is>
          <t>D.1 Financial support to third parties (if applicable in the topic specific conditions)</t>
        </is>
      </c>
      <c r="B606" s="378">
        <f>B32+B73+B114+B155+B196+B237+B278+B319+B360+B401+B442+B483+B524+B565</f>
        <v/>
      </c>
      <c r="C606" s="249">
        <f>IF(B606&gt;0,D606/B606," ")</f>
        <v/>
      </c>
      <c r="D606" s="361">
        <f>D32+D73+D114+D155+D196+D237+D278+D319+D360+D401+D442+D483+D524+D565</f>
        <v/>
      </c>
    </row>
    <row r="607">
      <c r="A607" s="50" t="inlineStr">
        <is>
          <t>D.2 Internally invoiced goods and services</t>
        </is>
      </c>
      <c r="B607" s="378">
        <f>B33+B74+B115+B156+B197+B238+B279+B320+B361+B402+B443+B484+B525+B566</f>
        <v/>
      </c>
      <c r="C607" s="249">
        <f>IF(B607&gt;0,D607/B607," ")</f>
        <v/>
      </c>
      <c r="D607" s="361">
        <f>D33+D74+D115+D156+D197+D238+D279+D320+D361+D402+D443+D484+D525+D566</f>
        <v/>
      </c>
    </row>
    <row r="608">
      <c r="A608" s="50" t="inlineStr">
        <is>
          <t>D.3 Transnational access to research infrastructure unit costs (if mentioned as eligible in the topic specific conditions)</t>
        </is>
      </c>
      <c r="B608" s="378">
        <f>B34+B75+B116+B157+B198+B239+B280+B321+B362+B403+B444+B485+B526+B567</f>
        <v/>
      </c>
      <c r="C608" s="249">
        <f>IF(B608&gt;0,D608/B608," ")</f>
        <v/>
      </c>
      <c r="D608" s="361">
        <f>D34+D75+D116+D157+D198+D239+D280+D321+D362+D403+D444+D485+D526+D567</f>
        <v/>
      </c>
    </row>
    <row r="609">
      <c r="A609" s="50" t="inlineStr">
        <is>
          <t>D.4 Virtual access to research infrastructure unit costs (if mentioned as eligible in the topic specific conditions)</t>
        </is>
      </c>
      <c r="B609" s="378">
        <f>B35+B76+B117+B158+B199+B240+B281+B322+B363+B404+B445+B486+B527+B568</f>
        <v/>
      </c>
      <c r="C609" s="249">
        <f>IF(B609&gt;0,D609/B609," ")</f>
        <v/>
      </c>
      <c r="D609" s="361">
        <f>D35+D76+D117+D158+D199+D240+D281+D322+D363+D404+D445+D486+D527+D568</f>
        <v/>
      </c>
    </row>
    <row r="610">
      <c r="A610" s="50" t="inlineStr">
        <is>
          <t>D.5 PCP/PPI procurement costs (if mentioned as eligible in the topic specific conditions)</t>
        </is>
      </c>
      <c r="B610" s="378">
        <f>B36+B77+B118+B159+B200+B241+B282+B323+B364+B405+B446+B487+B528+B569</f>
        <v/>
      </c>
      <c r="C610" s="249">
        <f>IF(B610&gt;0,D610/B610," ")</f>
        <v/>
      </c>
      <c r="D610" s="361">
        <f>D36+D77+D118+D159+D200+D241+D282+D323+D364+D405+D446+D487+D528+D569</f>
        <v/>
      </c>
    </row>
    <row r="611">
      <c r="A611" s="51" t="n"/>
      <c r="B611" s="346" t="n"/>
      <c r="C611" s="111" t="n"/>
      <c r="D611" s="365" t="n"/>
    </row>
    <row r="612">
      <c r="A612" s="52" t="inlineStr">
        <is>
          <t>TOTAL DIRECT PERSONNEL COSTS AND PURCHASE COSTS (A+C)</t>
        </is>
      </c>
      <c r="B612" s="369" t="n"/>
      <c r="C612" s="230" t="n"/>
      <c r="D612" s="382">
        <f>D38+D79+D120+D161+D202+D243+D284+D325+D366+D407+D448+D489+D530+D571</f>
        <v/>
      </c>
    </row>
    <row r="613">
      <c r="A613" s="52" t="inlineStr">
        <is>
          <t>TOTAL DIRECT COSTS  (A+B+C+D)</t>
        </is>
      </c>
      <c r="B613" s="369" t="n"/>
      <c r="C613" s="230" t="n"/>
      <c r="D613" s="382">
        <f>D39+D80+D121+D162+D203+D244+D285+D326+D367+D408+D449+D490+D531+D572</f>
        <v/>
      </c>
    </row>
    <row r="614">
      <c r="A614" s="182" t="n"/>
      <c r="B614" s="383" t="n"/>
      <c r="C614" s="192" t="n"/>
      <c r="D614" s="191" t="n"/>
    </row>
    <row r="615">
      <c r="A615" s="29" t="inlineStr">
        <is>
          <t>E. INDIRECT COSTS (25% * (A+C))</t>
        </is>
      </c>
      <c r="B615" s="369" t="n"/>
      <c r="C615" s="230" t="n"/>
      <c r="D615" s="382">
        <f>D41+D82+D123+D164+D205+D246+D287+D328+D369+D410+D451+D492+D533+D574</f>
        <v/>
      </c>
    </row>
    <row r="616">
      <c r="A616" s="182" t="n"/>
      <c r="B616" s="383" t="n"/>
      <c r="C616" s="192" t="n"/>
      <c r="D616" s="191" t="n"/>
    </row>
    <row r="617">
      <c r="A617" s="29" t="inlineStr">
        <is>
          <t>F. TOTAL COSTS (A+B+C+D+E)</t>
        </is>
      </c>
      <c r="B617" s="369" t="n"/>
      <c r="C617" s="230" t="n"/>
      <c r="D617" s="382">
        <f>D43+D84+D125+D166+D207+D248+D289+D330+D371+D412+D453+D494+D535+D576</f>
        <v/>
      </c>
    </row>
  </sheetData>
  <sheetProtection selectLockedCells="1" selectUnlockedCells="0" algorithmName="SHA-512" sheet="1" objects="1" insertRows="1" insertHyperlinks="1" autoFilter="1" scenarios="1" formatColumns="1" deleteColumns="1" insertColumns="1" pivotTables="1" deleteRows="1" formatCells="1" saltValue="9USXkM52Witf7EKiZlDkfQ==" formatRows="1" sort="1" spinCount="100000" hashValue="wq4ltGGchzea4P0DLJCLVzxwDQJBSPUofvyRdkNQXSkcLkyGHh01A22U+oHmwdUbidHFfFl/PDv9Z2F2XeF/yQ=="/>
  <mergeCells count="16">
    <mergeCell ref="A497:D497"/>
    <mergeCell ref="A5:D5"/>
    <mergeCell ref="A579:D579"/>
    <mergeCell ref="A456:D456"/>
    <mergeCell ref="A333:D333"/>
    <mergeCell ref="A210:D210"/>
    <mergeCell ref="A538:D538"/>
    <mergeCell ref="A87:D87"/>
    <mergeCell ref="A415:D415"/>
    <mergeCell ref="A251:D251"/>
    <mergeCell ref="B2:D2"/>
    <mergeCell ref="A128:D128"/>
    <mergeCell ref="A292:D292"/>
    <mergeCell ref="A169:D169"/>
    <mergeCell ref="A46:D46"/>
    <mergeCell ref="A374:D374"/>
  </mergeCells>
  <hyperlinks>
    <hyperlink ref="C1" location="A617" tooltip="Go to Summary section" display="A617"/>
  </hyperlinks>
  <pageMargins left="0.7" right="0.7" top="0.75" bottom="0.75" header="0.3" footer="0.3"/>
</worksheet>
</file>

<file path=xl/worksheets/sheet23.xml><?xml version="1.0" encoding="utf-8"?>
<worksheet xmlns="http://schemas.openxmlformats.org/spreadsheetml/2006/main">
  <sheetPr codeName="General101">
    <tabColor theme="7" tint="0.5999938962981048"/>
    <outlinePr summaryBelow="1" summaryRight="1"/>
    <pageSetUpPr/>
  </sheetPr>
  <dimension ref="A1:C9"/>
  <sheetViews>
    <sheetView zoomScale="90" zoomScaleNormal="90" workbookViewId="0">
      <pane ySplit="2" topLeftCell="A3" activePane="bottomLeft" state="frozenSplit"/>
      <selection pane="bottomLeft" activeCell="A10" sqref="A10"/>
      <selection activeCell="B7" sqref="B7"/>
    </sheetView>
  </sheetViews>
  <sheetFormatPr baseColWidth="8" defaultColWidth="8.7109375" defaultRowHeight="14.45"/>
  <cols>
    <col width="9.7109375" customWidth="1" style="78" min="1" max="1"/>
    <col width="21.7109375" customWidth="1" style="388" min="2" max="2"/>
    <col width="89.7109375" customWidth="1" style="247" min="3" max="3"/>
  </cols>
  <sheetData>
    <row r="1" ht="21.6" customHeight="1" thickBot="1">
      <c r="A1" s="389" t="inlineStr">
        <is>
          <t>Change log</t>
        </is>
      </c>
      <c r="B1" s="320" t="n"/>
      <c r="C1" s="390" t="n"/>
    </row>
    <row r="2" ht="15" customFormat="1" customHeight="1" s="42" thickBot="1">
      <c r="A2" s="99" t="inlineStr">
        <is>
          <t>Version</t>
        </is>
      </c>
      <c r="B2" s="391" t="inlineStr">
        <is>
          <t>Publication date</t>
        </is>
      </c>
      <c r="C2" s="246" t="inlineStr">
        <is>
          <t>Changes - Comments</t>
        </is>
      </c>
    </row>
    <row r="3">
      <c r="A3" s="77" t="inlineStr">
        <is>
          <t>1.0</t>
        </is>
      </c>
      <c r="B3" s="392" t="n">
        <v>44341</v>
      </c>
      <c r="C3" s="245" t="inlineStr">
        <is>
          <t>- Initial version</t>
        </is>
      </c>
    </row>
    <row r="4">
      <c r="A4" s="78" t="inlineStr">
        <is>
          <t>2.0</t>
        </is>
      </c>
      <c r="B4" s="388" t="n">
        <v>44679</v>
      </c>
      <c r="C4" s="247" t="inlineStr">
        <is>
          <t>- Improved layout and user-friendliness</t>
        </is>
      </c>
    </row>
    <row r="5" ht="29.1" customHeight="1">
      <c r="A5" s="78" t="inlineStr">
        <is>
          <t>2.1</t>
        </is>
      </c>
      <c r="B5" s="388" t="n">
        <v>44904</v>
      </c>
      <c r="C5" s="247" t="inlineStr">
        <is>
          <t>- Updated Instructions.
- Separate version available for topics with 60% and 100% funding rates.</t>
        </is>
      </c>
    </row>
    <row r="6" ht="130.5" customHeight="1">
      <c r="A6" s="78" t="inlineStr">
        <is>
          <t>3.0</t>
        </is>
      </c>
      <c r="B6" s="388" t="n">
        <v>45204</v>
      </c>
      <c r="C6" s="247" t="inlineStr">
        <is>
          <t>- Participant numbering aligned with numbering in Part A.
- BE List with country names and country codes.
- The terms ‘units’ and ‘cost per unit’ were replaced by ‘items’ and ‘cost per item’ (to avoid confusion with unit costs).
- Number of items can be entered with one decimal place only.
- Updated instructions (e.g., difference between maximum grant amount and requested EU contribution, handling of own resources, associated partners, discrepancies between the Excel budget table and Part A).
- Added tab: Change Log.</t>
        </is>
      </c>
    </row>
    <row r="7" ht="57.95" customHeight="1">
      <c r="A7" s="78" t="inlineStr">
        <is>
          <t>3.1</t>
        </is>
      </c>
      <c r="B7" s="388" t="n">
        <v>45405</v>
      </c>
      <c r="C7" s="247" t="inlineStr">
        <is>
          <t>- Updated instructions (Horizon dasboard for lump sum evaluations)
- Updated SME owner cost rate and updated country correction coefficients
- Automatic naming in the depreciation costs tab
- Bug fixing (compatibility with some systems)</t>
        </is>
      </c>
    </row>
    <row r="8">
      <c r="A8" s="78" t="inlineStr">
        <is>
          <t>3.2</t>
        </is>
      </c>
      <c r="B8" s="388" t="n">
        <v>45589</v>
      </c>
      <c r="C8" s="247" t="inlineStr">
        <is>
          <t>- Updated SME owner unit cost rate</t>
        </is>
      </c>
    </row>
    <row r="9">
      <c r="A9" s="78" t="inlineStr">
        <is>
          <t>3.3</t>
        </is>
      </c>
      <c r="B9" s="388" t="n">
        <v>45791</v>
      </c>
      <c r="C9" s="247" t="inlineStr">
        <is>
          <t>- Updated country correction coefficients</t>
        </is>
      </c>
    </row>
  </sheetData>
  <sheetProtection selectLockedCells="1" selectUnlockedCells="1" algorithmName="SHA-512" sheet="1" objects="0" insertRows="1" insertHyperlinks="1" autoFilter="1" scenarios="0" formatColumns="1" deleteColumns="1" insertColumns="1" pivotTables="1" deleteRows="1" formatCells="1" saltValue="ANz7FLx8v2WH4hMY32+f6w==" formatRows="1" sort="1" spinCount="100000" hashValue="1wQRwLVwAwvOohoU8cT2sv2o9SvahG09Di2dlqrZv8tI09PsFJ/ktZ0yv1hFKEIbeUcQJQgGTGeNOi7KzIL8KQ=="/>
  <mergeCells count="1">
    <mergeCell ref="A1:C1"/>
  </mergeCells>
  <pageMargins left="0.7" right="0.7" top="0.75" bottom="0.75" header="0.3" footer="0.3"/>
  <pageSetup orientation="portrait" paperSize="9" verticalDpi="0"/>
</worksheet>
</file>

<file path=xl/worksheets/sheet24.xml><?xml version="1.0" encoding="utf-8"?>
<worksheet xmlns="http://schemas.openxmlformats.org/spreadsheetml/2006/main">
  <sheetPr codeName="Data01">
    <tabColor theme="9" tint="0.7999816888943144"/>
    <outlinePr summaryBelow="1" summaryRight="1"/>
    <pageSetUpPr/>
  </sheetPr>
  <dimension ref="A1:H255"/>
  <sheetViews>
    <sheetView workbookViewId="0">
      <pane ySplit="1" topLeftCell="A170" activePane="bottomLeft" state="frozen"/>
      <selection pane="bottomLeft" activeCell="A184" sqref="A184"/>
    </sheetView>
  </sheetViews>
  <sheetFormatPr baseColWidth="8" defaultColWidth="8.7109375" defaultRowHeight="14.45"/>
  <cols>
    <col width="32.7109375" customWidth="1" min="1" max="1"/>
    <col width="10.85546875" bestFit="1" customWidth="1" min="2" max="2"/>
    <col width="37.7109375" bestFit="1" customWidth="1" style="17" min="5" max="5"/>
    <col width="12.85546875" customWidth="1" style="17" min="6" max="6"/>
    <col width="13.85546875" bestFit="1" customWidth="1" style="17" min="7" max="7"/>
    <col width="11.5703125" bestFit="1" customWidth="1" min="8" max="8"/>
  </cols>
  <sheetData>
    <row r="1">
      <c r="A1" t="inlineStr">
        <is>
          <t>Country</t>
        </is>
      </c>
      <c r="B1" t="inlineStr">
        <is>
          <t>Coefficient</t>
        </is>
      </c>
      <c r="E1" s="17" t="inlineStr">
        <is>
          <t>Upd 2505</t>
        </is>
      </c>
      <c r="F1" s="17" t="inlineStr">
        <is>
          <t>Coeff 2505</t>
        </is>
      </c>
      <c r="G1" s="17" t="inlineStr">
        <is>
          <t>Check Country</t>
        </is>
      </c>
      <c r="H1" s="17" t="inlineStr">
        <is>
          <t>Check Coeff</t>
        </is>
      </c>
    </row>
    <row r="2">
      <c r="A2" t="inlineStr">
        <is>
          <t>Austria (AT)</t>
        </is>
      </c>
      <c r="B2" s="393" t="n">
        <v>1.097</v>
      </c>
      <c r="E2" t="inlineStr">
        <is>
          <t>Austria (AT)</t>
        </is>
      </c>
      <c r="F2" s="143" t="n">
        <v>1.097</v>
      </c>
      <c r="G2" s="17">
        <f>IF(A2=E2,"OK","NOK")</f>
        <v/>
      </c>
      <c r="H2" s="17">
        <f>IF(B2=F2,"OK","NOK")</f>
        <v/>
      </c>
    </row>
    <row r="3">
      <c r="A3" t="inlineStr">
        <is>
          <t>Belgium (BE)</t>
        </is>
      </c>
      <c r="B3" s="393" t="n">
        <v>1</v>
      </c>
      <c r="E3" t="inlineStr">
        <is>
          <t>Belgium (BE)</t>
        </is>
      </c>
      <c r="F3" s="143" t="n">
        <v>1</v>
      </c>
      <c r="G3" s="17">
        <f>IF(A3=E3,"OK","NOK")</f>
        <v/>
      </c>
      <c r="H3" s="17">
        <f>IF(B3=F3,"OK","NOK")</f>
        <v/>
      </c>
    </row>
    <row r="4">
      <c r="A4" t="inlineStr">
        <is>
          <t>Bulgaria (BG)</t>
        </is>
      </c>
      <c r="B4" s="393" t="n">
        <v>0.647</v>
      </c>
      <c r="E4" t="inlineStr">
        <is>
          <t>Bulgaria (BG)</t>
        </is>
      </c>
      <c r="F4" s="143" t="n">
        <v>0.647</v>
      </c>
      <c r="G4" s="17">
        <f>IF(A4=E4,"OK","NOK")</f>
        <v/>
      </c>
      <c r="H4" s="17">
        <f>IF(B4=F4,"OK","NOK")</f>
        <v/>
      </c>
    </row>
    <row r="5">
      <c r="A5" t="inlineStr">
        <is>
          <t>Croatia (HR)</t>
        </is>
      </c>
      <c r="B5" s="393" t="n">
        <v>0.801</v>
      </c>
      <c r="E5" t="inlineStr">
        <is>
          <t>Croatia (HR)</t>
        </is>
      </c>
      <c r="F5" s="143" t="n">
        <v>0.801</v>
      </c>
      <c r="G5" s="17">
        <f>IF(A5=E5,"OK","NOK")</f>
        <v/>
      </c>
      <c r="H5" s="17">
        <f>IF(B5=F5,"OK","NOK")</f>
        <v/>
      </c>
    </row>
    <row r="6">
      <c r="A6" t="inlineStr">
        <is>
          <t xml:space="preserve">Cyprus (CY) </t>
        </is>
      </c>
      <c r="B6" s="393" t="n">
        <v>0.819</v>
      </c>
      <c r="E6" t="inlineStr">
        <is>
          <t xml:space="preserve">Cyprus (CY) </t>
        </is>
      </c>
      <c r="F6" s="143" t="n">
        <v>0.819</v>
      </c>
      <c r="G6" s="17">
        <f>IF(A6=E6,"OK","NOK")</f>
        <v/>
      </c>
      <c r="H6" s="17">
        <f>IF(B6=F6,"OK","NOK")</f>
        <v/>
      </c>
    </row>
    <row r="7">
      <c r="A7" t="inlineStr">
        <is>
          <t>Czechia (CZ)</t>
        </is>
      </c>
      <c r="B7" s="393" t="n">
        <v>0.9409999999999999</v>
      </c>
      <c r="E7" t="inlineStr">
        <is>
          <t>Czechia (CZ)</t>
        </is>
      </c>
      <c r="F7" s="143" t="n">
        <v>0.9409999999999999</v>
      </c>
      <c r="G7" s="17">
        <f>IF(A7=E7,"OK","NOK")</f>
        <v/>
      </c>
      <c r="H7" s="17">
        <f>IF(B7=F7,"OK","NOK")</f>
        <v/>
      </c>
    </row>
    <row r="8">
      <c r="A8" t="inlineStr">
        <is>
          <t>Denmark (DK)</t>
        </is>
      </c>
      <c r="B8" s="393" t="n">
        <v>1.328</v>
      </c>
      <c r="E8" t="inlineStr">
        <is>
          <t>Denmark (DK)</t>
        </is>
      </c>
      <c r="F8" s="143" t="n">
        <v>1.328</v>
      </c>
      <c r="G8" s="17">
        <f>IF(A8=E8,"OK","NOK")</f>
        <v/>
      </c>
      <c r="H8" s="17">
        <f>IF(B8=F8,"OK","NOK")</f>
        <v/>
      </c>
    </row>
    <row r="9">
      <c r="A9" t="inlineStr">
        <is>
          <t>Estonia (EE)</t>
        </is>
      </c>
      <c r="B9" s="393" t="n">
        <v>0.927</v>
      </c>
      <c r="E9" t="inlineStr">
        <is>
          <t>Estonia (EE)</t>
        </is>
      </c>
      <c r="F9" s="143" t="n">
        <v>0.927</v>
      </c>
      <c r="G9" s="17">
        <f>IF(A9=E9,"OK","NOK")</f>
        <v/>
      </c>
      <c r="H9" s="17">
        <f>IF(B9=F9,"OK","NOK")</f>
        <v/>
      </c>
    </row>
    <row r="10">
      <c r="A10" t="inlineStr">
        <is>
          <t>Finland (FI)</t>
        </is>
      </c>
      <c r="B10" s="393" t="n">
        <v>1.18</v>
      </c>
      <c r="E10" t="inlineStr">
        <is>
          <t>Finland (FI)</t>
        </is>
      </c>
      <c r="F10" s="143" t="n">
        <v>1.18</v>
      </c>
      <c r="G10" s="17">
        <f>IF(A10=E10,"OK","NOK")</f>
        <v/>
      </c>
      <c r="H10" s="17">
        <f>IF(B10=F10,"OK","NOK")</f>
        <v/>
      </c>
    </row>
    <row r="11">
      <c r="A11" t="inlineStr">
        <is>
          <t>France (FR)</t>
        </is>
      </c>
      <c r="B11" s="393" t="n">
        <v>1.181</v>
      </c>
      <c r="E11" t="inlineStr">
        <is>
          <t>France (FR)</t>
        </is>
      </c>
      <c r="F11" s="143" t="n">
        <v>1.181</v>
      </c>
      <c r="G11" s="17">
        <f>IF(A11=E11,"OK","NOK")</f>
        <v/>
      </c>
      <c r="H11" s="17">
        <f>IF(B11=F11,"OK","NOK")</f>
        <v/>
      </c>
    </row>
    <row r="12">
      <c r="A12" t="inlineStr">
        <is>
          <t>Germany (DE)</t>
        </is>
      </c>
      <c r="B12" s="393" t="n">
        <v>1.012</v>
      </c>
      <c r="E12" t="inlineStr">
        <is>
          <t>Germany (DE)</t>
        </is>
      </c>
      <c r="F12" s="143" t="n">
        <v>1.012</v>
      </c>
      <c r="G12" s="17">
        <f>IF(A12=E12,"OK","NOK")</f>
        <v/>
      </c>
      <c r="H12" s="17">
        <f>IF(B12=F12,"OK","NOK")</f>
        <v/>
      </c>
    </row>
    <row r="13">
      <c r="A13" t="inlineStr">
        <is>
          <t>Greece (EL)</t>
        </is>
      </c>
      <c r="B13" s="393" t="n">
        <v>0.868</v>
      </c>
      <c r="E13" t="inlineStr">
        <is>
          <t>Greece (EL)</t>
        </is>
      </c>
      <c r="F13" s="143" t="n">
        <v>0.868</v>
      </c>
      <c r="G13" s="17">
        <f>IF(A13=E13,"OK","NOK")</f>
        <v/>
      </c>
      <c r="H13" s="17">
        <f>IF(B13=F13,"OK","NOK")</f>
        <v/>
      </c>
    </row>
    <row r="14">
      <c r="A14" t="inlineStr">
        <is>
          <t>Hungary (HU)</t>
        </is>
      </c>
      <c r="B14" s="393" t="n">
        <v>0.767</v>
      </c>
      <c r="E14" t="inlineStr">
        <is>
          <t>Hungary (HU)</t>
        </is>
      </c>
      <c r="F14" s="143" t="n">
        <v>0.767</v>
      </c>
      <c r="G14" s="17">
        <f>IF(A14=E14,"OK","NOK")</f>
        <v/>
      </c>
      <c r="H14" s="17">
        <f>IF(B14=F14,"OK","NOK")</f>
        <v/>
      </c>
    </row>
    <row r="15">
      <c r="A15" t="inlineStr">
        <is>
          <t>Ireland (IE)</t>
        </is>
      </c>
      <c r="B15" s="393" t="n">
        <v>1.364</v>
      </c>
      <c r="E15" t="inlineStr">
        <is>
          <t>Ireland (IE)</t>
        </is>
      </c>
      <c r="F15" s="143" t="n">
        <v>1.364</v>
      </c>
      <c r="G15" s="17">
        <f>IF(A15=E15,"OK","NOK")</f>
        <v/>
      </c>
      <c r="H15" s="17">
        <f>IF(B15=F15,"OK","NOK")</f>
        <v/>
      </c>
    </row>
    <row r="16">
      <c r="A16" t="inlineStr">
        <is>
          <t>Italy (IT)</t>
        </is>
      </c>
      <c r="B16" s="393" t="n">
        <v>0.953</v>
      </c>
      <c r="E16" t="inlineStr">
        <is>
          <t>Italy (IT)</t>
        </is>
      </c>
      <c r="F16" s="143" t="n">
        <v>0.953</v>
      </c>
      <c r="G16" s="17">
        <f>IF(A16=E16,"OK","NOK")</f>
        <v/>
      </c>
      <c r="H16" s="17">
        <f>IF(B16=F16,"OK","NOK")</f>
        <v/>
      </c>
    </row>
    <row r="17">
      <c r="A17" t="inlineStr">
        <is>
          <t>Latvia (LV)</t>
        </is>
      </c>
      <c r="B17" s="393" t="n">
        <v>0.838</v>
      </c>
      <c r="E17" t="inlineStr">
        <is>
          <t>Latvia (LV)</t>
        </is>
      </c>
      <c r="F17" s="143" t="n">
        <v>0.838</v>
      </c>
      <c r="G17" s="17">
        <f>IF(A17=E17,"OK","NOK")</f>
        <v/>
      </c>
      <c r="H17" s="17">
        <f>IF(B17=F17,"OK","NOK")</f>
        <v/>
      </c>
    </row>
    <row r="18">
      <c r="A18" t="inlineStr">
        <is>
          <t>Lithuania (LT)</t>
        </is>
      </c>
      <c r="B18" s="393" t="n">
        <v>0.866</v>
      </c>
      <c r="E18" t="inlineStr">
        <is>
          <t>Lithuania (LT)</t>
        </is>
      </c>
      <c r="F18" s="143" t="n">
        <v>0.866</v>
      </c>
      <c r="G18" s="17">
        <f>IF(A18=E18,"OK","NOK")</f>
        <v/>
      </c>
      <c r="H18" s="17">
        <f>IF(B18=F18,"OK","NOK")</f>
        <v/>
      </c>
    </row>
    <row r="19">
      <c r="A19" t="inlineStr">
        <is>
          <t>Luxembourg (LU)</t>
        </is>
      </c>
      <c r="B19" s="393" t="n">
        <v>1</v>
      </c>
      <c r="E19" t="inlineStr">
        <is>
          <t>Luxembourg (LU)</t>
        </is>
      </c>
      <c r="F19" s="143" t="n">
        <v>1</v>
      </c>
      <c r="G19" s="17">
        <f>IF(A19=E19,"OK","NOK")</f>
        <v/>
      </c>
      <c r="H19" s="17">
        <f>IF(B19=F19,"OK","NOK")</f>
        <v/>
      </c>
    </row>
    <row r="20">
      <c r="A20" t="inlineStr">
        <is>
          <t>Malta (MT)</t>
        </is>
      </c>
      <c r="B20" s="393" t="n">
        <v>0.924</v>
      </c>
      <c r="E20" t="inlineStr">
        <is>
          <t>Malta (MT)</t>
        </is>
      </c>
      <c r="F20" s="143" t="n">
        <v>0.924</v>
      </c>
      <c r="G20" s="17">
        <f>IF(A20=E20,"OK","NOK")</f>
        <v/>
      </c>
      <c r="H20" s="17">
        <f>IF(B20=F20,"OK","NOK")</f>
        <v/>
      </c>
    </row>
    <row r="21">
      <c r="A21" t="inlineStr">
        <is>
          <t>Netherlands (NL)</t>
        </is>
      </c>
      <c r="B21" s="393" t="n">
        <v>1.116</v>
      </c>
      <c r="E21" t="inlineStr">
        <is>
          <t>Netherlands (NL)</t>
        </is>
      </c>
      <c r="F21" s="143" t="n">
        <v>1.116</v>
      </c>
      <c r="G21" s="17">
        <f>IF(A21=E21,"OK","NOK")</f>
        <v/>
      </c>
      <c r="H21" s="17">
        <f>IF(B21=F21,"OK","NOK")</f>
        <v/>
      </c>
    </row>
    <row r="22">
      <c r="A22" t="inlineStr">
        <is>
          <t>Poland (PL)</t>
        </is>
      </c>
      <c r="B22" s="393" t="n">
        <v>0.741</v>
      </c>
      <c r="E22" t="inlineStr">
        <is>
          <t>Poland (PL)</t>
        </is>
      </c>
      <c r="F22" s="143" t="n">
        <v>0.741</v>
      </c>
      <c r="G22" s="17">
        <f>IF(A22=E22,"OK","NOK")</f>
        <v/>
      </c>
      <c r="H22" s="17">
        <f>IF(B22=F22,"OK","NOK")</f>
        <v/>
      </c>
    </row>
    <row r="23">
      <c r="A23" t="inlineStr">
        <is>
          <t>Portugal (PT)</t>
        </is>
      </c>
      <c r="B23" s="393" t="n">
        <v>0.9370000000000001</v>
      </c>
      <c r="E23" t="inlineStr">
        <is>
          <t>Portugal (PT)</t>
        </is>
      </c>
      <c r="F23" s="143" t="n">
        <v>0.9370000000000001</v>
      </c>
      <c r="G23" s="17">
        <f>IF(A23=E23,"OK","NOK")</f>
        <v/>
      </c>
      <c r="H23" s="17">
        <f>IF(B23=F23,"OK","NOK")</f>
        <v/>
      </c>
    </row>
    <row r="24">
      <c r="A24" t="inlineStr">
        <is>
          <t>Romania (RO)</t>
        </is>
      </c>
      <c r="B24" s="393" t="n">
        <v>0.707</v>
      </c>
      <c r="E24" t="inlineStr">
        <is>
          <t>Romania (RO)</t>
        </is>
      </c>
      <c r="F24" s="143" t="n">
        <v>0.707</v>
      </c>
      <c r="G24" s="17">
        <f>IF(A24=E24,"OK","NOK")</f>
        <v/>
      </c>
      <c r="H24" s="17">
        <f>IF(B24=F24,"OK","NOK")</f>
        <v/>
      </c>
    </row>
    <row r="25">
      <c r="A25" t="inlineStr">
        <is>
          <t>Slovakia (SK)</t>
        </is>
      </c>
      <c r="B25" s="393" t="n">
        <v>0.8090000000000001</v>
      </c>
      <c r="E25" t="inlineStr">
        <is>
          <t>Slovakia (SK)</t>
        </is>
      </c>
      <c r="F25" s="143" t="n">
        <v>0.8090000000000001</v>
      </c>
      <c r="G25" s="17">
        <f>IF(A25=E25,"OK","NOK")</f>
        <v/>
      </c>
      <c r="H25" s="17">
        <f>IF(B25=F25,"OK","NOK")</f>
        <v/>
      </c>
    </row>
    <row r="26">
      <c r="A26" t="inlineStr">
        <is>
          <t>Slovenia (SI)</t>
        </is>
      </c>
      <c r="B26" s="393" t="n">
        <v>0.877</v>
      </c>
      <c r="E26" t="inlineStr">
        <is>
          <t>Slovenia (SI)</t>
        </is>
      </c>
      <c r="F26" s="143" t="n">
        <v>0.877</v>
      </c>
      <c r="G26" s="17">
        <f>IF(A26=E26,"OK","NOK")</f>
        <v/>
      </c>
      <c r="H26" s="17">
        <f>IF(B26=F26,"OK","NOK")</f>
        <v/>
      </c>
    </row>
    <row r="27">
      <c r="A27" t="inlineStr">
        <is>
          <t>Spain (ES)</t>
        </is>
      </c>
      <c r="B27" s="393" t="n">
        <v>0.956</v>
      </c>
      <c r="E27" t="inlineStr">
        <is>
          <t>Spain (ES)</t>
        </is>
      </c>
      <c r="F27" s="143" t="n">
        <v>0.956</v>
      </c>
      <c r="G27" s="17">
        <f>IF(A27=E27,"OK","NOK")</f>
        <v/>
      </c>
      <c r="H27" s="17">
        <f>IF(B27=F27,"OK","NOK")</f>
        <v/>
      </c>
    </row>
    <row r="28">
      <c r="A28" t="inlineStr">
        <is>
          <t>Sweden (SE)</t>
        </is>
      </c>
      <c r="B28" s="393" t="n">
        <v>1.25</v>
      </c>
      <c r="E28" t="inlineStr">
        <is>
          <t>Sweden (SE)</t>
        </is>
      </c>
      <c r="F28" s="143" t="n">
        <v>1.25</v>
      </c>
      <c r="G28" s="17">
        <f>IF(A28=E28,"OK","NOK")</f>
        <v/>
      </c>
      <c r="H28" s="17">
        <f>IF(B28=F28,"OK","NOK")</f>
        <v/>
      </c>
    </row>
    <row r="29">
      <c r="A29" t="inlineStr">
        <is>
          <t>Albania (AL)</t>
        </is>
      </c>
      <c r="B29" s="393" t="n">
        <v>0.5610000000000001</v>
      </c>
      <c r="E29" t="inlineStr">
        <is>
          <t>Albania (AL)</t>
        </is>
      </c>
      <c r="F29" s="143" t="n">
        <v>0.5610000000000001</v>
      </c>
      <c r="G29" s="17">
        <f>IF(A29=E29,"OK","NOK")</f>
        <v/>
      </c>
      <c r="H29" s="17">
        <f>IF(B29=F29,"OK","NOK")</f>
        <v/>
      </c>
    </row>
    <row r="30">
      <c r="A30" t="inlineStr">
        <is>
          <t>Algeria (DZ)</t>
        </is>
      </c>
      <c r="B30" s="393" t="n">
        <v>0.648</v>
      </c>
      <c r="E30" t="inlineStr">
        <is>
          <t>Algeria (DZ)</t>
        </is>
      </c>
      <c r="F30" s="143" t="n">
        <v>0.648</v>
      </c>
      <c r="G30" s="17">
        <f>IF(A30=E30,"OK","NOK")</f>
        <v/>
      </c>
      <c r="H30" s="17">
        <f>IF(B30=F30,"OK","NOK")</f>
        <v/>
      </c>
    </row>
    <row r="31">
      <c r="A31" t="inlineStr">
        <is>
          <t>Angola (AO)</t>
        </is>
      </c>
      <c r="B31" s="393" t="n">
        <v>1.289</v>
      </c>
      <c r="E31" t="inlineStr">
        <is>
          <t>Angola (AO)</t>
        </is>
      </c>
      <c r="F31" s="143" t="n">
        <v>1.289</v>
      </c>
      <c r="G31" s="17">
        <f>IF(A31=E31,"OK","NOK")</f>
        <v/>
      </c>
      <c r="H31" s="17">
        <f>IF(B31=F31,"OK","NOK")</f>
        <v/>
      </c>
    </row>
    <row r="32">
      <c r="A32" t="inlineStr">
        <is>
          <t>Anguilla (AI)</t>
        </is>
      </c>
      <c r="B32" s="393" t="n">
        <v>1.369</v>
      </c>
      <c r="E32" t="inlineStr">
        <is>
          <t>Anguilla (AI)</t>
        </is>
      </c>
      <c r="F32" s="143" t="n">
        <v>1.369</v>
      </c>
      <c r="G32" s="17">
        <f>IF(A32=E32,"OK","NOK")</f>
        <v/>
      </c>
      <c r="H32" s="17">
        <f>IF(B32=F32,"OK","NOK")</f>
        <v/>
      </c>
    </row>
    <row r="33">
      <c r="A33" t="inlineStr">
        <is>
          <t>Antigua and Barbuda (AG)</t>
        </is>
      </c>
      <c r="B33" s="393" t="n">
        <v>0.672</v>
      </c>
      <c r="E33" t="inlineStr">
        <is>
          <t>Antigua and Barbuda (AG)</t>
        </is>
      </c>
      <c r="F33" s="143" t="n">
        <v>0.672</v>
      </c>
      <c r="G33" s="17">
        <f>IF(A33=E33,"OK","NOK")</f>
        <v/>
      </c>
      <c r="H33" s="17">
        <f>IF(B33=F33,"OK","NOK")</f>
        <v/>
      </c>
    </row>
    <row r="34">
      <c r="A34" t="inlineStr">
        <is>
          <t>Argentina (AR)</t>
        </is>
      </c>
      <c r="B34" s="393" t="n">
        <v>0.827</v>
      </c>
      <c r="E34" t="inlineStr">
        <is>
          <t>Argentina (AR)</t>
        </is>
      </c>
      <c r="F34" s="143" t="n">
        <v>0.827</v>
      </c>
      <c r="G34" s="17">
        <f>IF(A34=E34,"OK","NOK")</f>
        <v/>
      </c>
      <c r="H34" s="17">
        <f>IF(B34=F34,"OK","NOK")</f>
        <v/>
      </c>
    </row>
    <row r="35">
      <c r="A35" t="inlineStr">
        <is>
          <t>Armenia (AM)</t>
        </is>
      </c>
      <c r="B35" s="393" t="n">
        <v>1.071</v>
      </c>
      <c r="E35" t="inlineStr">
        <is>
          <t>Armenia (AM)</t>
        </is>
      </c>
      <c r="F35" s="143" t="n">
        <v>1.071</v>
      </c>
      <c r="G35" s="17">
        <f>IF(A35=E35,"OK","NOK")</f>
        <v/>
      </c>
      <c r="H35" s="17">
        <f>IF(B35=F35,"OK","NOK")</f>
        <v/>
      </c>
    </row>
    <row r="36">
      <c r="A36" t="inlineStr">
        <is>
          <t>Aruba (AW)</t>
        </is>
      </c>
      <c r="B36" s="393" t="n">
        <v>1.116</v>
      </c>
      <c r="E36" t="inlineStr">
        <is>
          <t>Aruba (AW)</t>
        </is>
      </c>
      <c r="F36" s="143" t="n">
        <v>1.116</v>
      </c>
      <c r="G36" s="17">
        <f>IF(A36=E36,"OK","NOK")</f>
        <v/>
      </c>
      <c r="H36" s="17">
        <f>IF(B36=F36,"OK","NOK")</f>
        <v/>
      </c>
    </row>
    <row r="37">
      <c r="A37" t="inlineStr">
        <is>
          <t>Australia (AU)</t>
        </is>
      </c>
      <c r="B37" s="393" t="n">
        <v>1.083</v>
      </c>
      <c r="E37" t="inlineStr">
        <is>
          <t>Australia (AU)</t>
        </is>
      </c>
      <c r="F37" s="143" t="n">
        <v>1.083</v>
      </c>
      <c r="G37" s="17">
        <f>IF(A37=E37,"OK","NOK")</f>
        <v/>
      </c>
      <c r="H37" s="17">
        <f>IF(B37=F37,"OK","NOK")</f>
        <v/>
      </c>
    </row>
    <row r="38">
      <c r="A38" t="inlineStr">
        <is>
          <t>Azerbaijan (AZ)</t>
        </is>
      </c>
      <c r="B38" s="393" t="n">
        <v>0.991</v>
      </c>
      <c r="E38" t="inlineStr">
        <is>
          <t>Azerbaijan (AZ)</t>
        </is>
      </c>
      <c r="F38" s="143" t="n">
        <v>0.991</v>
      </c>
      <c r="G38" s="17">
        <f>IF(A38=E38,"OK","NOK")</f>
        <v/>
      </c>
      <c r="H38" s="17">
        <f>IF(B38=F38,"OK","NOK")</f>
        <v/>
      </c>
    </row>
    <row r="39">
      <c r="A39" t="inlineStr">
        <is>
          <t>Bangladesh (BD)</t>
        </is>
      </c>
      <c r="B39" s="393" t="n">
        <v>0.837</v>
      </c>
      <c r="E39" t="inlineStr">
        <is>
          <t>Bangladesh (BD)</t>
        </is>
      </c>
      <c r="F39" s="143" t="n">
        <v>0.837</v>
      </c>
      <c r="G39" s="17">
        <f>IF(A39=E39,"OK","NOK")</f>
        <v/>
      </c>
      <c r="H39" s="17">
        <f>IF(B39=F39,"OK","NOK")</f>
        <v/>
      </c>
    </row>
    <row r="40">
      <c r="A40" t="inlineStr">
        <is>
          <t>Barbados (BB)</t>
        </is>
      </c>
      <c r="B40" s="393" t="n">
        <v>1.156</v>
      </c>
      <c r="E40" t="inlineStr">
        <is>
          <t>Barbados (BB)</t>
        </is>
      </c>
      <c r="F40" s="143" t="n">
        <v>1.156</v>
      </c>
      <c r="G40" s="17">
        <f>IF(A40=E40,"OK","NOK")</f>
        <v/>
      </c>
      <c r="H40" s="17">
        <f>IF(B40=F40,"OK","NOK")</f>
        <v/>
      </c>
    </row>
    <row r="41">
      <c r="A41" t="inlineStr">
        <is>
          <t>Belarus (BY)</t>
        </is>
      </c>
      <c r="B41" s="393" t="n">
        <v>0.718</v>
      </c>
      <c r="E41" t="inlineStr">
        <is>
          <t>Belarus (BY)</t>
        </is>
      </c>
      <c r="F41" s="143" t="n">
        <v>0.718</v>
      </c>
      <c r="G41" s="17">
        <f>IF(A41=E41,"OK","NOK")</f>
        <v/>
      </c>
      <c r="H41" s="17">
        <f>IF(B41=F41,"OK","NOK")</f>
        <v/>
      </c>
    </row>
    <row r="42">
      <c r="A42" t="inlineStr">
        <is>
          <t>Belize (BZ)</t>
        </is>
      </c>
      <c r="B42" s="393" t="n">
        <v>0.799</v>
      </c>
      <c r="E42" t="inlineStr">
        <is>
          <t>Belize (BZ)</t>
        </is>
      </c>
      <c r="F42" s="143" t="n">
        <v>0.799</v>
      </c>
      <c r="G42" s="17">
        <f>IF(A42=E42,"OK","NOK")</f>
        <v/>
      </c>
      <c r="H42" s="17">
        <f>IF(B42=F42,"OK","NOK")</f>
        <v/>
      </c>
    </row>
    <row r="43">
      <c r="A43" t="inlineStr">
        <is>
          <t>Benin (BJ)</t>
        </is>
      </c>
      <c r="B43" s="393" t="n">
        <v>0.945</v>
      </c>
      <c r="E43" t="inlineStr">
        <is>
          <t>Benin (BJ)</t>
        </is>
      </c>
      <c r="F43" s="143" t="n">
        <v>0.945</v>
      </c>
      <c r="G43" s="17">
        <f>IF(A43=E43,"OK","NOK")</f>
        <v/>
      </c>
      <c r="H43" s="17">
        <f>IF(B43=F43,"OK","NOK")</f>
        <v/>
      </c>
    </row>
    <row r="44">
      <c r="A44" t="inlineStr">
        <is>
          <t>Bolivia (BO)</t>
        </is>
      </c>
      <c r="B44" s="393" t="n">
        <v>0.7829999999999999</v>
      </c>
      <c r="E44" t="inlineStr">
        <is>
          <t>Bolivia (BO)</t>
        </is>
      </c>
      <c r="F44" s="143" t="n">
        <v>0.7829999999999999</v>
      </c>
      <c r="G44" s="17">
        <f>IF(A44=E44,"OK","NOK")</f>
        <v/>
      </c>
      <c r="H44" s="17">
        <f>IF(B44=F44,"OK","NOK")</f>
        <v/>
      </c>
    </row>
    <row r="45">
      <c r="A45" t="inlineStr">
        <is>
          <t>Bonaire Sint Eustatius and Saba (BQ)</t>
        </is>
      </c>
      <c r="B45" s="393" t="n">
        <v>1.096</v>
      </c>
      <c r="E45" t="inlineStr">
        <is>
          <t>Bonaire Sint Eustatius and Saba (BQ)</t>
        </is>
      </c>
      <c r="F45" s="143" t="n">
        <v>1.096</v>
      </c>
      <c r="G45" s="17">
        <f>IF(A45=E45,"OK","NOK")</f>
        <v/>
      </c>
      <c r="H45" s="17">
        <f>IF(B45=F45,"OK","NOK")</f>
        <v/>
      </c>
    </row>
    <row r="46">
      <c r="A46" t="inlineStr">
        <is>
          <t>Bosnia and Herzegovina (BA)</t>
        </is>
      </c>
      <c r="B46" s="393" t="n">
        <v>0.599</v>
      </c>
      <c r="E46" t="inlineStr">
        <is>
          <t>Bosnia and Herzegovina (BA)</t>
        </is>
      </c>
      <c r="F46" s="143" t="n">
        <v>0.599</v>
      </c>
      <c r="G46" s="17">
        <f>IF(A46=E46,"OK","NOK")</f>
        <v/>
      </c>
      <c r="H46" s="17">
        <f>IF(B46=F46,"OK","NOK")</f>
        <v/>
      </c>
    </row>
    <row r="47">
      <c r="A47" t="inlineStr">
        <is>
          <t>Botswana (BW)</t>
        </is>
      </c>
      <c r="B47" s="393" t="n">
        <v>0.6909999999999999</v>
      </c>
      <c r="E47" t="inlineStr">
        <is>
          <t>Botswana (BW)</t>
        </is>
      </c>
      <c r="F47" s="143" t="n">
        <v>0.6909999999999999</v>
      </c>
      <c r="G47" s="17">
        <f>IF(A47=E47,"OK","NOK")</f>
        <v/>
      </c>
      <c r="H47" s="17">
        <f>IF(B47=F47,"OK","NOK")</f>
        <v/>
      </c>
    </row>
    <row r="48">
      <c r="A48" t="inlineStr">
        <is>
          <t>Brazil (BR)</t>
        </is>
      </c>
      <c r="B48" s="393" t="n">
        <v>0.901</v>
      </c>
      <c r="E48" t="inlineStr">
        <is>
          <t>Brazil (BR)</t>
        </is>
      </c>
      <c r="F48" s="143" t="n">
        <v>0.901</v>
      </c>
      <c r="G48" s="17">
        <f>IF(A48=E48,"OK","NOK")</f>
        <v/>
      </c>
      <c r="H48" s="17">
        <f>IF(B48=F48,"OK","NOK")</f>
        <v/>
      </c>
    </row>
    <row r="49">
      <c r="A49" t="inlineStr">
        <is>
          <t>Burkina Faso (BF)</t>
        </is>
      </c>
      <c r="B49" s="393" t="n">
        <v>0.92</v>
      </c>
      <c r="E49" t="inlineStr">
        <is>
          <t>Burkina Faso (BF)</t>
        </is>
      </c>
      <c r="F49" s="253" t="n">
        <v>0.92</v>
      </c>
      <c r="G49" s="17">
        <f>IF(A49=E49,"OK","NOK")</f>
        <v/>
      </c>
      <c r="H49" s="17">
        <f>IF(B49=F49,"OK","NOK")</f>
        <v/>
      </c>
    </row>
    <row r="50">
      <c r="A50" t="inlineStr">
        <is>
          <t>Burundi (BI)</t>
        </is>
      </c>
      <c r="B50" s="393" t="n">
        <v>0.856</v>
      </c>
      <c r="E50" t="inlineStr">
        <is>
          <t>Burundi (BI)</t>
        </is>
      </c>
      <c r="F50" s="143" t="n">
        <v>0.856</v>
      </c>
      <c r="G50" s="17">
        <f>IF(A50=E50,"OK","NOK")</f>
        <v/>
      </c>
      <c r="H50" s="17">
        <f>IF(B50=F50,"OK","NOK")</f>
        <v/>
      </c>
    </row>
    <row r="51">
      <c r="A51" t="inlineStr">
        <is>
          <t>Cambodia (KH)</t>
        </is>
      </c>
      <c r="B51" s="393" t="n">
        <v>0.855</v>
      </c>
      <c r="E51" t="inlineStr">
        <is>
          <t>Cambodia (KH)</t>
        </is>
      </c>
      <c r="F51" s="143" t="n">
        <v>0.855</v>
      </c>
      <c r="G51" s="17">
        <f>IF(A51=E51,"OK","NOK")</f>
        <v/>
      </c>
      <c r="H51" s="17">
        <f>IF(B51=F51,"OK","NOK")</f>
        <v/>
      </c>
    </row>
    <row r="52">
      <c r="A52" t="inlineStr">
        <is>
          <t>Cameroon (CM)</t>
        </is>
      </c>
      <c r="B52" s="393" t="n">
        <v>0.918</v>
      </c>
      <c r="E52" t="inlineStr">
        <is>
          <t>Cameroon (CM)</t>
        </is>
      </c>
      <c r="F52" s="143" t="n">
        <v>0.918</v>
      </c>
      <c r="G52" s="17">
        <f>IF(A52=E52,"OK","NOK")</f>
        <v/>
      </c>
      <c r="H52" s="17">
        <f>IF(B52=F52,"OK","NOK")</f>
        <v/>
      </c>
    </row>
    <row r="53">
      <c r="A53" t="inlineStr">
        <is>
          <t>Canada (CA)</t>
        </is>
      </c>
      <c r="B53" s="393" t="n">
        <v>1.144</v>
      </c>
      <c r="E53" t="inlineStr">
        <is>
          <t>Canada (CA)</t>
        </is>
      </c>
      <c r="F53" s="143" t="n">
        <v>1.144</v>
      </c>
      <c r="G53" s="17">
        <f>IF(A53=E53,"OK","NOK")</f>
        <v/>
      </c>
      <c r="H53" s="17">
        <f>IF(B53=F53,"OK","NOK")</f>
        <v/>
      </c>
    </row>
    <row r="54">
      <c r="A54" t="inlineStr">
        <is>
          <t>Cape Verde (CV)</t>
        </is>
      </c>
      <c r="B54" s="393" t="n">
        <v>0.6899999999999999</v>
      </c>
      <c r="E54" t="inlineStr">
        <is>
          <t>Cape Verde (CV)</t>
        </is>
      </c>
      <c r="F54" s="253" t="n">
        <v>0.6899999999999999</v>
      </c>
      <c r="G54" s="17">
        <f>IF(A54=E54,"OK","NOK")</f>
        <v/>
      </c>
      <c r="H54" s="17">
        <f>IF(B54=F54,"OK","NOK")</f>
        <v/>
      </c>
    </row>
    <row r="55">
      <c r="A55" t="inlineStr">
        <is>
          <t>Central African Republic (CF)</t>
        </is>
      </c>
      <c r="B55" s="393" t="n">
        <v>1.066</v>
      </c>
      <c r="E55" t="inlineStr">
        <is>
          <t>Central African Republic (CF)</t>
        </is>
      </c>
      <c r="F55" s="143" t="n">
        <v>1.066</v>
      </c>
      <c r="G55" s="17">
        <f>IF(A55=E55,"OK","NOK")</f>
        <v/>
      </c>
      <c r="H55" s="17">
        <f>IF(B55=F55,"OK","NOK")</f>
        <v/>
      </c>
    </row>
    <row r="56">
      <c r="A56" t="inlineStr">
        <is>
          <t>Chad (TD)</t>
        </is>
      </c>
      <c r="B56" s="393" t="n">
        <v>0.986</v>
      </c>
      <c r="E56" t="inlineStr">
        <is>
          <t>Chad (TD)</t>
        </is>
      </c>
      <c r="F56" s="143" t="n">
        <v>0.986</v>
      </c>
      <c r="G56" s="17">
        <f>IF(A56=E56,"OK","NOK")</f>
        <v/>
      </c>
      <c r="H56" s="17">
        <f>IF(B56=F56,"OK","NOK")</f>
        <v/>
      </c>
    </row>
    <row r="57">
      <c r="A57" t="inlineStr">
        <is>
          <t>Chile (CL)</t>
        </is>
      </c>
      <c r="B57" s="393" t="n">
        <v>0.676</v>
      </c>
      <c r="E57" t="inlineStr">
        <is>
          <t>Chile (CL)</t>
        </is>
      </c>
      <c r="F57" s="143" t="n">
        <v>0.676</v>
      </c>
      <c r="G57" s="17">
        <f>IF(A57=E57,"OK","NOK")</f>
        <v/>
      </c>
      <c r="H57" s="17">
        <f>IF(B57=F57,"OK","NOK")</f>
        <v/>
      </c>
    </row>
    <row r="58">
      <c r="A58" t="inlineStr">
        <is>
          <t>China (People's Republic of) (CN)</t>
        </is>
      </c>
      <c r="B58" s="393" t="n">
        <v>0.852</v>
      </c>
      <c r="E58" t="inlineStr">
        <is>
          <t>China (People's Republic of) (CN)</t>
        </is>
      </c>
      <c r="F58" s="143" t="n">
        <v>0.852</v>
      </c>
      <c r="G58" s="17">
        <f>IF(A58=E58,"OK","NOK")</f>
        <v/>
      </c>
      <c r="H58" s="17">
        <f>IF(B58=F58,"OK","NOK")</f>
        <v/>
      </c>
    </row>
    <row r="59">
      <c r="A59" t="inlineStr">
        <is>
          <t>Colombia (CO)</t>
        </is>
      </c>
      <c r="B59" s="393" t="n">
        <v>0.694</v>
      </c>
      <c r="E59" t="inlineStr">
        <is>
          <t>Colombia (CO)</t>
        </is>
      </c>
      <c r="F59" s="143" t="n">
        <v>0.694</v>
      </c>
      <c r="G59" s="17">
        <f>IF(A59=E59,"OK","NOK")</f>
        <v/>
      </c>
      <c r="H59" s="17">
        <f>IF(B59=F59,"OK","NOK")</f>
        <v/>
      </c>
    </row>
    <row r="60">
      <c r="A60" t="inlineStr">
        <is>
          <t>Comoros (KM)</t>
        </is>
      </c>
      <c r="B60" s="393" t="n">
        <v>0.757</v>
      </c>
      <c r="E60" t="inlineStr">
        <is>
          <t>Comoros (KM)</t>
        </is>
      </c>
      <c r="F60" s="143" t="n">
        <v>0.757</v>
      </c>
      <c r="G60" s="17">
        <f>IF(A60=E60,"OK","NOK")</f>
        <v/>
      </c>
      <c r="H60" s="17">
        <f>IF(B60=F60,"OK","NOK")</f>
        <v/>
      </c>
    </row>
    <row r="61">
      <c r="A61" t="inlineStr">
        <is>
          <t>Congo (CG)</t>
        </is>
      </c>
      <c r="B61" s="393" t="n">
        <v>1.207</v>
      </c>
      <c r="E61" t="inlineStr">
        <is>
          <t>Congo (CG)</t>
        </is>
      </c>
      <c r="F61" s="143" t="n">
        <v>1.207</v>
      </c>
      <c r="G61" s="17">
        <f>IF(A61=E61,"OK","NOK")</f>
        <v/>
      </c>
      <c r="H61" s="17">
        <f>IF(B61=F61,"OK","NOK")</f>
        <v/>
      </c>
    </row>
    <row r="62">
      <c r="A62" t="inlineStr">
        <is>
          <t>Congo (Democratic Republic of) (CD)</t>
        </is>
      </c>
      <c r="B62" s="393" t="n">
        <v>1.393</v>
      </c>
      <c r="E62" t="inlineStr">
        <is>
          <t>Congo (Democratic Republic of) (CD)</t>
        </is>
      </c>
      <c r="F62" s="143" t="n">
        <v>1.393</v>
      </c>
      <c r="G62" s="17">
        <f>IF(A62=E62,"OK","NOK")</f>
        <v/>
      </c>
      <c r="H62" s="17">
        <f>IF(B62=F62,"OK","NOK")</f>
        <v/>
      </c>
    </row>
    <row r="63">
      <c r="A63" t="inlineStr">
        <is>
          <t>Costa Rica (CR)</t>
        </is>
      </c>
      <c r="B63" s="393" t="n">
        <v>0.854</v>
      </c>
      <c r="E63" t="inlineStr">
        <is>
          <t>Costa Rica (CR)</t>
        </is>
      </c>
      <c r="F63" s="143" t="n">
        <v>0.854</v>
      </c>
      <c r="G63" s="17">
        <f>IF(A63=E63,"OK","NOK")</f>
        <v/>
      </c>
      <c r="H63" s="17">
        <f>IF(B63=F63,"OK","NOK")</f>
        <v/>
      </c>
    </row>
    <row r="64">
      <c r="A64" t="inlineStr">
        <is>
          <t>Cote d'Ivoire (CI)</t>
        </is>
      </c>
      <c r="B64" s="393" t="n">
        <v>0.886</v>
      </c>
      <c r="E64" t="inlineStr">
        <is>
          <t>Cote d'Ivoire (CI)</t>
        </is>
      </c>
      <c r="F64" s="143" t="n">
        <v>0.886</v>
      </c>
      <c r="G64" s="17">
        <f>IF(A64=E64,"OK","NOK")</f>
        <v/>
      </c>
      <c r="H64" s="17">
        <f>IF(B64=F64,"OK","NOK")</f>
        <v/>
      </c>
    </row>
    <row r="65">
      <c r="A65" t="inlineStr">
        <is>
          <t>Cuba (CU)</t>
        </is>
      </c>
      <c r="B65" s="393" t="n">
        <v>1.214</v>
      </c>
      <c r="E65" t="inlineStr">
        <is>
          <t>Cuba (CU)</t>
        </is>
      </c>
      <c r="F65" s="143" t="n">
        <v>1.214</v>
      </c>
      <c r="G65" s="17">
        <f>IF(A65=E65,"OK","NOK")</f>
        <v/>
      </c>
      <c r="H65" s="17">
        <f>IF(B65=F65,"OK","NOK")</f>
        <v/>
      </c>
    </row>
    <row r="66">
      <c r="A66" t="inlineStr">
        <is>
          <t>Curaçao (CW)</t>
        </is>
      </c>
      <c r="B66" s="393" t="n">
        <v>1.116</v>
      </c>
      <c r="E66" t="inlineStr">
        <is>
          <t>Curaçao (CW)</t>
        </is>
      </c>
      <c r="F66" s="143" t="n">
        <v>1.116</v>
      </c>
      <c r="G66" s="17">
        <f>IF(A66=E66,"OK","NOK")</f>
        <v/>
      </c>
      <c r="H66" s="17">
        <f>IF(B66=F66,"OK","NOK")</f>
        <v/>
      </c>
    </row>
    <row r="67">
      <c r="A67" t="inlineStr">
        <is>
          <t>Djibouti (DJ)</t>
        </is>
      </c>
      <c r="B67" s="393" t="n">
        <v>1.079</v>
      </c>
      <c r="E67" t="inlineStr">
        <is>
          <t>Djibouti (DJ)</t>
        </is>
      </c>
      <c r="F67" s="143" t="n">
        <v>1.079</v>
      </c>
      <c r="G67" s="17">
        <f>IF(A67=E67,"OK","NOK")</f>
        <v/>
      </c>
      <c r="H67" s="17">
        <f>IF(B67=F67,"OK","NOK")</f>
        <v/>
      </c>
    </row>
    <row r="68">
      <c r="A68" t="inlineStr">
        <is>
          <t>Dominican Republic (DO)</t>
        </is>
      </c>
      <c r="B68" s="393" t="n">
        <v>0.752</v>
      </c>
      <c r="E68" t="inlineStr">
        <is>
          <t>Dominican Republic (DO)</t>
        </is>
      </c>
      <c r="F68" s="143" t="n">
        <v>0.752</v>
      </c>
      <c r="G68" s="17">
        <f>IF(A68=E68,"OK","NOK")</f>
        <v/>
      </c>
      <c r="H68" s="17">
        <f>IF(B68=F68,"OK","NOK")</f>
        <v/>
      </c>
    </row>
    <row r="69">
      <c r="A69" t="inlineStr">
        <is>
          <t>Ecuador (EC)</t>
        </is>
      </c>
      <c r="B69" s="393" t="n">
        <v>0.827</v>
      </c>
      <c r="E69" t="inlineStr">
        <is>
          <t>Ecuador (EC)</t>
        </is>
      </c>
      <c r="F69" s="143" t="n">
        <v>0.827</v>
      </c>
      <c r="G69" s="17">
        <f>IF(A69=E69,"OK","NOK")</f>
        <v/>
      </c>
      <c r="H69" s="17">
        <f>IF(B69=F69,"OK","NOK")</f>
        <v/>
      </c>
    </row>
    <row r="70">
      <c r="A70" t="inlineStr">
        <is>
          <t>Egypt (EG)</t>
        </is>
      </c>
      <c r="B70" s="393" t="n">
        <v>0.723</v>
      </c>
      <c r="E70" t="inlineStr">
        <is>
          <t>Egypt (EG)</t>
        </is>
      </c>
      <c r="F70" s="143" t="n">
        <v>0.723</v>
      </c>
      <c r="G70" s="17">
        <f>IF(A70=E70,"OK","NOK")</f>
        <v/>
      </c>
      <c r="H70" s="17">
        <f>IF(B70=F70,"OK","NOK")</f>
        <v/>
      </c>
    </row>
    <row r="71">
      <c r="A71" t="inlineStr">
        <is>
          <t>El Salvador (SV)</t>
        </is>
      </c>
      <c r="B71" s="393" t="n">
        <v>0.798</v>
      </c>
      <c r="E71" t="inlineStr">
        <is>
          <t>El Salvador (SV)</t>
        </is>
      </c>
      <c r="F71" s="143" t="n">
        <v>0.798</v>
      </c>
      <c r="G71" s="17">
        <f>IF(A71=E71,"OK","NOK")</f>
        <v/>
      </c>
      <c r="H71" s="17">
        <f>IF(B71=F71,"OK","NOK")</f>
        <v/>
      </c>
    </row>
    <row r="72">
      <c r="A72" t="inlineStr">
        <is>
          <t>Eritrea (ER)</t>
        </is>
      </c>
      <c r="B72" s="393" t="n">
        <v>1.063</v>
      </c>
      <c r="E72" t="inlineStr">
        <is>
          <t>Eritrea (ER)</t>
        </is>
      </c>
      <c r="F72" s="143" t="n">
        <v>1.063</v>
      </c>
      <c r="G72" s="17">
        <f>IF(A72=E72,"OK","NOK")</f>
        <v/>
      </c>
      <c r="H72" s="17">
        <f>IF(B72=F72,"OK","NOK")</f>
        <v/>
      </c>
    </row>
    <row r="73">
      <c r="A73" t="inlineStr">
        <is>
          <t>Eswatini (SZ)</t>
        </is>
      </c>
      <c r="B73" s="393" t="n">
        <v>0.651</v>
      </c>
      <c r="E73" t="inlineStr">
        <is>
          <t>Eswatini (SZ)</t>
        </is>
      </c>
      <c r="F73" s="143" t="n">
        <v>0.651</v>
      </c>
      <c r="G73" s="17">
        <f>IF(A73=E73,"OK","NOK")</f>
        <v/>
      </c>
      <c r="H73" s="17">
        <f>IF(B73=F73,"OK","NOK")</f>
        <v/>
      </c>
    </row>
    <row r="74">
      <c r="A74" t="inlineStr">
        <is>
          <t>Ethiopia (ET)</t>
        </is>
      </c>
      <c r="B74" s="393" t="n">
        <v>0.801</v>
      </c>
      <c r="E74" t="inlineStr">
        <is>
          <t>Ethiopia (ET)</t>
        </is>
      </c>
      <c r="F74" s="143" t="n">
        <v>0.801</v>
      </c>
      <c r="G74" s="17">
        <f>IF(A74=E74,"OK","NOK")</f>
        <v/>
      </c>
      <c r="H74" s="17">
        <f>IF(B74=F74,"OK","NOK")</f>
        <v/>
      </c>
    </row>
    <row r="75">
      <c r="A75" t="inlineStr">
        <is>
          <t>Faroe Islands (FO)</t>
        </is>
      </c>
      <c r="B75" s="393" t="n">
        <v>1.342</v>
      </c>
      <c r="E75" t="inlineStr">
        <is>
          <t>Faroe Islands (FO)</t>
        </is>
      </c>
      <c r="F75" s="143" t="n">
        <v>1.342</v>
      </c>
      <c r="G75" s="17">
        <f>IF(A75=E75,"OK","NOK")</f>
        <v/>
      </c>
      <c r="H75" s="17">
        <f>IF(B75=F75,"OK","NOK")</f>
        <v/>
      </c>
    </row>
    <row r="76">
      <c r="A76" t="inlineStr">
        <is>
          <t>Fiji (FJ)</t>
        </is>
      </c>
      <c r="B76" s="393" t="n">
        <v>0.726</v>
      </c>
      <c r="E76" t="inlineStr">
        <is>
          <t>Fiji (FJ)</t>
        </is>
      </c>
      <c r="F76" s="143" t="n">
        <v>0.726</v>
      </c>
      <c r="G76" s="17">
        <f>IF(A76=E76,"OK","NOK")</f>
        <v/>
      </c>
      <c r="H76" s="17">
        <f>IF(B76=F76,"OK","NOK")</f>
        <v/>
      </c>
    </row>
    <row r="77">
      <c r="A77" t="inlineStr">
        <is>
          <t>French Polynesia (PF)</t>
        </is>
      </c>
      <c r="B77" s="393" t="n">
        <v>1.164</v>
      </c>
      <c r="E77" t="inlineStr">
        <is>
          <t>French Polynesia (PF)</t>
        </is>
      </c>
      <c r="F77" s="143" t="n">
        <v>1.164</v>
      </c>
      <c r="G77" s="17">
        <f>IF(A77=E77,"OK","NOK")</f>
        <v/>
      </c>
      <c r="H77" s="17">
        <f>IF(B77=F77,"OK","NOK")</f>
        <v/>
      </c>
    </row>
    <row r="78">
      <c r="A78" t="inlineStr">
        <is>
          <t>French Southern and Antarctic Lands (TF)</t>
        </is>
      </c>
      <c r="B78" s="393" t="n">
        <v>1.181</v>
      </c>
      <c r="E78" t="inlineStr">
        <is>
          <t>French Southern and Antarctic Lands (TF)</t>
        </is>
      </c>
      <c r="F78" s="143" t="n">
        <v>1.181</v>
      </c>
      <c r="G78" s="17">
        <f>IF(A78=E78,"OK","NOK")</f>
        <v/>
      </c>
      <c r="H78" s="17">
        <f>IF(B78=F78,"OK","NOK")</f>
        <v/>
      </c>
    </row>
    <row r="79">
      <c r="A79" t="inlineStr">
        <is>
          <t>Gabon (GA)</t>
        </is>
      </c>
      <c r="B79" s="393" t="n">
        <v>1.077</v>
      </c>
      <c r="E79" t="inlineStr">
        <is>
          <t>Gabon (GA)</t>
        </is>
      </c>
      <c r="F79" s="143" t="n">
        <v>1.077</v>
      </c>
      <c r="G79" s="17">
        <f>IF(A79=E79,"OK","NOK")</f>
        <v/>
      </c>
      <c r="H79" s="17">
        <f>IF(B79=F79,"OK","NOK")</f>
        <v/>
      </c>
    </row>
    <row r="80">
      <c r="A80" t="inlineStr">
        <is>
          <t>Gambia (GM)</t>
        </is>
      </c>
      <c r="B80" s="393" t="n">
        <v>0.929</v>
      </c>
      <c r="E80" t="inlineStr">
        <is>
          <t>Gambia (GM)</t>
        </is>
      </c>
      <c r="F80" s="143" t="n">
        <v>0.929</v>
      </c>
      <c r="G80" s="17">
        <f>IF(A80=E80,"OK","NOK")</f>
        <v/>
      </c>
      <c r="H80" s="17">
        <f>IF(B80=F80,"OK","NOK")</f>
        <v/>
      </c>
    </row>
    <row r="81">
      <c r="A81" t="inlineStr">
        <is>
          <t>Georgia (GE)</t>
        </is>
      </c>
      <c r="B81" s="393" t="n">
        <v>0.777</v>
      </c>
      <c r="E81" t="inlineStr">
        <is>
          <t>Georgia (GE)</t>
        </is>
      </c>
      <c r="F81" s="143" t="n">
        <v>0.777</v>
      </c>
      <c r="G81" s="17">
        <f>IF(A81=E81,"OK","NOK")</f>
        <v/>
      </c>
      <c r="H81" s="17">
        <f>IF(B81=F81,"OK","NOK")</f>
        <v/>
      </c>
    </row>
    <row r="82">
      <c r="A82" t="inlineStr">
        <is>
          <t>Ghana (GH)</t>
        </is>
      </c>
      <c r="B82" s="393" t="n">
        <v>0.837</v>
      </c>
      <c r="E82" t="inlineStr">
        <is>
          <t>Ghana (GH)</t>
        </is>
      </c>
      <c r="F82" s="143" t="n">
        <v>0.837</v>
      </c>
      <c r="G82" s="17">
        <f>IF(A82=E82,"OK","NOK")</f>
        <v/>
      </c>
      <c r="H82" s="17">
        <f>IF(B82=F82,"OK","NOK")</f>
        <v/>
      </c>
    </row>
    <row r="83">
      <c r="A83" t="inlineStr">
        <is>
          <t>Greenland (GL)</t>
        </is>
      </c>
      <c r="B83" s="393" t="n">
        <v>1.32</v>
      </c>
      <c r="E83" t="inlineStr">
        <is>
          <t>Greenland (GL)</t>
        </is>
      </c>
      <c r="F83" s="143" t="n">
        <v>1.32</v>
      </c>
      <c r="G83" s="17">
        <f>IF(A83=E83,"OK","NOK")</f>
        <v/>
      </c>
      <c r="H83" s="17">
        <f>IF(B83=F83,"OK","NOK")</f>
        <v/>
      </c>
    </row>
    <row r="84">
      <c r="A84" t="inlineStr">
        <is>
          <t>Guam (GU)</t>
        </is>
      </c>
      <c r="B84" s="393" t="n">
        <v>1.023</v>
      </c>
      <c r="E84" t="inlineStr">
        <is>
          <t>Guam (GU)</t>
        </is>
      </c>
      <c r="F84" s="143" t="n">
        <v>1.023</v>
      </c>
      <c r="G84" s="17">
        <f>IF(A84=E84,"OK","NOK")</f>
        <v/>
      </c>
      <c r="H84" s="17">
        <f>IF(B84=F84,"OK","NOK")</f>
        <v/>
      </c>
    </row>
    <row r="85">
      <c r="A85" t="inlineStr">
        <is>
          <t>Guatemala (GT)</t>
        </is>
      </c>
      <c r="B85" s="393" t="n">
        <v>0.969</v>
      </c>
      <c r="E85" t="inlineStr">
        <is>
          <t>Guatemala (GT)</t>
        </is>
      </c>
      <c r="F85" s="143" t="n">
        <v>0.969</v>
      </c>
      <c r="G85" s="17">
        <f>IF(A85=E85,"OK","NOK")</f>
        <v/>
      </c>
      <c r="H85" s="17">
        <f>IF(B85=F85,"OK","NOK")</f>
        <v/>
      </c>
    </row>
    <row r="86">
      <c r="A86" t="inlineStr">
        <is>
          <t>Guinea (GN)</t>
        </is>
      </c>
      <c r="B86" s="393" t="n">
        <v>1.155</v>
      </c>
      <c r="E86" t="inlineStr">
        <is>
          <t>Guinea (GN)</t>
        </is>
      </c>
      <c r="F86" s="143" t="n">
        <v>1.155</v>
      </c>
      <c r="G86" s="17">
        <f>IF(A86=E86,"OK","NOK")</f>
        <v/>
      </c>
      <c r="H86" s="17">
        <f>IF(B86=F86,"OK","NOK")</f>
        <v/>
      </c>
    </row>
    <row r="87">
      <c r="A87" t="inlineStr">
        <is>
          <t>Guinea-Bissau (GW)</t>
        </is>
      </c>
      <c r="B87" s="393" t="n">
        <v>0.756</v>
      </c>
      <c r="E87" t="inlineStr">
        <is>
          <t>Guinea-Bissau (GW)</t>
        </is>
      </c>
      <c r="F87" s="143" t="n">
        <v>0.756</v>
      </c>
      <c r="G87" s="17">
        <f>IF(A87=E87,"OK","NOK")</f>
        <v/>
      </c>
      <c r="H87" s="17">
        <f>IF(B87=F87,"OK","NOK")</f>
        <v/>
      </c>
    </row>
    <row r="88">
      <c r="A88" t="inlineStr">
        <is>
          <t>Guyana (GY)</t>
        </is>
      </c>
      <c r="B88" s="393" t="n">
        <v>0.89</v>
      </c>
      <c r="E88" t="inlineStr">
        <is>
          <t>Guyana (GY)</t>
        </is>
      </c>
      <c r="F88" s="253" t="n">
        <v>0.89</v>
      </c>
      <c r="G88" s="17">
        <f>IF(A88=E88,"OK","NOK")</f>
        <v/>
      </c>
      <c r="H88" s="17">
        <f>IF(B88=F88,"OK","NOK")</f>
        <v/>
      </c>
    </row>
    <row r="89">
      <c r="A89" t="inlineStr">
        <is>
          <t>Haiti (HT)</t>
        </is>
      </c>
      <c r="B89" s="393" t="n">
        <v>1.078</v>
      </c>
      <c r="E89" t="inlineStr">
        <is>
          <t>Haiti (HT)</t>
        </is>
      </c>
      <c r="F89" s="143" t="n">
        <v>1.078</v>
      </c>
      <c r="G89" s="17">
        <f>IF(A89=E89,"OK","NOK")</f>
        <v/>
      </c>
      <c r="H89" s="17">
        <f>IF(B89=F89,"OK","NOK")</f>
        <v/>
      </c>
    </row>
    <row r="90">
      <c r="A90" t="inlineStr">
        <is>
          <t>Holy See (VA)</t>
        </is>
      </c>
      <c r="B90" s="393" t="n">
        <v>0.974</v>
      </c>
      <c r="E90" t="inlineStr">
        <is>
          <t>Holy See (VA)</t>
        </is>
      </c>
      <c r="F90" s="143" t="n">
        <v>0.974</v>
      </c>
      <c r="G90" s="17">
        <f>IF(A90=E90,"OK","NOK")</f>
        <v/>
      </c>
      <c r="H90" s="17">
        <f>IF(B90=F90,"OK","NOK")</f>
        <v/>
      </c>
    </row>
    <row r="91">
      <c r="A91" t="inlineStr">
        <is>
          <t>Honduras (HN)</t>
        </is>
      </c>
      <c r="B91" s="393" t="n">
        <v>0.851</v>
      </c>
      <c r="E91" t="inlineStr">
        <is>
          <t>Honduras (HN)</t>
        </is>
      </c>
      <c r="F91" s="143" t="n">
        <v>0.851</v>
      </c>
      <c r="G91" s="17">
        <f>IF(A91=E91,"OK","NOK")</f>
        <v/>
      </c>
      <c r="H91" s="17">
        <f>IF(B91=F91,"OK","NOK")</f>
        <v/>
      </c>
    </row>
    <row r="92">
      <c r="A92" t="inlineStr">
        <is>
          <t>Hong Kong (HK)</t>
        </is>
      </c>
      <c r="B92" s="393" t="n">
        <v>1.17</v>
      </c>
      <c r="E92" t="inlineStr">
        <is>
          <t>Hong Kong (HK)</t>
        </is>
      </c>
      <c r="F92" s="253" t="n">
        <v>1.17</v>
      </c>
      <c r="G92" s="17">
        <f>IF(A92=E92,"OK","NOK")</f>
        <v/>
      </c>
      <c r="H92" s="17">
        <f>IF(B92=F92,"OK","NOK")</f>
        <v/>
      </c>
    </row>
    <row r="93">
      <c r="A93" t="inlineStr">
        <is>
          <t>Iceland (IS)</t>
        </is>
      </c>
      <c r="B93" s="393" t="n">
        <v>1.389</v>
      </c>
      <c r="E93" t="inlineStr">
        <is>
          <t>Iceland (IS)</t>
        </is>
      </c>
      <c r="F93" s="143" t="n">
        <v>1.389</v>
      </c>
      <c r="G93" s="17">
        <f>IF(A93=E93,"OK","NOK")</f>
        <v/>
      </c>
      <c r="H93" s="17">
        <f>IF(B93=F93,"OK","NOK")</f>
        <v/>
      </c>
    </row>
    <row r="94">
      <c r="A94" t="inlineStr">
        <is>
          <t>India (IN)</t>
        </is>
      </c>
      <c r="B94" s="393" t="n">
        <v>0.913</v>
      </c>
      <c r="E94" t="inlineStr">
        <is>
          <t>India (IN)</t>
        </is>
      </c>
      <c r="F94" s="143" t="n">
        <v>0.913</v>
      </c>
      <c r="G94" s="17">
        <f>IF(A94=E94,"OK","NOK")</f>
        <v/>
      </c>
      <c r="H94" s="17">
        <f>IF(B94=F94,"OK","NOK")</f>
        <v/>
      </c>
    </row>
    <row r="95">
      <c r="A95" t="inlineStr">
        <is>
          <t>Indonesia (ID)</t>
        </is>
      </c>
      <c r="B95" s="393" t="n">
        <v>0.716</v>
      </c>
      <c r="E95" t="inlineStr">
        <is>
          <t>Indonesia (ID)</t>
        </is>
      </c>
      <c r="F95" s="143" t="n">
        <v>0.716</v>
      </c>
      <c r="G95" s="17">
        <f>IF(A95=E95,"OK","NOK")</f>
        <v/>
      </c>
      <c r="H95" s="17">
        <f>IF(B95=F95,"OK","NOK")</f>
        <v/>
      </c>
    </row>
    <row r="96">
      <c r="A96" t="inlineStr">
        <is>
          <t>Iran (Islamic Republic of) (IR)</t>
        </is>
      </c>
      <c r="B96" s="393" t="n">
        <v>1.358</v>
      </c>
      <c r="E96" t="inlineStr">
        <is>
          <t>Iran (Islamic Republic of) (IR)</t>
        </is>
      </c>
      <c r="F96" s="143" t="n">
        <v>1.358</v>
      </c>
      <c r="G96" s="17">
        <f>IF(A96=E96,"OK","NOK")</f>
        <v/>
      </c>
      <c r="H96" s="17">
        <f>IF(B96=F96,"OK","NOK")</f>
        <v/>
      </c>
    </row>
    <row r="97">
      <c r="A97" t="inlineStr">
        <is>
          <t>Isle of Man (IM)</t>
        </is>
      </c>
      <c r="B97" s="393" t="n">
        <v>1.369</v>
      </c>
      <c r="E97" t="inlineStr">
        <is>
          <t>Isle of Man (IM)</t>
        </is>
      </c>
      <c r="F97" s="143" t="n">
        <v>1.369</v>
      </c>
      <c r="G97" s="17">
        <f>IF(A97=E97,"OK","NOK")</f>
        <v/>
      </c>
      <c r="H97" s="17">
        <f>IF(B97=F97,"OK","NOK")</f>
        <v/>
      </c>
    </row>
    <row r="98">
      <c r="A98" t="inlineStr">
        <is>
          <t>Israel (IL)</t>
        </is>
      </c>
      <c r="B98" s="393" t="n">
        <v>1.215</v>
      </c>
      <c r="E98" t="inlineStr">
        <is>
          <t>Israel (IL)</t>
        </is>
      </c>
      <c r="F98" s="143" t="n">
        <v>1.215</v>
      </c>
      <c r="G98" s="17">
        <f>IF(A98=E98,"OK","NOK")</f>
        <v/>
      </c>
      <c r="H98" s="17">
        <f>IF(B98=F98,"OK","NOK")</f>
        <v/>
      </c>
    </row>
    <row r="99">
      <c r="A99" t="inlineStr">
        <is>
          <t>Jamaica (JM)</t>
        </is>
      </c>
      <c r="B99" s="393" t="n">
        <v>1.031</v>
      </c>
      <c r="E99" t="inlineStr">
        <is>
          <t>Jamaica (JM)</t>
        </is>
      </c>
      <c r="F99" s="143" t="n">
        <v>1.031</v>
      </c>
      <c r="G99" s="17">
        <f>IF(A99=E99,"OK","NOK")</f>
        <v/>
      </c>
      <c r="H99" s="17">
        <f>IF(B99=F99,"OK","NOK")</f>
        <v/>
      </c>
    </row>
    <row r="100">
      <c r="A100" t="inlineStr">
        <is>
          <t>Japan(JP)</t>
        </is>
      </c>
      <c r="B100" s="393" t="n">
        <v>1.61</v>
      </c>
      <c r="E100" t="inlineStr">
        <is>
          <t>Japan(JP)</t>
        </is>
      </c>
      <c r="F100" s="253" t="n">
        <v>1.61</v>
      </c>
      <c r="G100" s="17">
        <f>IF(A100=E100,"OK","NOK")</f>
        <v/>
      </c>
      <c r="H100" s="17">
        <f>IF(B100=F100,"OK","NOK")</f>
        <v/>
      </c>
    </row>
    <row r="101">
      <c r="A101" t="inlineStr">
        <is>
          <t>Jordan (JO)</t>
        </is>
      </c>
      <c r="B101" s="393" t="n">
        <v>0.928</v>
      </c>
      <c r="E101" t="inlineStr">
        <is>
          <t>Jordan (JO)</t>
        </is>
      </c>
      <c r="F101" s="143" t="n">
        <v>0.928</v>
      </c>
      <c r="G101" s="17">
        <f>IF(A101=E101,"OK","NOK")</f>
        <v/>
      </c>
      <c r="H101" s="17">
        <f>IF(B101=F101,"OK","NOK")</f>
        <v/>
      </c>
    </row>
    <row r="102">
      <c r="A102" t="inlineStr">
        <is>
          <t>Kazakhstan (KZ)</t>
        </is>
      </c>
      <c r="B102" s="393" t="n">
        <v>0.798</v>
      </c>
      <c r="E102" t="inlineStr">
        <is>
          <t>Kazakhstan (KZ)</t>
        </is>
      </c>
      <c r="F102" s="143" t="n">
        <v>0.798</v>
      </c>
      <c r="G102" s="17">
        <f>IF(A102=E102,"OK","NOK")</f>
        <v/>
      </c>
      <c r="H102" s="17">
        <f>IF(B102=F102,"OK","NOK")</f>
        <v/>
      </c>
    </row>
    <row r="103">
      <c r="A103" t="inlineStr">
        <is>
          <t>Kenya (KE)</t>
        </is>
      </c>
      <c r="B103" s="393" t="n">
        <v>0.908</v>
      </c>
      <c r="E103" t="inlineStr">
        <is>
          <t>Kenya (KE)</t>
        </is>
      </c>
      <c r="F103" s="143" t="n">
        <v>0.908</v>
      </c>
      <c r="G103" s="17">
        <f>IF(A103=E103,"OK","NOK")</f>
        <v/>
      </c>
      <c r="H103" s="17">
        <f>IF(B103=F103,"OK","NOK")</f>
        <v/>
      </c>
    </row>
    <row r="104">
      <c r="A104" t="inlineStr">
        <is>
          <t>Korea (Republic of) (KR)</t>
        </is>
      </c>
      <c r="B104" s="393" t="n">
        <v>1.279</v>
      </c>
      <c r="E104" t="inlineStr">
        <is>
          <t>Korea (Republic of) (KR)</t>
        </is>
      </c>
      <c r="F104" s="143" t="n">
        <v>1.279</v>
      </c>
      <c r="G104" s="17">
        <f>IF(A104=E104,"OK","NOK")</f>
        <v/>
      </c>
      <c r="H104" s="17">
        <f>IF(B104=F104,"OK","NOK")</f>
        <v/>
      </c>
    </row>
    <row r="105">
      <c r="A105" t="inlineStr">
        <is>
          <t>Kosovo * UN resolution (XK)</t>
        </is>
      </c>
      <c r="B105" s="393" t="n">
        <v>0.531</v>
      </c>
      <c r="E105" t="inlineStr">
        <is>
          <t>Kosovo * UN resolution (XK)</t>
        </is>
      </c>
      <c r="F105" s="143" t="n">
        <v>0.531</v>
      </c>
      <c r="G105" s="17">
        <f>IF(A105=E105,"OK","NOK")</f>
        <v/>
      </c>
      <c r="H105" s="17">
        <f>IF(B105=F105,"OK","NOK")</f>
        <v/>
      </c>
    </row>
    <row r="106">
      <c r="A106" t="inlineStr">
        <is>
          <t>Kyrgyzstan (KG)</t>
        </is>
      </c>
      <c r="B106" s="393" t="n">
        <v>0.797</v>
      </c>
      <c r="E106" t="inlineStr">
        <is>
          <t>Kyrgyzstan (KG)</t>
        </is>
      </c>
      <c r="F106" s="143" t="n">
        <v>0.797</v>
      </c>
      <c r="G106" s="17">
        <f>IF(A106=E106,"OK","NOK")</f>
        <v/>
      </c>
      <c r="H106" s="17">
        <f>IF(B106=F106,"OK","NOK")</f>
        <v/>
      </c>
    </row>
    <row r="107">
      <c r="A107" t="inlineStr">
        <is>
          <t>Lao (People's Democratic Republic) (LA)</t>
        </is>
      </c>
      <c r="B107" s="393" t="n">
        <v>0.643</v>
      </c>
      <c r="E107" t="inlineStr">
        <is>
          <t>Lao (People's Democratic Republic) (LA)</t>
        </is>
      </c>
      <c r="F107" s="143" t="n">
        <v>0.643</v>
      </c>
      <c r="G107" s="17">
        <f>IF(A107=E107,"OK","NOK")</f>
        <v/>
      </c>
      <c r="H107" s="17">
        <f>IF(B107=F107,"OK","NOK")</f>
        <v/>
      </c>
    </row>
    <row r="108">
      <c r="A108" t="inlineStr">
        <is>
          <t>Lebanon (LB)</t>
        </is>
      </c>
      <c r="B108" s="393" t="n">
        <v>1.162</v>
      </c>
      <c r="E108" t="inlineStr">
        <is>
          <t>Lebanon (LB)</t>
        </is>
      </c>
      <c r="F108" s="143" t="n">
        <v>1.162</v>
      </c>
      <c r="G108" s="17">
        <f>IF(A108=E108,"OK","NOK")</f>
        <v/>
      </c>
      <c r="H108" s="17">
        <f>IF(B108=F108,"OK","NOK")</f>
        <v/>
      </c>
    </row>
    <row r="109">
      <c r="A109" t="inlineStr">
        <is>
          <t>Lesotho (LS)</t>
        </is>
      </c>
      <c r="B109" s="393" t="n">
        <v>0.617</v>
      </c>
      <c r="E109" t="inlineStr">
        <is>
          <t>Lesotho (LS)</t>
        </is>
      </c>
      <c r="F109" s="143" t="n">
        <v>0.617</v>
      </c>
      <c r="G109" s="17">
        <f>IF(A109=E109,"OK","NOK")</f>
        <v/>
      </c>
      <c r="H109" s="17">
        <f>IF(B109=F109,"OK","NOK")</f>
        <v/>
      </c>
    </row>
    <row r="110">
      <c r="A110" t="inlineStr">
        <is>
          <t>Liberia (LR)</t>
        </is>
      </c>
      <c r="B110" s="393" t="n">
        <v>1.344</v>
      </c>
      <c r="E110" t="inlineStr">
        <is>
          <t>Liberia (LR)</t>
        </is>
      </c>
      <c r="F110" s="143" t="n">
        <v>1.344</v>
      </c>
      <c r="G110" s="17">
        <f>IF(A110=E110,"OK","NOK")</f>
        <v/>
      </c>
      <c r="H110" s="17">
        <f>IF(B110=F110,"OK","NOK")</f>
        <v/>
      </c>
    </row>
    <row r="111">
      <c r="A111" t="inlineStr">
        <is>
          <t>Liechtenstein (LI)</t>
        </is>
      </c>
      <c r="B111" s="393" t="n">
        <v>1.51</v>
      </c>
      <c r="E111" t="inlineStr">
        <is>
          <t>Liechtenstein (LI)</t>
        </is>
      </c>
      <c r="F111" s="253" t="n">
        <v>1.51</v>
      </c>
      <c r="G111" s="17">
        <f>IF(A111=E111,"OK","NOK")</f>
        <v/>
      </c>
      <c r="H111" s="17">
        <f>IF(B111=F111,"OK","NOK")</f>
        <v/>
      </c>
    </row>
    <row r="112">
      <c r="A112" t="inlineStr">
        <is>
          <t>Madagascar (MG)</t>
        </is>
      </c>
      <c r="B112" s="393" t="n">
        <v>0.841</v>
      </c>
      <c r="E112" t="inlineStr">
        <is>
          <t>Madagascar (MG)</t>
        </is>
      </c>
      <c r="F112" s="143" t="n">
        <v>0.841</v>
      </c>
      <c r="G112" s="17">
        <f>IF(A112=E112,"OK","NOK")</f>
        <v/>
      </c>
      <c r="H112" s="17">
        <f>IF(B112=F112,"OK","NOK")</f>
        <v/>
      </c>
    </row>
    <row r="113">
      <c r="A113" t="inlineStr">
        <is>
          <t>Malawi (MW)</t>
        </is>
      </c>
      <c r="B113" s="393" t="n">
        <v>0.723</v>
      </c>
      <c r="E113" t="inlineStr">
        <is>
          <t>Malawi (MW)</t>
        </is>
      </c>
      <c r="F113" s="143" t="n">
        <v>0.723</v>
      </c>
      <c r="G113" s="17">
        <f>IF(A113=E113,"OK","NOK")</f>
        <v/>
      </c>
      <c r="H113" s="17">
        <f>IF(B113=F113,"OK","NOK")</f>
        <v/>
      </c>
    </row>
    <row r="114">
      <c r="A114" t="inlineStr">
        <is>
          <t>Malaysia (MY)</t>
        </is>
      </c>
      <c r="B114" s="393" t="n">
        <v>0.786</v>
      </c>
      <c r="E114" t="inlineStr">
        <is>
          <t>Malaysia (MY)</t>
        </is>
      </c>
      <c r="F114" s="143" t="n">
        <v>0.786</v>
      </c>
      <c r="G114" s="17">
        <f>IF(A114=E114,"OK","NOK")</f>
        <v/>
      </c>
      <c r="H114" s="17">
        <f>IF(B114=F114,"OK","NOK")</f>
        <v/>
      </c>
    </row>
    <row r="115">
      <c r="A115" t="inlineStr">
        <is>
          <t>Maldives (MV)</t>
        </is>
      </c>
      <c r="B115" s="393" t="n">
        <v>0.913</v>
      </c>
      <c r="E115" t="inlineStr">
        <is>
          <t>Maldives (MV)</t>
        </is>
      </c>
      <c r="F115" s="143" t="n">
        <v>0.913</v>
      </c>
      <c r="G115" s="17">
        <f>IF(A115=E115,"OK","NOK")</f>
        <v/>
      </c>
      <c r="H115" s="17">
        <f>IF(B115=F115,"OK","NOK")</f>
        <v/>
      </c>
    </row>
    <row r="116">
      <c r="A116" t="inlineStr">
        <is>
          <t>Mali (ML)</t>
        </is>
      </c>
      <c r="B116" s="393" t="n">
        <v>0.906</v>
      </c>
      <c r="E116" t="inlineStr">
        <is>
          <t>Mali (ML)</t>
        </is>
      </c>
      <c r="F116" s="143" t="n">
        <v>0.906</v>
      </c>
      <c r="G116" s="17">
        <f>IF(A116=E116,"OK","NOK")</f>
        <v/>
      </c>
      <c r="H116" s="17">
        <f>IF(B116=F116,"OK","NOK")</f>
        <v/>
      </c>
    </row>
    <row r="117">
      <c r="A117" t="inlineStr">
        <is>
          <t>Mauritania (MR)</t>
        </is>
      </c>
      <c r="B117" s="393" t="n">
        <v>0.85</v>
      </c>
      <c r="E117" t="inlineStr">
        <is>
          <t>Mauritania (MR)</t>
        </is>
      </c>
      <c r="F117" s="253" t="n">
        <v>0.85</v>
      </c>
      <c r="G117" s="17">
        <f>IF(A117=E117,"OK","NOK")</f>
        <v/>
      </c>
      <c r="H117" s="17">
        <f>IF(B117=F117,"OK","NOK")</f>
        <v/>
      </c>
    </row>
    <row r="118">
      <c r="A118" t="inlineStr">
        <is>
          <t>Mauritius (MU)</t>
        </is>
      </c>
      <c r="B118" s="393" t="n">
        <v>0.747</v>
      </c>
      <c r="E118" t="inlineStr">
        <is>
          <t>Mauritius (MU)</t>
        </is>
      </c>
      <c r="F118" s="143" t="n">
        <v>0.747</v>
      </c>
      <c r="G118" s="17">
        <f>IF(A118=E118,"OK","NOK")</f>
        <v/>
      </c>
      <c r="H118" s="17">
        <f>IF(B118=F118,"OK","NOK")</f>
        <v/>
      </c>
    </row>
    <row r="119">
      <c r="A119" t="inlineStr">
        <is>
          <t>Mexico (MX)</t>
        </is>
      </c>
      <c r="B119" s="393" t="n">
        <v>0.717</v>
      </c>
      <c r="E119" t="inlineStr">
        <is>
          <t>Mexico (MX)</t>
        </is>
      </c>
      <c r="F119" s="143" t="n">
        <v>0.717</v>
      </c>
      <c r="G119" s="17">
        <f>IF(A119=E119,"OK","NOK")</f>
        <v/>
      </c>
      <c r="H119" s="17">
        <f>IF(B119=F119,"OK","NOK")</f>
        <v/>
      </c>
    </row>
    <row r="120">
      <c r="A120" t="inlineStr">
        <is>
          <t>Moldova (Republic of) (MD)</t>
        </is>
      </c>
      <c r="B120" s="393" t="n">
        <v>0.8080000000000001</v>
      </c>
      <c r="E120" t="inlineStr">
        <is>
          <t>Moldova (Republic of) (MD)</t>
        </is>
      </c>
      <c r="F120" s="143" t="n">
        <v>0.8080000000000001</v>
      </c>
      <c r="G120" s="17">
        <f>IF(A120=E120,"OK","NOK")</f>
        <v/>
      </c>
      <c r="H120" s="17">
        <f>IF(B120=F120,"OK","NOK")</f>
        <v/>
      </c>
    </row>
    <row r="121">
      <c r="A121" t="inlineStr">
        <is>
          <t>Montenegro (ME)</t>
        </is>
      </c>
      <c r="B121" s="393" t="n">
        <v>0.575</v>
      </c>
      <c r="E121" t="inlineStr">
        <is>
          <t>Montenegro (ME)</t>
        </is>
      </c>
      <c r="F121" s="143" t="n">
        <v>0.575</v>
      </c>
      <c r="G121" s="17">
        <f>IF(A121=E121,"OK","NOK")</f>
        <v/>
      </c>
      <c r="H121" s="17">
        <f>IF(B121=F121,"OK","NOK")</f>
        <v/>
      </c>
    </row>
    <row r="122">
      <c r="A122" t="inlineStr">
        <is>
          <t>Morocco (MA)</t>
        </is>
      </c>
      <c r="B122" s="393" t="n">
        <v>0.8080000000000001</v>
      </c>
      <c r="E122" t="inlineStr">
        <is>
          <t>Morocco (MA)</t>
        </is>
      </c>
      <c r="F122" s="143" t="n">
        <v>0.8080000000000001</v>
      </c>
      <c r="G122" s="17">
        <f>IF(A122=E122,"OK","NOK")</f>
        <v/>
      </c>
      <c r="H122" s="17">
        <f>IF(B122=F122,"OK","NOK")</f>
        <v/>
      </c>
    </row>
    <row r="123">
      <c r="A123" t="inlineStr">
        <is>
          <t>Mozambique (MZ)</t>
        </is>
      </c>
      <c r="B123" s="393" t="n">
        <v>1.022</v>
      </c>
      <c r="E123" t="inlineStr">
        <is>
          <t>Mozambique (MZ)</t>
        </is>
      </c>
      <c r="F123" s="143" t="n">
        <v>1.022</v>
      </c>
      <c r="G123" s="17">
        <f>IF(A123=E123,"OK","NOK")</f>
        <v/>
      </c>
      <c r="H123" s="17">
        <f>IF(B123=F123,"OK","NOK")</f>
        <v/>
      </c>
    </row>
    <row r="124">
      <c r="A124" t="inlineStr">
        <is>
          <t>Myanmar (MM)</t>
        </is>
      </c>
      <c r="B124" s="393" t="n">
        <v>0.666</v>
      </c>
      <c r="E124" t="inlineStr">
        <is>
          <t>Myanmar (MM)</t>
        </is>
      </c>
      <c r="F124" s="143" t="n">
        <v>0.666</v>
      </c>
      <c r="G124" s="17">
        <f>IF(A124=E124,"OK","NOK")</f>
        <v/>
      </c>
      <c r="H124" s="17">
        <f>IF(B124=F124,"OK","NOK")</f>
        <v/>
      </c>
    </row>
    <row r="125">
      <c r="A125" t="inlineStr">
        <is>
          <t>Namibia (NA)</t>
        </is>
      </c>
      <c r="B125" s="393" t="n">
        <v>0.742</v>
      </c>
      <c r="E125" t="inlineStr">
        <is>
          <t>Namibia (NA)</t>
        </is>
      </c>
      <c r="F125" s="143" t="n">
        <v>0.742</v>
      </c>
      <c r="G125" s="17">
        <f>IF(A125=E125,"OK","NOK")</f>
        <v/>
      </c>
      <c r="H125" s="17">
        <f>IF(B125=F125,"OK","NOK")</f>
        <v/>
      </c>
    </row>
    <row r="126">
      <c r="A126" t="inlineStr">
        <is>
          <t>Nepal (NP)</t>
        </is>
      </c>
      <c r="B126" s="393" t="n">
        <v>0.701</v>
      </c>
      <c r="E126" t="inlineStr">
        <is>
          <t>Nepal (NP)</t>
        </is>
      </c>
      <c r="F126" s="143" t="n">
        <v>0.701</v>
      </c>
      <c r="G126" s="17">
        <f>IF(A126=E126,"OK","NOK")</f>
        <v/>
      </c>
      <c r="H126" s="17">
        <f>IF(B126=F126,"OK","NOK")</f>
        <v/>
      </c>
    </row>
    <row r="127">
      <c r="A127" t="inlineStr">
        <is>
          <t>Netherlands Antilles (AN)</t>
        </is>
      </c>
      <c r="B127" s="393" t="n">
        <v>1.096</v>
      </c>
      <c r="E127" t="inlineStr">
        <is>
          <t>Netherlands Antilles (AN)</t>
        </is>
      </c>
      <c r="F127" s="143" t="n">
        <v>1.096</v>
      </c>
      <c r="G127" s="17">
        <f>IF(A127=E127,"OK","NOK")</f>
        <v/>
      </c>
      <c r="H127" s="17">
        <f>IF(B127=F127,"OK","NOK")</f>
        <v/>
      </c>
    </row>
    <row r="128">
      <c r="A128" t="inlineStr">
        <is>
          <t>New Caledonia (NC)</t>
        </is>
      </c>
      <c r="B128" s="393" t="n">
        <v>0.985</v>
      </c>
      <c r="E128" t="inlineStr">
        <is>
          <t>New Caledonia (NC)</t>
        </is>
      </c>
      <c r="F128" s="143" t="n">
        <v>0.985</v>
      </c>
      <c r="G128" s="17">
        <f>IF(A128=E128,"OK","NOK")</f>
        <v/>
      </c>
      <c r="H128" s="17">
        <f>IF(B128=F128,"OK","NOK")</f>
        <v/>
      </c>
    </row>
    <row r="129">
      <c r="A129" t="inlineStr">
        <is>
          <t>New Zealand (NZ)</t>
        </is>
      </c>
      <c r="B129" s="393" t="n">
        <v>1.005</v>
      </c>
      <c r="E129" t="inlineStr">
        <is>
          <t>New Zealand (NZ)</t>
        </is>
      </c>
      <c r="F129" s="143" t="n">
        <v>1.005</v>
      </c>
      <c r="G129" s="17">
        <f>IF(A129=E129,"OK","NOK")</f>
        <v/>
      </c>
      <c r="H129" s="17">
        <f>IF(B129=F129,"OK","NOK")</f>
        <v/>
      </c>
    </row>
    <row r="130">
      <c r="A130" t="inlineStr">
        <is>
          <t>Nicaragua (NI)</t>
        </is>
      </c>
      <c r="B130" s="393" t="n">
        <v>0.865</v>
      </c>
      <c r="E130" t="inlineStr">
        <is>
          <t>Nicaragua (NI)</t>
        </is>
      </c>
      <c r="F130" s="143" t="n">
        <v>0.865</v>
      </c>
      <c r="G130" s="17">
        <f>IF(A130=E130,"OK","NOK")</f>
        <v/>
      </c>
      <c r="H130" s="17">
        <f>IF(B130=F130,"OK","NOK")</f>
        <v/>
      </c>
    </row>
    <row r="131">
      <c r="A131" t="inlineStr">
        <is>
          <t>Niger (NE)</t>
        </is>
      </c>
      <c r="B131" s="393" t="n">
        <v>0.821</v>
      </c>
      <c r="E131" t="inlineStr">
        <is>
          <t>Niger (NE)</t>
        </is>
      </c>
      <c r="F131" s="143" t="n">
        <v>0.821</v>
      </c>
      <c r="G131" s="17">
        <f>IF(A131=E131,"OK","NOK")</f>
        <v/>
      </c>
      <c r="H131" s="17">
        <f>IF(B131=F131,"OK","NOK")</f>
        <v/>
      </c>
    </row>
    <row r="132">
      <c r="A132" t="inlineStr">
        <is>
          <t>Nigeria (NG)</t>
        </is>
      </c>
      <c r="B132" s="393" t="n">
        <v>0.771</v>
      </c>
      <c r="E132" t="inlineStr">
        <is>
          <t>Nigeria (NG)</t>
        </is>
      </c>
      <c r="F132" s="143" t="n">
        <v>0.771</v>
      </c>
      <c r="G132" s="17">
        <f>IF(A132=E132,"OK","NOK")</f>
        <v/>
      </c>
      <c r="H132" s="17">
        <f>IF(B132=F132,"OK","NOK")</f>
        <v/>
      </c>
    </row>
    <row r="133">
      <c r="A133" t="inlineStr">
        <is>
          <t>North Macedonia (MK)</t>
        </is>
      </c>
      <c r="B133" s="393" t="n">
        <v>0.495</v>
      </c>
      <c r="E133" t="inlineStr">
        <is>
          <t>North Macedonia (MK)</t>
        </is>
      </c>
      <c r="F133" s="143" t="n">
        <v>0.495</v>
      </c>
      <c r="G133" s="17">
        <f>IF(A133=E133,"OK","NOK")</f>
        <v/>
      </c>
      <c r="H133" s="17">
        <f>IF(B133=F133,"OK","NOK")</f>
        <v/>
      </c>
    </row>
    <row r="134">
      <c r="A134" t="inlineStr">
        <is>
          <t>Norway (NO)</t>
        </is>
      </c>
      <c r="B134" s="393" t="n">
        <v>1.356</v>
      </c>
      <c r="E134" t="inlineStr">
        <is>
          <t>Norway (NO)</t>
        </is>
      </c>
      <c r="F134" s="143" t="n">
        <v>1.356</v>
      </c>
      <c r="G134" s="17">
        <f>IF(A134=E134,"OK","NOK")</f>
        <v/>
      </c>
      <c r="H134" s="17">
        <f>IF(B134=F134,"OK","NOK")</f>
        <v/>
      </c>
    </row>
    <row r="135">
      <c r="A135" t="inlineStr">
        <is>
          <t>Pakistan (PK)</t>
        </is>
      </c>
      <c r="B135" s="393" t="n">
        <v>0.6919999999999999</v>
      </c>
      <c r="E135" t="inlineStr">
        <is>
          <t>Pakistan (PK)</t>
        </is>
      </c>
      <c r="F135" s="143" t="n">
        <v>0.6919999999999999</v>
      </c>
      <c r="G135" s="17">
        <f>IF(A135=E135,"OK","NOK")</f>
        <v/>
      </c>
      <c r="H135" s="17">
        <f>IF(B135=F135,"OK","NOK")</f>
        <v/>
      </c>
    </row>
    <row r="136">
      <c r="A136" t="inlineStr">
        <is>
          <t>Palestine (PS)</t>
        </is>
      </c>
      <c r="B136" s="393" t="n">
        <v>1.215</v>
      </c>
      <c r="E136" t="inlineStr">
        <is>
          <t>Palestine (PS)</t>
        </is>
      </c>
      <c r="F136" s="143" t="n">
        <v>1.215</v>
      </c>
      <c r="G136" s="17">
        <f>IF(A136=E136,"OK","NOK")</f>
        <v/>
      </c>
      <c r="H136" s="17">
        <f>IF(B136=F136,"OK","NOK")</f>
        <v/>
      </c>
    </row>
    <row r="137">
      <c r="A137" t="inlineStr">
        <is>
          <t>Panama (PA)</t>
        </is>
      </c>
      <c r="B137" s="393" t="n">
        <v>0.993</v>
      </c>
      <c r="E137" t="inlineStr">
        <is>
          <t>Panama (PA)</t>
        </is>
      </c>
      <c r="F137" s="143" t="n">
        <v>0.993</v>
      </c>
      <c r="G137" s="17">
        <f>IF(A137=E137,"OK","NOK")</f>
        <v/>
      </c>
      <c r="H137" s="17">
        <f>IF(B137=F137,"OK","NOK")</f>
        <v/>
      </c>
    </row>
    <row r="138">
      <c r="A138" t="inlineStr">
        <is>
          <t>Papua New Guinea (PG)</t>
        </is>
      </c>
      <c r="B138" s="393" t="n">
        <v>1</v>
      </c>
      <c r="E138" t="inlineStr">
        <is>
          <t>Papua New Guinea (PG)</t>
        </is>
      </c>
      <c r="F138" s="253" t="n">
        <v>1</v>
      </c>
      <c r="G138" s="17">
        <f>IF(A138=E138,"OK","NOK")</f>
        <v/>
      </c>
      <c r="H138" s="17">
        <f>IF(B138=F138,"OK","NOK")</f>
        <v/>
      </c>
    </row>
    <row r="139">
      <c r="A139" t="inlineStr">
        <is>
          <t>Paraguay (PY)</t>
        </is>
      </c>
      <c r="B139" s="393" t="n">
        <v>0.632</v>
      </c>
      <c r="E139" t="inlineStr">
        <is>
          <t>Paraguay (PY)</t>
        </is>
      </c>
      <c r="F139" s="143" t="n">
        <v>0.632</v>
      </c>
      <c r="G139" s="17">
        <f>IF(A139=E139,"OK","NOK")</f>
        <v/>
      </c>
      <c r="H139" s="17">
        <f>IF(B139=F139,"OK","NOK")</f>
        <v/>
      </c>
    </row>
    <row r="140">
      <c r="A140" t="inlineStr">
        <is>
          <t>Peru (PE)</t>
        </is>
      </c>
      <c r="B140" s="393" t="n">
        <v>0.872</v>
      </c>
      <c r="E140" t="inlineStr">
        <is>
          <t>Peru (PE)</t>
        </is>
      </c>
      <c r="F140" s="143" t="n">
        <v>0.872</v>
      </c>
      <c r="G140" s="17">
        <f>IF(A140=E140,"OK","NOK")</f>
        <v/>
      </c>
      <c r="H140" s="17">
        <f>IF(B140=F140,"OK","NOK")</f>
        <v/>
      </c>
    </row>
    <row r="141">
      <c r="A141" t="inlineStr">
        <is>
          <t>Philippines (PH)</t>
        </is>
      </c>
      <c r="B141" s="393" t="n">
        <v>0.889</v>
      </c>
      <c r="E141" t="inlineStr">
        <is>
          <t>Philippines (PH)</t>
        </is>
      </c>
      <c r="F141" s="143" t="n">
        <v>0.889</v>
      </c>
      <c r="G141" s="17">
        <f>IF(A141=E141,"OK","NOK")</f>
        <v/>
      </c>
      <c r="H141" s="17">
        <f>IF(B141=F141,"OK","NOK")</f>
        <v/>
      </c>
    </row>
    <row r="142">
      <c r="A142" t="inlineStr">
        <is>
          <t>Qatar (QA)</t>
        </is>
      </c>
      <c r="B142" s="393" t="n">
        <v>0.955</v>
      </c>
      <c r="E142" t="inlineStr">
        <is>
          <t>Qatar (QA)</t>
        </is>
      </c>
      <c r="F142" s="143" t="n">
        <v>0.955</v>
      </c>
      <c r="G142" s="17">
        <f>IF(A142=E142,"OK","NOK")</f>
        <v/>
      </c>
      <c r="H142" s="17">
        <f>IF(B142=F142,"OK","NOK")</f>
        <v/>
      </c>
    </row>
    <row r="143">
      <c r="A143" t="inlineStr">
        <is>
          <t>Russian Federation (RU)</t>
        </is>
      </c>
      <c r="B143" s="393" t="n">
        <v>1.105</v>
      </c>
      <c r="E143" t="inlineStr">
        <is>
          <t>Russian Federation (RU)</t>
        </is>
      </c>
      <c r="F143" s="143" t="n">
        <v>1.105</v>
      </c>
      <c r="G143" s="17">
        <f>IF(A143=E143,"OK","NOK")</f>
        <v/>
      </c>
      <c r="H143" s="17">
        <f>IF(B143=F143,"OK","NOK")</f>
        <v/>
      </c>
    </row>
    <row r="144">
      <c r="A144" t="inlineStr">
        <is>
          <t>Rwanda (RW)</t>
        </is>
      </c>
      <c r="B144" s="393" t="n">
        <v>0.842</v>
      </c>
      <c r="E144" t="inlineStr">
        <is>
          <t>Rwanda (RW)</t>
        </is>
      </c>
      <c r="F144" s="143" t="n">
        <v>0.842</v>
      </c>
      <c r="G144" s="17">
        <f>IF(A144=E144,"OK","NOK")</f>
        <v/>
      </c>
      <c r="H144" s="17">
        <f>IF(B144=F144,"OK","NOK")</f>
        <v/>
      </c>
    </row>
    <row r="145">
      <c r="A145" t="inlineStr">
        <is>
          <t>Saint Barthélemy (BL)</t>
        </is>
      </c>
      <c r="B145" s="393" t="n">
        <v>1.181</v>
      </c>
      <c r="E145" t="inlineStr">
        <is>
          <t>Saint Barthélemy (BL)</t>
        </is>
      </c>
      <c r="F145" s="143" t="n">
        <v>1.181</v>
      </c>
      <c r="G145" s="17">
        <f>IF(A145=E145,"OK","NOK")</f>
        <v/>
      </c>
      <c r="H145" s="17">
        <f>IF(B145=F145,"OK","NOK")</f>
        <v/>
      </c>
    </row>
    <row r="146">
      <c r="A146" t="inlineStr">
        <is>
          <t>Saint Pierre and Miquelon (PM)</t>
        </is>
      </c>
      <c r="B146" s="393" t="n">
        <v>1.181</v>
      </c>
      <c r="E146" t="inlineStr">
        <is>
          <t>Saint Pierre and Miquelon (PM)</t>
        </is>
      </c>
      <c r="F146" s="143" t="n">
        <v>1.181</v>
      </c>
      <c r="G146" s="17">
        <f>IF(A146=E146,"OK","NOK")</f>
        <v/>
      </c>
      <c r="H146" s="17">
        <f>IF(B146=F146,"OK","NOK")</f>
        <v/>
      </c>
    </row>
    <row r="147">
      <c r="A147" t="inlineStr">
        <is>
          <t>Samoa (WS)</t>
        </is>
      </c>
      <c r="B147" s="393" t="n">
        <v>0.822</v>
      </c>
      <c r="E147" t="inlineStr">
        <is>
          <t>Samoa (WS)</t>
        </is>
      </c>
      <c r="F147" s="143" t="n">
        <v>0.822</v>
      </c>
      <c r="G147" s="17">
        <f>IF(A147=E147,"OK","NOK")</f>
        <v/>
      </c>
      <c r="H147" s="17">
        <f>IF(B147=F147,"OK","NOK")</f>
        <v/>
      </c>
    </row>
    <row r="148">
      <c r="A148" t="inlineStr">
        <is>
          <t>Sao Tome and Principe (ST)</t>
        </is>
      </c>
      <c r="B148" s="393" t="n">
        <v>1.077</v>
      </c>
      <c r="E148" t="inlineStr">
        <is>
          <t>Sao Tome and Principe (ST)</t>
        </is>
      </c>
      <c r="F148" s="143" t="n">
        <v>1.077</v>
      </c>
      <c r="G148" s="17">
        <f>IF(A148=E148,"OK","NOK")</f>
        <v/>
      </c>
      <c r="H148" s="17">
        <f>IF(B148=F148,"OK","NOK")</f>
        <v/>
      </c>
    </row>
    <row r="149">
      <c r="A149" t="inlineStr">
        <is>
          <t>Saudi Arabia (SA)</t>
        </is>
      </c>
      <c r="B149" s="393" t="n">
        <v>0.9419999999999999</v>
      </c>
      <c r="E149" t="inlineStr">
        <is>
          <t>Saudi Arabia (SA)</t>
        </is>
      </c>
      <c r="F149" s="143" t="n">
        <v>0.9419999999999999</v>
      </c>
      <c r="G149" s="17">
        <f>IF(A149=E149,"OK","NOK")</f>
        <v/>
      </c>
      <c r="H149" s="17">
        <f>IF(B149=F149,"OK","NOK")</f>
        <v/>
      </c>
    </row>
    <row r="150">
      <c r="A150" t="inlineStr">
        <is>
          <t>Senegal (SN)</t>
        </is>
      </c>
      <c r="B150" s="393" t="n">
        <v>0.86</v>
      </c>
      <c r="E150" t="inlineStr">
        <is>
          <t>Senegal (SN)</t>
        </is>
      </c>
      <c r="F150" s="253" t="n">
        <v>0.86</v>
      </c>
      <c r="G150" s="17">
        <f>IF(A150=E150,"OK","NOK")</f>
        <v/>
      </c>
      <c r="H150" s="17">
        <f>IF(B150=F150,"OK","NOK")</f>
        <v/>
      </c>
    </row>
    <row r="151">
      <c r="A151" t="inlineStr">
        <is>
          <t>Serbia (RS)</t>
        </is>
      </c>
      <c r="B151" s="393" t="n">
        <v>0.725</v>
      </c>
      <c r="E151" t="inlineStr">
        <is>
          <t>Serbia (RS)</t>
        </is>
      </c>
      <c r="F151" s="143" t="n">
        <v>0.725</v>
      </c>
      <c r="G151" s="17">
        <f>IF(A151=E151,"OK","NOK")</f>
        <v/>
      </c>
      <c r="H151" s="17">
        <f>IF(B151=F151,"OK","NOK")</f>
        <v/>
      </c>
    </row>
    <row r="152">
      <c r="A152" t="inlineStr">
        <is>
          <t>Sierra Leone (SL)</t>
        </is>
      </c>
      <c r="B152" s="393" t="n">
        <v>0.926</v>
      </c>
      <c r="E152" t="inlineStr">
        <is>
          <t>Sierra Leone (SL)</t>
        </is>
      </c>
      <c r="F152" s="143" t="n">
        <v>0.926</v>
      </c>
      <c r="G152" s="17">
        <f>IF(A152=E152,"OK","NOK")</f>
        <v/>
      </c>
      <c r="H152" s="17">
        <f>IF(B152=F152,"OK","NOK")</f>
        <v/>
      </c>
    </row>
    <row r="153">
      <c r="A153" t="inlineStr">
        <is>
          <t>Singapore (SG)</t>
        </is>
      </c>
      <c r="B153" s="393" t="n">
        <v>1.214</v>
      </c>
      <c r="E153" t="inlineStr">
        <is>
          <t>Singapore (SG)</t>
        </is>
      </c>
      <c r="F153" s="143" t="n">
        <v>1.214</v>
      </c>
      <c r="G153" s="17">
        <f>IF(A153=E153,"OK","NOK")</f>
        <v/>
      </c>
      <c r="H153" s="17">
        <f>IF(B153=F153,"OK","NOK")</f>
        <v/>
      </c>
    </row>
    <row r="154">
      <c r="A154" t="inlineStr">
        <is>
          <t>Sint Maarten (SX)</t>
        </is>
      </c>
      <c r="B154" s="393" t="n">
        <v>1.116</v>
      </c>
      <c r="E154" t="inlineStr">
        <is>
          <t>Sint Maarten (SX)</t>
        </is>
      </c>
      <c r="F154" s="143" t="n">
        <v>1.116</v>
      </c>
      <c r="G154" s="17">
        <f>IF(A154=E154,"OK","NOK")</f>
        <v/>
      </c>
      <c r="H154" s="17">
        <f>IF(B154=F154,"OK","NOK")</f>
        <v/>
      </c>
    </row>
    <row r="155">
      <c r="A155" t="inlineStr">
        <is>
          <t>Solomon Islands (SB)</t>
        </is>
      </c>
      <c r="B155" s="393" t="n">
        <v>1.127</v>
      </c>
      <c r="E155" t="inlineStr">
        <is>
          <t>Solomon Islands (SB)</t>
        </is>
      </c>
      <c r="F155" s="143" t="n">
        <v>1.127</v>
      </c>
      <c r="G155" s="17">
        <f>IF(A155=E155,"OK","NOK")</f>
        <v/>
      </c>
      <c r="H155" s="17">
        <f>IF(B155=F155,"OK","NOK")</f>
        <v/>
      </c>
    </row>
    <row r="156">
      <c r="A156" t="inlineStr">
        <is>
          <t>South Africa (ZA)</t>
        </is>
      </c>
      <c r="B156" s="393" t="n">
        <v>0.63</v>
      </c>
      <c r="E156" t="inlineStr">
        <is>
          <t>South Africa (ZA)</t>
        </is>
      </c>
      <c r="F156" s="253" t="n">
        <v>0.63</v>
      </c>
      <c r="G156" s="17">
        <f>IF(A156=E156,"OK","NOK")</f>
        <v/>
      </c>
      <c r="H156" s="17">
        <f>IF(B156=F156,"OK","NOK")</f>
        <v/>
      </c>
    </row>
    <row r="157">
      <c r="A157" t="inlineStr">
        <is>
          <t>Sri Lanka (LK)</t>
        </is>
      </c>
      <c r="B157" s="393" t="n">
        <v>0.727</v>
      </c>
      <c r="E157" t="inlineStr">
        <is>
          <t>Sri Lanka (LK)</t>
        </is>
      </c>
      <c r="F157" s="143" t="n">
        <v>0.727</v>
      </c>
      <c r="G157" s="17">
        <f>IF(A157=E157,"OK","NOK")</f>
        <v/>
      </c>
      <c r="H157" s="17">
        <f>IF(B157=F157,"OK","NOK")</f>
        <v/>
      </c>
    </row>
    <row r="158">
      <c r="A158" t="inlineStr">
        <is>
          <t>Sudan (SD)</t>
        </is>
      </c>
      <c r="B158" s="393" t="n">
        <v>0.833</v>
      </c>
      <c r="E158" t="inlineStr">
        <is>
          <t>Sudan (SD)</t>
        </is>
      </c>
      <c r="F158" s="143" t="n">
        <v>0.833</v>
      </c>
      <c r="G158" s="17">
        <f>IF(A158=E158,"OK","NOK")</f>
        <v/>
      </c>
      <c r="H158" s="17">
        <f>IF(B158=F158,"OK","NOK")</f>
        <v/>
      </c>
    </row>
    <row r="159">
      <c r="A159" t="inlineStr">
        <is>
          <t>Suriname (SR)</t>
        </is>
      </c>
      <c r="B159" s="393" t="n">
        <v>0.6909999999999999</v>
      </c>
      <c r="E159" t="inlineStr">
        <is>
          <t>Suriname (SR)</t>
        </is>
      </c>
      <c r="F159" s="143" t="n">
        <v>0.6909999999999999</v>
      </c>
      <c r="G159" s="17">
        <f>IF(A159=E159,"OK","NOK")</f>
        <v/>
      </c>
      <c r="H159" s="17">
        <f>IF(B159=F159,"OK","NOK")</f>
        <v/>
      </c>
    </row>
    <row r="160">
      <c r="A160" t="inlineStr">
        <is>
          <t>Switzerland (CH)</t>
        </is>
      </c>
      <c r="B160" s="393" t="n">
        <v>1.638</v>
      </c>
      <c r="E160" t="inlineStr">
        <is>
          <t>Switzerland (CH)</t>
        </is>
      </c>
      <c r="F160" s="143" t="n">
        <v>1.638</v>
      </c>
      <c r="G160" s="17">
        <f>IF(A160=E160,"OK","NOK")</f>
        <v/>
      </c>
      <c r="H160" s="17">
        <f>IF(B160=F160,"OK","NOK")</f>
        <v/>
      </c>
    </row>
    <row r="161">
      <c r="A161" t="inlineStr">
        <is>
          <t>Taiwan (TW)</t>
        </is>
      </c>
      <c r="B161" s="393" t="n">
        <v>0.819</v>
      </c>
      <c r="E161" t="inlineStr">
        <is>
          <t>Taiwan (TW)</t>
        </is>
      </c>
      <c r="F161" s="143" t="n">
        <v>0.819</v>
      </c>
      <c r="G161" s="17">
        <f>IF(A161=E161,"OK","NOK")</f>
        <v/>
      </c>
      <c r="H161" s="17">
        <f>IF(B161=F161,"OK","NOK")</f>
        <v/>
      </c>
    </row>
    <row r="162">
      <c r="A162" t="inlineStr">
        <is>
          <t>Tajikistan (TJ)</t>
        </is>
      </c>
      <c r="B162" s="393" t="n">
        <v>0.711</v>
      </c>
      <c r="E162" t="inlineStr">
        <is>
          <t>Tajikistan (TJ)</t>
        </is>
      </c>
      <c r="F162" s="143" t="n">
        <v>0.711</v>
      </c>
      <c r="G162" s="17">
        <f>IF(A162=E162,"OK","NOK")</f>
        <v/>
      </c>
      <c r="H162" s="17">
        <f>IF(B162=F162,"OK","NOK")</f>
        <v/>
      </c>
    </row>
    <row r="163">
      <c r="A163" t="inlineStr">
        <is>
          <t>Tanzania (United Republic of) (TZ)</t>
        </is>
      </c>
      <c r="B163" s="393" t="n">
        <v>0.923</v>
      </c>
      <c r="E163" t="inlineStr">
        <is>
          <t>Tanzania (United Republic of) (TZ)</t>
        </is>
      </c>
      <c r="F163" s="143" t="n">
        <v>0.923</v>
      </c>
      <c r="G163" s="17">
        <f>IF(A163=E163,"OK","NOK")</f>
        <v/>
      </c>
      <c r="H163" s="17">
        <f>IF(B163=F163,"OK","NOK")</f>
        <v/>
      </c>
    </row>
    <row r="164">
      <c r="A164" t="inlineStr">
        <is>
          <t>Thailand (TH)</t>
        </is>
      </c>
      <c r="B164" s="393" t="n">
        <v>0.73</v>
      </c>
      <c r="E164" t="inlineStr">
        <is>
          <t>Thailand (TH)</t>
        </is>
      </c>
      <c r="F164" s="253" t="n">
        <v>0.73</v>
      </c>
      <c r="G164" s="17">
        <f>IF(A164=E164,"OK","NOK")</f>
        <v/>
      </c>
      <c r="H164" s="17">
        <f>IF(B164=F164,"OK","NOK")</f>
        <v/>
      </c>
    </row>
    <row r="165">
      <c r="A165" t="inlineStr">
        <is>
          <t>Togo (TG)</t>
        </is>
      </c>
      <c r="B165" s="393" t="n">
        <v>0.972</v>
      </c>
      <c r="E165" t="inlineStr">
        <is>
          <t>Togo (TG)</t>
        </is>
      </c>
      <c r="F165" s="143" t="n">
        <v>0.972</v>
      </c>
      <c r="G165" s="17">
        <f>IF(A165=E165,"OK","NOK")</f>
        <v/>
      </c>
      <c r="H165" s="17">
        <f>IF(B165=F165,"OK","NOK")</f>
        <v/>
      </c>
    </row>
    <row r="166">
      <c r="A166" t="inlineStr">
        <is>
          <t>Trinidad and Tobago (TT)</t>
        </is>
      </c>
      <c r="B166" s="393" t="n">
        <v>0.927</v>
      </c>
      <c r="E166" t="inlineStr">
        <is>
          <t>Trinidad and Tobago (TT)</t>
        </is>
      </c>
      <c r="F166" s="143" t="n">
        <v>0.927</v>
      </c>
      <c r="G166" s="17">
        <f>IF(A166=E166,"OK","NOK")</f>
        <v/>
      </c>
      <c r="H166" s="17">
        <f>IF(B166=F166,"OK","NOK")</f>
        <v/>
      </c>
    </row>
    <row r="167">
      <c r="A167" t="inlineStr">
        <is>
          <t>Tunisia (TN)</t>
        </is>
      </c>
      <c r="B167" s="393" t="n">
        <v>0.747</v>
      </c>
      <c r="E167" t="inlineStr">
        <is>
          <t>Tunisia (TN)</t>
        </is>
      </c>
      <c r="F167" s="143" t="n">
        <v>0.747</v>
      </c>
      <c r="G167" s="17">
        <f>IF(A167=E167,"OK","NOK")</f>
        <v/>
      </c>
      <c r="H167" s="17">
        <f>IF(B167=F167,"OK","NOK")</f>
        <v/>
      </c>
    </row>
    <row r="168">
      <c r="A168" t="inlineStr">
        <is>
          <t>Turkiye (TR)</t>
        </is>
      </c>
      <c r="B168" s="393" t="n">
        <v>0.645</v>
      </c>
      <c r="E168" t="inlineStr">
        <is>
          <t>Turkiye (TR)</t>
        </is>
      </c>
      <c r="F168" s="143" t="n">
        <v>0.645</v>
      </c>
      <c r="G168" s="17">
        <f>IF(A168=E168,"OK","NOK")</f>
        <v/>
      </c>
      <c r="H168" s="17">
        <f>IF(B168=F168,"OK","NOK")</f>
        <v/>
      </c>
    </row>
    <row r="169">
      <c r="A169" t="inlineStr">
        <is>
          <t>Turkmenistan (TM)</t>
        </is>
      </c>
      <c r="B169" s="393" t="n">
        <v>1.385</v>
      </c>
      <c r="E169" t="inlineStr">
        <is>
          <t>Turkmenistan (TM)</t>
        </is>
      </c>
      <c r="F169" s="143" t="n">
        <v>1.385</v>
      </c>
      <c r="G169" s="17">
        <f>IF(A169=E169,"OK","NOK")</f>
        <v/>
      </c>
      <c r="H169" s="17">
        <f>IF(B169=F169,"OK","NOK")</f>
        <v/>
      </c>
    </row>
    <row r="170">
      <c r="A170" t="inlineStr">
        <is>
          <t>Uganda (UG)</t>
        </is>
      </c>
      <c r="B170" s="393" t="n">
        <v>0.765</v>
      </c>
      <c r="E170" t="inlineStr">
        <is>
          <t>Uganda (UG)</t>
        </is>
      </c>
      <c r="F170" s="143" t="n">
        <v>0.765</v>
      </c>
      <c r="G170" s="17">
        <f>IF(A170=E170,"OK","NOK")</f>
        <v/>
      </c>
      <c r="H170" s="17">
        <f>IF(B170=F170,"OK","NOK")</f>
        <v/>
      </c>
    </row>
    <row r="171">
      <c r="A171" t="inlineStr">
        <is>
          <t>Ukraine (UA)</t>
        </is>
      </c>
      <c r="B171" s="393" t="n">
        <v>0.824</v>
      </c>
      <c r="E171" t="inlineStr">
        <is>
          <t>Ukraine (UA)</t>
        </is>
      </c>
      <c r="F171" s="143" t="n">
        <v>0.824</v>
      </c>
      <c r="G171" s="17">
        <f>IF(A171=E171,"OK","NOK")</f>
        <v/>
      </c>
      <c r="H171" s="17">
        <f>IF(B171=F171,"OK","NOK")</f>
        <v/>
      </c>
    </row>
    <row r="172">
      <c r="A172" t="inlineStr">
        <is>
          <t>United Arab Emirates (AE)</t>
        </is>
      </c>
      <c r="B172" s="393" t="n">
        <v>0.955</v>
      </c>
      <c r="E172" t="inlineStr">
        <is>
          <t>United Arab Emirates (AE)</t>
        </is>
      </c>
      <c r="F172" s="143" t="n">
        <v>0.955</v>
      </c>
      <c r="G172" s="17">
        <f>IF(A172=E172,"OK","NOK")</f>
        <v/>
      </c>
      <c r="H172" s="17">
        <f>IF(B172=F172,"OK","NOK")</f>
        <v/>
      </c>
    </row>
    <row r="173">
      <c r="A173" t="inlineStr">
        <is>
          <t>United Kingdom (UK)</t>
        </is>
      </c>
      <c r="B173" s="393" t="n">
        <v>1.417</v>
      </c>
      <c r="E173" t="inlineStr">
        <is>
          <t>United Kingdom (UK)</t>
        </is>
      </c>
      <c r="F173" s="143" t="n">
        <v>1.417</v>
      </c>
      <c r="G173" s="17">
        <f>IF(A173=E173,"OK","NOK")</f>
        <v/>
      </c>
      <c r="H173" s="17">
        <f>IF(B173=F173,"OK","NOK")</f>
        <v/>
      </c>
    </row>
    <row r="174">
      <c r="A174" t="inlineStr">
        <is>
          <t>United States (US)</t>
        </is>
      </c>
      <c r="B174" s="393" t="n">
        <v>1.694</v>
      </c>
      <c r="E174" t="inlineStr">
        <is>
          <t>United States (US)</t>
        </is>
      </c>
      <c r="F174" s="143" t="n">
        <v>1.694</v>
      </c>
      <c r="G174" s="17">
        <f>IF(A174=E174,"OK","NOK")</f>
        <v/>
      </c>
      <c r="H174" s="17">
        <f>IF(B174=F174,"OK","NOK")</f>
        <v/>
      </c>
    </row>
    <row r="175">
      <c r="A175" t="inlineStr">
        <is>
          <t>Uruguay (UY)</t>
        </is>
      </c>
      <c r="B175" s="393" t="n">
        <v>0.911</v>
      </c>
      <c r="E175" t="inlineStr">
        <is>
          <t>Uruguay (UY)</t>
        </is>
      </c>
      <c r="F175" s="143" t="n">
        <v>0.911</v>
      </c>
      <c r="G175" s="17">
        <f>IF(A175=E175,"OK","NOK")</f>
        <v/>
      </c>
      <c r="H175" s="17">
        <f>IF(B175=F175,"OK","NOK")</f>
        <v/>
      </c>
    </row>
    <row r="176">
      <c r="A176" t="inlineStr">
        <is>
          <t>Uzbekistan (UZ)</t>
        </is>
      </c>
      <c r="B176" s="393" t="n">
        <v>0.701</v>
      </c>
      <c r="E176" t="inlineStr">
        <is>
          <t>Uzbekistan (UZ)</t>
        </is>
      </c>
      <c r="F176" s="143" t="n">
        <v>0.701</v>
      </c>
      <c r="G176" s="17">
        <f>IF(A176=E176,"OK","NOK")</f>
        <v/>
      </c>
      <c r="H176" s="17">
        <f>IF(B176=F176,"OK","NOK")</f>
        <v/>
      </c>
    </row>
    <row r="177">
      <c r="A177" t="inlineStr">
        <is>
          <t>Vanuatu (VU)</t>
        </is>
      </c>
      <c r="B177" s="393" t="n">
        <v>1.048</v>
      </c>
      <c r="E177" t="inlineStr">
        <is>
          <t>Vanuatu (VU)</t>
        </is>
      </c>
      <c r="F177" s="143" t="n">
        <v>1.048</v>
      </c>
      <c r="G177" s="17">
        <f>IF(A177=E177,"OK","NOK")</f>
        <v/>
      </c>
      <c r="H177" s="17">
        <f>IF(B177=F177,"OK","NOK")</f>
        <v/>
      </c>
    </row>
    <row r="178">
      <c r="A178" t="inlineStr">
        <is>
          <t>Venezuela (VE)</t>
        </is>
      </c>
      <c r="B178" s="393" t="n">
        <v>1.392</v>
      </c>
      <c r="E178" t="inlineStr">
        <is>
          <t>Venezuela (VE)</t>
        </is>
      </c>
      <c r="F178" s="143" t="n">
        <v>1.392</v>
      </c>
      <c r="G178" s="17">
        <f>IF(A178=E178,"OK","NOK")</f>
        <v/>
      </c>
      <c r="H178" s="17">
        <f>IF(B178=F178,"OK","NOK")</f>
        <v/>
      </c>
    </row>
    <row r="179">
      <c r="A179" t="inlineStr">
        <is>
          <t>Vietnam (VN)</t>
        </is>
      </c>
      <c r="B179" s="393" t="n">
        <v>0.722</v>
      </c>
      <c r="E179" t="inlineStr">
        <is>
          <t>Vietnam (VN)</t>
        </is>
      </c>
      <c r="F179" s="143" t="n">
        <v>0.722</v>
      </c>
      <c r="G179" s="17">
        <f>IF(A179=E179,"OK","NOK")</f>
        <v/>
      </c>
      <c r="H179" s="17">
        <f>IF(B179=F179,"OK","NOK")</f>
        <v/>
      </c>
    </row>
    <row r="180">
      <c r="A180" t="inlineStr">
        <is>
          <t>Wallis and Futuna (WF)</t>
        </is>
      </c>
      <c r="B180" s="393" t="n">
        <v>1.181</v>
      </c>
      <c r="E180" t="inlineStr">
        <is>
          <t>Wallis and Futuna (WF)</t>
        </is>
      </c>
      <c r="F180" s="143" t="n">
        <v>1.181</v>
      </c>
      <c r="G180" s="17">
        <f>IF(A180=E180,"OK","NOK")</f>
        <v/>
      </c>
      <c r="H180" s="17">
        <f>IF(B180=F180,"OK","NOK")</f>
        <v/>
      </c>
    </row>
    <row r="181">
      <c r="A181" t="inlineStr">
        <is>
          <t>Yemen (YE)</t>
        </is>
      </c>
      <c r="B181" s="393" t="n">
        <v>1.044</v>
      </c>
      <c r="E181" t="inlineStr">
        <is>
          <t>Yemen (YE)</t>
        </is>
      </c>
      <c r="F181" s="143" t="n">
        <v>1.044</v>
      </c>
      <c r="G181" s="17">
        <f>IF(A181=E181,"OK","NOK")</f>
        <v/>
      </c>
      <c r="H181" s="17">
        <f>IF(B181=F181,"OK","NOK")</f>
        <v/>
      </c>
    </row>
    <row r="182">
      <c r="A182" t="inlineStr">
        <is>
          <t>Zambia (ZM)</t>
        </is>
      </c>
      <c r="B182" s="393" t="n">
        <v>0.8179999999999999</v>
      </c>
      <c r="E182" t="inlineStr">
        <is>
          <t>Zambia (ZM)</t>
        </is>
      </c>
      <c r="F182" s="143" t="n">
        <v>0.8179999999999999</v>
      </c>
      <c r="G182" s="17">
        <f>IF(A182=E182,"OK","NOK")</f>
        <v/>
      </c>
      <c r="H182" s="17">
        <f>IF(B182=F182,"OK","NOK")</f>
        <v/>
      </c>
    </row>
    <row r="183">
      <c r="A183" t="inlineStr">
        <is>
          <t>Zimbabwe (ZW)</t>
        </is>
      </c>
      <c r="B183" s="393" t="n">
        <v>0.983</v>
      </c>
      <c r="E183" t="inlineStr">
        <is>
          <t>Zimbabwe (ZW)</t>
        </is>
      </c>
      <c r="F183" s="143" t="n">
        <v>0.983</v>
      </c>
      <c r="G183" s="17">
        <f>IF(A183=E183,"OK","NOK")</f>
        <v/>
      </c>
      <c r="H183" s="17">
        <f>IF(B183=F183,"OK","NOK")</f>
        <v/>
      </c>
    </row>
    <row r="184">
      <c r="B184" s="393" t="n"/>
    </row>
    <row r="185">
      <c r="B185" s="393" t="n"/>
    </row>
    <row r="186">
      <c r="B186" s="393" t="n"/>
    </row>
    <row r="187">
      <c r="B187" s="393" t="n"/>
    </row>
    <row r="188">
      <c r="B188" s="393" t="n"/>
    </row>
    <row r="189">
      <c r="B189" s="393" t="n"/>
    </row>
    <row r="190">
      <c r="B190" s="393" t="n"/>
    </row>
    <row r="191">
      <c r="B191" s="393" t="n"/>
    </row>
    <row r="192">
      <c r="B192" s="393" t="n"/>
    </row>
    <row r="193">
      <c r="B193" s="393" t="n"/>
    </row>
    <row r="194">
      <c r="B194" s="393" t="n"/>
    </row>
    <row r="195">
      <c r="B195" s="393" t="n"/>
    </row>
    <row r="196">
      <c r="B196" s="393" t="n"/>
    </row>
    <row r="197">
      <c r="B197" s="393" t="n"/>
    </row>
    <row r="198">
      <c r="B198" s="393" t="n"/>
    </row>
    <row r="199">
      <c r="B199" s="393" t="n"/>
    </row>
    <row r="200">
      <c r="B200" s="393" t="n"/>
    </row>
    <row r="201">
      <c r="B201" s="393" t="n"/>
    </row>
    <row r="202">
      <c r="B202" s="393" t="n"/>
    </row>
    <row r="203">
      <c r="B203" s="393" t="n"/>
    </row>
    <row r="204">
      <c r="B204" s="393" t="n"/>
    </row>
    <row r="205">
      <c r="B205" s="393" t="n"/>
    </row>
    <row r="206">
      <c r="B206" s="393" t="n"/>
    </row>
    <row r="207">
      <c r="B207" s="393" t="n"/>
    </row>
    <row r="208">
      <c r="B208" s="393" t="n"/>
    </row>
    <row r="209">
      <c r="B209" s="393" t="n"/>
    </row>
    <row r="210">
      <c r="B210" s="393" t="n"/>
    </row>
    <row r="211">
      <c r="B211" s="393" t="n"/>
    </row>
    <row r="212">
      <c r="B212" s="393" t="n"/>
    </row>
    <row r="213">
      <c r="B213" s="393" t="n"/>
    </row>
    <row r="214">
      <c r="B214" s="393" t="n"/>
    </row>
    <row r="215">
      <c r="B215" s="393" t="n"/>
    </row>
    <row r="216">
      <c r="B216" s="393" t="n"/>
    </row>
    <row r="217">
      <c r="B217" s="393" t="n"/>
    </row>
    <row r="218">
      <c r="B218" s="393" t="n"/>
    </row>
    <row r="219">
      <c r="B219" s="393" t="n"/>
    </row>
    <row r="220">
      <c r="B220" s="393" t="n"/>
    </row>
    <row r="221">
      <c r="B221" s="393" t="n"/>
    </row>
    <row r="222">
      <c r="B222" s="393" t="n"/>
    </row>
    <row r="223">
      <c r="B223" s="393" t="n"/>
    </row>
    <row r="224">
      <c r="B224" s="393" t="n"/>
    </row>
    <row r="225">
      <c r="B225" s="393" t="n"/>
    </row>
    <row r="226">
      <c r="B226" s="393" t="n"/>
    </row>
    <row r="227">
      <c r="B227" s="393" t="n"/>
    </row>
    <row r="228">
      <c r="B228" s="393" t="n"/>
    </row>
    <row r="229">
      <c r="B229" s="393" t="n"/>
    </row>
    <row r="230">
      <c r="B230" s="393" t="n"/>
    </row>
    <row r="231">
      <c r="B231" s="393" t="n"/>
    </row>
    <row r="232">
      <c r="B232" s="393" t="n"/>
    </row>
    <row r="233">
      <c r="B233" s="393" t="n"/>
    </row>
    <row r="234">
      <c r="B234" s="393" t="n"/>
    </row>
    <row r="235">
      <c r="B235" s="393" t="n"/>
    </row>
    <row r="236">
      <c r="B236" s="393" t="n"/>
    </row>
    <row r="237">
      <c r="B237" s="393" t="n"/>
    </row>
    <row r="238">
      <c r="B238" s="393" t="n"/>
    </row>
    <row r="239">
      <c r="B239" s="393" t="n"/>
    </row>
    <row r="240">
      <c r="B240" s="393" t="n"/>
    </row>
    <row r="241">
      <c r="B241" s="393" t="n"/>
    </row>
    <row r="242">
      <c r="B242" s="393" t="n"/>
    </row>
    <row r="243">
      <c r="B243" s="393" t="n"/>
    </row>
    <row r="244">
      <c r="B244" s="393" t="n"/>
    </row>
    <row r="245">
      <c r="B245" s="393" t="n"/>
    </row>
    <row r="246">
      <c r="B246" s="393" t="n"/>
    </row>
    <row r="247">
      <c r="B247" s="393" t="n"/>
    </row>
    <row r="248">
      <c r="B248" s="393" t="n"/>
    </row>
    <row r="249">
      <c r="B249" s="393" t="n"/>
    </row>
    <row r="250">
      <c r="B250" s="393" t="n"/>
    </row>
    <row r="251">
      <c r="B251" s="393" t="n"/>
    </row>
    <row r="252">
      <c r="B252" s="393" t="n"/>
    </row>
    <row r="253">
      <c r="B253" s="393" t="n"/>
    </row>
    <row r="254">
      <c r="B254" s="393" t="n"/>
    </row>
    <row r="255">
      <c r="B255" s="393" t="n"/>
    </row>
  </sheetData>
  <sheetProtection selectLockedCells="0" selectUnlockedCells="0" algorithmName="SHA-512" sheet="1" objects="1" insertRows="1" insertHyperlinks="1" autoFilter="1" scenarios="1" formatColumns="1" deleteColumns="1" insertColumns="1" pivotTables="1" deleteRows="1" formatCells="1" saltValue="UJHmvk6FlD/24n+FIFtYNw==" formatRows="1" sort="1" spinCount="100000" hashValue="pbKtvgI0pD/a7D/wkWGcie9j59uWXSScSeJSBN4k1mgjOkY9piJ1CG2Ji5xiPmCM1n2Vv7MnkjOSkhVvCI3Pdw=="/>
  <pageMargins left="0.7" right="0.7" top="0.75" bottom="0.75" header="0.3" footer="0.3"/>
  <pageSetup orientation="portrait" paperSize="9" verticalDpi="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DE COCK Marc (RTD)</dc:creator>
  <dc:title>EC Horizon Europe RTD Lump Sum</dc:title>
  <dc:subject>Lumpsum Horizon Europe Budget Table</dc:subject>
  <dcterms:created xsi:type="dcterms:W3CDTF">2017-06-28T07:17:07Z</dcterms:created>
  <dcterms:modified xsi:type="dcterms:W3CDTF">2026-09-15T21:10:04Z</dcterms:modified>
  <cp:category>Budget Table;Lump Sum;EC</cp:category>
  <cp:contentStatus>Stable - Version 231003</cp:contentStatus>
  <cp:revision>1</cp:revision>
  <cp:keywords>Budget; Lumpsum; RTD; Horizon Europe; European Commission; EC; HE</cp:keywords>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0x01010081E47ACAFF52AF459B5732986CC03649</vt:lpwstr>
  </property>
  <property name="MSIP_Label_f4cdc456-5864-460f-beda-883d23b78bbb_Enabled" fmtid="{D5CDD505-2E9C-101B-9397-08002B2CF9AE}" pid="3">
    <vt:lpwstr>true</vt:lpwstr>
  </property>
  <property name="MSIP_Label_f4cdc456-5864-460f-beda-883d23b78bbb_SetDate" fmtid="{D5CDD505-2E9C-101B-9397-08002B2CF9AE}" pid="4">
    <vt:lpwstr>2022-06-21T08:46:21Z</vt:lpwstr>
  </property>
  <property name="MSIP_Label_f4cdc456-5864-460f-beda-883d23b78bbb_Method" fmtid="{D5CDD505-2E9C-101B-9397-08002B2CF9AE}" pid="5">
    <vt:lpwstr>Privileged</vt:lpwstr>
  </property>
  <property name="MSIP_Label_f4cdc456-5864-460f-beda-883d23b78bbb_Name" fmtid="{D5CDD505-2E9C-101B-9397-08002B2CF9AE}" pid="6">
    <vt:lpwstr>Publicly Available</vt:lpwstr>
  </property>
  <property name="MSIP_Label_f4cdc456-5864-460f-beda-883d23b78bbb_SiteId" fmtid="{D5CDD505-2E9C-101B-9397-08002B2CF9AE}" pid="7">
    <vt:lpwstr>b24c8b06-522c-46fe-9080-70926f8dddb1</vt:lpwstr>
  </property>
  <property name="MSIP_Label_f4cdc456-5864-460f-beda-883d23b78bbb_ActionId" fmtid="{D5CDD505-2E9C-101B-9397-08002B2CF9AE}" pid="8">
    <vt:lpwstr>1730cc51-9f69-4c18-a686-525affb4354a</vt:lpwstr>
  </property>
  <property name="MSIP_Label_f4cdc456-5864-460f-beda-883d23b78bbb_ContentBits" fmtid="{D5CDD505-2E9C-101B-9397-08002B2CF9AE}" pid="9">
    <vt:lpwstr>0</vt:lpwstr>
  </property>
</Properties>
</file>
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workbookProtection lockStructure="1" workbookAlgorithmName="SHA-512" workbookHashValue="2I+NRkLhQFNC8/3TN5pehvffLd4UQtWHle3rZLBc86FYOQkSxeY0ttnVr85bavKxBV570yen4X5WQRAg3ohNsw==" workbookSaltValue="Q4vubUeKYoktZfxkoPlsiQ==" workbookSpinCount="100000"/>
  <bookViews>
    <workbookView visibility="visible" minimized="0" showHorizontalScroll="1" showVerticalScroll="1" showSheetTabs="1" xWindow="25490" yWindow="-110" windowWidth="25820" windowHeight="13900" tabRatio="740" firstSheet="14" activeTab="14" autoFilterDateGrouping="1"/>
  </bookViews>
  <sheets>
    <sheet name="Instructions" sheetId="1" state="visible" r:id="rId1"/>
    <sheet name="BE list" sheetId="2" state="visible" r:id="rId2"/>
    <sheet name="WP list" sheetId="3" state="visible" r:id="rId3"/>
    <sheet name="Lump sum brkdwn tpl" sheetId="4" state="hidden" r:id="rId4"/>
    <sheet name="Lump sum breakdown" sheetId="5" state="visible" r:id="rId5"/>
    <sheet name="Person-months overview tpl" sheetId="6" state="hidden" r:id="rId6"/>
    <sheet name="Person-months overview" sheetId="7" state="visible" r:id="rId7"/>
    <sheet name="Summary per WP tpl" sheetId="8" state="hidden" r:id="rId8"/>
    <sheet name="Summary per WP" sheetId="9" state="visible" r:id="rId9"/>
    <sheet name="BE tpl" sheetId="10" state="hidden" r:id="rId10"/>
    <sheet name="BE1" sheetId="11" state="visible" r:id="rId11"/>
    <sheet name="BE2" sheetId="12" state="visible" r:id="rId12"/>
    <sheet name="BE3" sheetId="13" state="visible" r:id="rId13"/>
    <sheet name="BE4" sheetId="14" state="visible" r:id="rId14"/>
    <sheet name="Depreciation costs" sheetId="15" state="visible" r:id="rId15"/>
    <sheet name="Any comments" sheetId="16" state="visible" r:id="rId16"/>
    <sheet name="OLD_BE9_20260122-140127" sheetId="17" state="visible" r:id="rId17"/>
    <sheet name="OLD_BE8_20260211-142820" sheetId="18" state="visible" r:id="rId18"/>
    <sheet name="OLD_BE8_20260914-162521" sheetId="19" state="visible" r:id="rId19"/>
    <sheet name="OLD_BE7_20260914-162549" sheetId="20" state="visible" r:id="rId20"/>
    <sheet name="OLD_BE5_20260914-162616" sheetId="21" state="visible" r:id="rId21"/>
    <sheet name="OLD_BE6_20260914-162616" sheetId="22" state="visible" r:id="rId22"/>
    <sheet name="Change Log" sheetId="23" state="visible" r:id="rId23"/>
    <sheet name="CountryList" sheetId="24" state="hidden" r:id="rId24"/>
  </sheets>
  <externalReferences>
    <externalReference r:id="rId25"/>
    <externalReference r:id="rId26"/>
  </externalReferences>
  <definedNames>
    <definedName name="BES">'BE list'!#REF!</definedName>
    <definedName name="equipment">'Depreciation costs'!$A$2:$L$209</definedName>
    <definedName name="TPS">'BE list'!#REF!</definedName>
    <definedName name="WPS">'WP list'!$A$3:$B$4</definedName>
    <definedName name="BES" localSheetId="0">'[1]BE list'!#REF!</definedName>
    <definedName name="TPS" localSheetId="0">'[1]BE list'!#REF!</definedName>
    <definedName name="_xlnm.Print_Area" localSheetId="5">'Person-months overview tpl'!$A$1:$D$5</definedName>
    <definedName name="_xlnm.Print_Area" localSheetId="7">'Summary per WP tpl'!$A$1:$N$86</definedName>
    <definedName name="BES" localSheetId="8">'BE list'!#REF!</definedName>
    <definedName name="TPS" localSheetId="8">'BE list'!#REF!</definedName>
    <definedName name="_xlnm.Print_Area" localSheetId="9">'BE tpl'!$A$1:$I$86</definedName>
    <definedName name="BES" localSheetId="22">'[1]BE list'!#REF!</definedName>
    <definedName name="TPS" localSheetId="22">'[1]BE list'!#REF!</definedName>
  </definedNames>
  <calcPr calcId="191028" fullCalcOnLoad="1"/>
</workbook>
</file>

<file path=xl/styles.xml><?xml version="1.0" encoding="utf-8"?>
<styleSheet xmlns="http://schemas.openxmlformats.org/spreadsheetml/2006/main">
  <numFmts count="8">
    <numFmt numFmtId="164" formatCode="#,##0.00_ ;[Red]\-#,##0.00\ "/>
    <numFmt numFmtId="165" formatCode="_-[$€-2]\ * #,##0.00_-;\-[$€-2]\ * #,##0.00_-;_-[$€-2]\ * &quot;-&quot;??_-;_-@_-"/>
    <numFmt numFmtId="166" formatCode="0.00_ ;[Red]\-0.00\ "/>
    <numFmt numFmtId="167" formatCode="[$]dd/mm/yyyy;@"/>
    <numFmt numFmtId="168" formatCode="0.0"/>
    <numFmt numFmtId="169" formatCode="0.0000"/>
    <numFmt numFmtId="170" formatCode="_-&quot;£&quot;* #,##0.00_-;\-&quot;£&quot;* #,##0.00_-;_-&quot;£&quot;* &quot;-&quot;??_-;_-@_-"/>
    <numFmt numFmtId="171" formatCode="_ * #,##0.00_ ;_ * \-#,##0.00_ ;_ * &quot;-&quot;??_ ;_ @_ "/>
  </numFmts>
  <fonts count="47">
    <font>
      <name val="Calibri"/>
      <family val="2"/>
      <color theme="1"/>
      <sz val="11"/>
      <scheme val="minor"/>
    </font>
    <font>
      <name val="Calibri"/>
      <family val="2"/>
      <b val="1"/>
      <color theme="1"/>
      <sz val="11"/>
      <scheme val="minor"/>
    </font>
    <font>
      <name val="Calibri"/>
      <family val="2"/>
      <b val="1"/>
      <i val="1"/>
      <color theme="1"/>
      <sz val="11"/>
      <scheme val="minor"/>
    </font>
    <font>
      <name val="Calibri"/>
      <family val="2"/>
      <b val="1"/>
      <color theme="1"/>
      <sz val="16"/>
      <scheme val="minor"/>
    </font>
    <font>
      <name val="Arial"/>
      <family val="2"/>
      <b val="1"/>
      <color theme="1"/>
      <sz val="8"/>
    </font>
    <font>
      <name val="Arial"/>
      <family val="2"/>
      <b val="1"/>
      <color theme="1"/>
      <sz val="12"/>
    </font>
    <font>
      <name val="Calibri"/>
      <family val="2"/>
      <b val="1"/>
      <color theme="0"/>
      <sz val="11"/>
      <scheme val="minor"/>
    </font>
    <font>
      <name val="Calibri"/>
      <family val="2"/>
      <color theme="1"/>
      <sz val="11"/>
      <scheme val="minor"/>
    </font>
    <font>
      <name val="Calibri"/>
      <family val="2"/>
      <b val="1"/>
      <color rgb="FFFF0000"/>
      <sz val="16"/>
      <scheme val="minor"/>
    </font>
    <font>
      <name val="Calibri"/>
      <family val="2"/>
      <b val="1"/>
      <color theme="1"/>
      <sz val="18"/>
      <scheme val="minor"/>
    </font>
    <font>
      <name val="Calibri"/>
      <family val="2"/>
      <b val="1"/>
      <color theme="0"/>
      <sz val="18"/>
      <scheme val="minor"/>
    </font>
    <font>
      <name val="Calibri"/>
      <family val="2"/>
      <color theme="1"/>
      <sz val="10"/>
      <scheme val="minor"/>
    </font>
    <font>
      <name val="Calibri"/>
      <family val="2"/>
      <color rgb="FF0070C0"/>
      <sz val="16"/>
      <scheme val="minor"/>
    </font>
    <font>
      <name val="Calibri"/>
      <family val="2"/>
      <b val="1"/>
      <color theme="1"/>
      <sz val="14"/>
      <scheme val="minor"/>
    </font>
    <font>
      <name val="Calibri"/>
      <family val="2"/>
      <b val="1"/>
      <color rgb="FF000000"/>
      <sz val="11"/>
    </font>
    <font>
      <name val="Calibri"/>
      <family val="2"/>
      <b val="1"/>
      <color rgb="FFFFFFFF"/>
      <sz val="14"/>
    </font>
    <font>
      <name val="Calibri"/>
      <family val="2"/>
      <color theme="1"/>
      <sz val="11"/>
    </font>
    <font>
      <name val="Calibri"/>
      <family val="2"/>
      <b val="1"/>
      <color rgb="FFFFFFFF"/>
      <sz val="11"/>
    </font>
    <font>
      <name val="Calibri"/>
      <family val="2"/>
      <b val="1"/>
      <color rgb="FF000000"/>
      <sz val="14"/>
    </font>
    <font>
      <name val="Calibri"/>
      <family val="2"/>
      <b val="1"/>
      <color rgb="FFFF0000"/>
      <sz val="16"/>
    </font>
    <font>
      <name val="Calibri"/>
      <family val="2"/>
      <b val="1"/>
      <i val="1"/>
      <color rgb="FF000000"/>
      <sz val="11"/>
    </font>
    <font>
      <name val="Calibri"/>
      <family val="2"/>
      <b val="1"/>
      <color rgb="FF000000"/>
      <sz val="18"/>
    </font>
    <font>
      <name val="Calibri"/>
      <family val="2"/>
      <sz val="11"/>
      <scheme val="minor"/>
    </font>
    <font>
      <name val="Calibri"/>
      <family val="2"/>
      <b val="1"/>
      <sz val="11"/>
      <scheme val="minor"/>
    </font>
    <font>
      <name val="Calibri"/>
      <family val="2"/>
      <sz val="11"/>
    </font>
    <font>
      <name val="Calibri"/>
      <family val="2"/>
      <b val="1"/>
      <sz val="11"/>
    </font>
    <font>
      <name val="Calibri"/>
      <family val="2"/>
      <b val="1"/>
      <i val="1"/>
      <color rgb="FFFF0000"/>
      <sz val="10"/>
      <scheme val="minor"/>
    </font>
    <font>
      <name val="Calibri"/>
      <family val="2"/>
      <b val="1"/>
      <i val="1"/>
      <color rgb="FFFF0000"/>
      <sz val="11"/>
      <scheme val="minor"/>
    </font>
    <font>
      <name val="Calibri"/>
      <family val="2"/>
      <color theme="10"/>
      <sz val="11"/>
      <u val="single"/>
      <scheme val="minor"/>
    </font>
    <font>
      <name val="Arial"/>
      <family val="2"/>
      <b val="1"/>
      <color theme="1"/>
      <sz val="10"/>
    </font>
    <font>
      <name val="Calibri"/>
      <family val="2"/>
      <b val="1"/>
      <color rgb="FF0070C0"/>
      <sz val="16"/>
      <scheme val="minor"/>
    </font>
    <font>
      <name val="Calibri"/>
      <family val="2"/>
      <b val="1"/>
      <color theme="1"/>
      <sz val="12"/>
      <scheme val="minor"/>
    </font>
    <font>
      <name val="Calibri"/>
      <family val="2"/>
      <b val="1"/>
      <color rgb="FF000000"/>
      <sz val="11"/>
      <scheme val="minor"/>
    </font>
    <font>
      <name val="Calibri"/>
      <family val="2"/>
      <b val="1"/>
      <color theme="1"/>
      <sz val="11"/>
    </font>
    <font>
      <name val="Calibri"/>
      <family val="2"/>
      <b val="1"/>
      <color theme="0"/>
      <sz val="16"/>
      <scheme val="minor"/>
    </font>
    <font>
      <name val="Calibri"/>
      <family val="2"/>
      <color theme="1"/>
      <sz val="9"/>
      <scheme val="minor"/>
    </font>
    <font>
      <name val="Calibri"/>
      <family val="2"/>
      <b val="1"/>
      <i val="1"/>
      <color theme="1"/>
      <sz val="12"/>
      <scheme val="minor"/>
    </font>
    <font>
      <name val="Calibri"/>
      <family val="2"/>
      <color theme="4"/>
      <sz val="11"/>
      <u val="single"/>
      <scheme val="minor"/>
    </font>
    <font>
      <name val="Calibri"/>
      <family val="2"/>
      <color theme="0"/>
      <sz val="11"/>
      <scheme val="minor"/>
    </font>
    <font>
      <name val="Calibri"/>
      <family val="2"/>
      <color rgb="FF000000"/>
      <sz val="11"/>
    </font>
    <font>
      <name val="Calibri"/>
      <family val="2"/>
      <b val="1"/>
      <color rgb="FFFF0000"/>
      <sz val="9"/>
      <scheme val="minor"/>
    </font>
    <font>
      <name val="Calibri"/>
      <family val="2"/>
      <b val="1"/>
      <color rgb="FFF8F8F8"/>
      <sz val="11"/>
    </font>
    <font>
      <name val="Calibri"/>
      <family val="2"/>
      <color rgb="FFF8F8F8"/>
      <sz val="11"/>
      <scheme val="minor"/>
    </font>
    <font>
      <name val="Calibri"/>
      <family val="2"/>
      <color theme="4" tint="-0.249977111117893"/>
      <sz val="11"/>
      <u val="single"/>
      <scheme val="minor"/>
    </font>
    <font>
      <name val="Arial"/>
      <family val="2"/>
      <color theme="1"/>
      <sz val="10"/>
    </font>
    <font>
      <name val="Arial"/>
      <family val="2"/>
      <sz val="10"/>
    </font>
    <font>
      <name val="Times New Roman"/>
      <family val="1"/>
      <color theme="1"/>
      <sz val="11"/>
    </font>
  </fonts>
  <fills count="40">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rgb="FFC5D9F1"/>
        <bgColor indexed="64"/>
      </patternFill>
    </fill>
    <fill>
      <patternFill patternType="solid">
        <fgColor theme="6" tint="0.7999816888943144"/>
        <bgColor indexed="64"/>
      </patternFill>
    </fill>
    <fill>
      <patternFill patternType="solid">
        <fgColor theme="8" tint="0.7999816888943144"/>
        <bgColor indexed="64"/>
      </patternFill>
    </fill>
    <fill>
      <patternFill patternType="solid">
        <fgColor theme="3" tint="0.7999816888943144"/>
        <bgColor indexed="64"/>
      </patternFill>
    </fill>
    <fill>
      <patternFill patternType="solid">
        <fgColor theme="6" tint="0.3999755851924192"/>
        <bgColor indexed="64"/>
      </patternFill>
    </fill>
    <fill>
      <patternFill patternType="solid">
        <fgColor theme="5" tint="0.7999816888943144"/>
        <bgColor indexed="64"/>
      </patternFill>
    </fill>
    <fill>
      <patternFill patternType="solid">
        <fgColor theme="3" tint="0.3999755851924192"/>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FFC000"/>
        <bgColor indexed="64"/>
      </patternFill>
    </fill>
    <fill>
      <patternFill patternType="solid">
        <fgColor theme="5" tint="-0.249977111117893"/>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
        <bgColor indexed="64"/>
      </patternFill>
    </fill>
    <fill>
      <patternFill patternType="solid">
        <fgColor theme="8" tint="0.5999938962981048"/>
        <bgColor indexed="64"/>
      </patternFill>
    </fill>
    <fill>
      <patternFill patternType="solid">
        <fgColor theme="6"/>
        <bgColor indexed="64"/>
      </patternFill>
    </fill>
    <fill>
      <patternFill patternType="solid">
        <fgColor theme="4" tint="0.7999816888943144"/>
        <bgColor rgb="FF000000"/>
      </patternFill>
    </fill>
    <fill>
      <patternFill patternType="solid">
        <fgColor theme="0" tint="-0.499984740745262"/>
        <bgColor rgb="FF000000"/>
      </patternFill>
    </fill>
    <fill>
      <patternFill patternType="solid">
        <fgColor theme="2"/>
        <bgColor rgb="FF000000"/>
      </patternFill>
    </fill>
    <fill>
      <patternFill patternType="solid">
        <fgColor theme="0" tint="-0.0499893185216834"/>
        <bgColor indexed="64"/>
      </patternFill>
    </fill>
    <fill>
      <patternFill patternType="solid">
        <fgColor rgb="FFCCFFFF"/>
        <bgColor indexed="64"/>
      </patternFill>
    </fill>
    <fill>
      <patternFill patternType="solid">
        <fgColor rgb="FFFF0000"/>
        <bgColor rgb="FF000000"/>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rgb="FFB8C8CF"/>
      </left>
      <right style="medium">
        <color rgb="FFB8C8CF"/>
      </right>
      <top style="medium">
        <color rgb="FFB8C8CF"/>
      </top>
      <bottom style="medium">
        <color rgb="FFB8C8CF"/>
      </bottom>
      <diagonal/>
    </border>
    <border>
      <left style="medium">
        <color rgb="FF808080"/>
      </left>
      <right style="medium">
        <color rgb="FF808080"/>
      </right>
      <top style="medium">
        <color rgb="FF808080"/>
      </top>
      <bottom style="medium">
        <color indexed="64"/>
      </bottom>
      <diagonal/>
    </border>
    <border>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8">
    <xf numFmtId="0" fontId="7" fillId="0" borderId="0"/>
    <xf numFmtId="170" fontId="7" fillId="0" borderId="0"/>
    <xf numFmtId="9" fontId="7" fillId="0" borderId="0"/>
    <xf numFmtId="171" fontId="7" fillId="0" borderId="0"/>
    <xf numFmtId="0" fontId="28" fillId="0" borderId="0"/>
    <xf numFmtId="171" fontId="7" fillId="0" borderId="0"/>
    <xf numFmtId="171" fontId="7" fillId="0" borderId="0"/>
    <xf numFmtId="0" fontId="45" fillId="0" borderId="0"/>
  </cellStyleXfs>
  <cellXfs count="395">
    <xf numFmtId="0" fontId="0" fillId="0" borderId="0" pivotButton="0" quotePrefix="0" xfId="0"/>
    <xf numFmtId="0" fontId="0" fillId="0" borderId="1" pivotButton="0" quotePrefix="0" xfId="0"/>
    <xf numFmtId="0" fontId="0" fillId="3" borderId="1" pivotButton="0" quotePrefix="0" xfId="0"/>
    <xf numFmtId="0" fontId="0" fillId="9" borderId="1" pivotButton="0" quotePrefix="0" xfId="0"/>
    <xf numFmtId="0" fontId="0" fillId="14" borderId="1" applyProtection="1" pivotButton="0" quotePrefix="0" xfId="0">
      <protection locked="0" hidden="0"/>
    </xf>
    <xf numFmtId="0" fontId="0" fillId="15" borderId="1" applyAlignment="1" applyProtection="1" pivotButton="0" quotePrefix="0" xfId="0">
      <alignment wrapText="1"/>
      <protection locked="0" hidden="0"/>
    </xf>
    <xf numFmtId="0" fontId="1" fillId="14" borderId="1" applyAlignment="1" pivotButton="0" quotePrefix="0" xfId="0">
      <alignment vertical="center" wrapText="1"/>
    </xf>
    <xf numFmtId="0" fontId="1" fillId="0" borderId="1" applyAlignment="1" applyProtection="1" pivotButton="0" quotePrefix="0" xfId="0">
      <alignment wrapText="1"/>
      <protection locked="0" hidden="0"/>
    </xf>
    <xf numFmtId="0" fontId="0" fillId="0" borderId="1" applyProtection="1" pivotButton="0" quotePrefix="0" xfId="0">
      <protection locked="0" hidden="0"/>
    </xf>
    <xf numFmtId="0" fontId="2" fillId="0" borderId="1" applyAlignment="1" applyProtection="1" pivotButton="0" quotePrefix="0" xfId="0">
      <alignment wrapText="1"/>
      <protection locked="0" hidden="0"/>
    </xf>
    <xf numFmtId="0" fontId="0" fillId="0" borderId="1" applyProtection="1" pivotButton="0" quotePrefix="1" xfId="0">
      <protection locked="0" hidden="0"/>
    </xf>
    <xf numFmtId="0" fontId="1" fillId="14" borderId="1" applyAlignment="1" applyProtection="1" pivotButton="0" quotePrefix="0" xfId="0">
      <alignment vertical="center" wrapText="1"/>
      <protection locked="0" hidden="0"/>
    </xf>
    <xf numFmtId="164" fontId="0" fillId="14" borderId="1" applyProtection="1" pivotButton="0" quotePrefix="0" xfId="0">
      <protection locked="0" hidden="0"/>
    </xf>
    <xf numFmtId="164" fontId="1" fillId="14" borderId="1" applyAlignment="1" applyProtection="1" pivotButton="0" quotePrefix="0" xfId="0">
      <alignment horizontal="right"/>
      <protection locked="0" hidden="0"/>
    </xf>
    <xf numFmtId="164" fontId="1" fillId="2" borderId="1" applyAlignment="1" applyProtection="1" pivotButton="0" quotePrefix="0" xfId="0">
      <alignment horizontal="right"/>
      <protection locked="0" hidden="0"/>
    </xf>
    <xf numFmtId="164" fontId="1" fillId="4" borderId="1" applyAlignment="1" applyProtection="1" pivotButton="0" quotePrefix="0" xfId="0">
      <alignment horizontal="right"/>
      <protection locked="0" hidden="0"/>
    </xf>
    <xf numFmtId="0" fontId="0" fillId="0" borderId="1" applyAlignment="1" applyProtection="1" pivotButton="0" quotePrefix="0" xfId="0">
      <alignment wrapText="1"/>
      <protection locked="0" hidden="0"/>
    </xf>
    <xf numFmtId="0" fontId="0" fillId="0" borderId="0" applyProtection="1" pivotButton="0" quotePrefix="0" xfId="0">
      <protection locked="0" hidden="0"/>
    </xf>
    <xf numFmtId="0" fontId="6" fillId="10" borderId="1" applyAlignment="1" applyProtection="1" pivotButton="0" quotePrefix="0" xfId="0">
      <alignment horizontal="center" vertical="center"/>
      <protection locked="0" hidden="0"/>
    </xf>
    <xf numFmtId="0" fontId="13" fillId="6" borderId="1" applyAlignment="1" applyProtection="1" pivotButton="0" quotePrefix="0" xfId="0">
      <alignment horizontal="center" vertical="center" wrapText="1"/>
      <protection locked="0" hidden="0"/>
    </xf>
    <xf numFmtId="0" fontId="0" fillId="3" borderId="1" applyProtection="1" pivotButton="0" quotePrefix="0" xfId="0">
      <protection locked="0" hidden="0"/>
    </xf>
    <xf numFmtId="0" fontId="1" fillId="2" borderId="1" applyAlignment="1" applyProtection="1" pivotButton="0" quotePrefix="0" xfId="0">
      <alignment horizontal="center" vertical="center"/>
      <protection locked="0" hidden="0"/>
    </xf>
    <xf numFmtId="0" fontId="1" fillId="4" borderId="1" applyAlignment="1" applyProtection="1" pivotButton="0" quotePrefix="0" xfId="0">
      <alignment horizontal="center" vertical="center"/>
      <protection locked="0" hidden="0"/>
    </xf>
    <xf numFmtId="0" fontId="1" fillId="0" borderId="1" applyAlignment="1" applyProtection="1" pivotButton="0" quotePrefix="0" xfId="0">
      <alignment horizontal="center" vertical="center"/>
      <protection locked="0" hidden="0"/>
    </xf>
    <xf numFmtId="0" fontId="1" fillId="2" borderId="1" applyAlignment="1" applyProtection="1" pivotButton="0" quotePrefix="0" xfId="0">
      <alignment horizontal="center" vertical="center" wrapText="1"/>
      <protection locked="0" hidden="0"/>
    </xf>
    <xf numFmtId="0" fontId="1" fillId="4" borderId="1" applyAlignment="1" applyProtection="1" pivotButton="0" quotePrefix="0" xfId="0">
      <alignment horizontal="center" vertical="center" wrapText="1"/>
      <protection locked="0" hidden="0"/>
    </xf>
    <xf numFmtId="0" fontId="2" fillId="0" borderId="1" applyAlignment="1" applyProtection="1" pivotButton="0" quotePrefix="0" xfId="0">
      <alignment vertical="center" wrapText="1"/>
      <protection locked="0" hidden="0"/>
    </xf>
    <xf numFmtId="0" fontId="0" fillId="0" borderId="1" applyAlignment="1" pivotButton="0" quotePrefix="0" xfId="0">
      <alignment horizontal="center" vertical="center"/>
    </xf>
    <xf numFmtId="0" fontId="14" fillId="0" borderId="1" applyAlignment="1" pivotButton="0" quotePrefix="0" xfId="0">
      <alignment vertical="center" wrapText="1"/>
    </xf>
    <xf numFmtId="0" fontId="14" fillId="25" borderId="1" applyAlignment="1" pivotButton="0" quotePrefix="0" xfId="0">
      <alignment vertical="center" wrapText="1"/>
    </xf>
    <xf numFmtId="0" fontId="16" fillId="25" borderId="1" applyAlignment="1" pivotButton="0" quotePrefix="0" xfId="0">
      <alignment vertical="center"/>
    </xf>
    <xf numFmtId="164" fontId="14" fillId="25" borderId="1" applyAlignment="1" pivotButton="0" quotePrefix="0" xfId="0">
      <alignment horizontal="right" vertical="center"/>
    </xf>
    <xf numFmtId="0" fontId="16" fillId="0" borderId="1" applyAlignment="1" pivotButton="0" quotePrefix="0" xfId="0">
      <alignment vertical="center"/>
    </xf>
    <xf numFmtId="0" fontId="16" fillId="26" borderId="2" applyAlignment="1" pivotButton="0" quotePrefix="0" xfId="0">
      <alignment vertical="center"/>
    </xf>
    <xf numFmtId="0" fontId="16" fillId="26" borderId="4" applyAlignment="1" pivotButton="0" quotePrefix="0" xfId="0">
      <alignment vertical="center"/>
    </xf>
    <xf numFmtId="0" fontId="0" fillId="0" borderId="0" applyAlignment="1" pivotButton="0" quotePrefix="0" xfId="0">
      <alignment horizontal="left" vertical="top"/>
    </xf>
    <xf numFmtId="0" fontId="0" fillId="0" borderId="1" applyAlignment="1" applyProtection="1" pivotButton="0" quotePrefix="0" xfId="0">
      <alignment horizontal="left" vertical="top" wrapText="1" indent="5"/>
      <protection locked="0" hidden="0"/>
    </xf>
    <xf numFmtId="0" fontId="2" fillId="0" borderId="1" applyAlignment="1" applyProtection="1" pivotButton="0" quotePrefix="0" xfId="0">
      <alignment horizontal="left" vertical="top" wrapText="1" indent="5"/>
      <protection locked="0" hidden="0"/>
    </xf>
    <xf numFmtId="0" fontId="16" fillId="0" borderId="1" applyAlignment="1" pivotButton="0" quotePrefix="0" xfId="0">
      <alignment horizontal="right" vertical="center"/>
    </xf>
    <xf numFmtId="0" fontId="23" fillId="0" borderId="1" applyAlignment="1" applyProtection="1" pivotButton="0" quotePrefix="0" xfId="0">
      <alignment wrapText="1"/>
      <protection locked="0" hidden="0"/>
    </xf>
    <xf numFmtId="0" fontId="23" fillId="0" borderId="1" applyAlignment="1" applyProtection="1" pivotButton="0" quotePrefix="0" xfId="0">
      <alignment vertical="center" wrapText="1"/>
      <protection locked="0" hidden="0"/>
    </xf>
    <xf numFmtId="0" fontId="23" fillId="14" borderId="1" applyAlignment="1" applyProtection="1" pivotButton="0" quotePrefix="0" xfId="0">
      <alignment vertical="center" wrapText="1"/>
      <protection locked="0" hidden="0"/>
    </xf>
    <xf numFmtId="0" fontId="1" fillId="0" borderId="0" pivotButton="0" quotePrefix="0" xfId="0"/>
    <xf numFmtId="0" fontId="1" fillId="5" borderId="16" applyAlignment="1" pivotButton="0" quotePrefix="0" xfId="0">
      <alignment horizontal="left"/>
    </xf>
    <xf numFmtId="0" fontId="1" fillId="8" borderId="10" applyAlignment="1" pivotButton="0" quotePrefix="0" xfId="0">
      <alignment horizontal="left" vertical="center"/>
    </xf>
    <xf numFmtId="0" fontId="0" fillId="0" borderId="0" applyAlignment="1" pivotButton="0" quotePrefix="0" xfId="0">
      <alignment horizontal="center" vertical="center"/>
    </xf>
    <xf numFmtId="0" fontId="2" fillId="9" borderId="1" applyAlignment="1" pivotButton="0" quotePrefix="0" xfId="0">
      <alignment horizontal="center"/>
    </xf>
    <xf numFmtId="0" fontId="2" fillId="9" borderId="1" applyAlignment="1" pivotButton="0" quotePrefix="0" xfId="0">
      <alignment horizontal="left"/>
    </xf>
    <xf numFmtId="0" fontId="16" fillId="0" borderId="1" applyAlignment="1" pivotButton="0" quotePrefix="0" xfId="0">
      <alignment horizontal="left" vertical="center" wrapText="1" indent="5"/>
    </xf>
    <xf numFmtId="0" fontId="20" fillId="0" borderId="1" applyAlignment="1" pivotButton="0" quotePrefix="0" xfId="0">
      <alignment horizontal="left" vertical="center" wrapText="1" indent="5"/>
    </xf>
    <xf numFmtId="0" fontId="25" fillId="0" borderId="1" applyAlignment="1" pivotButton="0" quotePrefix="0" xfId="0">
      <alignment vertical="center" wrapText="1"/>
    </xf>
    <xf numFmtId="0" fontId="16" fillId="0" borderId="1" applyAlignment="1" pivotButton="0" quotePrefix="0" xfId="0">
      <alignment vertical="center" wrapText="1"/>
    </xf>
    <xf numFmtId="0" fontId="25" fillId="25" borderId="1" applyAlignment="1" pivotButton="0" quotePrefix="0" xfId="0">
      <alignment vertical="center" wrapText="1"/>
    </xf>
    <xf numFmtId="0" fontId="20" fillId="0" borderId="1" applyAlignment="1" pivotButton="0" quotePrefix="0" xfId="0">
      <alignment vertical="center" wrapText="1"/>
    </xf>
    <xf numFmtId="0" fontId="21" fillId="0" borderId="1" applyAlignment="1" pivotButton="0" quotePrefix="0" xfId="0">
      <alignment vertical="center"/>
    </xf>
    <xf numFmtId="0" fontId="23" fillId="30" borderId="25" applyAlignment="1" pivotButton="0" quotePrefix="0" xfId="4">
      <alignment horizontal="center" vertical="center"/>
    </xf>
    <xf numFmtId="0" fontId="14" fillId="0" borderId="1" applyAlignment="1" pivotButton="0" quotePrefix="0" xfId="0">
      <alignment vertical="center"/>
    </xf>
    <xf numFmtId="0" fontId="17" fillId="18" borderId="1" applyAlignment="1" pivotButton="0" quotePrefix="0" xfId="0">
      <alignment horizontal="center" vertical="center"/>
    </xf>
    <xf numFmtId="0" fontId="14" fillId="22" borderId="1" applyAlignment="1" pivotButton="0" quotePrefix="0" xfId="0">
      <alignment horizontal="center" vertical="center"/>
    </xf>
    <xf numFmtId="0" fontId="0" fillId="0" borderId="1" applyAlignment="1" pivotButton="0" quotePrefix="0" xfId="0">
      <alignment vertical="center"/>
    </xf>
    <xf numFmtId="165" fontId="0" fillId="0" borderId="0" pivotButton="0" quotePrefix="0" xfId="0"/>
    <xf numFmtId="0" fontId="0" fillId="0" borderId="0" applyAlignment="1" pivotButton="0" quotePrefix="0" xfId="0">
      <alignment vertical="center"/>
    </xf>
    <xf numFmtId="0" fontId="23" fillId="31" borderId="25" applyAlignment="1" pivotButton="0" quotePrefix="0" xfId="4">
      <alignment horizontal="center" vertical="center" wrapText="1"/>
    </xf>
    <xf numFmtId="0" fontId="0" fillId="0" borderId="0" applyAlignment="1" pivotButton="0" quotePrefix="0" xfId="0">
      <alignment horizontal="center"/>
    </xf>
    <xf numFmtId="0" fontId="26" fillId="0" borderId="0" applyAlignment="1" pivotButton="0" quotePrefix="0" xfId="0">
      <alignment horizontal="center" vertical="center"/>
    </xf>
    <xf numFmtId="0" fontId="0" fillId="0" borderId="24" applyAlignment="1" applyProtection="1" pivotButton="0" quotePrefix="0" xfId="0">
      <alignment horizontal="left" vertical="top" wrapText="1"/>
      <protection locked="0" hidden="0"/>
    </xf>
    <xf numFmtId="0" fontId="0" fillId="0" borderId="1" applyAlignment="1" applyProtection="1" pivotButton="0" quotePrefix="0" xfId="0">
      <alignment horizontal="left" vertical="top" wrapText="1"/>
      <protection locked="0" hidden="0"/>
    </xf>
    <xf numFmtId="0" fontId="23" fillId="33" borderId="1" applyAlignment="1" pivotButton="0" quotePrefix="0" xfId="4">
      <alignment horizontal="center" vertical="center" textRotation="90" wrapText="1"/>
    </xf>
    <xf numFmtId="0" fontId="23" fillId="29" borderId="1" applyAlignment="1" pivotButton="0" quotePrefix="0" xfId="4">
      <alignment horizontal="center" vertical="center" textRotation="90" wrapText="1"/>
    </xf>
    <xf numFmtId="0" fontId="23" fillId="29" borderId="24" applyAlignment="1" pivotButton="0" quotePrefix="0" xfId="4">
      <alignment horizontal="center" vertical="center" textRotation="90" wrapText="1"/>
    </xf>
    <xf numFmtId="0" fontId="23" fillId="29" borderId="5" applyAlignment="1" pivotButton="0" quotePrefix="0" xfId="4">
      <alignment horizontal="center" vertical="center" textRotation="90" wrapText="1"/>
    </xf>
    <xf numFmtId="0" fontId="1" fillId="31" borderId="18" applyAlignment="1" pivotButton="0" quotePrefix="0" xfId="0">
      <alignment horizontal="right" vertical="center"/>
    </xf>
    <xf numFmtId="0" fontId="1" fillId="31" borderId="1" applyAlignment="1" pivotButton="0" quotePrefix="0" xfId="0">
      <alignment horizontal="right" vertical="center"/>
    </xf>
    <xf numFmtId="165" fontId="1" fillId="31" borderId="17" applyAlignment="1" pivotButton="0" quotePrefix="0" xfId="0">
      <alignment horizontal="center" wrapText="1"/>
    </xf>
    <xf numFmtId="0" fontId="9" fillId="0" borderId="1" pivotButton="0" quotePrefix="0" xfId="0"/>
    <xf numFmtId="165" fontId="1" fillId="7" borderId="8" applyAlignment="1" pivotButton="0" quotePrefix="0" xfId="0">
      <alignment horizontal="center" wrapText="1"/>
    </xf>
    <xf numFmtId="0" fontId="28" fillId="0" borderId="0" applyAlignment="1" pivotButton="0" quotePrefix="0" xfId="4">
      <alignment horizontal="center" vertical="center" wrapText="1"/>
    </xf>
    <xf numFmtId="0" fontId="0" fillId="0" borderId="28" applyAlignment="1" pivotButton="0" quotePrefix="0" xfId="0">
      <alignment horizontal="center" vertical="center"/>
    </xf>
    <xf numFmtId="0" fontId="0" fillId="0" borderId="10" applyAlignment="1" pivotButton="0" quotePrefix="0" xfId="0">
      <alignment horizontal="center" vertical="center"/>
    </xf>
    <xf numFmtId="0" fontId="0" fillId="6" borderId="0" pivotButton="0" quotePrefix="0" xfId="0"/>
    <xf numFmtId="0" fontId="5" fillId="6" borderId="0" applyAlignment="1" pivotButton="0" quotePrefix="0" xfId="0">
      <alignment horizontal="left" vertical="center" indent="16"/>
    </xf>
    <xf numFmtId="0" fontId="4" fillId="6" borderId="0" applyAlignment="1" pivotButton="0" quotePrefix="0" xfId="0">
      <alignment horizontal="left" vertical="center" indent="16"/>
    </xf>
    <xf numFmtId="0" fontId="29" fillId="6" borderId="0" applyAlignment="1" pivotButton="0" quotePrefix="0" xfId="0">
      <alignment horizontal="left" vertical="center" indent="16"/>
    </xf>
    <xf numFmtId="0" fontId="3" fillId="0" borderId="0" applyAlignment="1" pivotButton="0" quotePrefix="0" xfId="0">
      <alignment horizontal="center"/>
    </xf>
    <xf numFmtId="0" fontId="27" fillId="0" borderId="0" applyAlignment="1" pivotButton="0" quotePrefix="0" xfId="0">
      <alignment horizontal="center" vertical="center"/>
    </xf>
    <xf numFmtId="0" fontId="0" fillId="0" borderId="0" applyAlignment="1" pivotButton="0" quotePrefix="0" xfId="0">
      <alignment wrapText="1"/>
    </xf>
    <xf numFmtId="0" fontId="16" fillId="0" borderId="1" pivotButton="0" quotePrefix="0" xfId="0"/>
    <xf numFmtId="0" fontId="16" fillId="0" borderId="1" applyAlignment="1" pivotButton="0" quotePrefix="0" xfId="0">
      <alignment horizontal="center" vertical="center"/>
    </xf>
    <xf numFmtId="0" fontId="0" fillId="0" borderId="1" applyAlignment="1" applyProtection="1" pivotButton="0" quotePrefix="0" xfId="0">
      <alignment horizontal="center" vertical="center"/>
      <protection locked="0" hidden="0"/>
    </xf>
    <xf numFmtId="0" fontId="16" fillId="36" borderId="1" applyAlignment="1" pivotButton="0" quotePrefix="0" xfId="0">
      <alignment vertical="center"/>
    </xf>
    <xf numFmtId="164" fontId="14" fillId="36" borderId="1" applyAlignment="1" pivotButton="0" quotePrefix="0" xfId="0">
      <alignment horizontal="right" vertical="center"/>
    </xf>
    <xf numFmtId="164" fontId="17" fillId="36" borderId="1" applyAlignment="1" pivotButton="0" quotePrefix="0" xfId="0">
      <alignment vertical="center"/>
    </xf>
    <xf numFmtId="164" fontId="1" fillId="31" borderId="15" applyAlignment="1" pivotButton="0" quotePrefix="0" xfId="3">
      <alignment horizontal="right" vertical="center"/>
    </xf>
    <xf numFmtId="164" fontId="1" fillId="31" borderId="5" applyAlignment="1" pivotButton="0" quotePrefix="0" xfId="3">
      <alignment horizontal="right" vertical="center"/>
    </xf>
    <xf numFmtId="164" fontId="1" fillId="31" borderId="2" applyAlignment="1" pivotButton="0" quotePrefix="0" xfId="3">
      <alignment horizontal="right" vertical="center"/>
    </xf>
    <xf numFmtId="0" fontId="1" fillId="8" borderId="10" pivotButton="0" quotePrefix="0" xfId="0"/>
    <xf numFmtId="0" fontId="1" fillId="31" borderId="10" applyAlignment="1" pivotButton="0" quotePrefix="0" xfId="0">
      <alignment horizontal="right"/>
    </xf>
    <xf numFmtId="0" fontId="0" fillId="0" borderId="21" pivotButton="0" quotePrefix="0" xfId="0"/>
    <xf numFmtId="4" fontId="11" fillId="5" borderId="1" applyAlignment="1" pivotButton="0" quotePrefix="0" xfId="0">
      <alignment vertical="center"/>
    </xf>
    <xf numFmtId="0" fontId="1" fillId="31" borderId="29" applyAlignment="1" pivotButton="0" quotePrefix="0" xfId="0">
      <alignment horizontal="center" vertical="center"/>
    </xf>
    <xf numFmtId="0" fontId="0" fillId="27" borderId="24" pivotButton="0" quotePrefix="0" xfId="0"/>
    <xf numFmtId="0" fontId="0" fillId="13" borderId="24" applyProtection="1" pivotButton="0" quotePrefix="0" xfId="0">
      <protection locked="0" hidden="0"/>
    </xf>
    <xf numFmtId="9" fontId="0" fillId="13" borderId="24" applyProtection="1" pivotButton="0" quotePrefix="0" xfId="0">
      <protection locked="0" hidden="0"/>
    </xf>
    <xf numFmtId="0" fontId="2" fillId="8" borderId="29" applyAlignment="1" pivotButton="0" quotePrefix="0" xfId="0">
      <alignment horizontal="center"/>
    </xf>
    <xf numFmtId="0" fontId="2" fillId="8" borderId="30" applyAlignment="1" pivotButton="0" quotePrefix="0" xfId="0">
      <alignment horizontal="center"/>
    </xf>
    <xf numFmtId="0" fontId="2" fillId="8" borderId="31" applyAlignment="1" pivotButton="0" quotePrefix="0" xfId="0">
      <alignment horizontal="center"/>
    </xf>
    <xf numFmtId="0" fontId="0" fillId="27" borderId="24" applyAlignment="1" pivotButton="0" quotePrefix="0" xfId="0">
      <alignment horizontal="center"/>
    </xf>
    <xf numFmtId="0" fontId="25" fillId="21" borderId="1" applyAlignment="1" pivotButton="0" quotePrefix="0" xfId="0">
      <alignment horizontal="center" vertical="center"/>
    </xf>
    <xf numFmtId="1" fontId="23" fillId="30" borderId="25" applyAlignment="1" pivotButton="0" quotePrefix="0" xfId="4">
      <alignment horizontal="center" vertical="center"/>
    </xf>
    <xf numFmtId="1" fontId="25" fillId="21" borderId="1" applyAlignment="1" pivotButton="0" quotePrefix="0" xfId="0">
      <alignment horizontal="center" vertical="center" wrapText="1"/>
    </xf>
    <xf numFmtId="1" fontId="16" fillId="25" borderId="1" applyAlignment="1" pivotButton="0" quotePrefix="0" xfId="0">
      <alignment vertical="center"/>
    </xf>
    <xf numFmtId="1" fontId="16" fillId="36" borderId="1" applyAlignment="1" pivotButton="0" quotePrefix="0" xfId="0">
      <alignment vertical="center"/>
    </xf>
    <xf numFmtId="1" fontId="0" fillId="3" borderId="1" pivotButton="0" quotePrefix="0" xfId="0"/>
    <xf numFmtId="1" fontId="14" fillId="22" borderId="1" applyAlignment="1" pivotButton="0" quotePrefix="0" xfId="0">
      <alignment horizontal="center" vertical="center" wrapText="1"/>
    </xf>
    <xf numFmtId="1" fontId="16" fillId="36" borderId="1" applyAlignment="1" pivotButton="0" quotePrefix="0" xfId="0">
      <alignment horizontal="right" vertical="center"/>
    </xf>
    <xf numFmtId="1" fontId="14" fillId="25" borderId="1" applyAlignment="1" pivotButton="0" quotePrefix="0" xfId="0">
      <alignment horizontal="right" vertical="center"/>
    </xf>
    <xf numFmtId="1" fontId="16" fillId="25" borderId="1" applyAlignment="1" pivotButton="0" quotePrefix="0" xfId="0">
      <alignment horizontal="right" vertical="center"/>
    </xf>
    <xf numFmtId="0" fontId="36" fillId="11" borderId="6" applyAlignment="1" pivotButton="0" quotePrefix="0" xfId="0">
      <alignment horizontal="center" vertical="center" wrapText="1"/>
    </xf>
    <xf numFmtId="0" fontId="36" fillId="11" borderId="7" applyAlignment="1" pivotButton="0" quotePrefix="0" xfId="0">
      <alignment horizontal="center" vertical="center" wrapText="1"/>
    </xf>
    <xf numFmtId="0" fontId="36" fillId="11" borderId="8" applyAlignment="1" pivotButton="0" quotePrefix="0" xfId="0">
      <alignment horizontal="center" vertical="center" wrapText="1"/>
    </xf>
    <xf numFmtId="0" fontId="36" fillId="11" borderId="9"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0" applyProtection="1" pivotButton="0" quotePrefix="0" xfId="0">
      <protection locked="0" hidden="0"/>
    </xf>
    <xf numFmtId="14" fontId="0" fillId="0" borderId="1" applyProtection="1" pivotButton="0" quotePrefix="0" xfId="0">
      <protection locked="0" hidden="0"/>
    </xf>
    <xf numFmtId="165" fontId="0" fillId="3" borderId="1" pivotButton="0" quotePrefix="0" xfId="1"/>
    <xf numFmtId="0" fontId="0" fillId="0" borderId="11" applyProtection="1" pivotButton="0" quotePrefix="0" xfId="0">
      <protection locked="0" hidden="0"/>
    </xf>
    <xf numFmtId="0" fontId="0" fillId="0" borderId="12" applyProtection="1" pivotButton="0" quotePrefix="1" xfId="0">
      <protection locked="0" hidden="0"/>
    </xf>
    <xf numFmtId="0" fontId="0" fillId="3" borderId="12" applyProtection="1" pivotButton="0" quotePrefix="0" xfId="0">
      <protection locked="0" hidden="0"/>
    </xf>
    <xf numFmtId="14" fontId="0" fillId="0" borderId="12" applyProtection="1" pivotButton="0" quotePrefix="0" xfId="0">
      <protection locked="0" hidden="0"/>
    </xf>
    <xf numFmtId="165" fontId="0" fillId="3" borderId="12" pivotButton="0" quotePrefix="0" xfId="1"/>
    <xf numFmtId="0" fontId="0" fillId="0" borderId="13" applyProtection="1" pivotButton="0" quotePrefix="0" xfId="0">
      <protection locked="0" hidden="0"/>
    </xf>
    <xf numFmtId="0" fontId="18" fillId="20" borderId="1" applyAlignment="1" applyProtection="1" pivotButton="0" quotePrefix="0" xfId="0">
      <alignment horizontal="center" vertical="center" wrapText="1"/>
      <protection locked="0" hidden="0"/>
    </xf>
    <xf numFmtId="0" fontId="0" fillId="0" borderId="0" applyAlignment="1" pivotButton="0" quotePrefix="0" xfId="0">
      <alignment vertical="center" wrapText="1"/>
    </xf>
    <xf numFmtId="2" fontId="36" fillId="11" borderId="7" applyAlignment="1" pivotButton="0" quotePrefix="0" xfId="0">
      <alignment horizontal="center" vertical="center" wrapText="1"/>
    </xf>
    <xf numFmtId="2" fontId="0" fillId="0" borderId="1" applyProtection="1" pivotButton="0" quotePrefix="0" xfId="0">
      <protection locked="0" hidden="0"/>
    </xf>
    <xf numFmtId="2" fontId="0" fillId="0" borderId="12" applyProtection="1" pivotButton="0" quotePrefix="0" xfId="0">
      <protection locked="0" hidden="0"/>
    </xf>
    <xf numFmtId="2" fontId="0" fillId="0" borderId="0" pivotButton="0" quotePrefix="0" xfId="0"/>
    <xf numFmtId="10" fontId="36" fillId="11" borderId="7" applyAlignment="1" pivotButton="0" quotePrefix="0" xfId="0">
      <alignment horizontal="center" vertical="center" wrapText="1"/>
    </xf>
    <xf numFmtId="10" fontId="0" fillId="0" borderId="1" applyAlignment="1" applyProtection="1" pivotButton="0" quotePrefix="0" xfId="2">
      <alignment horizontal="center"/>
      <protection locked="0" hidden="0"/>
    </xf>
    <xf numFmtId="10" fontId="0" fillId="0" borderId="1" applyAlignment="1" applyProtection="1" pivotButton="0" quotePrefix="0" xfId="0">
      <alignment horizontal="center"/>
      <protection locked="0" hidden="0"/>
    </xf>
    <xf numFmtId="10" fontId="0" fillId="3" borderId="1" applyAlignment="1" applyProtection="1" pivotButton="0" quotePrefix="0" xfId="2">
      <alignment horizontal="center"/>
      <protection locked="0" hidden="0"/>
    </xf>
    <xf numFmtId="10" fontId="0" fillId="0" borderId="12" applyAlignment="1" applyProtection="1" pivotButton="0" quotePrefix="0" xfId="2">
      <alignment horizontal="center"/>
      <protection locked="0" hidden="0"/>
    </xf>
    <xf numFmtId="10" fontId="0" fillId="3" borderId="12" applyAlignment="1" applyProtection="1" pivotButton="0" quotePrefix="0" xfId="2">
      <alignment horizontal="center"/>
      <protection locked="0" hidden="0"/>
    </xf>
    <xf numFmtId="10" fontId="0" fillId="0" borderId="0" pivotButton="0" quotePrefix="0" xfId="0"/>
    <xf numFmtId="10" fontId="35" fillId="31" borderId="1" applyAlignment="1" pivotButton="0" quotePrefix="0" xfId="2">
      <alignment horizontal="center" vertical="center"/>
    </xf>
    <xf numFmtId="166" fontId="11" fillId="5" borderId="1" applyAlignment="1" pivotButton="0" quotePrefix="0" xfId="3">
      <alignment horizontal="right"/>
    </xf>
    <xf numFmtId="166" fontId="1" fillId="31" borderId="2" applyAlignment="1" pivotButton="0" quotePrefix="0" xfId="3">
      <alignment horizontal="right"/>
    </xf>
    <xf numFmtId="166" fontId="1" fillId="31" borderId="5" applyAlignment="1" pivotButton="0" quotePrefix="0" xfId="3">
      <alignment horizontal="right" vertical="center"/>
    </xf>
    <xf numFmtId="166" fontId="1" fillId="31" borderId="15" applyAlignment="1" pivotButton="0" quotePrefix="0" xfId="3">
      <alignment horizontal="right" vertical="center"/>
    </xf>
    <xf numFmtId="166" fontId="11" fillId="27" borderId="1" applyAlignment="1" pivotButton="0" quotePrefix="0" xfId="3">
      <alignment horizontal="right"/>
    </xf>
    <xf numFmtId="166" fontId="25" fillId="21" borderId="1" applyAlignment="1" pivotButton="0" quotePrefix="0" xfId="0">
      <alignment horizontal="right" vertical="center"/>
    </xf>
    <xf numFmtId="166" fontId="25" fillId="25" borderId="1" applyAlignment="1" pivotButton="0" quotePrefix="0" xfId="0">
      <alignment horizontal="right" vertical="center"/>
    </xf>
    <xf numFmtId="166" fontId="25" fillId="36" borderId="1" applyAlignment="1" pivotButton="0" quotePrefix="0" xfId="0">
      <alignment horizontal="right" vertical="center"/>
    </xf>
    <xf numFmtId="166" fontId="14" fillId="36" borderId="1" applyAlignment="1" pivotButton="0" quotePrefix="0" xfId="0">
      <alignment horizontal="right" vertical="center"/>
    </xf>
    <xf numFmtId="166" fontId="14" fillId="25" borderId="1" applyAlignment="1" pivotButton="0" quotePrefix="0" xfId="0">
      <alignment horizontal="right" vertical="center"/>
    </xf>
    <xf numFmtId="166" fontId="14" fillId="22" borderId="1" applyAlignment="1" pivotButton="0" quotePrefix="0" xfId="0">
      <alignment horizontal="right" vertical="center"/>
    </xf>
    <xf numFmtId="166" fontId="17" fillId="18" borderId="1" applyAlignment="1" pivotButton="0" quotePrefix="0" xfId="0">
      <alignment vertical="center"/>
    </xf>
    <xf numFmtId="166" fontId="17" fillId="36" borderId="1" applyAlignment="1" pivotButton="0" quotePrefix="0" xfId="0">
      <alignment vertical="center"/>
    </xf>
    <xf numFmtId="166" fontId="17" fillId="36" borderId="1" applyAlignment="1" pivotButton="0" quotePrefix="0" xfId="0">
      <alignment horizontal="right" vertical="center"/>
    </xf>
    <xf numFmtId="166" fontId="17" fillId="35" borderId="1" applyAlignment="1" pivotButton="0" quotePrefix="0" xfId="0">
      <alignment vertical="center"/>
    </xf>
    <xf numFmtId="2" fontId="16" fillId="36" borderId="1" applyAlignment="1" pivotButton="0" quotePrefix="0" xfId="0">
      <alignment vertical="center"/>
    </xf>
    <xf numFmtId="0" fontId="28" fillId="0" borderId="0" applyAlignment="1" pivotButton="0" quotePrefix="0" xfId="4">
      <alignment horizontal="center" vertical="center" wrapText="1"/>
    </xf>
    <xf numFmtId="0" fontId="1" fillId="5" borderId="16" applyAlignment="1" pivotButton="0" quotePrefix="0" xfId="0">
      <alignment vertical="center"/>
    </xf>
    <xf numFmtId="165" fontId="1" fillId="31" borderId="17" applyAlignment="1" pivotButton="0" quotePrefix="0" xfId="0">
      <alignment horizontal="center" vertical="center" wrapText="1"/>
    </xf>
    <xf numFmtId="0" fontId="1" fillId="31" borderId="1" applyAlignment="1" pivotButton="0" quotePrefix="0" xfId="0">
      <alignment horizontal="center" vertical="center"/>
    </xf>
    <xf numFmtId="165" fontId="1" fillId="7" borderId="8" applyAlignment="1" pivotButton="0" quotePrefix="0" xfId="0">
      <alignment horizontal="center" vertical="center" wrapText="1"/>
    </xf>
    <xf numFmtId="0" fontId="0" fillId="0" borderId="0" applyAlignment="1" applyProtection="1" pivotButton="0" quotePrefix="0" xfId="0">
      <alignment vertical="center"/>
      <protection locked="0" hidden="0"/>
    </xf>
    <xf numFmtId="167" fontId="1" fillId="31" borderId="30" applyAlignment="1" pivotButton="0" quotePrefix="0" xfId="0">
      <alignment horizontal="center" vertical="center"/>
    </xf>
    <xf numFmtId="167" fontId="0" fillId="0" borderId="24" applyAlignment="1" pivotButton="0" quotePrefix="0" xfId="0">
      <alignment horizontal="center" vertical="center"/>
    </xf>
    <xf numFmtId="167" fontId="0" fillId="0" borderId="1" applyAlignment="1" pivotButton="0" quotePrefix="0" xfId="0">
      <alignment horizontal="center" vertical="center"/>
    </xf>
    <xf numFmtId="0" fontId="33" fillId="0" borderId="1" applyAlignment="1" pivotButton="0" quotePrefix="0" xfId="0">
      <alignment vertical="center"/>
    </xf>
    <xf numFmtId="0" fontId="1" fillId="0" borderId="1" pivotButton="0" quotePrefix="0" xfId="0"/>
    <xf numFmtId="0" fontId="26" fillId="0" borderId="26" applyAlignment="1" pivotButton="0" quotePrefix="0" xfId="0">
      <alignment vertical="center" wrapText="1"/>
    </xf>
    <xf numFmtId="0" fontId="26" fillId="0" borderId="27" applyAlignment="1" pivotButton="0" quotePrefix="0" xfId="0">
      <alignment vertical="center" wrapText="1"/>
    </xf>
    <xf numFmtId="0" fontId="14" fillId="0" borderId="1" pivotButton="0" quotePrefix="0" xfId="0"/>
    <xf numFmtId="1" fontId="14" fillId="0" borderId="1" pivotButton="0" quotePrefix="0" xfId="0"/>
    <xf numFmtId="1" fontId="16" fillId="0" borderId="1" applyAlignment="1" pivotButton="0" quotePrefix="0" xfId="0">
      <alignment vertical="center"/>
    </xf>
    <xf numFmtId="166" fontId="39" fillId="0" borderId="1" applyAlignment="1" pivotButton="0" quotePrefix="0" xfId="0">
      <alignment horizontal="right" vertical="center"/>
    </xf>
    <xf numFmtId="1" fontId="16" fillId="0" borderId="1" applyAlignment="1" pivotButton="0" quotePrefix="0" xfId="0">
      <alignment horizontal="right" vertical="center"/>
    </xf>
    <xf numFmtId="166" fontId="17" fillId="0" borderId="1" applyAlignment="1" pivotButton="0" quotePrefix="0" xfId="0">
      <alignment horizontal="right" vertical="center"/>
    </xf>
    <xf numFmtId="0" fontId="24" fillId="0" borderId="1" applyAlignment="1" pivotButton="0" quotePrefix="0" xfId="0">
      <alignment vertical="center"/>
    </xf>
    <xf numFmtId="166" fontId="14" fillId="0" borderId="1" applyAlignment="1" pivotButton="0" quotePrefix="0" xfId="0">
      <alignment horizontal="right" vertical="center"/>
    </xf>
    <xf numFmtId="0" fontId="39" fillId="0" borderId="1" applyAlignment="1" pivotButton="0" quotePrefix="0" xfId="0">
      <alignment vertical="center"/>
    </xf>
    <xf numFmtId="0" fontId="16" fillId="26" borderId="1" applyAlignment="1" pivotButton="0" quotePrefix="0" xfId="0">
      <alignment vertical="center"/>
    </xf>
    <xf numFmtId="1" fontId="16" fillId="26" borderId="1" applyAlignment="1" pivotButton="0" quotePrefix="0" xfId="0">
      <alignment vertical="center"/>
    </xf>
    <xf numFmtId="0" fontId="39" fillId="23" borderId="1" applyAlignment="1" pivotButton="0" quotePrefix="0" xfId="0">
      <alignment horizontal="center" vertical="center"/>
    </xf>
    <xf numFmtId="1" fontId="39" fillId="23" borderId="1" applyAlignment="1" pivotButton="0" quotePrefix="0" xfId="0">
      <alignment vertical="center"/>
    </xf>
    <xf numFmtId="0" fontId="39" fillId="23" borderId="1" applyAlignment="1" pivotButton="0" quotePrefix="0" xfId="0">
      <alignment horizontal="right" vertical="center"/>
    </xf>
    <xf numFmtId="0" fontId="16" fillId="23" borderId="1" applyAlignment="1" pivotButton="0" quotePrefix="0" xfId="0">
      <alignment vertical="center"/>
    </xf>
    <xf numFmtId="0" fontId="17" fillId="23" borderId="1" applyAlignment="1" pivotButton="0" quotePrefix="0" xfId="0">
      <alignment vertical="center"/>
    </xf>
    <xf numFmtId="0" fontId="39" fillId="23" borderId="1" applyAlignment="1" pivotButton="0" quotePrefix="0" xfId="0">
      <alignment vertical="center"/>
    </xf>
    <xf numFmtId="0" fontId="39" fillId="0" borderId="1" pivotButton="0" quotePrefix="0" xfId="0"/>
    <xf numFmtId="1" fontId="39" fillId="0" borderId="1" pivotButton="0" quotePrefix="0" xfId="0"/>
    <xf numFmtId="168" fontId="16" fillId="28" borderId="1" applyAlignment="1" applyProtection="1" pivotButton="0" quotePrefix="0" xfId="0">
      <alignment vertical="center"/>
      <protection locked="0" hidden="0"/>
    </xf>
    <xf numFmtId="168" fontId="16" fillId="25" borderId="1" applyAlignment="1" pivotButton="0" quotePrefix="0" xfId="0">
      <alignment vertical="center"/>
    </xf>
    <xf numFmtId="168" fontId="16" fillId="36" borderId="1" applyAlignment="1" pivotButton="0" quotePrefix="0" xfId="0">
      <alignment vertical="center"/>
    </xf>
    <xf numFmtId="168" fontId="14" fillId="25" borderId="1" applyAlignment="1" pivotButton="0" quotePrefix="0" xfId="0">
      <alignment vertical="center"/>
    </xf>
    <xf numFmtId="168" fontId="16" fillId="0" borderId="1" applyAlignment="1" pivotButton="0" quotePrefix="0" xfId="0">
      <alignment vertical="center"/>
    </xf>
    <xf numFmtId="168" fontId="16" fillId="36" borderId="1" applyAlignment="1" pivotButton="0" quotePrefix="0" xfId="0">
      <alignment horizontal="right" vertical="center"/>
    </xf>
    <xf numFmtId="168" fontId="14" fillId="25" borderId="1" applyAlignment="1" pivotButton="0" quotePrefix="0" xfId="0">
      <alignment horizontal="right" vertical="center"/>
    </xf>
    <xf numFmtId="168" fontId="16" fillId="0" borderId="1" applyAlignment="1" pivotButton="0" quotePrefix="0" xfId="0">
      <alignment horizontal="right" vertical="center"/>
    </xf>
    <xf numFmtId="168" fontId="16" fillId="25" borderId="1" applyAlignment="1" pivotButton="0" quotePrefix="0" xfId="0">
      <alignment horizontal="right" vertical="center"/>
    </xf>
    <xf numFmtId="168" fontId="24" fillId="21" borderId="1" applyAlignment="1" pivotButton="0" quotePrefix="0" xfId="0">
      <alignment vertical="center"/>
    </xf>
    <xf numFmtId="168" fontId="24" fillId="25" borderId="1" applyAlignment="1" pivotButton="0" quotePrefix="0" xfId="0">
      <alignment vertical="center"/>
    </xf>
    <xf numFmtId="168" fontId="24" fillId="36" borderId="1" applyAlignment="1" pivotButton="0" quotePrefix="0" xfId="0">
      <alignment vertical="center"/>
    </xf>
    <xf numFmtId="168" fontId="39" fillId="0" borderId="1" pivotButton="0" quotePrefix="0" xfId="0"/>
    <xf numFmtId="168" fontId="16" fillId="22" borderId="1" applyAlignment="1" pivotButton="0" quotePrefix="0" xfId="0">
      <alignment vertical="center"/>
    </xf>
    <xf numFmtId="0" fontId="0" fillId="12" borderId="1" applyAlignment="1" applyProtection="1" pivotButton="0" quotePrefix="0" xfId="0">
      <alignment horizontal="center"/>
      <protection locked="0" hidden="0"/>
    </xf>
    <xf numFmtId="0" fontId="0" fillId="12" borderId="1" applyAlignment="1" applyProtection="1" pivotButton="0" quotePrefix="0" xfId="0">
      <alignment horizontal="right"/>
      <protection locked="0" hidden="0"/>
    </xf>
    <xf numFmtId="0" fontId="0" fillId="12" borderId="1" applyProtection="1" pivotButton="0" quotePrefix="0" xfId="0">
      <protection locked="0" hidden="0"/>
    </xf>
    <xf numFmtId="0" fontId="38" fillId="12" borderId="1" applyProtection="1" pivotButton="0" quotePrefix="0" xfId="0">
      <protection locked="0" hidden="0"/>
    </xf>
    <xf numFmtId="164" fontId="0" fillId="2" borderId="1" applyProtection="1" pivotButton="0" quotePrefix="0" xfId="0">
      <protection locked="0" hidden="0"/>
    </xf>
    <xf numFmtId="164" fontId="0" fillId="4" borderId="1" applyProtection="1" pivotButton="0" quotePrefix="0" xfId="0">
      <protection locked="0" hidden="0"/>
    </xf>
    <xf numFmtId="164" fontId="6" fillId="10" borderId="1" applyProtection="1" pivotButton="0" quotePrefix="0" xfId="0">
      <protection locked="0" hidden="0"/>
    </xf>
    <xf numFmtId="0" fontId="1" fillId="14" borderId="1" applyAlignment="1" applyProtection="1" pivotButton="0" quotePrefix="0" xfId="0">
      <alignment vertical="center"/>
      <protection locked="0" hidden="0"/>
    </xf>
    <xf numFmtId="164" fontId="1" fillId="14" borderId="1" applyAlignment="1" applyProtection="1" pivotButton="0" quotePrefix="0" xfId="0">
      <alignment vertical="center"/>
      <protection locked="0" hidden="0"/>
    </xf>
    <xf numFmtId="168" fontId="1" fillId="2" borderId="1" applyAlignment="1" applyProtection="1" pivotButton="0" quotePrefix="0" xfId="0">
      <alignment horizontal="right"/>
      <protection locked="0" hidden="0"/>
    </xf>
    <xf numFmtId="168" fontId="0" fillId="14" borderId="1" applyProtection="1" pivotButton="0" quotePrefix="0" xfId="0">
      <protection locked="0" hidden="0"/>
    </xf>
    <xf numFmtId="168" fontId="1" fillId="14" borderId="1" applyAlignment="1" applyProtection="1" pivotButton="0" quotePrefix="0" xfId="0">
      <alignment vertical="center"/>
      <protection locked="0" hidden="0"/>
    </xf>
    <xf numFmtId="168" fontId="0" fillId="0" borderId="1" applyProtection="1" pivotButton="0" quotePrefix="0" xfId="0">
      <protection locked="0" hidden="0"/>
    </xf>
    <xf numFmtId="168" fontId="1" fillId="4" borderId="1" applyAlignment="1" applyProtection="1" pivotButton="0" quotePrefix="0" xfId="0">
      <alignment horizontal="right"/>
      <protection locked="0" hidden="0"/>
    </xf>
    <xf numFmtId="168" fontId="1" fillId="14" borderId="1" applyAlignment="1" applyProtection="1" pivotButton="0" quotePrefix="0" xfId="0">
      <alignment horizontal="right"/>
      <protection locked="0" hidden="0"/>
    </xf>
    <xf numFmtId="2" fontId="6" fillId="10" borderId="1" applyProtection="1" pivotButton="0" quotePrefix="0" xfId="0">
      <protection locked="0" hidden="0"/>
    </xf>
    <xf numFmtId="2" fontId="1" fillId="14" borderId="1" applyAlignment="1" applyProtection="1" pivotButton="0" quotePrefix="0" xfId="0">
      <alignment horizontal="right"/>
      <protection locked="0" hidden="0"/>
    </xf>
    <xf numFmtId="2" fontId="1" fillId="14" borderId="1" applyAlignment="1" applyProtection="1" pivotButton="0" quotePrefix="0" xfId="0">
      <alignment vertical="center"/>
      <protection locked="0" hidden="0"/>
    </xf>
    <xf numFmtId="2" fontId="1" fillId="4" borderId="1" applyAlignment="1" applyProtection="1" pivotButton="0" quotePrefix="0" xfId="0">
      <alignment horizontal="right"/>
      <protection locked="0" hidden="0"/>
    </xf>
    <xf numFmtId="2" fontId="0" fillId="4" borderId="1" applyProtection="1" pivotButton="0" quotePrefix="0" xfId="0">
      <protection locked="0" hidden="0"/>
    </xf>
    <xf numFmtId="2" fontId="0" fillId="14" borderId="1" applyProtection="1" pivotButton="0" quotePrefix="0" xfId="0">
      <protection locked="0" hidden="0"/>
    </xf>
    <xf numFmtId="2" fontId="0" fillId="2" borderId="1" applyProtection="1" pivotButton="0" quotePrefix="0" xfId="0">
      <protection locked="0" hidden="0"/>
    </xf>
    <xf numFmtId="2" fontId="1" fillId="2" borderId="1" applyAlignment="1" applyProtection="1" pivotButton="0" quotePrefix="0" xfId="0">
      <alignment horizontal="right"/>
      <protection locked="0" hidden="0"/>
    </xf>
    <xf numFmtId="1" fontId="14" fillId="25" borderId="1" applyAlignment="1" pivotButton="0" quotePrefix="0" xfId="0">
      <alignment vertical="center"/>
    </xf>
    <xf numFmtId="166" fontId="14" fillId="25" borderId="1" applyAlignment="1" pivotButton="0" quotePrefix="0" xfId="0">
      <alignment vertical="center"/>
    </xf>
    <xf numFmtId="2" fontId="25" fillId="21" borderId="1" applyAlignment="1" pivotButton="0" quotePrefix="0" xfId="0">
      <alignment horizontal="right" vertical="center"/>
    </xf>
    <xf numFmtId="2" fontId="14" fillId="22" borderId="1" applyAlignment="1" pivotButton="0" quotePrefix="0" xfId="0">
      <alignment horizontal="right" vertical="center"/>
    </xf>
    <xf numFmtId="2" fontId="17" fillId="18" borderId="1" applyAlignment="1" pivotButton="0" quotePrefix="0" xfId="0">
      <alignment vertical="center"/>
    </xf>
    <xf numFmtId="0" fontId="40" fillId="37" borderId="25" applyAlignment="1" pivotButton="0" quotePrefix="0" xfId="4">
      <alignment horizontal="center" vertical="center" wrapText="1" shrinkToFit="1"/>
    </xf>
    <xf numFmtId="0" fontId="2" fillId="6" borderId="22" applyAlignment="1" pivotButton="0" quotePrefix="0" xfId="0">
      <alignment horizontal="center" vertical="center"/>
    </xf>
    <xf numFmtId="0" fontId="2" fillId="6" borderId="12" applyAlignment="1" pivotButton="0" quotePrefix="0" xfId="0">
      <alignment horizontal="center" vertical="center" wrapText="1"/>
    </xf>
    <xf numFmtId="0" fontId="2" fillId="6" borderId="12" applyAlignment="1" pivotButton="0" quotePrefix="0" xfId="0">
      <alignment horizontal="center" vertical="center"/>
    </xf>
    <xf numFmtId="0" fontId="2" fillId="6" borderId="13" applyAlignment="1" pivotButton="0" quotePrefix="0" xfId="0">
      <alignment horizontal="left" vertical="center"/>
    </xf>
    <xf numFmtId="0" fontId="12" fillId="0" borderId="0" applyAlignment="1" pivotButton="0" quotePrefix="0" xfId="0">
      <alignment horizontal="center" vertical="center"/>
    </xf>
    <xf numFmtId="1" fontId="0" fillId="0" borderId="1" applyAlignment="1" applyProtection="1" pivotButton="0" quotePrefix="0" xfId="0">
      <alignment horizontal="center" vertical="center"/>
      <protection locked="0" hidden="0"/>
    </xf>
    <xf numFmtId="1" fontId="32" fillId="30" borderId="25" applyAlignment="1" pivotButton="0" quotePrefix="0" xfId="4">
      <alignment horizontal="center" vertical="center"/>
    </xf>
    <xf numFmtId="0" fontId="0" fillId="0" borderId="0" applyAlignment="1" pivotButton="0" quotePrefix="0" xfId="0">
      <alignment horizontal="left"/>
    </xf>
    <xf numFmtId="0" fontId="42" fillId="0" borderId="0" applyAlignment="1" pivotButton="0" quotePrefix="0" xfId="0">
      <alignment horizontal="left"/>
    </xf>
    <xf numFmtId="49" fontId="0" fillId="0" borderId="24" applyAlignment="1" pivotButton="0" quotePrefix="0" xfId="0">
      <alignment horizontal="left" vertical="top" wrapText="1"/>
    </xf>
    <xf numFmtId="49" fontId="1" fillId="31" borderId="30" applyAlignment="1" pivotButton="0" quotePrefix="0" xfId="0">
      <alignment horizontal="center" vertical="top" wrapText="1"/>
    </xf>
    <xf numFmtId="49" fontId="0" fillId="0" borderId="1" applyAlignment="1" pivotButton="0" quotePrefix="0" xfId="0">
      <alignment horizontal="left" vertical="top" wrapText="1"/>
    </xf>
    <xf numFmtId="1" fontId="16" fillId="28" borderId="1" applyAlignment="1" applyProtection="1" pivotButton="0" quotePrefix="0" xfId="0">
      <alignment vertical="center"/>
      <protection locked="0" hidden="0"/>
    </xf>
    <xf numFmtId="1" fontId="24" fillId="21" borderId="1" applyAlignment="1" pivotButton="0" quotePrefix="0" xfId="0">
      <alignment vertical="center"/>
    </xf>
    <xf numFmtId="1" fontId="24" fillId="25" borderId="1" applyAlignment="1" pivotButton="0" quotePrefix="0" xfId="0">
      <alignment vertical="center"/>
    </xf>
    <xf numFmtId="1" fontId="24" fillId="36" borderId="1" applyAlignment="1" pivotButton="0" quotePrefix="0" xfId="0">
      <alignment vertical="center"/>
    </xf>
    <xf numFmtId="1" fontId="16" fillId="22" borderId="1" applyAlignment="1" pivotButton="0" quotePrefix="0" xfId="0">
      <alignment vertical="center"/>
    </xf>
    <xf numFmtId="9" fontId="0" fillId="0" borderId="0" pivotButton="0" quotePrefix="0" xfId="0"/>
    <xf numFmtId="169" fontId="0" fillId="0" borderId="0" pivotButton="0" quotePrefix="0" xfId="0"/>
    <xf numFmtId="0" fontId="28" fillId="0" borderId="0" applyAlignment="1" pivotButton="0" quotePrefix="0" xfId="4">
      <alignment vertical="center"/>
    </xf>
    <xf numFmtId="2" fontId="24" fillId="21" borderId="1" applyAlignment="1" pivotButton="0" quotePrefix="0" xfId="0">
      <alignment vertical="center"/>
    </xf>
    <xf numFmtId="2" fontId="16" fillId="22" borderId="1" applyAlignment="1" pivotButton="0" quotePrefix="0" xfId="0">
      <alignment vertical="center"/>
    </xf>
    <xf numFmtId="0" fontId="44" fillId="6" borderId="0" applyAlignment="1" pivotButton="0" quotePrefix="0" xfId="0">
      <alignment horizontal="left" vertical="center" indent="16"/>
    </xf>
    <xf numFmtId="0" fontId="32" fillId="38" borderId="25" applyAlignment="1" pivotButton="0" quotePrefix="0" xfId="4">
      <alignment horizontal="center" vertical="center"/>
    </xf>
    <xf numFmtId="0" fontId="1" fillId="15" borderId="1" applyAlignment="1" applyProtection="1" pivotButton="0" quotePrefix="0" xfId="0">
      <alignment wrapText="1"/>
      <protection locked="0" hidden="0"/>
    </xf>
    <xf numFmtId="11" fontId="41" fillId="0" borderId="1" applyAlignment="1" pivotButton="0" quotePrefix="0" xfId="0">
      <alignment vertical="center"/>
    </xf>
    <xf numFmtId="0" fontId="18" fillId="39" borderId="1" applyAlignment="1" applyProtection="1" pivotButton="0" quotePrefix="0" xfId="0">
      <alignment horizontal="center" vertical="center" wrapText="1"/>
      <protection locked="0" hidden="0"/>
    </xf>
    <xf numFmtId="0" fontId="32" fillId="30" borderId="25" applyAlignment="1" pivotButton="0" quotePrefix="0" xfId="4">
      <alignment horizontal="center" vertical="center"/>
    </xf>
    <xf numFmtId="0" fontId="41" fillId="0" borderId="1" applyAlignment="1" pivotButton="0" quotePrefix="0" xfId="0">
      <alignment vertical="center"/>
    </xf>
    <xf numFmtId="49" fontId="1" fillId="8" borderId="10" applyAlignment="1" pivotButton="0" quotePrefix="0" xfId="0">
      <alignment horizontal="left" vertical="center"/>
    </xf>
    <xf numFmtId="49" fontId="1" fillId="4" borderId="8" applyAlignment="1" pivotButton="0" quotePrefix="0" xfId="0">
      <alignment horizontal="center" wrapText="1"/>
    </xf>
    <xf numFmtId="49" fontId="1" fillId="8" borderId="10" pivotButton="0" quotePrefix="0" xfId="0"/>
    <xf numFmtId="4" fontId="11" fillId="27" borderId="1" applyAlignment="1" pivotButton="0" quotePrefix="0" xfId="0">
      <alignment vertical="center"/>
    </xf>
    <xf numFmtId="49" fontId="1" fillId="4" borderId="8" applyAlignment="1" pivotButton="0" quotePrefix="0" xfId="0">
      <alignment horizontal="center" vertical="center" wrapText="1"/>
    </xf>
    <xf numFmtId="0" fontId="46" fillId="15" borderId="1" applyAlignment="1" applyProtection="1" pivotButton="0" quotePrefix="0" xfId="0">
      <alignment wrapText="1"/>
      <protection locked="0" hidden="0"/>
    </xf>
    <xf numFmtId="0" fontId="46" fillId="15" borderId="36" applyAlignment="1" applyProtection="1" pivotButton="0" quotePrefix="0" xfId="0">
      <alignment horizontal="justify" vertical="center" wrapText="1"/>
      <protection locked="0" hidden="0"/>
    </xf>
    <xf numFmtId="0" fontId="46" fillId="15" borderId="37" applyAlignment="1" applyProtection="1" pivotButton="0" quotePrefix="0" xfId="0">
      <alignment horizontal="justify" vertical="center" wrapText="1"/>
      <protection locked="0" hidden="0"/>
    </xf>
    <xf numFmtId="0" fontId="9" fillId="16" borderId="0" applyAlignment="1" pivotButton="0" quotePrefix="0" xfId="0">
      <alignment horizontal="center"/>
    </xf>
    <xf numFmtId="0" fontId="31" fillId="33" borderId="5" applyAlignment="1" pivotButton="0" quotePrefix="0" xfId="0">
      <alignment horizontal="center" vertical="center" textRotation="90" wrapText="1"/>
    </xf>
    <xf numFmtId="0" fontId="31" fillId="33" borderId="23" applyAlignment="1" pivotButton="0" quotePrefix="0" xfId="0">
      <alignment horizontal="center" vertical="center" textRotation="90" wrapText="1"/>
    </xf>
    <xf numFmtId="0" fontId="22" fillId="6" borderId="2" applyAlignment="1" pivotButton="0" quotePrefix="0" xfId="4">
      <alignment horizontal="left" vertical="center" wrapText="1"/>
    </xf>
    <xf numFmtId="0" fontId="22" fillId="6" borderId="3" applyAlignment="1" pivotButton="0" quotePrefix="0" xfId="4">
      <alignment horizontal="left" vertical="center" wrapText="1"/>
    </xf>
    <xf numFmtId="0" fontId="22" fillId="6" borderId="4" applyAlignment="1" pivotButton="0" quotePrefix="0" xfId="4">
      <alignment horizontal="left" vertical="center" wrapText="1"/>
    </xf>
    <xf numFmtId="0" fontId="0" fillId="5" borderId="1" applyAlignment="1" pivotButton="0" quotePrefix="0" xfId="0">
      <alignment horizontal="left" vertical="center" wrapText="1"/>
    </xf>
    <xf numFmtId="0" fontId="0" fillId="5" borderId="2" applyAlignment="1" pivotButton="0" quotePrefix="0" xfId="0">
      <alignment horizontal="left" vertical="center" wrapText="1"/>
    </xf>
    <xf numFmtId="0" fontId="0" fillId="5" borderId="3" applyAlignment="1" pivotButton="0" quotePrefix="0" xfId="0">
      <alignment horizontal="left" vertical="center" wrapText="1"/>
    </xf>
    <xf numFmtId="0" fontId="0" fillId="5" borderId="4" applyAlignment="1" pivotButton="0" quotePrefix="0" xfId="0">
      <alignment horizontal="left" vertical="center" wrapText="1"/>
    </xf>
    <xf numFmtId="0" fontId="0" fillId="6" borderId="1" applyAlignment="1" pivotButton="0" quotePrefix="0" xfId="0">
      <alignment horizontal="left" vertical="center" wrapText="1"/>
    </xf>
    <xf numFmtId="0" fontId="3" fillId="0" borderId="0" applyAlignment="1" pivotButton="0" quotePrefix="0" xfId="0">
      <alignment horizontal="center"/>
    </xf>
    <xf numFmtId="0" fontId="31" fillId="29" borderId="5" applyAlignment="1" pivotButton="0" quotePrefix="0" xfId="0">
      <alignment horizontal="center" vertical="center" textRotation="90" wrapText="1"/>
    </xf>
    <xf numFmtId="0" fontId="31" fillId="29" borderId="24" applyAlignment="1" pivotButton="0" quotePrefix="0" xfId="0">
      <alignment horizontal="center" vertical="center" textRotation="90" wrapText="1"/>
    </xf>
    <xf numFmtId="0" fontId="0" fillId="6" borderId="1" applyAlignment="1" pivotButton="0" quotePrefix="0" xfId="0">
      <alignment vertical="center" wrapText="1"/>
    </xf>
    <xf numFmtId="0" fontId="9" fillId="8" borderId="32" applyAlignment="1" pivotButton="0" quotePrefix="0" xfId="0">
      <alignment horizontal="center"/>
    </xf>
    <xf numFmtId="0" fontId="9" fillId="8" borderId="33" applyAlignment="1" pivotButton="0" quotePrefix="0" xfId="0">
      <alignment horizontal="center"/>
    </xf>
    <xf numFmtId="0" fontId="0" fillId="0" borderId="34" applyAlignment="1" pivotButton="0" quotePrefix="0" xfId="0">
      <alignment horizontal="center"/>
    </xf>
    <xf numFmtId="0" fontId="9" fillId="9" borderId="1" applyAlignment="1" pivotButton="0" quotePrefix="0" xfId="0">
      <alignment horizontal="center"/>
    </xf>
    <xf numFmtId="0" fontId="10" fillId="17" borderId="14" applyAlignment="1" pivotButton="0" quotePrefix="0" xfId="0">
      <alignment horizontal="center" vertical="center" wrapText="1"/>
    </xf>
    <xf numFmtId="0" fontId="10" fillId="17" borderId="0" applyAlignment="1" pivotButton="0" quotePrefix="0" xfId="0">
      <alignment horizontal="center" vertical="center"/>
    </xf>
    <xf numFmtId="0" fontId="34" fillId="17" borderId="19" applyAlignment="1" pivotButton="0" quotePrefix="0" xfId="0">
      <alignment horizontal="center" vertical="center" wrapText="1"/>
    </xf>
    <xf numFmtId="0" fontId="34" fillId="17" borderId="20" applyAlignment="1" pivotButton="0" quotePrefix="0" xfId="0">
      <alignment horizontal="center" vertical="center" wrapText="1"/>
    </xf>
    <xf numFmtId="0" fontId="9" fillId="11" borderId="2" applyAlignment="1" applyProtection="1" pivotButton="0" quotePrefix="0" xfId="0">
      <alignment horizontal="center"/>
      <protection locked="0" hidden="0"/>
    </xf>
    <xf numFmtId="0" fontId="9" fillId="11" borderId="3" applyAlignment="1" applyProtection="1" pivotButton="0" quotePrefix="0" xfId="0">
      <alignment horizontal="center"/>
      <protection locked="0" hidden="0"/>
    </xf>
    <xf numFmtId="0" fontId="9" fillId="11" borderId="4" applyAlignment="1" applyProtection="1" pivotButton="0" quotePrefix="0" xfId="0">
      <alignment horizontal="center"/>
      <protection locked="0" hidden="0"/>
    </xf>
    <xf numFmtId="0" fontId="1" fillId="2" borderId="1" applyAlignment="1" applyProtection="1" pivotButton="0" quotePrefix="0" xfId="0">
      <alignment horizontal="center" vertical="center" wrapText="1"/>
      <protection locked="0" hidden="0"/>
    </xf>
    <xf numFmtId="0" fontId="8" fillId="5" borderId="1" applyAlignment="1" applyProtection="1" pivotButton="0" quotePrefix="0" xfId="0">
      <alignment horizontal="center" vertical="center"/>
      <protection locked="0" hidden="0"/>
    </xf>
    <xf numFmtId="0" fontId="1" fillId="2" borderId="1" applyAlignment="1" applyProtection="1" pivotButton="0" quotePrefix="0" xfId="0">
      <alignment horizontal="center" vertical="center" wrapText="1" shrinkToFit="1"/>
      <protection locked="0" hidden="0"/>
    </xf>
    <xf numFmtId="0" fontId="0" fillId="0" borderId="1" applyAlignment="1" pivotButton="0" quotePrefix="0" xfId="0">
      <alignment horizontal="center" vertical="center" wrapText="1" shrinkToFit="1"/>
    </xf>
    <xf numFmtId="0" fontId="15" fillId="18" borderId="1" applyAlignment="1" pivotButton="0" quotePrefix="0" xfId="0">
      <alignment horizontal="center" vertical="center" wrapText="1"/>
    </xf>
    <xf numFmtId="0" fontId="15" fillId="18" borderId="24" applyAlignment="1" pivotButton="0" quotePrefix="0" xfId="0">
      <alignment horizontal="center" vertical="center" wrapText="1"/>
    </xf>
    <xf numFmtId="0" fontId="14" fillId="19" borderId="1" applyAlignment="1" pivotButton="0" quotePrefix="0" xfId="0">
      <alignment horizontal="center" vertical="center" wrapText="1"/>
    </xf>
    <xf numFmtId="0" fontId="19" fillId="24" borderId="1" applyAlignment="1" pivotButton="0" quotePrefix="0" xfId="0">
      <alignment horizontal="center" vertical="center"/>
    </xf>
    <xf numFmtId="0" fontId="33" fillId="34" borderId="1" applyAlignment="1" pivotButton="0" quotePrefix="0" xfId="0">
      <alignment horizontal="center" vertical="center" wrapText="1"/>
    </xf>
    <xf numFmtId="0" fontId="30" fillId="32" borderId="16" applyAlignment="1" pivotButton="0" quotePrefix="0" xfId="0">
      <alignment horizontal="center" vertical="center"/>
    </xf>
    <xf numFmtId="0" fontId="30" fillId="32" borderId="8" applyAlignment="1" pivotButton="0" quotePrefix="0" xfId="0">
      <alignment horizontal="center" vertical="center"/>
    </xf>
    <xf numFmtId="0" fontId="30" fillId="32" borderId="17" applyAlignment="1" pivotButton="0" quotePrefix="0" xfId="0">
      <alignment horizontal="center" vertical="center"/>
    </xf>
    <xf numFmtId="0" fontId="3" fillId="31" borderId="32" applyAlignment="1" pivotButton="0" quotePrefix="0" xfId="0">
      <alignment horizontal="center" vertical="center"/>
    </xf>
    <xf numFmtId="0" fontId="3" fillId="31" borderId="33" applyAlignment="1" pivotButton="0" quotePrefix="0" xfId="0">
      <alignment horizontal="center" vertical="center"/>
    </xf>
    <xf numFmtId="0" fontId="3" fillId="31" borderId="35" applyAlignment="1" pivotButton="0" quotePrefix="0" xfId="0">
      <alignment horizontal="center" vertical="center"/>
    </xf>
    <xf numFmtId="0" fontId="31" fillId="29" borderId="1" applyAlignment="1" pivotButton="0" quotePrefix="0" xfId="0">
      <alignment horizontal="center" vertical="center" textRotation="90" wrapText="1"/>
    </xf>
    <xf numFmtId="0" fontId="0" fillId="0" borderId="3" pivotButton="0" quotePrefix="0" xfId="0"/>
    <xf numFmtId="0" fontId="0" fillId="0" borderId="4" pivotButton="0" quotePrefix="0" xfId="0"/>
    <xf numFmtId="0" fontId="0" fillId="0" borderId="24" pivotButton="0" quotePrefix="0" xfId="0"/>
    <xf numFmtId="0" fontId="0" fillId="0" borderId="23" pivotButton="0" quotePrefix="0" xfId="0"/>
    <xf numFmtId="0" fontId="22" fillId="6" borderId="1" applyAlignment="1" pivotButton="0" quotePrefix="0" xfId="4">
      <alignment horizontal="left" vertical="center" wrapText="1"/>
    </xf>
    <xf numFmtId="0" fontId="9" fillId="8" borderId="25" applyAlignment="1" pivotButton="0" quotePrefix="0" xfId="0">
      <alignment horizontal="center"/>
    </xf>
    <xf numFmtId="0" fontId="0" fillId="0" borderId="33" pivotButton="0" quotePrefix="0" xfId="0"/>
    <xf numFmtId="0" fontId="0" fillId="0" borderId="34" pivotButton="0" quotePrefix="0" xfId="0"/>
    <xf numFmtId="165" fontId="0" fillId="0" borderId="0" pivotButton="0" quotePrefix="0" xfId="0"/>
    <xf numFmtId="165" fontId="1" fillId="7" borderId="8" applyAlignment="1" pivotButton="0" quotePrefix="0" xfId="0">
      <alignment horizontal="center" wrapText="1"/>
    </xf>
    <xf numFmtId="165" fontId="1" fillId="31" borderId="17" applyAlignment="1" pivotButton="0" quotePrefix="0" xfId="0">
      <alignment horizontal="center" wrapText="1"/>
    </xf>
    <xf numFmtId="164" fontId="1" fillId="31" borderId="2" applyAlignment="1" pivotButton="0" quotePrefix="0" xfId="3">
      <alignment horizontal="right" vertical="center"/>
    </xf>
    <xf numFmtId="164" fontId="1" fillId="31" borderId="5" applyAlignment="1" pivotButton="0" quotePrefix="0" xfId="3">
      <alignment horizontal="right" vertical="center"/>
    </xf>
    <xf numFmtId="164" fontId="1" fillId="31" borderId="15" applyAlignment="1" pivotButton="0" quotePrefix="0" xfId="3">
      <alignment horizontal="right" vertical="center"/>
    </xf>
    <xf numFmtId="0" fontId="0" fillId="0" borderId="20" pivotButton="0" quotePrefix="0" xfId="0"/>
    <xf numFmtId="165" fontId="1" fillId="7" borderId="8" applyAlignment="1" pivotButton="0" quotePrefix="0" xfId="0">
      <alignment horizontal="center" vertical="center" wrapText="1"/>
    </xf>
    <xf numFmtId="165" fontId="1" fillId="31" borderId="17" applyAlignment="1" pivotButton="0" quotePrefix="0" xfId="0">
      <alignment horizontal="center" vertical="center" wrapText="1"/>
    </xf>
    <xf numFmtId="166" fontId="11" fillId="5" borderId="1" applyAlignment="1" pivotButton="0" quotePrefix="0" xfId="3">
      <alignment horizontal="right"/>
    </xf>
    <xf numFmtId="166" fontId="1" fillId="31" borderId="2" applyAlignment="1" pivotButton="0" quotePrefix="0" xfId="3">
      <alignment horizontal="right"/>
    </xf>
    <xf numFmtId="166" fontId="1" fillId="31" borderId="5" applyAlignment="1" pivotButton="0" quotePrefix="0" xfId="3">
      <alignment horizontal="right" vertical="center"/>
    </xf>
    <xf numFmtId="166" fontId="1" fillId="31" borderId="15" applyAlignment="1" pivotButton="0" quotePrefix="0" xfId="3">
      <alignment horizontal="right" vertical="center"/>
    </xf>
    <xf numFmtId="166" fontId="11" fillId="27" borderId="1" applyAlignment="1" pivotButton="0" quotePrefix="0" xfId="3">
      <alignment horizontal="right"/>
    </xf>
    <xf numFmtId="0" fontId="9" fillId="11" borderId="1" applyAlignment="1" applyProtection="1" pivotButton="0" quotePrefix="0" xfId="0">
      <alignment horizontal="center"/>
      <protection locked="0" hidden="0"/>
    </xf>
    <xf numFmtId="0" fontId="0" fillId="0" borderId="3" applyProtection="1" pivotButton="0" quotePrefix="0" xfId="0">
      <protection locked="0" hidden="0"/>
    </xf>
    <xf numFmtId="0" fontId="0" fillId="0" borderId="4" applyProtection="1" pivotButton="0" quotePrefix="0" xfId="0">
      <protection locked="0" hidden="0"/>
    </xf>
    <xf numFmtId="164" fontId="0" fillId="14" borderId="1" applyProtection="1" pivotButton="0" quotePrefix="0" xfId="0">
      <protection locked="0" hidden="0"/>
    </xf>
    <xf numFmtId="164" fontId="1" fillId="14" borderId="1" applyAlignment="1" applyProtection="1" pivotButton="0" quotePrefix="0" xfId="0">
      <alignment horizontal="right"/>
      <protection locked="0" hidden="0"/>
    </xf>
    <xf numFmtId="168" fontId="1" fillId="2" borderId="1" applyAlignment="1" applyProtection="1" pivotButton="0" quotePrefix="0" xfId="0">
      <alignment horizontal="right"/>
      <protection locked="0" hidden="0"/>
    </xf>
    <xf numFmtId="168" fontId="1" fillId="4" borderId="1" applyAlignment="1" applyProtection="1" pivotButton="0" quotePrefix="0" xfId="0">
      <alignment horizontal="right"/>
      <protection locked="0" hidden="0"/>
    </xf>
    <xf numFmtId="164" fontId="6" fillId="10" borderId="1" applyProtection="1" pivotButton="0" quotePrefix="0" xfId="0">
      <protection locked="0" hidden="0"/>
    </xf>
    <xf numFmtId="168" fontId="0" fillId="14" borderId="1" applyProtection="1" pivotButton="0" quotePrefix="0" xfId="0">
      <protection locked="0" hidden="0"/>
    </xf>
    <xf numFmtId="168" fontId="1" fillId="14" borderId="1" applyAlignment="1" applyProtection="1" pivotButton="0" quotePrefix="0" xfId="0">
      <alignment horizontal="right"/>
      <protection locked="0" hidden="0"/>
    </xf>
    <xf numFmtId="168" fontId="16" fillId="36" borderId="1" applyAlignment="1" pivotButton="0" quotePrefix="0" xfId="0">
      <alignment vertical="center"/>
    </xf>
    <xf numFmtId="168" fontId="1" fillId="14" borderId="1" applyAlignment="1" applyProtection="1" pivotButton="0" quotePrefix="0" xfId="0">
      <alignment vertical="center"/>
      <protection locked="0" hidden="0"/>
    </xf>
    <xf numFmtId="164" fontId="1" fillId="14" borderId="1" applyAlignment="1" applyProtection="1" pivotButton="0" quotePrefix="0" xfId="0">
      <alignment vertical="center"/>
      <protection locked="0" hidden="0"/>
    </xf>
    <xf numFmtId="168" fontId="0" fillId="0" borderId="1" applyProtection="1" pivotButton="0" quotePrefix="0" xfId="0">
      <protection locked="0" hidden="0"/>
    </xf>
    <xf numFmtId="164" fontId="0" fillId="2" borderId="1" applyProtection="1" pivotButton="0" quotePrefix="0" xfId="0">
      <protection locked="0" hidden="0"/>
    </xf>
    <xf numFmtId="164" fontId="1" fillId="2" borderId="1" applyAlignment="1" applyProtection="1" pivotButton="0" quotePrefix="0" xfId="0">
      <alignment horizontal="right"/>
      <protection locked="0" hidden="0"/>
    </xf>
    <xf numFmtId="164" fontId="0" fillId="4" borderId="1" applyProtection="1" pivotButton="0" quotePrefix="0" xfId="0">
      <protection locked="0" hidden="0"/>
    </xf>
    <xf numFmtId="164" fontId="1" fillId="4" borderId="1" applyAlignment="1" applyProtection="1" pivotButton="0" quotePrefix="0" xfId="0">
      <alignment horizontal="right"/>
      <protection locked="0" hidden="0"/>
    </xf>
    <xf numFmtId="164" fontId="14" fillId="25" borderId="1" applyAlignment="1" pivotButton="0" quotePrefix="0" xfId="0">
      <alignment horizontal="right" vertical="center"/>
    </xf>
    <xf numFmtId="164" fontId="14" fillId="36" borderId="1" applyAlignment="1" pivotButton="0" quotePrefix="0" xfId="0">
      <alignment horizontal="right" vertical="center"/>
    </xf>
    <xf numFmtId="164" fontId="17" fillId="36" borderId="1" applyAlignment="1" pivotButton="0" quotePrefix="0" xfId="0">
      <alignment vertical="center"/>
    </xf>
    <xf numFmtId="168" fontId="16" fillId="28" borderId="1" applyAlignment="1" applyProtection="1" pivotButton="0" quotePrefix="0" xfId="0">
      <alignment vertical="center"/>
      <protection locked="0" hidden="0"/>
    </xf>
    <xf numFmtId="168" fontId="16" fillId="25" borderId="1" applyAlignment="1" pivotButton="0" quotePrefix="0" xfId="0">
      <alignment vertical="center"/>
    </xf>
    <xf numFmtId="166" fontId="25" fillId="25" borderId="1" applyAlignment="1" pivotButton="0" quotePrefix="0" xfId="0">
      <alignment horizontal="right" vertical="center"/>
    </xf>
    <xf numFmtId="166" fontId="14" fillId="25" borderId="1" applyAlignment="1" pivotButton="0" quotePrefix="0" xfId="0">
      <alignment horizontal="right" vertical="center"/>
    </xf>
    <xf numFmtId="166" fontId="25" fillId="21" borderId="1" applyAlignment="1" pivotButton="0" quotePrefix="0" xfId="0">
      <alignment horizontal="right" vertical="center"/>
    </xf>
    <xf numFmtId="166" fontId="14" fillId="22" borderId="1" applyAlignment="1" pivotButton="0" quotePrefix="0" xfId="0">
      <alignment horizontal="right" vertical="center"/>
    </xf>
    <xf numFmtId="166" fontId="17" fillId="18" borderId="1" applyAlignment="1" pivotButton="0" quotePrefix="0" xfId="0">
      <alignment vertical="center"/>
    </xf>
    <xf numFmtId="166" fontId="25" fillId="36" borderId="1" applyAlignment="1" pivotButton="0" quotePrefix="0" xfId="0">
      <alignment horizontal="right" vertical="center"/>
    </xf>
    <xf numFmtId="166" fontId="14" fillId="36" borderId="1" applyAlignment="1" pivotButton="0" quotePrefix="0" xfId="0">
      <alignment horizontal="right" vertical="center"/>
    </xf>
    <xf numFmtId="166" fontId="17" fillId="36" borderId="1" applyAlignment="1" pivotButton="0" quotePrefix="0" xfId="0">
      <alignment vertical="center"/>
    </xf>
    <xf numFmtId="168" fontId="16" fillId="36" borderId="1" applyAlignment="1" pivotButton="0" quotePrefix="0" xfId="0">
      <alignment horizontal="right" vertical="center"/>
    </xf>
    <xf numFmtId="166" fontId="17" fillId="36" borderId="1" applyAlignment="1" pivotButton="0" quotePrefix="0" xfId="0">
      <alignment horizontal="right" vertical="center"/>
    </xf>
    <xf numFmtId="168" fontId="14" fillId="25" borderId="1" applyAlignment="1" pivotButton="0" quotePrefix="0" xfId="0">
      <alignment vertical="center"/>
    </xf>
    <xf numFmtId="168" fontId="14" fillId="25" borderId="1" applyAlignment="1" pivotButton="0" quotePrefix="0" xfId="0">
      <alignment horizontal="right" vertical="center"/>
    </xf>
    <xf numFmtId="166" fontId="17" fillId="35" borderId="1" applyAlignment="1" pivotButton="0" quotePrefix="0" xfId="0">
      <alignment vertical="center"/>
    </xf>
    <xf numFmtId="168" fontId="16" fillId="0" borderId="1" applyAlignment="1" pivotButton="0" quotePrefix="0" xfId="0">
      <alignment vertical="center"/>
    </xf>
    <xf numFmtId="166" fontId="39" fillId="0" borderId="1" applyAlignment="1" pivotButton="0" quotePrefix="0" xfId="0">
      <alignment horizontal="right" vertical="center"/>
    </xf>
    <xf numFmtId="168" fontId="16" fillId="0" borderId="1" applyAlignment="1" pivotButton="0" quotePrefix="0" xfId="0">
      <alignment horizontal="right" vertical="center"/>
    </xf>
    <xf numFmtId="166" fontId="17" fillId="0" borderId="1" applyAlignment="1" pivotButton="0" quotePrefix="0" xfId="0">
      <alignment horizontal="right" vertical="center"/>
    </xf>
    <xf numFmtId="168" fontId="16" fillId="25" borderId="1" applyAlignment="1" pivotButton="0" quotePrefix="0" xfId="0">
      <alignment horizontal="right" vertical="center"/>
    </xf>
    <xf numFmtId="166" fontId="14" fillId="0" borderId="1" applyAlignment="1" pivotButton="0" quotePrefix="0" xfId="0">
      <alignment horizontal="right" vertical="center"/>
    </xf>
    <xf numFmtId="168" fontId="24" fillId="21" borderId="1" applyAlignment="1" pivotButton="0" quotePrefix="0" xfId="0">
      <alignment vertical="center"/>
    </xf>
    <xf numFmtId="168" fontId="16" fillId="22" borderId="1" applyAlignment="1" pivotButton="0" quotePrefix="0" xfId="0">
      <alignment vertical="center"/>
    </xf>
    <xf numFmtId="168" fontId="24" fillId="25" borderId="1" applyAlignment="1" pivotButton="0" quotePrefix="0" xfId="0">
      <alignment vertical="center"/>
    </xf>
    <xf numFmtId="168" fontId="24" fillId="36" borderId="1" applyAlignment="1" pivotButton="0" quotePrefix="0" xfId="0">
      <alignment vertical="center"/>
    </xf>
    <xf numFmtId="166" fontId="14" fillId="25" borderId="1" applyAlignment="1" pivotButton="0" quotePrefix="0" xfId="0">
      <alignment vertical="center"/>
    </xf>
    <xf numFmtId="168" fontId="39" fillId="0" borderId="1" pivotButton="0" quotePrefix="0" xfId="0"/>
    <xf numFmtId="165" fontId="0" fillId="3" borderId="1" pivotButton="0" quotePrefix="0" xfId="1"/>
    <xf numFmtId="165" fontId="0" fillId="3" borderId="12" pivotButton="0" quotePrefix="0" xfId="1"/>
    <xf numFmtId="0" fontId="0" fillId="0" borderId="42" pivotButton="0" quotePrefix="0" xfId="0"/>
    <xf numFmtId="0" fontId="0" fillId="0" borderId="43" pivotButton="0" quotePrefix="0" xfId="0"/>
    <xf numFmtId="167" fontId="0" fillId="0" borderId="1" applyAlignment="1" pivotButton="0" quotePrefix="0" xfId="0">
      <alignment horizontal="center" vertical="center"/>
    </xf>
    <xf numFmtId="0" fontId="3" fillId="31" borderId="29" applyAlignment="1" pivotButton="0" quotePrefix="0" xfId="0">
      <alignment horizontal="center" vertical="center"/>
    </xf>
    <xf numFmtId="0" fontId="0" fillId="0" borderId="35" pivotButton="0" quotePrefix="0" xfId="0"/>
    <xf numFmtId="167" fontId="1" fillId="31" borderId="30" applyAlignment="1" pivotButton="0" quotePrefix="0" xfId="0">
      <alignment horizontal="center" vertical="center"/>
    </xf>
    <xf numFmtId="167" fontId="0" fillId="0" borderId="24" applyAlignment="1" pivotButton="0" quotePrefix="0" xfId="0">
      <alignment horizontal="center" vertical="center"/>
    </xf>
    <xf numFmtId="169" fontId="0" fillId="0" borderId="0" pivotButton="0" quotePrefix="0" xfId="0"/>
  </cellXfs>
  <cellStyles count="8">
    <cellStyle name="Normal" xfId="0" builtinId="0"/>
    <cellStyle name="Currency" xfId="1" builtinId="4"/>
    <cellStyle name="Percent" xfId="2" builtinId="5"/>
    <cellStyle name="Comma" xfId="3" builtinId="3"/>
    <cellStyle name="Hyperlink" xfId="4" builtinId="8"/>
    <cellStyle name="Comma 2" xfId="5"/>
    <cellStyle name="Comma 3" xfId="6"/>
    <cellStyle name="Normal 4" xfId="7"/>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externalLink" Target="/xl/externalLinks/externalLink1.xml" Id="rId25" /><Relationship Type="http://schemas.openxmlformats.org/officeDocument/2006/relationships/externalLink" Target="/xl/externalLinks/externalLink2.xml" Id="rId26" /><Relationship Type="http://schemas.openxmlformats.org/officeDocument/2006/relationships/styles" Target="styles.xml" Id="rId27" /><Relationship Type="http://schemas.openxmlformats.org/officeDocument/2006/relationships/theme" Target="theme/theme1.xml" Id="rId28" /><Relationship Type="http://schemas.microsoft.com/office/2006/relationships/vbaProject" Target="vbaProject.bin" Id="rId29" /></Relationships>
</file>

<file path=xl/externalLinks/_rels/externalLink1.xml.rels><Relationships xmlns="http://schemas.openxmlformats.org/package/2006/relationships"><Relationship Type="http://schemas.openxmlformats.org/officeDocument/2006/relationships/externalLinkPath" Target="https://sintef.sharepoint.com/D1-ITDvlpmt/MyTasks/C-dpt/Tpl_Detailed%20Budget%20Table%20(HE%20Lump%20Sum)%20230221b.xlsm" TargetMode="External" Id="rId1" /></Relationships>
</file>

<file path=xl/externalLinks/_rels/externalLink2.xml.rels><Relationships xmlns="http://schemas.openxmlformats.org/package/2006/relationships"><Relationship Type="http://schemas.microsoft.com/office/2006/relationships/xlExternalLinkPath/xlPathMissing" Target="BE%20Template"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ChangeLog"/>
      <sheetName val="Instructions"/>
      <sheetName val="BE list"/>
      <sheetName val="WP list"/>
      <sheetName val="BE-WP Tmpl"/>
      <sheetName val="Lump sum breakdown"/>
      <sheetName val="Budget for proposal"/>
      <sheetName val="Budget for proposal tmpl"/>
      <sheetName val="Proposal BudgetIA Tmpl"/>
      <sheetName val="Proposal Budget (RIA-CSA)"/>
      <sheetName val="Proposal Budget (IA)"/>
      <sheetName val="Person-months overview tpl"/>
      <sheetName val="Person-months overview"/>
      <sheetName val="Summary per WP"/>
      <sheetName val="Summary per WP tmpl"/>
      <sheetName val="BE Template"/>
      <sheetName val="BE1"/>
      <sheetName val="Depreciation costs"/>
      <sheetName val="Any comments"/>
      <sheetName val="CountryList"/>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BE Template"/>
    </sheetNames>
    <sheetDataSet>
      <sheetData sheetId="0"/>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ec.europa.eu/info/funding-tenders/opportunities/portal/screen/programmes/horizon/lump-sum" TargetMode="External" Id="rId1" /><Relationship Type="http://schemas.openxmlformats.org/officeDocument/2006/relationships/hyperlink" Target="https://ec.europa.eu/info/funding-tenders/opportunities/docs/2021-2027/horizon/guidance/ls-funding-what-do-i-need-to-know_he_en.pdf" TargetMode="External" Id="rId2" /><Relationship Type="http://schemas.openxmlformats.org/officeDocument/2006/relationships/hyperlink" Target="https://ec.europa.eu/info/funding-tenders/opportunities/portal/screen/programmes/horizon/lump-sum/dashboard" TargetMode="External" Id="rId3" /><Relationship Type="http://schemas.openxmlformats.org/officeDocument/2006/relationships/hyperlink" Target="https://ec.europa.eu/info/funding-tenders/opportunities/docs/2021-2027/common/guidance/aga_en.pdf" TargetMode="External" Id="rId4" /><Relationship Type="http://schemas.openxmlformats.org/officeDocument/2006/relationships/hyperlink" Target="https://europa.eu/!KTYwkw" TargetMode="External" Id="rId5" /></Relationships>
</file>

<file path=xl/worksheets/_rels/sheet10.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General001">
    <tabColor theme="3" tint="0.7999816888943144"/>
    <outlinePr summaryBelow="1" summaryRight="1"/>
    <pageSetUpPr fitToPage="1"/>
  </sheetPr>
  <dimension ref="A1:F19"/>
  <sheetViews>
    <sheetView zoomScale="90" zoomScaleNormal="90" workbookViewId="0">
      <pane ySplit="8" topLeftCell="A9" activePane="bottomLeft" state="frozenSplit"/>
      <selection pane="bottomLeft" activeCell="B7" sqref="B7"/>
    </sheetView>
  </sheetViews>
  <sheetFormatPr baseColWidth="8" defaultColWidth="8.7109375" defaultRowHeight="14.45"/>
  <cols>
    <col width="7.28515625" customWidth="1" min="1" max="1"/>
    <col width="44.7109375" customWidth="1" min="2" max="2"/>
    <col width="59.7109375" customWidth="1" min="3" max="3"/>
    <col width="44.7109375" customWidth="1" min="4" max="4"/>
    <col width="40.5703125" bestFit="1" customWidth="1" min="5" max="5"/>
    <col width="36.85546875" customWidth="1" min="6" max="6"/>
  </cols>
  <sheetData>
    <row r="1" ht="15.6" customHeight="1">
      <c r="A1" s="79" t="n"/>
      <c r="B1" s="80" t="n"/>
      <c r="C1" s="79" t="n"/>
      <c r="D1" s="79" t="n"/>
    </row>
    <row r="2" ht="15.75" customHeight="1">
      <c r="A2" s="79" t="n"/>
      <c r="B2" s="80" t="inlineStr">
        <is>
          <t>Horizon Europe Programme</t>
        </is>
      </c>
      <c r="C2" s="79" t="n"/>
      <c r="D2" s="79" t="n"/>
    </row>
    <row r="3" ht="15" customHeight="1" thickBot="1">
      <c r="A3" s="79" t="n"/>
      <c r="B3" s="81" t="n"/>
      <c r="C3" s="79" t="n"/>
      <c r="D3" s="79" t="n"/>
    </row>
    <row r="4" ht="36" customHeight="1" thickBot="1">
      <c r="A4" s="79" t="n"/>
      <c r="B4" s="82" t="inlineStr">
        <is>
          <t>Detailed lump sum budget</t>
        </is>
      </c>
      <c r="C4" s="79" t="n"/>
      <c r="D4" s="62" t="inlineStr">
        <is>
          <t>Generate the Excel file in macro-free format 
Ready for the online submission system</t>
        </is>
      </c>
    </row>
    <row r="5" ht="22.9" customHeight="1">
      <c r="A5" s="79" t="n"/>
      <c r="B5" s="258" t="inlineStr">
        <is>
          <t>Version 3.3 (applicable to topics with opening date from 14 May 2025)</t>
        </is>
      </c>
      <c r="C5" s="79" t="n"/>
      <c r="D5" s="79" t="n"/>
    </row>
    <row r="6" ht="21.6" customHeight="1" thickBot="1">
      <c r="A6" s="284" t="inlineStr">
        <is>
          <t>Instructions</t>
        </is>
      </c>
    </row>
    <row r="7" ht="33" customHeight="1" thickBot="1">
      <c r="A7" s="284" t="n"/>
      <c r="B7" s="55" t="inlineStr">
        <is>
          <t>Go to Beneficiaries and Affiliated Entities list</t>
        </is>
      </c>
      <c r="C7" s="84" t="inlineStr">
        <is>
          <t>! Double click buttons !</t>
        </is>
      </c>
      <c r="D7" s="55" t="inlineStr">
        <is>
          <t>Go to Work packages list</t>
        </is>
      </c>
    </row>
    <row r="8" ht="12" customHeight="1"/>
    <row r="9" ht="180" customFormat="1" customHeight="1" s="85">
      <c r="A9" s="314" t="inlineStr">
        <is>
          <t>GENERAL INSTRUCTIONS</t>
        </is>
      </c>
      <c r="B9" s="287" t="inlineStr">
        <is>
          <t>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must not change the structure of this workbook (e.g., do not add, remove or modify rows, columns or tabs).
Comprehensive guidance and background on lump sum funding under Horizon Europe is available on the Funding &amp; Tenders Portal. To get started, we recommend to read the guide Lump sum funding – what do I need to know. This includes details on how to complete this Excel workbook. The weblinks are provided in column E.
We recommend using Excel 2013 (Windows) / Excel 2016 (Mac OS) or more recent.</t>
        </is>
      </c>
      <c r="C9" s="315" t="n"/>
      <c r="D9" s="316" t="n"/>
      <c r="E9" s="161" t="inlineStr">
        <is>
          <t xml:space="preserve">Lump sum funding under Horizon Europe
</t>
        </is>
      </c>
      <c r="F9" s="161" t="n"/>
    </row>
    <row r="10" ht="144" customFormat="1" customHeight="1" s="85">
      <c r="A10" s="317" t="n"/>
      <c r="B10" s="283" t="inlineStr">
        <is>
          <t>The only currency used in this workbook is EURO.
You must complete the following sheets: ‘BE list’ – ‘WP list’ – ‘BE’ (one sheet for each beneficiary) – ‘Depreciation costs’ (if any). The appropriate number of individual beneficiary sheets (‘BEx’) will be generated automatically with data from the ‘BE list’ and ‘WP list’ sheets.
The information in this workbook must correspond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is>
      </c>
      <c r="C10" s="315" t="n"/>
      <c r="D10" s="316" t="n"/>
      <c r="E10" s="161" t="inlineStr">
        <is>
          <t>Lump sum funding - what do I need to know</t>
        </is>
      </c>
      <c r="F10" s="161" t="n"/>
    </row>
    <row r="11" ht="312" customFormat="1" customHeight="1" s="85">
      <c r="A11" s="67" t="inlineStr">
        <is>
          <t>BE LIST</t>
        </is>
      </c>
      <c r="B11" s="279" t="inlineStr">
        <is>
          <t>In the ‘BE list’,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(the coordinator) cannot be deleted, but its details can be modified. Click “Apply changes” to delete the corresponding sheets from the workbook. Deleted beneficiary sheets then appear as a backup and are excluded from the calculation. Data of deleted affiliated entities are not saved as a backup.
To finally remove the backup sheets for deleted beneficiaries, click the “Delete OLD_BEx” button. There should be no backup sheets in the file you submit.</t>
        </is>
      </c>
      <c r="C11" s="315" t="n"/>
      <c r="D11" s="316" t="n"/>
    </row>
    <row r="12" ht="99.75" customFormat="1" customHeight="1" s="85">
      <c r="A12" s="68" t="inlineStr">
        <is>
          <t>WP LIST</t>
        </is>
      </c>
      <c r="B12" s="283" t="inlineStr">
        <is>
          <t>In the ‘WP list’,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is>
      </c>
      <c r="C12" s="315" t="n"/>
      <c r="D12" s="316" t="n"/>
    </row>
    <row r="13" ht="409.5" customFormat="1" customHeight="1" s="85">
      <c r="A13" s="274" t="inlineStr">
        <is>
          <t>BEx</t>
        </is>
      </c>
      <c r="B13" s="279" t="inlineStr">
        <is>
          <t xml:space="preserve">You must complete one ‘BEx’ 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number of items and the cost per item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eligible under Horizon Europe (same eligibility rules as for actual cost grants).
Enter your personnel costs in section “A. DIRECT PERSONNEL COSTS”.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 is prefilled in the workbook. When using this category, only enter the number of items.
</t>
        </is>
      </c>
      <c r="C13" s="315" t="n"/>
      <c r="D13" s="316" t="n"/>
      <c r="E13" s="255" t="inlineStr">
        <is>
          <t>Horizon Dashboard for lump sum evaluations</t>
        </is>
      </c>
    </row>
    <row r="14" ht="409.5" customFormat="1" customHeight="1" s="85">
      <c r="A14" s="318" t="n"/>
      <c r="B14" s="279" t="inlineStr">
        <is>
          <t>Enter your subcontracting costs in section “B. DIRECT SUBCONTRACTING COSTS”.
A beneficiary can have more than one subcontract associated to a work package. In this case, the cost per item is the average cost of all subcontracts, and the number of items is the number of subcontracts.
In section “C. DIRECT PURCHASE COSTS”, complete the categories “C.1 Travel and subsistence”, “C.2 Equipment”, and “C.3 Other goods, works and services”, if applicable.
A category can contain more than one item (e.g., several travels, or two pieces of equipment). In this case, the cost per item is the average cost of all items. No more detailed information is required in this sheet.
For category “C.2 Equipment” (equipment, infrastructure, other assets), use the sheet ‘Depreciation costs’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
In section “D. OTHER DIRECT COSTS”,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
In section “E. INDIRECT COSTS”, the indirect costs will be calculated automatically.</t>
        </is>
      </c>
      <c r="C14" s="315" t="n"/>
      <c r="D14" s="316" t="n"/>
      <c r="E14" s="132" t="n"/>
    </row>
    <row r="15" ht="212.1" customFormat="1" customHeight="1" s="85">
      <c r="A15" s="69" t="inlineStr">
        <is>
          <t>DEPRECIATION COSTS</t>
        </is>
      </c>
      <c r="B15" s="319" t="inlineStr">
        <is>
          <t>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NOT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Annotated Model Grant Agreement. The rules on actual depreciation costs apply equally to lump sum grants except that the calculation is based on estimations and the result is included in the lump sum budget at proposal stage.</t>
        </is>
      </c>
      <c r="C15" s="315" t="n"/>
      <c r="D15" s="316" t="n"/>
      <c r="E15" s="161" t="inlineStr">
        <is>
          <t>Annotated Model Grant Agreement</t>
        </is>
      </c>
    </row>
    <row r="16" ht="111.95" customFormat="1" customHeight="1" s="85">
      <c r="A16" s="67" t="inlineStr">
        <is>
          <t>ANY COMMENTS</t>
        </is>
      </c>
      <c r="B16" s="279" t="inlineStr">
        <is>
          <t>If needed, explain specific cost estimations or other aspects of the budget in the ‘Any comments’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is>
      </c>
      <c r="C16" s="315" t="n"/>
      <c r="D16" s="316" t="n"/>
    </row>
    <row r="17" ht="84" customFormat="1" customHeight="1" s="85">
      <c r="A17" s="70" t="inlineStr">
        <is>
          <t>SUMMARY TABLES</t>
        </is>
      </c>
      <c r="B17" s="319" t="inlineStr">
        <is>
          <t>The summary tables (‘Lump sum breakdown’, ‘Person-months overview’ and ‘Summary per WP’) are generated automatically. They are for your information and will be used during evaluation.</t>
        </is>
      </c>
      <c r="C17" s="315" t="n"/>
      <c r="D17" s="316" t="n"/>
    </row>
    <row r="18" ht="150" customFormat="1" customHeight="1" s="85">
      <c r="A18" s="67" t="inlineStr">
        <is>
          <t>SUBMISSION</t>
        </is>
      </c>
      <c r="B18" s="279" t="inlineStr">
        <is>
          <t>The format of this Excel workbook is .xlsm because it uses macros to generate sheets and make calculations automatically. 
Always save it as .xlsm.
However, this format cannot be uploaded to the submission system for security reasons.
Therefore, to submit the completed workbook, save a copy as an .xlsx or .xls document (and not as .xlsm) and upload it to the proposal submission tool at Step 5 of the submission process. 
Always keep a copy of the original .xlsm file.
To save the workbook as .xlsx document, use the action button in the sheet “Instructions”. Alternatively, click on “File” and then “Save as”; in the “Save as” dialog box, choose “.xlsx” or “.xls” from the “Save as type” dropdown list.</t>
        </is>
      </c>
      <c r="C18" s="315" t="n"/>
      <c r="D18" s="316" t="n"/>
    </row>
    <row r="19" ht="260.1" customFormat="1" customHeight="1" s="85">
      <c r="A19" s="70" t="inlineStr">
        <is>
          <t>PART A BUDGET TABLE</t>
        </is>
      </c>
      <c r="B19" s="319" t="inlineStr">
        <is>
          <t>After you completed this Excel workbook, you must also complete the table ‘Budget for the proposal’ in Part A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FAQ on own resources in lump sum proposals).</t>
        </is>
      </c>
      <c r="C19" s="315" t="n"/>
      <c r="D19" s="316" t="n"/>
      <c r="E19" s="161" t="inlineStr">
        <is>
          <t>FAQ on own resources 
in lump sum proposals</t>
        </is>
      </c>
    </row>
  </sheetData>
  <sheetProtection selectLockedCells="0" selectUnlockedCells="0" algorithmName="SHA-512" sheet="1" objects="1" insertRows="1" insertHyperlinks="1" autoFilter="1" scenarios="1" formatColumns="1" deleteColumns="1" insertColumns="1" pivotTables="1" deleteRows="1" formatCells="1" saltValue="DVbKzIqp6pLYd00oCShwVA==" formatRows="1" sort="1" spinCount="100000" hashValue="sXBm4xSVet9rAgSGqOSjeFas1wBjrvrordRPi+dE2w1aSFdPT1v0bQ00+O+CFJQ2Wf59k2toVu1kUnMml+qzNw=="/>
  <mergeCells count="14">
    <mergeCell ref="B10:D10"/>
    <mergeCell ref="B11:D11"/>
    <mergeCell ref="B19:D19"/>
    <mergeCell ref="B14:D14"/>
    <mergeCell ref="A6:D6"/>
    <mergeCell ref="A9:A10"/>
    <mergeCell ref="A13:A14"/>
    <mergeCell ref="B17:D17"/>
    <mergeCell ref="B9:D9"/>
    <mergeCell ref="B18:D18"/>
    <mergeCell ref="B13:D13"/>
    <mergeCell ref="B12:D12"/>
    <mergeCell ref="B15:D15"/>
    <mergeCell ref="B16:D16"/>
  </mergeCells>
  <hyperlinks>
    <hyperlink ref="D4" location="Instructions!D4" tooltip="Double click to save the file ready for the online submission system" display="Instructions!D4"/>
    <hyperlink ref="B7" location="Instructions!B7" tooltip="Double click to switch to Beneficiaries and Affiliated Entities list" display="Go to Beneficiaries and Affiliated Entities list"/>
    <hyperlink ref="D7" location="Instructions!D7" tooltip="Double click to switch to Work packages list" display="Go to Work packages list"/>
    <hyperlink xmlns:r="http://schemas.openxmlformats.org/officeDocument/2006/relationships" ref="E9" tooltip="Lump sum funding under Horizon Europe" display="Lump sum funding under Horizon Europe" r:id="rId1"/>
    <hyperlink xmlns:r="http://schemas.openxmlformats.org/officeDocument/2006/relationships" ref="E10" r:id="rId2"/>
    <hyperlink ref="A11" location="Instructions!A10" tooltip="Double click to switch to Beneficiaries and Affiliated Entities list" display="BE LIST"/>
    <hyperlink ref="A12" location="Instructions!A11" tooltip="Double click to switch to Work packages list" display="WP LIST"/>
    <hyperlink xmlns:r="http://schemas.openxmlformats.org/officeDocument/2006/relationships" ref="E13" r:id="rId3"/>
    <hyperlink ref="A15" location="Instructions!A18" tooltip="Double click to switch to Depreciation costs table" display="DEPRECIATION COSTS"/>
    <hyperlink xmlns:r="http://schemas.openxmlformats.org/officeDocument/2006/relationships" ref="E15" location="page=66" tooltip="Annotated Model Grant Agreement" r:id="rId4"/>
    <hyperlink ref="A16" location="Instructions!A19" tooltip="Double click to switch to Any comments table" display="ANY COMMENTS"/>
    <hyperlink ref="A17" location="Instructions!A20" tooltip="Double click to switch to Lump sum breakdown table" display="SUMMARY TABLES"/>
    <hyperlink ref="A18" location="Instructions!A20" tooltip="Double click to switch to Lump sum breakdown table" display="SUMMARY TABLES"/>
    <hyperlink xmlns:r="http://schemas.openxmlformats.org/officeDocument/2006/relationships" ref="E19" display="https://europa.eu/!KTYwkw" r:id="rId5"/>
  </hyperlinks>
  <pageMargins left="0.25" right="0.25" top="0.75" bottom="0.75" header="0.3" footer="0.3"/>
  <pageSetup orientation="portrait" paperSize="9" scale="71" fitToHeight="0"/>
</worksheet>
</file>

<file path=xl/worksheets/sheet2.xml><?xml version="1.0" encoding="utf-8"?>
<worksheet xmlns="http://schemas.openxmlformats.org/spreadsheetml/2006/main">
  <sheetPr codeName="Sheet101">
    <tabColor rgb="FFCCFF66"/>
    <outlinePr summaryBelow="1" summaryRight="1"/>
    <pageSetUpPr fitToPage="1"/>
  </sheetPr>
  <dimension ref="A2:L7"/>
  <sheetViews>
    <sheetView zoomScaleNormal="100" workbookViewId="0">
      <pane ySplit="3" topLeftCell="A4" activePane="bottomLeft" state="frozenSplit"/>
      <selection pane="bottomLeft" activeCell="A1" sqref="A1"/>
      <selection activeCell="B7" sqref="B7"/>
    </sheetView>
  </sheetViews>
  <sheetFormatPr baseColWidth="8" defaultColWidth="8.7109375" defaultRowHeight="14.45"/>
  <cols>
    <col width="9.7109375" customWidth="1" min="1" max="1"/>
    <col width="16.7109375" customWidth="1" min="2" max="2"/>
    <col width="40.7109375" customWidth="1" min="3" max="3"/>
    <col width="15.7109375" customWidth="1" min="4" max="4"/>
    <col width="22" customWidth="1" min="5" max="5"/>
    <col width="12.85546875" bestFit="1" customWidth="1" min="6" max="6"/>
    <col width="9.7109375" customWidth="1" style="243" min="7" max="7"/>
    <col width="18.7109375" customWidth="1" style="63" min="8" max="8"/>
    <col width="3.7109375" customWidth="1" min="9" max="9"/>
    <col width="20.7109375" customWidth="1" min="10" max="10"/>
    <col width="3.7109375" customWidth="1" min="11" max="11"/>
    <col width="18.7109375" customWidth="1" style="243" min="12" max="12"/>
    <col width="7.7109375" customWidth="1" min="13" max="15"/>
    <col width="11.42578125" customWidth="1" min="16" max="16"/>
  </cols>
  <sheetData>
    <row r="1" ht="3" customHeight="1" thickBot="1"/>
    <row r="2" ht="24" customHeight="1" thickBot="1">
      <c r="A2" s="320" t="inlineStr">
        <is>
          <t>List of beneficiaries (BE) and affiliated entities (AE)</t>
        </is>
      </c>
      <c r="B2" s="321" t="n"/>
      <c r="C2" s="321" t="n"/>
      <c r="D2" s="321" t="n"/>
      <c r="E2" s="321" t="n"/>
      <c r="F2" s="322" t="n"/>
      <c r="H2" s="55" t="inlineStr">
        <is>
          <t>Add BE</t>
        </is>
      </c>
      <c r="I2" s="172" t="n"/>
      <c r="J2" s="235" t="inlineStr">
        <is>
          <t>Delete OLD_BEx 
backup sheets</t>
        </is>
      </c>
      <c r="K2" s="173" t="n"/>
      <c r="L2" s="55" t="inlineStr">
        <is>
          <t>Apply changes</t>
        </is>
      </c>
    </row>
    <row r="3" ht="15" customHeight="1" thickBot="1">
      <c r="A3" s="103" t="inlineStr">
        <is>
          <t>BE/AE nr</t>
        </is>
      </c>
      <c r="B3" s="104" t="inlineStr">
        <is>
          <t>Role</t>
        </is>
      </c>
      <c r="C3" s="104" t="inlineStr">
        <is>
          <t>BE/AE name</t>
        </is>
      </c>
      <c r="D3" s="104" t="inlineStr">
        <is>
          <t>Acronym</t>
        </is>
      </c>
      <c r="E3" s="104" t="inlineStr">
        <is>
          <t>Country</t>
        </is>
      </c>
      <c r="F3" s="105" t="inlineStr">
        <is>
          <t>Funding rate</t>
        </is>
      </c>
      <c r="I3" s="63" t="n"/>
    </row>
    <row r="4" ht="16.5" customHeight="1" thickBot="1">
      <c r="A4" s="100" t="inlineStr">
        <is>
          <t>BE1</t>
        </is>
      </c>
      <c r="B4" s="106" t="inlineStr">
        <is>
          <t>Coordinator</t>
        </is>
      </c>
      <c r="C4" s="101" t="inlineStr">
        <is>
          <t>SINTEF AS</t>
        </is>
      </c>
      <c r="D4" s="101" t="inlineStr">
        <is>
          <t>SINTEF</t>
        </is>
      </c>
      <c r="E4" s="101" t="inlineStr">
        <is>
          <t>Norway (NO)</t>
        </is>
      </c>
      <c r="F4" s="102" t="n">
        <v>1</v>
      </c>
      <c r="I4" s="63" t="n"/>
      <c r="J4" s="263" t="inlineStr">
        <is>
          <t>Add AE to BE1</t>
        </is>
      </c>
      <c r="L4" s="244" t="inlineStr">
        <is>
          <t>00000001-0001-0001-0001-000000000001</t>
        </is>
      </c>
    </row>
    <row r="5" ht="16.5" customHeight="1" thickBot="1">
      <c r="A5" s="100" t="inlineStr">
        <is>
          <t>BE2</t>
        </is>
      </c>
      <c r="B5" s="106" t="inlineStr">
        <is>
          <t>Beneficiary</t>
        </is>
      </c>
      <c r="C5" s="101" t="inlineStr">
        <is>
          <t>Sunlit Sea AS</t>
        </is>
      </c>
      <c r="D5" s="101" t="inlineStr">
        <is>
          <t>SiS</t>
        </is>
      </c>
      <c r="E5" s="101" t="inlineStr">
        <is>
          <t>Norway (NO)</t>
        </is>
      </c>
      <c r="F5" s="102" t="n">
        <v>1</v>
      </c>
      <c r="H5" s="259" t="inlineStr">
        <is>
          <t>Clear BE2</t>
        </is>
      </c>
      <c r="I5" s="63" t="n"/>
      <c r="J5" s="263" t="inlineStr">
        <is>
          <t>Add AE to BE2</t>
        </is>
      </c>
      <c r="L5" s="244" t="inlineStr">
        <is>
          <t>31d41e36-11c8-417b-8afb-c410d4391898</t>
        </is>
      </c>
    </row>
    <row r="6" ht="16.5" customHeight="1" thickBot="1">
      <c r="A6" s="100" t="inlineStr">
        <is>
          <t>BE3</t>
        </is>
      </c>
      <c r="B6" s="106" t="inlineStr">
        <is>
          <t>Beneficiary</t>
        </is>
      </c>
      <c r="C6" s="101" t="inlineStr">
        <is>
          <t>Clement Gmbh</t>
        </is>
      </c>
      <c r="D6" s="101" t="inlineStr">
        <is>
          <t>Clement</t>
        </is>
      </c>
      <c r="E6" s="101" t="inlineStr">
        <is>
          <t>Germany (DE)</t>
        </is>
      </c>
      <c r="F6" s="102" t="n">
        <v>1</v>
      </c>
      <c r="H6" s="259" t="inlineStr">
        <is>
          <t>Clear BE3</t>
        </is>
      </c>
      <c r="I6" s="63" t="n"/>
      <c r="J6" s="263" t="inlineStr">
        <is>
          <t>Add AE to BE3</t>
        </is>
      </c>
      <c r="L6" s="244" t="inlineStr">
        <is>
          <t>7dc3a242-67b2-4358-905a-1652beedfa8a</t>
        </is>
      </c>
    </row>
    <row r="7" ht="16.5" customHeight="1" thickBot="1">
      <c r="A7" s="100" t="inlineStr">
        <is>
          <t>BE4</t>
        </is>
      </c>
      <c r="B7" s="106" t="inlineStr">
        <is>
          <t>Beneficiary</t>
        </is>
      </c>
      <c r="C7" s="101" t="inlineStr">
        <is>
          <t>EDP</t>
        </is>
      </c>
      <c r="D7" s="101" t="inlineStr">
        <is>
          <t>EDP</t>
        </is>
      </c>
      <c r="E7" s="101" t="inlineStr">
        <is>
          <t>Portugal (PT)</t>
        </is>
      </c>
      <c r="F7" s="102" t="n">
        <v>1</v>
      </c>
      <c r="H7" s="259" t="inlineStr">
        <is>
          <t>Clear BE4</t>
        </is>
      </c>
      <c r="I7" s="63" t="n"/>
      <c r="J7" s="263" t="inlineStr">
        <is>
          <t>Add AE to BE4</t>
        </is>
      </c>
      <c r="L7" s="244" t="inlineStr">
        <is>
          <t>8739748b-662d-46c1-9f51-2965498f6dfd</t>
        </is>
      </c>
    </row>
  </sheetData>
  <sheetProtection selectLockedCells="0" selectUnlockedCells="0" algorithmName="SHA-512" sheet="1" objects="1" insertRows="1" insertHyperlinks="1" autoFilter="1" scenarios="1" formatColumns="1" deleteColumns="1" insertColumns="1" pivotTables="1" deleteRows="1" formatCells="1" saltValue="0SAROGQCO7EyjEC8xEgemw==" formatRows="1" sort="1" spinCount="100000" hashValue="E7GzdJ3nDS2R2JADnLlnBClPvb+Biz4X7+Fo8WdyeZPQX9EsnOVdZBHS4E+6XfusfmhPlDDDunBvwngOyZ4Axw=="/>
  <mergeCells count="1">
    <mergeCell ref="A2:F2"/>
  </mergeCells>
  <dataValidations count="1">
    <dataValidation sqref="F4:F7" showDropDown="0" showInputMessage="1" showErrorMessage="1" allowBlank="1" type="list">
      <formula1>"70%,100%"</formula1>
    </dataValidation>
  </dataValidations>
  <hyperlinks>
    <hyperlink ref="H2" location="'BE list'!H2" tooltip="Double click to add a Beneficiary" display="Add BE"/>
    <hyperlink ref="J2" location="'BE list'!J2" tooltip="Double click to delete backup budget sheets." display="'BE list'!J2"/>
    <hyperlink ref="L2" location="'BE list'!L2" tooltip="Double click to apply all changes" display="Apply changes"/>
    <hyperlink ref="J4" tooltip="Double click to add an Affiliated entity to the selected beneficiary" display="Add AE to BE1"/>
    <hyperlink ref="H5" tooltip="Double click to clear the selected Beneficiary" display="Clear BE2"/>
    <hyperlink ref="J5" tooltip="Double click to add an Affiliated entity to the selected beneficiary" display="Add AE to BE2"/>
    <hyperlink ref="H6" tooltip="Double click to clear the selected Beneficiary" display="Clear BE3"/>
    <hyperlink ref="J6" tooltip="Double click to add an Affiliated entity to the selected beneficiary" display="Add AE to BE3"/>
    <hyperlink ref="H7" tooltip="Double click to clear the selected Beneficiary" display="Clear BE4"/>
    <hyperlink ref="J7" tooltip="Double click to add an Affiliated entity to the selected beneficiary" display="Add AE to BE4"/>
  </hyperlinks>
  <pageMargins left="0.5118110236220472" right="0.5118110236220472" top="0.5511811023622047" bottom="0.5511811023622047" header="0.3149606299212598" footer="0.3149606299212598"/>
  <pageSetup orientation="landscape" paperSize="9" scale="74" fitToHeight="3"/>
</worksheet>
</file>

<file path=xl/worksheets/sheet3.xml><?xml version="1.0" encoding="utf-8"?>
<worksheet xmlns="http://schemas.openxmlformats.org/spreadsheetml/2006/main">
  <sheetPr codeName="Sheet102">
    <tabColor rgb="FFCCFF66"/>
    <outlinePr summaryBelow="1" summaryRight="1"/>
    <pageSetUpPr/>
  </sheetPr>
  <dimension ref="A1:J10"/>
  <sheetViews>
    <sheetView workbookViewId="0">
      <pane ySplit="3" topLeftCell="A4" activePane="bottomLeft" state="frozenSplit"/>
      <selection pane="bottomLeft" activeCell="F2" sqref="F2"/>
      <selection activeCell="B7" sqref="B7"/>
    </sheetView>
  </sheetViews>
  <sheetFormatPr baseColWidth="8" defaultColWidth="8.7109375" defaultRowHeight="14.45"/>
  <cols>
    <col width="12.28515625" customWidth="1" min="1" max="1"/>
    <col width="40.7109375" customWidth="1" min="2" max="2"/>
    <col width="6" customWidth="1" min="3" max="3"/>
    <col width="12.7109375" customWidth="1" min="4" max="4"/>
    <col width="21.7109375" customWidth="1" min="5" max="5"/>
    <col width="18.7109375" customWidth="1" min="6" max="6"/>
  </cols>
  <sheetData>
    <row r="1" ht="3" customHeight="1" thickBot="1">
      <c r="A1" s="74" t="n"/>
      <c r="B1" s="1" t="n"/>
    </row>
    <row r="2" ht="24" customHeight="1" thickBot="1">
      <c r="A2" s="291" t="inlineStr">
        <is>
          <t>List of Work Packages</t>
        </is>
      </c>
      <c r="B2" s="316" t="n"/>
      <c r="D2" s="55" t="inlineStr">
        <is>
          <t>Add WP</t>
        </is>
      </c>
      <c r="E2" s="64" t="inlineStr">
        <is>
          <t>! Double click buttons !</t>
        </is>
      </c>
      <c r="F2" s="55" t="inlineStr">
        <is>
          <t>Apply changes</t>
        </is>
      </c>
      <c r="H2" s="45" t="n"/>
      <c r="J2" s="45" t="n"/>
    </row>
    <row r="3">
      <c r="A3" s="46" t="inlineStr">
        <is>
          <t>WP number</t>
        </is>
      </c>
      <c r="B3" s="47" t="inlineStr">
        <is>
          <t>WP name</t>
        </is>
      </c>
    </row>
    <row r="4" ht="15" customHeight="1" thickBot="1">
      <c r="A4" s="3" t="inlineStr">
        <is>
          <t>WP1</t>
        </is>
      </c>
      <c r="B4" s="5" t="inlineStr">
        <is>
          <t>Management, IP and Innovation Management</t>
        </is>
      </c>
    </row>
    <row r="5" ht="29.45" customHeight="1" thickBot="1">
      <c r="A5" s="3" t="inlineStr">
        <is>
          <t>WP2</t>
        </is>
      </c>
      <c r="B5" s="260" t="inlineStr">
        <is>
          <t>Site Characterisation and Demonstrator Engineering</t>
        </is>
      </c>
      <c r="E5" s="259" t="inlineStr">
        <is>
          <t>Clear WP2</t>
        </is>
      </c>
    </row>
    <row r="6" ht="29.1" customHeight="1" thickBot="1">
      <c r="A6" s="3" t="inlineStr">
        <is>
          <t>WP3</t>
        </is>
      </c>
      <c r="B6" s="270" t="inlineStr">
        <is>
          <t>Integrated Design Verification and Monitoring Specification</t>
        </is>
      </c>
      <c r="E6" s="259" t="inlineStr">
        <is>
          <t>Clear WP3</t>
        </is>
      </c>
    </row>
    <row r="7" ht="15" customHeight="1" thickBot="1">
      <c r="A7" s="3" t="inlineStr">
        <is>
          <t>WP4</t>
        </is>
      </c>
      <c r="B7" s="271" t="inlineStr">
        <is>
          <t>Performance, Durability and Model Validation</t>
        </is>
      </c>
      <c r="E7" s="259" t="inlineStr">
        <is>
          <t>Clear WP4</t>
        </is>
      </c>
    </row>
    <row r="8" ht="28.5" customHeight="1" thickBot="1">
      <c r="A8" s="3" t="inlineStr">
        <is>
          <t>WP5</t>
        </is>
      </c>
      <c r="B8" s="272" t="inlineStr">
        <is>
          <t>Manufacturing, Instrumentation and Factory Acceptance</t>
        </is>
      </c>
      <c r="E8" s="259" t="inlineStr">
        <is>
          <t>Clear WP5</t>
        </is>
      </c>
    </row>
    <row r="9" ht="28.5" customHeight="1" thickBot="1">
      <c r="A9" s="3" t="inlineStr">
        <is>
          <t>WP6</t>
        </is>
      </c>
      <c r="B9" s="271" t="inlineStr">
        <is>
          <t>Deployment, Operation and Validation Campaign</t>
        </is>
      </c>
      <c r="E9" s="259" t="inlineStr">
        <is>
          <t>Clear WP6</t>
        </is>
      </c>
    </row>
    <row r="10" ht="29.1" customHeight="1" thickBot="1">
      <c r="A10" s="3" t="inlineStr">
        <is>
          <t>WP7</t>
        </is>
      </c>
      <c r="B10" s="270" t="inlineStr">
        <is>
          <t>Market Validation, Exploitation and Investment Readiness</t>
        </is>
      </c>
      <c r="E10" s="259" t="inlineStr">
        <is>
          <t>Clear WP7</t>
        </is>
      </c>
    </row>
  </sheetData>
  <sheetProtection selectLockedCells="0" selectUnlockedCells="0" algorithmName="SHA-512" sheet="1" objects="1" insertRows="1" insertHyperlinks="1" autoFilter="1" scenarios="1" formatColumns="1" deleteColumns="1" insertColumns="1" pivotTables="1" deleteRows="1" formatCells="1" saltValue="IcoldL627wUljPIAYcQ42A==" formatRows="1" sort="1" spinCount="100000" hashValue="jP2g3Sz8AMcEBBvO+lFwgAoOhP6AEqxT8M/z6L87lWuGWIIn+rp42ss72VXzWVjBV8Lqs8+uMJCPsz5RhmGJmA=="/>
  <mergeCells count="1">
    <mergeCell ref="A2:B2"/>
  </mergeCells>
  <hyperlinks>
    <hyperlink ref="D2" location="'WP list'!D2" tooltip="Double click to add a Work Package (WP)" display="Add WP"/>
    <hyperlink ref="F2" location="'WP list'!F2" tooltip="Double click to apply all changes" display="Apply changes"/>
    <hyperlink ref="E5" tooltip="Double click to clear the selected Work Package" display="Clear WP2"/>
    <hyperlink ref="E6" tooltip="Double click to clear the selected Work Package" display="Clear WP3"/>
    <hyperlink ref="E7" tooltip="Double click to clear the selected Work Package" display="Clear WP4"/>
    <hyperlink ref="E8" tooltip="Double click to clear the selected Work Package" display="Clear WP5"/>
    <hyperlink ref="E9" tooltip="Double click to clear the selected Work Package" display="Clear WP6"/>
    <hyperlink ref="E10" tooltip="Double click to clear the selected Work Package" display="Clear WP7"/>
  </hyperlinks>
  <pageMargins left="0.7" right="0.7" top="0.75" bottom="0.75" header="0.3" footer="0.3"/>
  <pageSetup orientation="landscape" paperSize="9"/>
</worksheet>
</file>

<file path=xl/worksheets/sheet4.xml><?xml version="1.0" encoding="utf-8"?>
<worksheet xmlns="http://schemas.openxmlformats.org/spreadsheetml/2006/main">
  <sheetPr codeName="Sheet103">
    <tabColor theme="4" tint="0.7999816888943144"/>
    <outlinePr summaryBelow="1" summaryRight="1"/>
    <pageSetUpPr fitToPage="1"/>
  </sheetPr>
  <dimension ref="A1:D5"/>
  <sheetViews>
    <sheetView zoomScale="80" zoomScaleNormal="80" workbookViewId="0">
      <selection activeCell="A1" sqref="A1:D1"/>
    </sheetView>
  </sheetViews>
  <sheetFormatPr baseColWidth="8" defaultColWidth="8.7109375" defaultRowHeight="14.45"/>
  <cols>
    <col width="44.7109375" customWidth="1" min="1" max="1"/>
    <col width="28.7109375" customWidth="1" style="323" min="2" max="2"/>
    <col width="21.85546875" customWidth="1" min="3" max="3"/>
    <col width="9.7109375" customWidth="1" min="4" max="4"/>
  </cols>
  <sheetData>
    <row r="1" ht="49.15" customHeight="1" thickBot="1">
      <c r="A1" s="292" t="inlineStr">
        <is>
          <t>ESTIMATED BREAKDOWN OF THE LUMP SUM</t>
        </is>
      </c>
    </row>
    <row r="2" ht="56.1" customHeight="1">
      <c r="A2" s="43" t="inlineStr">
        <is>
          <t>BENEFICIARIES \ WORK PACKAGES</t>
        </is>
      </c>
      <c r="B2" s="324" t="inlineStr">
        <is>
          <t>WPx name</t>
        </is>
      </c>
      <c r="C2" s="325" t="inlineStr">
        <is>
          <t>Total</t>
        </is>
      </c>
      <c r="D2" s="325" t="inlineStr">
        <is>
          <t>Pct %</t>
        </is>
      </c>
    </row>
    <row r="3">
      <c r="A3" s="44" t="inlineStr">
        <is>
          <t>BEx: BEx name</t>
        </is>
      </c>
      <c r="B3" s="98" t="n"/>
      <c r="C3" s="326" t="n"/>
      <c r="D3" s="144">
        <f>IF(C$4&gt;0,C3/C$4," ")</f>
        <v/>
      </c>
    </row>
    <row r="4">
      <c r="A4" s="71" t="inlineStr">
        <is>
          <t xml:space="preserve">Total: </t>
        </is>
      </c>
      <c r="B4" s="327" t="n"/>
      <c r="C4" s="328" t="n"/>
      <c r="D4" s="144">
        <f>IF(C$4&gt;0,C4/C$4," ")</f>
        <v/>
      </c>
    </row>
    <row r="5">
      <c r="A5" s="72" t="inlineStr">
        <is>
          <t xml:space="preserve">Percentage: </t>
        </is>
      </c>
      <c r="B5" s="144">
        <f>IF($C4&gt;0,B4/$C4," ")</f>
        <v/>
      </c>
      <c r="C5" s="144">
        <f>IF($C4&gt;0,C4/$C4," ")</f>
        <v/>
      </c>
      <c r="D5" s="61" t="n"/>
    </row>
  </sheetData>
  <sheetProtection selectLockedCells="0" selectUnlockedCells="0" algorithmName="SHA-512" sheet="1" objects="1" insertRows="1" insertHyperlinks="1" autoFilter="1" scenarios="1" formatColumns="1" deleteColumns="1" insertColumns="1" pivotTables="1" deleteRows="1" formatCells="1" saltValue="9QQrOHrR1M8Z9lemTbihnw==" formatRows="1" sort="1" spinCount="100000" hashValue="9KG9H3RLYbZPgoEP3NC0un0TzIMqvFfW1+DCq+u0NJyGfWI6nZVRNIuCrZMs4B/KXR5DOkOrkib0Y+X5b1mdcg=="/>
  <mergeCells count="1">
    <mergeCell ref="A1:D1"/>
  </mergeCells>
  <pageMargins left="0.7" right="0.7" top="0.75" bottom="0.75" header="0.3" footer="0.3"/>
  <pageSetup orientation="landscape" paperSize="32767" scale="99"/>
</worksheet>
</file>

<file path=xl/worksheets/sheet5.xml><?xml version="1.0" encoding="utf-8"?>
<worksheet xmlns="http://schemas.openxmlformats.org/spreadsheetml/2006/main">
  <sheetPr codeName="Sheet104">
    <tabColor theme="3" tint="0.7999816888943144"/>
    <outlinePr summaryBelow="1" summaryRight="1"/>
    <pageSetUpPr fitToPage="1"/>
  </sheetPr>
  <dimension ref="A1:J8"/>
  <sheetViews>
    <sheetView zoomScale="80" zoomScaleNormal="80" workbookViewId="0">
      <pane ySplit="2" topLeftCell="A3" activePane="bottomLeft" state="frozenSplit"/>
      <selection pane="bottomLeft" activeCell="A1" sqref="A1:J1"/>
      <selection activeCell="B7" sqref="B7"/>
    </sheetView>
  </sheetViews>
  <sheetFormatPr baseColWidth="8" defaultColWidth="8.7109375" defaultRowHeight="14.45"/>
  <cols>
    <col width="44.7109375" customWidth="1" min="1" max="1"/>
    <col width="28.7109375" customWidth="1" min="2" max="8"/>
    <col width="21.85546875" customWidth="1" min="9" max="9"/>
    <col width="9.7109375" customWidth="1" min="10" max="10"/>
    <col width="28.7109375" customWidth="1" min="11" max="13"/>
    <col width="21.85546875" customWidth="1" min="14" max="14"/>
    <col width="9.7109375" customWidth="1" min="15" max="15"/>
    <col width="28.7109375" customWidth="1" min="16" max="18"/>
    <col width="21.85546875" customWidth="1" min="19" max="19"/>
    <col width="9.7109375" customWidth="1" min="20" max="20"/>
    <col width="28.7109375" customWidth="1" min="21" max="23"/>
    <col width="21.85546875" customWidth="1" min="24" max="24"/>
    <col width="9.7109375" customWidth="1" min="25" max="25"/>
    <col width="28.7109375" customWidth="1" min="26" max="36"/>
    <col width="21.85546875" customWidth="1" min="37" max="37"/>
    <col width="9.7109375" customWidth="1" min="38" max="38"/>
    <col width="28.7109375" customWidth="1" min="39" max="49"/>
    <col width="21.85546875" customWidth="1" min="50" max="50"/>
    <col width="9.7109375" customWidth="1" min="51" max="51"/>
    <col width="28.7109375" customWidth="1" min="52" max="62"/>
    <col width="21.85546875" customWidth="1" min="63" max="63"/>
    <col width="9.7109375" customWidth="1" min="64" max="64"/>
    <col width="28.7109375" customWidth="1" min="65" max="75"/>
    <col width="21.85546875" customWidth="1" min="76" max="76"/>
    <col width="9.7109375" customWidth="1" min="77" max="77"/>
    <col width="28.7109375" customWidth="1" min="78" max="88"/>
    <col width="21.85546875" customWidth="1" min="89" max="89"/>
    <col width="9.7109375" customWidth="1" min="90" max="90"/>
    <col width="28.7109375" customWidth="1" min="91" max="101"/>
    <col width="21.85546875" customWidth="1" min="102" max="102"/>
    <col width="9.7109375" customWidth="1" min="103" max="103"/>
    <col width="28.7109375" customWidth="1" min="104" max="114"/>
    <col width="21.85546875" customWidth="1" min="115" max="115"/>
    <col width="9.7109375" customWidth="1" min="116" max="116"/>
    <col width="28.7109375" customWidth="1" min="117" max="127"/>
    <col width="21.85546875" customWidth="1" min="128" max="128"/>
    <col width="9.7109375" customWidth="1" min="129" max="129"/>
    <col width="28.7109375" customWidth="1" min="130" max="140"/>
    <col width="21.85546875" customWidth="1" min="141" max="141"/>
    <col width="9.7109375" customWidth="1" min="142" max="142"/>
    <col width="28.7109375" customWidth="1" min="143" max="153"/>
    <col width="21.85546875" customWidth="1" min="154" max="154"/>
    <col width="9.7109375" customWidth="1" min="155" max="155"/>
    <col width="28.7109375" customWidth="1" min="156" max="167"/>
    <col width="21.85546875" customWidth="1" min="168" max="168"/>
    <col width="9.7109375" customWidth="1" min="169" max="169"/>
    <col width="28.7109375" customWidth="1" min="170" max="181"/>
    <col width="21.85546875" customWidth="1" min="182" max="182"/>
    <col width="9.7109375" customWidth="1" min="183" max="183"/>
    <col width="28.7109375" customWidth="1" min="184" max="195"/>
    <col width="21.85546875" customWidth="1" min="196" max="196"/>
    <col width="9.7109375" customWidth="1" min="197" max="197"/>
    <col width="28.7109375" customWidth="1" min="198" max="209"/>
    <col width="21.85546875" customWidth="1" min="210" max="210"/>
    <col width="9.7109375" customWidth="1" min="211" max="211"/>
    <col width="28.7109375" customWidth="1" min="212" max="223"/>
    <col width="21.85546875" customWidth="1" min="224" max="224"/>
    <col width="9.7109375" customWidth="1" min="225" max="225"/>
    <col width="28.7109375" customWidth="1" min="226" max="237"/>
    <col width="21.85546875" customWidth="1" min="238" max="238"/>
    <col width="9.7109375" customWidth="1" min="239" max="239"/>
    <col width="28.7109375" customWidth="1" min="240" max="247"/>
    <col width="21.85546875" customWidth="1" min="248" max="248"/>
    <col width="9.7109375" customWidth="1" min="249" max="249"/>
    <col width="28.7109375" customWidth="1" min="250" max="255"/>
    <col width="21.85546875" customWidth="1" min="256" max="256"/>
    <col width="9.7109375" customWidth="1" min="257" max="257"/>
    <col width="28.7109375" customWidth="1" min="258" max="259"/>
    <col width="21.85546875" customWidth="1" min="260" max="260"/>
    <col width="9.7109375" customWidth="1" min="261" max="261"/>
    <col width="28.7109375" customWidth="1" min="262" max="263"/>
    <col width="21.85546875" customWidth="1" min="264" max="264"/>
    <col width="9.7109375" customWidth="1" min="265" max="266"/>
    <col width="28.7109375" customWidth="1" min="267" max="269"/>
    <col width="21.85546875" customWidth="1" min="270" max="270"/>
    <col width="9.7109375" customWidth="1" min="271" max="271"/>
    <col width="28.7109375" customWidth="1" min="272" max="274"/>
    <col width="21.85546875" customWidth="1" min="275" max="275"/>
    <col width="9.7109375" customWidth="1" min="276" max="276"/>
    <col width="28.7109375" customWidth="1" min="277" max="279"/>
    <col width="21.85546875" customWidth="1" min="280" max="280"/>
    <col width="9.7109375" customWidth="1" min="281" max="281"/>
    <col width="28.7109375" customWidth="1" min="282" max="284"/>
    <col width="21.85546875" customWidth="1" min="285" max="285"/>
    <col width="9.7109375" customWidth="1" min="286" max="286"/>
    <col width="28.7109375" customWidth="1" min="287" max="289"/>
    <col width="21.85546875" customWidth="1" min="290" max="290"/>
    <col width="9.7109375" customWidth="1" min="291" max="291"/>
    <col width="28.7109375" customWidth="1" min="292" max="294"/>
    <col width="21.85546875" customWidth="1" min="295" max="295"/>
    <col width="9.7109375" customWidth="1" min="296" max="296"/>
    <col width="28.7109375" customWidth="1" min="297" max="299"/>
    <col width="21.85546875" customWidth="1" min="300" max="300"/>
    <col width="9.7109375" customWidth="1" min="301" max="301"/>
    <col width="28.7109375" customWidth="1" min="302" max="304"/>
    <col width="21.85546875" customWidth="1" min="305" max="305"/>
    <col width="9.7109375" customWidth="1" min="306" max="306"/>
    <col width="28.7109375" customWidth="1" min="307" max="309"/>
    <col width="21.85546875" customWidth="1" min="310" max="310"/>
    <col width="9.7109375" customWidth="1" min="311" max="311"/>
    <col width="28.7109375" customWidth="1" min="312" max="314"/>
    <col width="21.85546875" customWidth="1" min="315" max="315"/>
    <col width="9.7109375" customWidth="1" min="316" max="316"/>
    <col width="28.7109375" customWidth="1" min="317" max="318"/>
    <col width="21.85546875" customWidth="1" min="319" max="319"/>
    <col width="9.7109375" customWidth="1" min="320" max="320"/>
    <col width="28.7109375" customWidth="1" min="321" max="322"/>
    <col width="21.85546875" customWidth="1" min="323" max="323"/>
    <col width="9.7109375" customWidth="1" min="324" max="324"/>
    <col width="28.7109375" customWidth="1" min="325" max="326"/>
    <col width="21.85546875" customWidth="1" min="327" max="327"/>
    <col width="9.7109375" customWidth="1" min="328" max="328"/>
    <col width="28.7109375" customWidth="1" min="329" max="331"/>
    <col width="21.85546875" customWidth="1" min="332" max="332"/>
    <col width="9.7109375" customWidth="1" min="333" max="333"/>
    <col width="28.7109375" customWidth="1" min="334" max="336"/>
    <col width="21.85546875" customWidth="1" min="337" max="337"/>
    <col width="9.7109375" customWidth="1" min="338" max="338"/>
    <col width="28.7109375" customWidth="1" min="339" max="341"/>
    <col width="21.85546875" customWidth="1" min="342" max="342"/>
    <col width="9.7109375" customWidth="1" min="343" max="343"/>
    <col width="28.7109375" customWidth="1" min="344" max="345"/>
    <col width="21.85546875" customWidth="1" min="346" max="346"/>
    <col width="9.7109375" customWidth="1" min="347" max="347"/>
    <col width="28.7109375" customWidth="1" min="348" max="349"/>
    <col width="21.85546875" customWidth="1" min="350" max="350"/>
    <col width="9.7109375" customWidth="1" min="351" max="351"/>
    <col width="28.7109375" customWidth="1" min="352" max="354"/>
    <col width="21.85546875" customWidth="1" min="355" max="355"/>
    <col width="9.7109375" customWidth="1" min="356" max="356"/>
    <col width="28.7109375" customWidth="1" min="357" max="359"/>
    <col width="21.85546875" customWidth="1" min="360" max="360"/>
    <col width="9.7109375" customWidth="1" min="361" max="361"/>
    <col width="28.7109375" customWidth="1" min="362" max="364"/>
    <col width="21.85546875" customWidth="1" min="365" max="365"/>
    <col width="9.7109375" customWidth="1" min="366" max="366"/>
    <col width="28.7109375" customWidth="1" min="367" max="368"/>
    <col width="21.85546875" customWidth="1" min="369" max="369"/>
    <col width="9.7109375" customWidth="1" min="370" max="370"/>
    <col width="28.7109375" customWidth="1" min="371" max="372"/>
    <col width="21.85546875" customWidth="1" min="373" max="373"/>
    <col width="9.7109375" customWidth="1" min="374" max="374"/>
    <col width="28.7109375" customWidth="1" min="375" max="376"/>
    <col width="21.85546875" customWidth="1" min="377" max="377"/>
    <col width="9.7109375" customWidth="1" min="378" max="378"/>
    <col width="28.7109375" customWidth="1" min="379" max="380"/>
    <col width="21.85546875" customWidth="1" min="381" max="381"/>
    <col width="9.7109375" customWidth="1" min="382" max="382"/>
    <col width="28.7109375" customWidth="1" min="383" max="387"/>
    <col width="21.85546875" customWidth="1" min="388" max="388"/>
    <col width="9.7109375" customWidth="1" min="389" max="389"/>
    <col width="28.7109375" customWidth="1" min="390" max="393"/>
    <col width="21.85546875" customWidth="1" min="394" max="394"/>
    <col width="9.7109375" customWidth="1" min="395" max="395"/>
    <col width="28.7109375" customWidth="1" min="396" max="398"/>
    <col width="21.85546875" customWidth="1" min="399" max="399"/>
    <col width="9.7109375" customWidth="1" min="400" max="400"/>
    <col width="28.7109375" customWidth="1" min="401" max="403"/>
    <col width="21.85546875" customWidth="1" min="404" max="404"/>
    <col width="9.7109375" customWidth="1" min="405" max="405"/>
    <col width="28.7109375" customWidth="1" min="406" max="406"/>
    <col width="21.85546875" customWidth="1" min="407" max="407"/>
    <col width="9.7109375" customWidth="1" min="408" max="408"/>
    <col width="28.7109375" customWidth="1" min="409" max="411"/>
    <col width="21.85546875" customWidth="1" min="412" max="412"/>
    <col width="9.7109375" customWidth="1" min="413" max="413"/>
    <col width="28.7109375" customWidth="1" min="414" max="415"/>
    <col width="21.85546875" customWidth="1" min="416" max="416"/>
    <col width="9.7109375" customWidth="1" min="417" max="417"/>
    <col width="28.7109375" customWidth="1" min="418" max="419"/>
    <col width="21.85546875" customWidth="1" min="420" max="420"/>
    <col width="9.7109375" customWidth="1" min="421" max="421"/>
    <col width="28.7109375" customWidth="1" min="422" max="423"/>
    <col width="21.85546875" customWidth="1" min="424" max="424"/>
    <col width="9.7109375" customWidth="1" min="425" max="425"/>
    <col width="28.7109375" customWidth="1" min="426" max="426"/>
    <col width="21.85546875" customWidth="1" min="427" max="427"/>
    <col width="9.7109375" customWidth="1" min="428" max="430"/>
    <col width="28.7109375" customWidth="1" min="431" max="431"/>
    <col width="21.85546875" customWidth="1" min="432" max="432"/>
    <col width="9.7109375" customWidth="1" min="433" max="434"/>
    <col width="28.7109375" customWidth="1" min="435" max="436"/>
    <col width="21.85546875" customWidth="1" min="437" max="437"/>
    <col width="9.7109375" customWidth="1" min="438" max="438"/>
    <col width="28.7109375" customWidth="1" min="439" max="439"/>
    <col width="21.85546875" customWidth="1" min="440" max="440"/>
    <col width="9.7109375" customWidth="1" min="441" max="441"/>
    <col width="28.7109375" customWidth="1" min="442" max="442"/>
    <col width="21.85546875" customWidth="1" min="443" max="443"/>
    <col width="9.7109375" customWidth="1" min="444" max="444"/>
    <col width="21.85546875" customWidth="1" min="445" max="445"/>
    <col width="9.7109375" customWidth="1" min="446" max="447"/>
    <col width="21.85546875" customWidth="1" min="448" max="448"/>
    <col width="9.7109375" customWidth="1" min="449" max="449"/>
    <col width="21.85546875" customWidth="1" min="450" max="450"/>
    <col width="9.7109375" customWidth="1" min="451" max="451"/>
    <col width="21.85546875" customWidth="1" min="452" max="452"/>
    <col width="9.7109375" customWidth="1" min="453" max="454"/>
    <col width="21.85546875" customWidth="1" min="455" max="455"/>
    <col width="9.7109375" customWidth="1" min="456" max="456"/>
    <col width="21.85546875" customWidth="1" min="457" max="457"/>
    <col width="9.7109375" customWidth="1" min="458" max="458"/>
    <col width="21.85546875" customWidth="1" min="459" max="459"/>
    <col width="9.7109375" customWidth="1" min="460" max="460"/>
    <col width="21.85546875" customWidth="1" min="461" max="461"/>
    <col width="9.7109375" customWidth="1" min="462" max="462"/>
    <col width="21.85546875" customWidth="1" min="463" max="463"/>
    <col width="9.7109375" customWidth="1" min="464" max="464"/>
    <col width="28.7109375" customWidth="1" min="465" max="465"/>
    <col width="21.85546875" customWidth="1" min="466" max="466"/>
    <col width="9.7109375" customWidth="1" min="467" max="467"/>
    <col width="28.7109375" customWidth="1" min="468" max="469"/>
    <col width="21.85546875" customWidth="1" min="470" max="470"/>
    <col width="9.7109375" customWidth="1" min="471" max="471"/>
    <col width="28.7109375" customWidth="1" min="472" max="473"/>
    <col width="21.85546875" customWidth="1" min="474" max="474"/>
    <col width="9.7109375" customWidth="1" min="475" max="475"/>
    <col width="28.7109375" customWidth="1" min="476" max="477"/>
    <col width="21.85546875" customWidth="1" min="478" max="478"/>
    <col width="9.7109375" customWidth="1" min="479" max="479"/>
    <col width="28.7109375" customWidth="1" min="480" max="481"/>
    <col width="21.85546875" customWidth="1" min="482" max="482"/>
    <col width="9.7109375" customWidth="1" min="483" max="483"/>
    <col width="28.7109375" customWidth="1" min="484" max="485"/>
    <col width="21.85546875" customWidth="1" min="486" max="486"/>
    <col width="9.7109375" customWidth="1" min="487" max="487"/>
    <col width="28.7109375" customWidth="1" min="488" max="489"/>
    <col width="21.85546875" customWidth="1" min="490" max="490"/>
    <col width="9.7109375" customWidth="1" min="491" max="491"/>
    <col width="28.7109375" customWidth="1" min="492" max="493"/>
    <col width="21.85546875" customWidth="1" min="494" max="494"/>
    <col width="9.7109375" customWidth="1" min="495" max="495"/>
    <col width="28.7109375" customWidth="1" min="496" max="497"/>
    <col width="21.85546875" customWidth="1" min="498" max="498"/>
    <col width="9.7109375" customWidth="1" min="499" max="499"/>
    <col width="28.7109375" customWidth="1" min="500" max="501"/>
    <col width="21.85546875" customWidth="1" min="502" max="502"/>
    <col width="9.7109375" customWidth="1" min="503" max="503"/>
    <col width="21.85546875" customWidth="1" min="504" max="504"/>
    <col width="9.7109375" customWidth="1" min="505" max="505"/>
    <col width="28.7109375" customWidth="1" min="506" max="506"/>
    <col width="21.85546875" customWidth="1" min="507" max="507"/>
    <col width="9.7109375" customWidth="1" min="508" max="508"/>
    <col width="28.7109375" customWidth="1" min="509" max="510"/>
    <col width="21.85546875" customWidth="1" min="511" max="511"/>
    <col width="9.7109375" customWidth="1" min="512" max="512"/>
    <col width="28.7109375" customWidth="1" min="513" max="514"/>
    <col width="21.85546875" customWidth="1" min="515" max="515"/>
    <col width="9.7109375" customWidth="1" min="516" max="516"/>
    <col width="28.7109375" customWidth="1" min="517" max="518"/>
    <col width="21.85546875" customWidth="1" min="519" max="519"/>
    <col width="9.7109375" customWidth="1" min="520" max="520"/>
    <col width="21.85546875" customWidth="1" min="521" max="521"/>
    <col width="9.7109375" customWidth="1" min="522" max="522"/>
    <col width="28.7109375" customWidth="1" min="523" max="524"/>
    <col width="21.85546875" customWidth="1" min="525" max="525"/>
    <col width="9.7109375" customWidth="1" min="526" max="526"/>
    <col width="28.7109375" customWidth="1" min="527" max="528"/>
    <col width="21.85546875" customWidth="1" min="529" max="529"/>
    <col width="9.7109375" customWidth="1" min="530" max="530"/>
    <col width="28.7109375" customWidth="1" min="531" max="532"/>
    <col width="21.85546875" customWidth="1" min="533" max="533"/>
    <col width="9.7109375" customWidth="1" min="534" max="534"/>
    <col width="28.7109375" customWidth="1" min="535" max="536"/>
    <col width="21.85546875" customWidth="1" min="537" max="537"/>
    <col width="9.7109375" customWidth="1" min="538" max="538"/>
    <col width="28.7109375" customWidth="1" min="539" max="540"/>
    <col width="21.85546875" customWidth="1" min="541" max="541"/>
    <col width="9.7109375" customWidth="1" min="542" max="542"/>
    <col width="28.7109375" customWidth="1" min="543" max="544"/>
    <col width="21.85546875" customWidth="1" min="545" max="545"/>
    <col width="9.7109375" customWidth="1" min="546" max="546"/>
    <col width="28.7109375" customWidth="1" min="547" max="548"/>
    <col width="21.85546875" customWidth="1" min="549" max="549"/>
    <col width="9.7109375" customWidth="1" min="550" max="550"/>
    <col width="28.7109375" customWidth="1" min="551" max="552"/>
    <col width="21.85546875" customWidth="1" min="553" max="553"/>
    <col width="9.7109375" customWidth="1" min="554" max="554"/>
    <col width="21.85546875" customWidth="1" min="555" max="555"/>
    <col width="9.7109375" customWidth="1" min="556" max="556"/>
    <col width="28.7109375" customWidth="1" min="557" max="558"/>
    <col width="21.85546875" customWidth="1" min="559" max="559"/>
    <col width="9.7109375" customWidth="1" min="560" max="560"/>
    <col width="28.7109375" customWidth="1" min="561" max="562"/>
    <col width="21.85546875" customWidth="1" min="563" max="563"/>
    <col width="9.7109375" customWidth="1" min="564" max="564"/>
    <col width="28.7109375" customWidth="1" min="565" max="566"/>
    <col width="21.85546875" customWidth="1" min="567" max="567"/>
    <col width="9.7109375" customWidth="1" min="568" max="568"/>
    <col width="21.85546875" customWidth="1" min="569" max="569"/>
    <col width="9.7109375" customWidth="1" min="570" max="570"/>
    <col width="28.7109375" customWidth="1" min="571" max="572"/>
    <col width="21.85546875" customWidth="1" min="573" max="573"/>
    <col width="9.7109375" customWidth="1" min="574" max="574"/>
    <col width="28.7109375" customWidth="1" min="575" max="576"/>
    <col width="21.85546875" customWidth="1" min="577" max="577"/>
    <col width="9.7109375" customWidth="1" min="578" max="578"/>
    <col width="21.85546875" customWidth="1" min="579" max="579"/>
    <col width="9.7109375" customWidth="1" min="580" max="580"/>
    <col width="28.7109375" customWidth="1" min="581" max="582"/>
    <col width="21.85546875" customWidth="1" min="583" max="583"/>
    <col width="9.7109375" customWidth="1" min="584" max="584"/>
    <col width="28.7109375" customWidth="1" min="585" max="586"/>
    <col width="21.85546875" customWidth="1" min="587" max="587"/>
    <col width="9.7109375" customWidth="1" min="588" max="588"/>
    <col width="28.7109375" customWidth="1" min="589" max="590"/>
    <col width="21.85546875" customWidth="1" min="591" max="591"/>
    <col width="9.7109375" customWidth="1" min="592" max="592"/>
    <col width="28.7109375" customWidth="1" min="593" max="594"/>
    <col width="21.85546875" customWidth="1" min="595" max="595"/>
    <col width="9.7109375" customWidth="1" min="596" max="596"/>
    <col width="28.7109375" customWidth="1" min="597" max="598"/>
    <col width="21.85546875" customWidth="1" min="599" max="599"/>
    <col width="9.7109375" customWidth="1" min="600" max="600"/>
    <col width="28.7109375" customWidth="1" min="601" max="602"/>
    <col width="21.85546875" customWidth="1" min="603" max="603"/>
    <col width="9.7109375" customWidth="1" min="604" max="604"/>
    <col width="28.7109375" customWidth="1" min="605" max="606"/>
    <col width="21.85546875" customWidth="1" min="607" max="607"/>
    <col width="9.7109375" customWidth="1" min="608" max="608"/>
    <col width="28.7109375" customWidth="1" min="609" max="610"/>
    <col width="21.85546875" customWidth="1" min="611" max="611"/>
    <col width="9.7109375" customWidth="1" min="612" max="612"/>
    <col width="28.7109375" customWidth="1" min="613" max="614"/>
    <col width="21.85546875" customWidth="1" min="615" max="615"/>
    <col width="9.7109375" customWidth="1" min="616" max="616"/>
    <col width="28.7109375" customWidth="1" min="617" max="618"/>
    <col width="21.85546875" customWidth="1" min="619" max="619"/>
    <col width="9.7109375" customWidth="1" min="620" max="621"/>
    <col width="21.85546875" customWidth="1" min="622" max="622"/>
    <col width="9.7109375" customWidth="1" min="623" max="623"/>
    <col width="28.7109375" customWidth="1" min="624" max="624"/>
    <col width="21.85546875" customWidth="1" min="625" max="625"/>
    <col width="9.7109375" customWidth="1" min="626" max="626"/>
    <col width="28.7109375" customWidth="1" min="627" max="627"/>
    <col width="21.85546875" customWidth="1" min="628" max="628"/>
    <col width="9.7109375" customWidth="1" min="629" max="629"/>
    <col width="28.7109375" customWidth="1" min="630" max="630"/>
    <col width="21.85546875" customWidth="1" min="631" max="631"/>
    <col width="9.7109375" customWidth="1" min="632" max="632"/>
    <col width="28.7109375" customWidth="1" min="633" max="633"/>
    <col width="21.85546875" customWidth="1" min="634" max="634"/>
    <col width="9.7109375" customWidth="1" min="635" max="635"/>
    <col width="28.7109375" customWidth="1" min="636" max="636"/>
    <col width="21.85546875" customWidth="1" min="637" max="637"/>
    <col width="9.7109375" customWidth="1" min="638" max="638"/>
    <col width="28.7109375" customWidth="1" min="639" max="639"/>
    <col width="21.85546875" customWidth="1" min="640" max="640"/>
    <col width="9.7109375" customWidth="1" min="641" max="641"/>
    <col width="28.7109375" customWidth="1" min="642" max="642"/>
    <col width="21.85546875" customWidth="1" min="643" max="643"/>
    <col width="9.7109375" customWidth="1" min="644" max="644"/>
    <col width="28.7109375" customWidth="1" min="645" max="645"/>
    <col width="21.85546875" customWidth="1" min="646" max="646"/>
    <col width="9.7109375" customWidth="1" min="647" max="647"/>
    <col width="28.7109375" customWidth="1" min="648" max="648"/>
    <col width="21.85546875" customWidth="1" min="649" max="649"/>
    <col width="9.7109375" customWidth="1" min="650" max="650"/>
    <col width="28.7109375" customWidth="1" min="651" max="651"/>
    <col width="21.85546875" customWidth="1" min="652" max="652"/>
    <col width="9.7109375" customWidth="1" min="653" max="653"/>
    <col width="28.7109375" customWidth="1" min="654" max="654"/>
    <col width="21.85546875" customWidth="1" min="655" max="655"/>
    <col width="9.7109375" customWidth="1" min="656" max="656"/>
    <col width="28.7109375" customWidth="1" min="657" max="657"/>
    <col width="21.85546875" customWidth="1" min="658" max="658"/>
    <col width="9.7109375" customWidth="1" min="659" max="659"/>
    <col width="28.7109375" customWidth="1" min="660" max="660"/>
    <col width="21.85546875" customWidth="1" min="661" max="661"/>
    <col width="9.7109375" customWidth="1" min="662" max="662"/>
    <col width="28.7109375" customWidth="1" min="663" max="663"/>
    <col width="21.85546875" customWidth="1" min="664" max="664"/>
    <col width="9.7109375" customWidth="1" min="665" max="665"/>
    <col width="28.7109375" customWidth="1" min="666" max="666"/>
    <col width="21.85546875" customWidth="1" min="667" max="667"/>
    <col width="9.7109375" customWidth="1" min="668" max="668"/>
    <col width="28.7109375" customWidth="1" min="669" max="669"/>
    <col width="21.85546875" customWidth="1" min="670" max="670"/>
    <col width="9.7109375" customWidth="1" min="671" max="671"/>
    <col width="28.7109375" customWidth="1" min="672" max="672"/>
    <col width="21.85546875" customWidth="1" min="673" max="673"/>
    <col width="9.7109375" customWidth="1" min="674" max="674"/>
    <col width="28.7109375" customWidth="1" min="675" max="675"/>
    <col width="21.85546875" customWidth="1" min="676" max="676"/>
    <col width="9.7109375" customWidth="1" min="677" max="677"/>
    <col width="28.7109375" customWidth="1" min="678" max="678"/>
    <col width="21.85546875" customWidth="1" min="679" max="679"/>
    <col width="9.7109375" customWidth="1" min="680" max="680"/>
    <col width="28.7109375" customWidth="1" min="681" max="681"/>
    <col width="21.85546875" customWidth="1" min="682" max="682"/>
    <col width="9.7109375" customWidth="1" min="683" max="683"/>
    <col width="28.7109375" customWidth="1" min="684" max="684"/>
    <col width="21.85546875" customWidth="1" min="685" max="685"/>
    <col width="9.7109375" customWidth="1" min="686" max="686"/>
    <col width="28.7109375" customWidth="1" min="687" max="687"/>
    <col width="21.85546875" customWidth="1" min="688" max="688"/>
    <col width="9.7109375" customWidth="1" min="689" max="689"/>
    <col width="28.7109375" customWidth="1" min="690" max="690"/>
    <col width="21.85546875" customWidth="1" min="691" max="691"/>
    <col width="9.7109375" customWidth="1" min="692" max="692"/>
    <col width="28.7109375" customWidth="1" min="693" max="693"/>
    <col width="21.85546875" customWidth="1" min="694" max="694"/>
    <col width="9.7109375" customWidth="1" min="695" max="695"/>
    <col width="28.7109375" customWidth="1" min="696" max="696"/>
    <col width="21.85546875" customWidth="1" min="697" max="697"/>
    <col width="9.7109375" customWidth="1" min="698" max="698"/>
    <col width="28.7109375" customWidth="1" min="699" max="699"/>
    <col width="21.85546875" customWidth="1" min="700" max="700"/>
    <col width="9.7109375" customWidth="1" min="701" max="701"/>
    <col width="28.7109375" customWidth="1" min="702" max="702"/>
    <col width="21.85546875" customWidth="1" min="703" max="703"/>
    <col width="9.7109375" customWidth="1" min="704" max="704"/>
    <col width="28.7109375" customWidth="1" min="705" max="705"/>
    <col width="21.85546875" customWidth="1" min="706" max="706"/>
    <col width="9.7109375" customWidth="1" min="707" max="707"/>
    <col width="28.7109375" customWidth="1" min="708" max="708"/>
    <col width="21.85546875" customWidth="1" min="709" max="709"/>
    <col width="9.7109375" customWidth="1" min="710" max="710"/>
    <col width="28.7109375" customWidth="1" min="711" max="711"/>
    <col width="21.85546875" customWidth="1" min="712" max="712"/>
    <col width="9.7109375" customWidth="1" min="713" max="713"/>
    <col width="28.7109375" customWidth="1" min="714" max="714"/>
    <col width="21.85546875" customWidth="1" min="715" max="715"/>
    <col width="9.7109375" customWidth="1" min="716" max="716"/>
    <col width="28.7109375" customWidth="1" min="717" max="717"/>
    <col width="21.85546875" customWidth="1" min="718" max="718"/>
    <col width="9.7109375" customWidth="1" min="719" max="719"/>
    <col width="28.7109375" customWidth="1" min="720" max="720"/>
    <col width="21.85546875" customWidth="1" min="721" max="721"/>
    <col width="9.7109375" customWidth="1" min="722" max="722"/>
    <col width="28.7109375" customWidth="1" min="723" max="723"/>
    <col width="21.85546875" customWidth="1" min="724" max="724"/>
    <col width="9.7109375" customWidth="1" min="725" max="725"/>
    <col width="28.7109375" customWidth="1" min="726" max="727"/>
    <col width="21.85546875" customWidth="1" min="728" max="728"/>
    <col width="9.7109375" customWidth="1" min="729" max="729"/>
    <col width="28.7109375" customWidth="1" min="730" max="730"/>
    <col width="21.85546875" customWidth="1" min="731" max="731"/>
    <col width="9.7109375" customWidth="1" min="732" max="732"/>
    <col width="28.7109375" customWidth="1" min="733" max="733"/>
    <col width="21.85546875" customWidth="1" min="734" max="734"/>
    <col width="9.7109375" customWidth="1" min="735" max="735"/>
    <col width="28.7109375" customWidth="1" min="736" max="736"/>
    <col width="21.85546875" customWidth="1" min="737" max="737"/>
    <col width="9.7109375" customWidth="1" min="738" max="738"/>
    <col width="28.7109375" customWidth="1" min="739" max="739"/>
    <col width="21.85546875" customWidth="1" min="740" max="740"/>
    <col width="9.7109375" customWidth="1" min="741" max="741"/>
    <col width="28.7109375" customWidth="1" min="742" max="742"/>
    <col width="21.85546875" customWidth="1" min="743" max="743"/>
    <col width="9.7109375" customWidth="1" min="744" max="744"/>
    <col width="28.7109375" customWidth="1" min="745" max="745"/>
    <col width="21.85546875" customWidth="1" min="746" max="746"/>
    <col width="9.7109375" customWidth="1" min="747" max="747"/>
    <col width="28.7109375" customWidth="1" min="748" max="749"/>
    <col width="21.85546875" customWidth="1" min="750" max="750"/>
    <col width="9.7109375" customWidth="1" min="751" max="751"/>
    <col width="28.7109375" customWidth="1" min="752" max="753"/>
    <col width="21.85546875" customWidth="1" min="754" max="754"/>
    <col width="9.7109375" customWidth="1" min="755" max="755"/>
    <col width="28.7109375" customWidth="1" min="756" max="756"/>
    <col width="21.85546875" customWidth="1" min="757" max="757"/>
    <col width="9.7109375" customWidth="1" min="758" max="758"/>
    <col width="28.7109375" customWidth="1" min="759" max="759"/>
    <col width="21.85546875" customWidth="1" min="760" max="760"/>
    <col width="9.7109375" customWidth="1" min="761" max="761"/>
    <col width="28.7109375" customWidth="1" min="762" max="762"/>
    <col width="21.85546875" customWidth="1" min="763" max="763"/>
    <col width="9.7109375" customWidth="1" min="764" max="764"/>
    <col width="28.7109375" customWidth="1" min="765" max="765"/>
    <col width="21.85546875" customWidth="1" min="766" max="766"/>
    <col width="9.7109375" customWidth="1" min="767" max="767"/>
    <col width="28.7109375" customWidth="1" min="768" max="768"/>
    <col width="21.85546875" customWidth="1" min="769" max="769"/>
    <col width="9.7109375" customWidth="1" min="770" max="770"/>
    <col width="28.7109375" customWidth="1" min="771" max="771"/>
    <col width="21.85546875" customWidth="1" min="772" max="772"/>
    <col width="9.7109375" customWidth="1" min="773" max="773"/>
    <col width="28.7109375" customWidth="1" min="774" max="774"/>
    <col width="21.85546875" customWidth="1" min="775" max="775"/>
    <col width="9.7109375" customWidth="1" min="776" max="776"/>
    <col width="28.7109375" customWidth="1" min="777" max="777"/>
    <col width="21.85546875" customWidth="1" min="778" max="778"/>
    <col width="9.7109375" customWidth="1" min="779" max="826"/>
    <col width="21.85546875" customWidth="1" min="827" max="827"/>
    <col width="9.7109375" customWidth="1" min="828" max="829"/>
    <col width="21.85546875" customWidth="1" min="830" max="830"/>
    <col width="9.7109375" customWidth="1" min="831" max="840"/>
    <col width="21.85546875" customWidth="1" min="841" max="841"/>
    <col width="9.7109375" customWidth="1" min="842" max="856"/>
    <col width="21.85546875" customWidth="1" min="857" max="857"/>
    <col width="9.7109375" customWidth="1" min="858" max="858"/>
    <col width="21.85546875" customWidth="1" min="859" max="859"/>
    <col width="9.7109375" customWidth="1" min="860" max="860"/>
    <col width="21.85546875" customWidth="1" min="861" max="861"/>
    <col width="9.7109375" customWidth="1" min="862" max="862"/>
    <col width="21.85546875" customWidth="1" min="863" max="863"/>
    <col width="9.7109375" customWidth="1" min="864" max="864"/>
    <col width="21.85546875" customWidth="1" min="865" max="865"/>
    <col width="9.7109375" customWidth="1" min="866" max="866"/>
    <col width="21.85546875" customWidth="1" min="867" max="867"/>
    <col width="9.7109375" customWidth="1" min="868" max="868"/>
    <col width="21.85546875" customWidth="1" min="869" max="869"/>
    <col width="9.7109375" customWidth="1" min="870" max="870"/>
    <col width="21.85546875" customWidth="1" min="871" max="871"/>
    <col width="9.7109375" customWidth="1" min="872" max="872"/>
    <col width="21.85546875" customWidth="1" min="873" max="873"/>
    <col width="9.7109375" customWidth="1" min="874" max="874"/>
    <col width="21.85546875" customWidth="1" min="875" max="875"/>
    <col width="9.7109375" customWidth="1" min="876" max="876"/>
    <col width="21.85546875" customWidth="1" min="877" max="877"/>
    <col width="9.7109375" customWidth="1" min="878" max="878"/>
    <col width="7.140625" bestFit="1" customWidth="1" min="879" max="879"/>
    <col width="9.7109375" customWidth="1" min="880" max="880"/>
    <col width="12.7109375" customWidth="1" min="881" max="881"/>
    <col width="9.7109375" customWidth="1" min="882" max="882"/>
    <col width="12.7109375" customWidth="1" min="883" max="883"/>
    <col width="9.7109375" customWidth="1" min="884" max="884"/>
    <col width="12.7109375" customWidth="1" min="885" max="885"/>
    <col width="9.7109375" customWidth="1" min="886" max="886"/>
    <col width="12.7109375" customWidth="1" min="887" max="887"/>
    <col width="9.7109375" customWidth="1" min="888" max="888"/>
    <col width="12.7109375" customWidth="1" min="889" max="889"/>
    <col width="9.7109375" customWidth="1" min="890" max="890"/>
    <col width="12.7109375" customWidth="1" min="891" max="891"/>
    <col width="9.7109375" customWidth="1" min="892" max="892"/>
    <col width="12.7109375" customWidth="1" min="893" max="893"/>
    <col width="9.7109375" customWidth="1" min="894" max="894"/>
    <col width="12.7109375" customWidth="1" min="895" max="895"/>
    <col width="9.7109375" customWidth="1" min="896" max="896"/>
    <col width="12.7109375" customWidth="1" min="897" max="897"/>
    <col width="9.7109375" customWidth="1" min="898" max="898"/>
    <col width="12.7109375" customWidth="1" min="899" max="899"/>
    <col width="9.7109375" customWidth="1" min="900" max="900"/>
    <col width="12.7109375" customWidth="1" min="901" max="901"/>
    <col width="9.7109375" customWidth="1" min="902" max="902"/>
    <col width="12.7109375" customWidth="1" min="903" max="903"/>
    <col width="9.7109375" customWidth="1" min="904" max="904"/>
    <col width="12.7109375" customWidth="1" min="905" max="905"/>
    <col width="9.7109375" customWidth="1" min="906" max="910"/>
    <col width="12.7109375" customWidth="1" min="911" max="911"/>
    <col width="9.7109375" customWidth="1" min="912" max="914"/>
    <col width="12.7109375" customWidth="1" min="915" max="915"/>
    <col width="9.7109375" customWidth="1" min="916" max="916"/>
    <col width="12.7109375" customWidth="1" min="917" max="917"/>
    <col width="9.7109375" customWidth="1" min="918" max="918"/>
    <col width="28.7109375" customWidth="1" min="919" max="919"/>
    <col width="12.7109375" customWidth="1" min="920" max="920"/>
    <col width="9.7109375" customWidth="1" min="921" max="922"/>
    <col width="12.7109375" customWidth="1" min="923" max="923"/>
    <col width="9.7109375" customWidth="1" min="924" max="925"/>
    <col width="12.7109375" customWidth="1" min="926" max="926"/>
    <col width="9.7109375" customWidth="1" min="927" max="931"/>
    <col width="12.7109375" customWidth="1" min="932" max="932"/>
    <col width="9.7109375" customWidth="1" min="933" max="933"/>
    <col width="12.7109375" customWidth="1" min="934" max="934"/>
    <col width="9.7109375" customWidth="1" min="935" max="935"/>
    <col width="12.7109375" customWidth="1" min="936" max="936"/>
    <col width="9.7109375" customWidth="1" min="937" max="938"/>
    <col width="12.7109375" customWidth="1" min="939" max="939"/>
    <col width="9.7109375" customWidth="1" min="940" max="940"/>
    <col width="12.7109375" customWidth="1" min="941" max="941"/>
    <col width="9.7109375" customWidth="1" min="942" max="942"/>
    <col width="12.7109375" customWidth="1" min="943" max="943"/>
    <col width="9.7109375" customWidth="1" min="944" max="944"/>
    <col width="12.7109375" customWidth="1" min="945" max="945"/>
    <col width="9.7109375" customWidth="1" min="946" max="946"/>
    <col width="12.7109375" customWidth="1" min="947" max="947"/>
    <col width="9.7109375" customWidth="1" min="948" max="948"/>
    <col width="12.7109375" customWidth="1" min="949" max="949"/>
    <col width="9.7109375" customWidth="1" min="950" max="950"/>
    <col width="12.7109375" customWidth="1" min="951" max="951"/>
    <col width="9.7109375" customWidth="1" min="952" max="952"/>
    <col width="12.7109375" customWidth="1" min="953" max="953"/>
    <col width="9.7109375" customWidth="1" min="954" max="954"/>
    <col width="12.7109375" customWidth="1" min="955" max="955"/>
    <col width="9.7109375" customWidth="1" min="956" max="997"/>
    <col width="28.7109375" customWidth="1" min="998" max="999"/>
    <col width="12.7109375" customWidth="1" min="1000" max="1000"/>
    <col width="9.7109375" customWidth="1" min="1001" max="1001"/>
    <col width="28.7109375" customWidth="1" min="1002" max="1003"/>
    <col width="12.7109375" customWidth="1" min="1004" max="1004"/>
    <col width="9.7109375" customWidth="1" min="1005" max="1005"/>
    <col width="28.7109375" customWidth="1" min="1006" max="1007"/>
    <col width="12.7109375" customWidth="1" min="1008" max="1008"/>
    <col width="9.7109375" customWidth="1" min="1009" max="1009"/>
    <col width="28.7109375" customWidth="1" min="1010" max="1011"/>
    <col width="12.7109375" customWidth="1" min="1012" max="1012"/>
    <col width="9.7109375" customWidth="1" min="1013" max="1013"/>
    <col width="28.7109375" customWidth="1" min="1014" max="1015"/>
    <col width="12.7109375" customWidth="1" min="1016" max="1016"/>
    <col width="9.7109375" customWidth="1" min="1017" max="1017"/>
    <col width="28.7109375" customWidth="1" min="1018" max="1019"/>
    <col width="12.7109375" customWidth="1" min="1020" max="1020"/>
    <col width="9.7109375" customWidth="1" min="1021" max="1021"/>
    <col width="28.7109375" customWidth="1" min="1022" max="1023"/>
    <col width="12.7109375" customWidth="1" min="1024" max="1024"/>
    <col width="9.7109375" customWidth="1" min="1025" max="1025"/>
    <col width="28.7109375" customWidth="1" min="1026" max="1027"/>
    <col width="12.7109375" customWidth="1" min="1028" max="1028"/>
    <col width="9.7109375" customWidth="1" min="1029" max="1029"/>
    <col width="28.7109375" customWidth="1" min="1030" max="1031"/>
    <col width="12.7109375" customWidth="1" min="1032" max="1032"/>
    <col width="9.7109375" customWidth="1" min="1033" max="1033"/>
    <col width="12.7109375" customWidth="1" min="1034" max="1034"/>
    <col width="9.7109375" customWidth="1" min="1035" max="1035"/>
    <col width="12.7109375" customWidth="1" min="1036" max="1036"/>
    <col width="9.7109375" customWidth="1" min="1037" max="1037"/>
    <col width="12.7109375" customWidth="1" min="1038" max="1038"/>
    <col width="9.7109375" customWidth="1" min="1039" max="1039"/>
    <col width="12.7109375" customWidth="1" min="1040" max="1040"/>
    <col width="9.7109375" customWidth="1" min="1041" max="1041"/>
    <col width="12.7109375" customWidth="1" min="1042" max="1042"/>
    <col width="9.7109375" customWidth="1" min="1043" max="1043"/>
    <col width="28.7109375" customWidth="1" min="1044" max="1044"/>
    <col width="12.7109375" customWidth="1" min="1045" max="1045"/>
    <col width="9.7109375" customWidth="1" min="1046" max="1046"/>
    <col width="28.7109375" customWidth="1" min="1047" max="1047"/>
    <col width="12.7109375" customWidth="1" min="1048" max="1048"/>
    <col width="9.7109375" customWidth="1" min="1049" max="1049"/>
    <col width="28.7109375" customWidth="1" min="1050" max="1050"/>
    <col width="12.7109375" customWidth="1" min="1051" max="1051"/>
    <col width="9.7109375" customWidth="1" min="1052" max="1052"/>
    <col width="28.7109375" customWidth="1" min="1053" max="1053"/>
    <col width="12.7109375" customWidth="1" min="1054" max="1054"/>
    <col width="9.7109375" customWidth="1" min="1055" max="1055"/>
    <col width="28.7109375" customWidth="1" min="1056" max="1056"/>
    <col width="12.7109375" customWidth="1" min="1057" max="1057"/>
    <col width="9.7109375" customWidth="1" min="1058" max="1058"/>
    <col width="28.7109375" customWidth="1" min="1059" max="1059"/>
    <col width="12.7109375" customWidth="1" min="1060" max="1060"/>
    <col width="9.7109375" customWidth="1" min="1061" max="1061"/>
    <col width="28.7109375" customWidth="1" min="1062" max="1062"/>
    <col width="12.7109375" customWidth="1" min="1063" max="1063"/>
    <col width="9.7109375" customWidth="1" min="1064" max="1064"/>
    <col width="28.7109375" customWidth="1" min="1065" max="1065"/>
    <col width="12.7109375" customWidth="1" min="1066" max="1066"/>
    <col width="9.7109375" customWidth="1" min="1067" max="1067"/>
    <col width="28.7109375" customWidth="1" min="1068" max="1068"/>
    <col width="12.7109375" customWidth="1" min="1069" max="1069"/>
    <col width="9.7109375" customWidth="1" min="1070" max="1070"/>
    <col width="28.7109375" customWidth="1" min="1071" max="1071"/>
    <col width="12.7109375" customWidth="1" min="1072" max="1072"/>
    <col width="9.7109375" customWidth="1" min="1073" max="1073"/>
    <col width="28.7109375" customWidth="1" min="1074" max="1074"/>
    <col width="12.7109375" customWidth="1" min="1075" max="1075"/>
    <col width="9.7109375" customWidth="1" min="1076" max="1076"/>
    <col width="28.7109375" customWidth="1" min="1077" max="1077"/>
    <col width="12.7109375" customWidth="1" min="1078" max="1078"/>
    <col width="9.7109375" customWidth="1" min="1079" max="1079"/>
    <col width="28.7109375" customWidth="1" min="1080" max="1080"/>
    <col width="12.7109375" customWidth="1" min="1081" max="1081"/>
    <col width="9.7109375" customWidth="1" min="1082" max="1082"/>
    <col width="28.7109375" customWidth="1" min="1083" max="1083"/>
    <col width="12.7109375" customWidth="1" min="1084" max="1084"/>
    <col width="9.7109375" customWidth="1" min="1085" max="1085"/>
    <col width="28.7109375" customWidth="1" min="1086" max="1086"/>
    <col width="12.7109375" customWidth="1" min="1087" max="1087"/>
    <col width="9.7109375" customWidth="1" min="1088" max="1088"/>
    <col width="28.7109375" customWidth="1" min="1089" max="1089"/>
    <col width="12.7109375" customWidth="1" min="1090" max="1090"/>
    <col width="9.7109375" customWidth="1" min="1091" max="1091"/>
    <col width="28.7109375" customWidth="1" min="1092" max="1092"/>
    <col width="12.7109375" customWidth="1" min="1093" max="1093"/>
    <col width="9.7109375" customWidth="1" min="1094" max="1094"/>
    <col width="28.7109375" customWidth="1" min="1095" max="1095"/>
    <col width="12.7109375" customWidth="1" min="1096" max="1096"/>
    <col width="9.7109375" customWidth="1" min="1097" max="1114"/>
    <col width="8.7109375" customWidth="1" min="1115" max="1118"/>
    <col width="16" customWidth="1" min="1119" max="1120"/>
    <col width="8.7109375" customWidth="1" min="1121" max="1121"/>
    <col width="16" customWidth="1" min="1122" max="1123"/>
    <col width="8.7109375" customWidth="1" min="1124" max="1124"/>
    <col width="16" customWidth="1" min="1125" max="1126"/>
    <col width="8.7109375" customWidth="1" min="1127" max="1127"/>
    <col width="16" customWidth="1" min="1128" max="1129"/>
    <col width="8.7109375" customWidth="1" min="1130" max="1130"/>
    <col width="16" customWidth="1" min="1131" max="1132"/>
    <col width="8.7109375" customWidth="1" min="1133" max="1133"/>
    <col width="16" customWidth="1" min="1134" max="1135"/>
    <col width="8.7109375" customWidth="1" min="1136" max="1136"/>
    <col width="16" customWidth="1" min="1137" max="1138"/>
    <col width="8.7109375" customWidth="1" min="1139" max="1139"/>
    <col width="16" customWidth="1" min="1140" max="1141"/>
    <col width="8.7109375" customWidth="1" min="1142" max="1142"/>
    <col width="16" customWidth="1" min="1143" max="1144"/>
    <col width="8.7109375" customWidth="1" min="1145" max="1145"/>
    <col width="16" customWidth="1" min="1146" max="1147"/>
    <col width="8.7109375" customWidth="1" min="1148" max="1148"/>
    <col width="16" customWidth="1" min="1149" max="1150"/>
    <col width="8.7109375" customWidth="1" min="1151" max="1151"/>
    <col width="16" customWidth="1" min="1152" max="1153"/>
    <col width="8.7109375" customWidth="1" min="1154" max="1154"/>
    <col width="16" customWidth="1" min="1155" max="1156"/>
    <col width="8.7109375" customWidth="1" min="1157" max="1157"/>
    <col width="16" customWidth="1" min="1158" max="1159"/>
    <col width="8.7109375" customWidth="1" min="1160" max="1160"/>
    <col width="16" customWidth="1" min="1161" max="1162"/>
    <col width="8.7109375" customWidth="1" min="1163" max="1163"/>
    <col width="16" customWidth="1" min="1164" max="1165"/>
    <col width="8.7109375" customWidth="1" min="1166" max="1166"/>
    <col width="16" customWidth="1" min="1167" max="1168"/>
    <col width="8.7109375" customWidth="1" min="1169" max="1169"/>
    <col width="16" customWidth="1" min="1170" max="1171"/>
    <col width="8.7109375" customWidth="1" min="1172" max="1172"/>
    <col width="16" customWidth="1" min="1173" max="1174"/>
    <col width="8.7109375" customWidth="1" min="1175" max="1175"/>
    <col width="16" customWidth="1" min="1176" max="1177"/>
    <col width="8.7109375" customWidth="1" min="1178" max="1178"/>
    <col width="16" customWidth="1" min="1179" max="1180"/>
    <col width="8.7109375" customWidth="1" min="1181" max="1181"/>
    <col width="16" customWidth="1" min="1182" max="1183"/>
    <col width="8.7109375" customWidth="1" min="1184" max="1186"/>
    <col width="16" customWidth="1" min="1187" max="1187"/>
    <col width="8.7109375" customWidth="1" min="1188" max="1191"/>
    <col width="16" customWidth="1" min="1192" max="1192"/>
    <col width="8.7109375" customWidth="1" min="1193" max="1193"/>
    <col width="16" customWidth="1" min="1194" max="1194"/>
    <col width="8.7109375" customWidth="1" min="1195" max="1195"/>
    <col width="16" customWidth="1" min="1196" max="1196"/>
    <col width="8.7109375" customWidth="1" min="1197" max="1197"/>
    <col width="16" customWidth="1" min="1198" max="1199"/>
    <col width="8.7109375" customWidth="1" min="1200" max="1200"/>
    <col width="16" customWidth="1" min="1201" max="1201"/>
    <col width="8.7109375" customWidth="1" min="1202" max="1203"/>
    <col width="16" customWidth="1" min="1204" max="1205"/>
    <col width="8.7109375" customWidth="1" min="1206" max="1206"/>
    <col width="16" customWidth="1" min="1207" max="1208"/>
    <col width="8.7109375" customWidth="1" min="1209" max="1209"/>
    <col width="16" customWidth="1" min="1210" max="1212"/>
    <col width="8.7109375" customWidth="1" min="1213" max="1213"/>
    <col width="16" customWidth="1" min="1214" max="1215"/>
    <col width="8.7109375" customWidth="1" min="1216" max="1216"/>
    <col width="16" customWidth="1" min="1217" max="1218"/>
    <col width="8.7109375" customWidth="1" min="1219" max="1219"/>
    <col width="16" customWidth="1" min="1220" max="1222"/>
    <col width="8.7109375" customWidth="1" min="1223" max="1223"/>
    <col width="16" customWidth="1" min="1224" max="1225"/>
    <col width="8.7109375" customWidth="1" min="1226" max="1226"/>
    <col width="16" customWidth="1" min="1227" max="1227"/>
    <col width="8.7109375" customWidth="1" min="1228" max="1228"/>
    <col width="16" customWidth="1" min="1229" max="1229"/>
    <col width="8.7109375" customWidth="1" min="1230" max="1230"/>
    <col width="16" customWidth="1" min="1231" max="1231"/>
    <col width="8.7109375" customWidth="1" min="1232" max="1232"/>
    <col width="16" customWidth="1" min="1233" max="1233"/>
    <col width="8.7109375" customWidth="1" min="1234" max="1234"/>
    <col width="16" customWidth="1" min="1235" max="1235"/>
    <col width="8.7109375" customWidth="1" min="1236" max="1236"/>
    <col width="16" customWidth="1" min="1237" max="1238"/>
    <col width="8.7109375" customWidth="1" min="1239" max="1239"/>
    <col width="16" customWidth="1" min="1240" max="1240"/>
    <col width="8.7109375" customWidth="1" min="1241" max="1241"/>
    <col width="16" customWidth="1" min="1242" max="1242"/>
    <col width="8.7109375" customWidth="1" min="1243" max="1243"/>
    <col width="16" customWidth="1" min="1244" max="1244"/>
    <col width="8.7109375" customWidth="1" min="1245" max="1245"/>
    <col width="16" customWidth="1" min="1246" max="1246"/>
    <col width="8.7109375" customWidth="1" min="1247" max="1247"/>
    <col width="16" customWidth="1" min="1248" max="1249"/>
    <col width="8.7109375" customWidth="1" min="1250" max="1250"/>
    <col width="16" customWidth="1" min="1251" max="1253"/>
    <col width="8.7109375" customWidth="1" min="1254" max="1268"/>
    <col width="16" customWidth="1" min="1269" max="1269"/>
    <col width="8.7109375" customWidth="1" min="1270" max="1272"/>
    <col width="16" customWidth="1" min="1273" max="1273"/>
    <col width="8.7109375" customWidth="1" min="1274" max="1274"/>
    <col width="16" customWidth="1" min="1275" max="1275"/>
    <col width="8.7109375" customWidth="1" min="1276" max="1276"/>
    <col width="16" customWidth="1" min="1277" max="1277"/>
    <col width="8.7109375" customWidth="1" min="1278" max="1278"/>
    <col width="16" customWidth="1" min="1279" max="1279"/>
    <col width="8.7109375" customWidth="1" min="1280" max="1280"/>
    <col width="16" customWidth="1" min="1281" max="1281"/>
    <col width="8.7109375" customWidth="1" min="1282" max="1282"/>
    <col width="16" customWidth="1" min="1283" max="1283"/>
    <col width="8.7109375" customWidth="1" min="1284" max="1285"/>
    <col width="16" customWidth="1" min="1286" max="1287"/>
    <col width="8.7109375" customWidth="1" min="1288" max="1288"/>
    <col width="16" customWidth="1" min="1289" max="1290"/>
    <col width="8.7109375" customWidth="1" min="1291" max="1291"/>
    <col width="16" customWidth="1" min="1292" max="1292"/>
    <col width="8.7109375" customWidth="1" min="1293" max="1293"/>
    <col width="16" customWidth="1" min="1294" max="1294"/>
    <col width="8.7109375" customWidth="1" min="1295" max="1295"/>
    <col width="16" customWidth="1" min="1296" max="1296"/>
    <col width="8.7109375" customWidth="1" min="1297" max="1297"/>
    <col width="16" customWidth="1" min="1298" max="1298"/>
    <col width="8.7109375" customWidth="1" min="1299" max="1299"/>
    <col width="16" customWidth="1" min="1300" max="1300"/>
    <col width="8.7109375" customWidth="1" min="1301" max="1301"/>
    <col width="16" customWidth="1" min="1302" max="1302"/>
    <col width="8.7109375" customWidth="1" min="1303" max="1303"/>
    <col width="16" customWidth="1" min="1304" max="1304"/>
    <col width="8.7109375" customWidth="1" min="1305" max="1305"/>
    <col width="16" customWidth="1" min="1306" max="1306"/>
    <col width="8.7109375" customWidth="1" min="1307" max="1307"/>
    <col width="16" customWidth="1" min="1308" max="1308"/>
    <col width="8.7109375" customWidth="1" min="1309" max="1309"/>
    <col width="16" customWidth="1" min="1310" max="1310"/>
    <col width="8.7109375" customWidth="1" min="1311" max="1311"/>
    <col width="16" customWidth="1" min="1312" max="1312"/>
    <col width="8.7109375" customWidth="1" min="1313" max="1313"/>
    <col width="16" customWidth="1" min="1314" max="1314"/>
    <col width="8.7109375" customWidth="1" min="1315" max="1315"/>
    <col width="16" customWidth="1" min="1316" max="1316"/>
    <col width="8.7109375" customWidth="1" min="1317" max="1317"/>
    <col width="16" customWidth="1" min="1318" max="1319"/>
    <col width="8.7109375" customWidth="1" min="1320" max="1320"/>
    <col width="16" customWidth="1" min="1321" max="1321"/>
    <col width="8.7109375" customWidth="1" min="1322" max="1322"/>
    <col width="16" customWidth="1" min="1323" max="1323"/>
    <col width="8.7109375" customWidth="1" min="1324" max="1324"/>
    <col width="16" customWidth="1" min="1325" max="1325"/>
    <col width="8.7109375" customWidth="1" min="1326" max="1326"/>
    <col width="16" customWidth="1" min="1327" max="1327"/>
    <col width="8.7109375" customWidth="1" min="1328" max="1328"/>
    <col width="16" customWidth="1" min="1329" max="1329"/>
    <col width="8.7109375" customWidth="1" min="1330" max="1330"/>
    <col width="16" customWidth="1" min="1331" max="1331"/>
    <col width="8.7109375" customWidth="1" min="1332" max="1332"/>
    <col width="16" customWidth="1" min="1333" max="1333"/>
    <col width="8.7109375" customWidth="1" min="1334" max="1334"/>
    <col width="16" customWidth="1" min="1335" max="1335"/>
    <col width="8.7109375" customWidth="1" min="1336" max="1336"/>
    <col width="16" customWidth="1" min="1337" max="1337"/>
    <col width="8.7109375" customWidth="1" min="1338" max="1338"/>
    <col width="16" customWidth="1" min="1339" max="1339"/>
    <col width="8.7109375" customWidth="1" min="1340" max="1340"/>
    <col width="16" customWidth="1" min="1341" max="1341"/>
    <col width="8.7109375" customWidth="1" min="1342" max="1342"/>
    <col width="16" customWidth="1" min="1343" max="1343"/>
    <col width="8.7109375" customWidth="1" min="1344" max="1344"/>
    <col width="16" customWidth="1" min="1345" max="1346"/>
    <col width="8.7109375" customWidth="1" min="1347" max="1349"/>
    <col width="16" customWidth="1" min="1350" max="1350"/>
    <col width="8.7109375" customWidth="1" min="1351" max="1352"/>
    <col width="16" customWidth="1" min="1353" max="1353"/>
    <col width="8.7109375" customWidth="1" min="1354" max="1356"/>
    <col width="16" customWidth="1" min="1357" max="1358"/>
    <col width="8.7109375" customWidth="1" min="1359" max="1359"/>
    <col width="16" customWidth="1" min="1360" max="1361"/>
    <col width="8.7109375" customWidth="1" min="1362" max="1362"/>
    <col width="16" customWidth="1" min="1363" max="1364"/>
    <col width="8.7109375" customWidth="1" min="1365" max="1365"/>
    <col width="16" customWidth="1" min="1366" max="1367"/>
    <col width="8.7109375" customWidth="1" min="1368" max="1368"/>
    <col width="16" customWidth="1" min="1369" max="1371"/>
    <col width="8.7109375" customWidth="1" min="1372" max="1372"/>
    <col width="16" customWidth="1" min="1373" max="1375"/>
    <col width="8.7109375" customWidth="1" min="1376" max="1376"/>
    <col width="16" customWidth="1" min="1377" max="1379"/>
    <col width="8.7109375" customWidth="1" min="1380" max="1380"/>
    <col width="16" customWidth="1" min="1381" max="1383"/>
    <col width="8.7109375" customWidth="1" min="1384" max="1384"/>
    <col width="16" customWidth="1" min="1385" max="1387"/>
    <col width="8.7109375" customWidth="1" min="1388" max="1388"/>
    <col width="16" customWidth="1" min="1389" max="1391"/>
    <col width="8.7109375" customWidth="1" min="1392" max="1392"/>
    <col width="16" customWidth="1" min="1393" max="1395"/>
    <col width="8.7109375" customWidth="1" min="1396" max="1396"/>
    <col width="16" customWidth="1" min="1397" max="1398"/>
    <col width="8.7109375" customWidth="1" min="1399" max="1399"/>
    <col width="16" customWidth="1" min="1400" max="1402"/>
    <col width="8.7109375" customWidth="1" min="1403" max="1403"/>
    <col width="16" customWidth="1" min="1404" max="1404"/>
    <col width="8.7109375" customWidth="1" min="1405" max="1405"/>
    <col width="16" customWidth="1" min="1406" max="1406"/>
    <col width="8.7109375" customWidth="1" min="1407" max="1407"/>
    <col width="16" customWidth="1" min="1408" max="1408"/>
    <col width="8.7109375" customWidth="1" min="1409" max="1409"/>
    <col width="16" customWidth="1" min="1410" max="1410"/>
    <col width="8.7109375" customWidth="1" min="1411" max="1411"/>
    <col width="16" customWidth="1" min="1412" max="1413"/>
    <col width="8.7109375" customWidth="1" min="1414" max="1414"/>
    <col width="16" customWidth="1" min="1415" max="1416"/>
    <col width="8.7109375" customWidth="1" min="1417" max="1417"/>
    <col width="16" customWidth="1" min="1418" max="1419"/>
    <col width="8.7109375" customWidth="1" min="1420" max="1420"/>
    <col width="16" customWidth="1" min="1421" max="1422"/>
    <col width="8.7109375" customWidth="1" min="1423" max="1423"/>
    <col width="16" customWidth="1" min="1424" max="1425"/>
    <col width="8.7109375" customWidth="1" min="1426" max="1426"/>
    <col width="16" customWidth="1" min="1427" max="1428"/>
    <col width="8.7109375" customWidth="1" min="1429" max="1429"/>
    <col width="16" customWidth="1" min="1430" max="1431"/>
    <col width="8.7109375" customWidth="1" min="1432" max="1432"/>
    <col width="16" customWidth="1" min="1433" max="1434"/>
    <col width="8.7109375" customWidth="1" min="1435" max="1435"/>
    <col width="16" customWidth="1" min="1436" max="1437"/>
    <col width="8.7109375" customWidth="1" min="1438" max="1438"/>
    <col width="16" customWidth="1" min="1439" max="1440"/>
    <col width="8.7109375" customWidth="1" min="1441" max="1441"/>
    <col width="16" customWidth="1" min="1442" max="1443"/>
    <col width="8.7109375" customWidth="1" min="1444" max="1444"/>
    <col width="16" customWidth="1" min="1445" max="1446"/>
    <col width="8.7109375" customWidth="1" min="1447" max="1447"/>
    <col width="16" customWidth="1" min="1448" max="1450"/>
    <col width="8.7109375" customWidth="1" min="1451" max="1451"/>
    <col width="16" customWidth="1" min="1452" max="1453"/>
    <col width="8.7109375" customWidth="1" min="1454" max="1454"/>
    <col width="16" customWidth="1" min="1455" max="1456"/>
    <col width="8.7109375" customWidth="1" min="1457" max="1457"/>
    <col width="16" customWidth="1" min="1458" max="1459"/>
    <col width="8.7109375" customWidth="1" min="1460" max="1460"/>
    <col width="16" customWidth="1" min="1461" max="1462"/>
    <col width="8.7109375" customWidth="1" min="1463" max="1463"/>
    <col width="16" customWidth="1" min="1464" max="1465"/>
    <col width="8.7109375" customWidth="1" min="1466" max="1466"/>
    <col width="16" customWidth="1" min="1467" max="1468"/>
    <col width="8.7109375" customWidth="1" min="1469" max="1469"/>
    <col width="16" customWidth="1" min="1470" max="1470"/>
    <col width="8.7109375" customWidth="1" min="1471" max="1471"/>
    <col width="16" customWidth="1" min="1472" max="1472"/>
    <col width="8.7109375" customWidth="1" min="1473" max="1473"/>
    <col width="16" customWidth="1" min="1474" max="1474"/>
    <col width="8.7109375" customWidth="1" min="1475" max="1475"/>
    <col width="16" customWidth="1" min="1476" max="1476"/>
    <col width="8.7109375" customWidth="1" min="1477" max="1477"/>
    <col width="16" customWidth="1" min="1478" max="1478"/>
    <col width="8.7109375" customWidth="1" min="1479" max="1479"/>
    <col width="16" customWidth="1" min="1480" max="1480"/>
    <col width="8.7109375" customWidth="1" min="1481" max="1481"/>
    <col width="16" customWidth="1" min="1482" max="1482"/>
    <col width="8.7109375" customWidth="1" min="1483" max="1483"/>
    <col width="16" customWidth="1" min="1484" max="1484"/>
    <col width="8.7109375" customWidth="1" min="1485" max="1485"/>
    <col width="16" customWidth="1" min="1486" max="1486"/>
    <col width="8.7109375" customWidth="1" min="1487" max="1487"/>
    <col width="16" customWidth="1" min="1488" max="1488"/>
    <col width="8.7109375" customWidth="1" min="1489" max="1489"/>
    <col width="16" customWidth="1" min="1490" max="1490"/>
    <col width="8.7109375" customWidth="1" min="1491" max="1491"/>
    <col width="16" customWidth="1" min="1492" max="1492"/>
    <col width="8.7109375" customWidth="1" min="1493" max="1493"/>
    <col width="16" customWidth="1" min="1494" max="1494"/>
    <col width="8.7109375" customWidth="1" min="1495" max="1495"/>
    <col width="16" customWidth="1" min="1496" max="1496"/>
    <col width="8.7109375" customWidth="1" min="1497" max="1497"/>
    <col width="16" customWidth="1" min="1498" max="1498"/>
    <col width="8.7109375" customWidth="1" min="1499" max="1499"/>
    <col width="16" customWidth="1" min="1500" max="1500"/>
    <col width="8.7109375" customWidth="1" min="1501" max="1501"/>
    <col width="16" customWidth="1" min="1502" max="1502"/>
    <col width="8.7109375" customWidth="1" min="1503" max="1503"/>
    <col width="16" customWidth="1" min="1504" max="1504"/>
    <col width="8.7109375" customWidth="1" min="1505" max="1505"/>
    <col width="16" customWidth="1" min="1506" max="1506"/>
    <col width="8.7109375" customWidth="1" min="1507" max="1507"/>
    <col width="16" customWidth="1" min="1508" max="1508"/>
    <col width="8.7109375" customWidth="1" min="1509" max="1509"/>
    <col width="16" customWidth="1" min="1510" max="1510"/>
    <col width="8.7109375" customWidth="1" min="1511" max="1511"/>
    <col width="16" customWidth="1" min="1512" max="1512"/>
    <col width="8.7109375" customWidth="1" min="1513" max="1513"/>
    <col width="16" customWidth="1" min="1514" max="1514"/>
    <col width="8.7109375" customWidth="1" min="1515" max="1515"/>
    <col width="16" customWidth="1" min="1516" max="1516"/>
    <col width="8.7109375" customWidth="1" min="1517" max="1517"/>
    <col width="16" customWidth="1" min="1518" max="1518"/>
    <col width="8.7109375" customWidth="1" min="1519" max="1519"/>
    <col width="16" customWidth="1" min="1520" max="1520"/>
    <col width="8.7109375" customWidth="1" min="1521" max="1521"/>
    <col width="16" customWidth="1" min="1522" max="1522"/>
    <col width="8.7109375" customWidth="1" min="1523" max="1523"/>
    <col width="16" customWidth="1" min="1524" max="1524"/>
    <col width="8.7109375" customWidth="1" min="1525" max="1525"/>
    <col width="16" customWidth="1" min="1526" max="1526"/>
    <col width="8.7109375" customWidth="1" min="1527" max="1527"/>
    <col width="16" customWidth="1" min="1528" max="1528"/>
    <col width="8.7109375" customWidth="1" min="1529" max="1529"/>
    <col width="16" customWidth="1" min="1530" max="1530"/>
    <col width="8.7109375" customWidth="1" min="1531" max="1531"/>
    <col width="16" customWidth="1" min="1532" max="1532"/>
    <col width="8.7109375" customWidth="1" min="1533" max="1539"/>
    <col width="16" customWidth="1" min="1540" max="1540"/>
    <col width="8.7109375" customWidth="1" min="1541" max="1541"/>
    <col width="16" customWidth="1" min="1542" max="1542"/>
    <col width="8.7109375" customWidth="1" min="1543" max="1543"/>
    <col width="16" customWidth="1" min="1544" max="1544"/>
    <col width="8.7109375" customWidth="1" min="1545" max="1546"/>
    <col width="16" customWidth="1" min="1547" max="1547"/>
    <col width="8.7109375" customWidth="1" min="1548" max="1548"/>
    <col width="16" customWidth="1" min="1549" max="1549"/>
    <col width="8.7109375" customWidth="1" min="1550" max="1550"/>
    <col width="16" customWidth="1" min="1551" max="1551"/>
    <col width="8.7109375" customWidth="1" min="1552" max="1552"/>
    <col width="16" customWidth="1" min="1553" max="1553"/>
    <col width="8.7109375" customWidth="1" min="1554" max="1554"/>
    <col width="16" customWidth="1" min="1555" max="1556"/>
    <col width="8.7109375" customWidth="1" min="1557" max="1557"/>
    <col width="16" customWidth="1" min="1558" max="1558"/>
    <col width="8.7109375" customWidth="1" min="1559" max="1559"/>
    <col width="16" customWidth="1" min="1560" max="1561"/>
    <col width="8.7109375" customWidth="1" min="1562" max="1565"/>
    <col width="16" customWidth="1" min="1566" max="1566"/>
    <col width="8.7109375" customWidth="1" min="1567" max="1567"/>
    <col width="16" customWidth="1" min="1568" max="1568"/>
    <col width="8.7109375" customWidth="1" min="1569" max="1569"/>
    <col width="16" customWidth="1" min="1570" max="1570"/>
    <col width="8.7109375" customWidth="1" min="1571" max="1571"/>
    <col width="16" customWidth="1" min="1572" max="1572"/>
    <col width="8.7109375" customWidth="1" min="1573" max="1573"/>
    <col width="16" customWidth="1" min="1574" max="1574"/>
    <col width="8.7109375" customWidth="1" min="1575" max="1575"/>
    <col width="16" customWidth="1" min="1576" max="1576"/>
    <col width="8.7109375" customWidth="1" min="1577" max="1577"/>
    <col width="16" customWidth="1" min="1578" max="1578"/>
    <col width="8.7109375" customWidth="1" min="1579" max="1579"/>
    <col width="16" customWidth="1" min="1580" max="1580"/>
    <col width="8.7109375" customWidth="1" min="1581" max="1581"/>
    <col width="16" customWidth="1" min="1582" max="1582"/>
    <col width="8.7109375" customWidth="1" min="1583" max="1583"/>
    <col width="16" customWidth="1" min="1584" max="1584"/>
    <col width="8.7109375" customWidth="1" min="1585" max="1589"/>
    <col width="16" customWidth="1" min="1590" max="1590"/>
    <col width="8.7109375" customWidth="1" min="1591" max="1591"/>
    <col width="16" customWidth="1" min="1592" max="1592"/>
    <col width="8.7109375" customWidth="1" min="1593" max="1594"/>
    <col width="16" customWidth="1" min="1595" max="1595"/>
    <col width="8.7109375" customWidth="1" min="1596" max="1597"/>
    <col width="16" customWidth="1" min="1598" max="1598"/>
    <col width="8.7109375" customWidth="1" min="1599" max="1601"/>
    <col width="16" customWidth="1" min="1602" max="1603"/>
    <col width="8.7109375" customWidth="1" min="1604" max="1604"/>
    <col width="16" customWidth="1" min="1605" max="1606"/>
    <col width="8.7109375" customWidth="1" min="1607" max="1609"/>
    <col width="16" customWidth="1" min="1610" max="1610"/>
    <col width="8.7109375" customWidth="1" min="1611" max="1612"/>
    <col width="16" customWidth="1" min="1613" max="1615"/>
    <col width="8.7109375" customWidth="1" min="1616" max="1616"/>
    <col width="16" customWidth="1" min="1617" max="1617"/>
    <col width="8.7109375" customWidth="1" min="1618" max="1618"/>
    <col width="16" customWidth="1" min="1619" max="1619"/>
    <col width="8.7109375" customWidth="1" min="1620" max="1620"/>
    <col width="16" customWidth="1" min="1621" max="1623"/>
    <col width="8.7109375" customWidth="1" min="1624" max="1625"/>
    <col width="16" customWidth="1" min="1626" max="1626"/>
    <col width="8.7109375" customWidth="1" min="1627" max="1627"/>
    <col width="16" customWidth="1" min="1628" max="1628"/>
    <col width="8.7109375" customWidth="1" min="1629" max="1629"/>
    <col width="16" customWidth="1" min="1630" max="1630"/>
    <col width="8.7109375" customWidth="1" min="1631" max="1631"/>
    <col width="16" customWidth="1" min="1632" max="1632"/>
    <col width="8.7109375" customWidth="1" min="1633" max="1633"/>
    <col width="16" customWidth="1" min="1634" max="1634"/>
    <col width="8.7109375" customWidth="1" min="1635" max="1635"/>
    <col width="16" customWidth="1" min="1636" max="1636"/>
    <col width="8.7109375" customWidth="1" min="1637" max="1637"/>
    <col width="16" customWidth="1" min="1638" max="1639"/>
    <col width="8.7109375" customWidth="1" min="1640" max="1640"/>
    <col width="16" customWidth="1" min="1641" max="1641"/>
    <col width="8.7109375" customWidth="1" min="1642" max="1642"/>
    <col width="16" customWidth="1" min="1643" max="1645"/>
    <col width="8.7109375" customWidth="1" min="1646" max="1648"/>
    <col width="16" customWidth="1" min="1649" max="1649"/>
    <col width="8.7109375" customWidth="1" min="1650" max="1652"/>
    <col width="16" customWidth="1" min="1653" max="1653"/>
    <col width="8.7109375" customWidth="1" min="1654" max="1668"/>
    <col width="16" customWidth="1" min="1669" max="1669"/>
    <col width="8.7109375" customWidth="1" min="1670" max="1670"/>
    <col width="16" customWidth="1" min="1671" max="1671"/>
    <col width="8.7109375" customWidth="1" min="1672" max="1672"/>
    <col width="16" customWidth="1" min="1673" max="1673"/>
    <col width="8.7109375" customWidth="1" min="1674" max="1674"/>
    <col width="16" customWidth="1" min="1675" max="1675"/>
    <col width="8.7109375" customWidth="1" min="1676" max="1676"/>
    <col width="16" customWidth="1" min="1677" max="1677"/>
    <col width="8.7109375" customWidth="1" min="1678" max="1678"/>
    <col width="16" customWidth="1" min="1679" max="1679"/>
    <col width="8.7109375" customWidth="1" min="1680" max="1680"/>
    <col width="16" customWidth="1" min="1681" max="1681"/>
    <col width="8.7109375" customWidth="1" min="1682" max="1682"/>
    <col width="16" customWidth="1" min="1683" max="1683"/>
    <col width="8.7109375" customWidth="1" min="1684" max="1684"/>
    <col width="16" customWidth="1" min="1685" max="1685"/>
    <col width="8.7109375" customWidth="1" min="1686" max="1686"/>
    <col width="16" customWidth="1" min="1687" max="1687"/>
    <col width="8.7109375" customWidth="1" min="1688" max="1688"/>
    <col width="16" customWidth="1" min="1689" max="1689"/>
    <col width="8.7109375" customWidth="1" min="1690" max="1690"/>
    <col width="16" customWidth="1" min="1691" max="1691"/>
    <col width="8.7109375" customWidth="1" min="1692" max="1692"/>
    <col width="16" customWidth="1" min="1693" max="1693"/>
    <col width="8.7109375" customWidth="1" min="1694" max="1694"/>
    <col width="16" customWidth="1" min="1695" max="1695"/>
    <col width="8.7109375" customWidth="1" min="1696" max="1696"/>
    <col width="16" customWidth="1" min="1697" max="1697"/>
    <col width="8.7109375" customWidth="1" min="1698" max="1698"/>
    <col width="16" customWidth="1" min="1699" max="1699"/>
    <col width="8.7109375" customWidth="1" min="1700" max="1700"/>
    <col width="16" customWidth="1" min="1701" max="1701"/>
    <col width="8.7109375" customWidth="1" min="1702" max="1702"/>
    <col width="16" customWidth="1" min="1703" max="1703"/>
    <col width="8.7109375" customWidth="1" min="1704" max="1704"/>
    <col width="16" customWidth="1" min="1705" max="1705"/>
    <col width="8.7109375" customWidth="1" min="1706" max="1706"/>
    <col width="16" customWidth="1" min="1707" max="1707"/>
    <col width="8.7109375" customWidth="1" min="1708" max="1708"/>
    <col width="16" customWidth="1" min="1709" max="1709"/>
    <col width="8.7109375" customWidth="1" min="1710" max="1710"/>
    <col width="16" customWidth="1" min="1711" max="1711"/>
    <col width="8.7109375" customWidth="1" min="1712" max="1712"/>
    <col width="16" customWidth="1" min="1713" max="1713"/>
    <col width="8.7109375" customWidth="1" min="1714" max="1714"/>
    <col width="16" customWidth="1" min="1715" max="1715"/>
    <col width="8.7109375" customWidth="1" min="1716" max="1716"/>
    <col width="16" customWidth="1" min="1717" max="1717"/>
    <col width="8.7109375" customWidth="1" min="1718" max="1718"/>
    <col width="16" customWidth="1" min="1719" max="1719"/>
    <col width="8.7109375" customWidth="1" min="1720" max="1720"/>
    <col width="16" customWidth="1" min="1721" max="1721"/>
    <col width="8.7109375" customWidth="1" min="1722" max="1722"/>
    <col width="16" customWidth="1" min="1723" max="1723"/>
    <col width="8.7109375" customWidth="1" min="1724" max="1724"/>
    <col width="16" customWidth="1" min="1725" max="1725"/>
    <col width="8.7109375" customWidth="1" min="1726" max="1726"/>
    <col width="16" customWidth="1" min="1727" max="1727"/>
    <col width="8.7109375" customWidth="1" min="1728" max="1728"/>
    <col width="16" customWidth="1" min="1729" max="1729"/>
    <col width="8.7109375" customWidth="1" min="1730" max="1730"/>
    <col width="16" customWidth="1" min="1731" max="1731"/>
    <col width="8.7109375" customWidth="1" min="1732" max="1732"/>
    <col width="16" customWidth="1" min="1733" max="1733"/>
    <col width="8.7109375" customWidth="1" min="1734" max="1734"/>
    <col width="16" customWidth="1" min="1735" max="1735"/>
    <col width="8.7109375" customWidth="1" min="1736" max="1736"/>
    <col width="16" customWidth="1" min="1737" max="1737"/>
    <col width="8.7109375" customWidth="1" min="1738" max="1738"/>
    <col width="16" customWidth="1" min="1739" max="1739"/>
    <col width="8.7109375" customWidth="1" min="1740" max="1740"/>
    <col width="16" customWidth="1" min="1741" max="1741"/>
    <col width="8.7109375" customWidth="1" min="1742" max="1742"/>
    <col width="16" customWidth="1" min="1743" max="1743"/>
    <col width="8.7109375" customWidth="1" min="1744" max="1744"/>
    <col width="16" customWidth="1" min="1745" max="1745"/>
    <col width="8.7109375" customWidth="1" min="1746" max="1746"/>
    <col width="16" customWidth="1" min="1747" max="1748"/>
    <col width="8.7109375" customWidth="1" min="1749" max="1749"/>
    <col width="16" customWidth="1" min="1750" max="1751"/>
    <col width="8.7109375" customWidth="1" min="1752" max="1752"/>
    <col width="16" customWidth="1" min="1753" max="1754"/>
    <col width="8.7109375" customWidth="1" min="1755" max="1755"/>
    <col width="16" customWidth="1" min="1756" max="1757"/>
    <col width="8.7109375" customWidth="1" min="1758" max="1758"/>
    <col width="16" customWidth="1" min="1759" max="1760"/>
    <col width="8.7109375" customWidth="1" min="1761" max="1761"/>
    <col width="16" customWidth="1" min="1762" max="1763"/>
    <col width="8.7109375" customWidth="1" min="1764" max="1764"/>
    <col width="16" customWidth="1" min="1765" max="1766"/>
    <col width="8.7109375" customWidth="1" min="1767" max="1768"/>
    <col width="16" customWidth="1" min="1769" max="1769"/>
    <col width="8.7109375" customWidth="1" min="1770" max="1770"/>
    <col width="16" customWidth="1" min="1771" max="1771"/>
    <col width="8.7109375" customWidth="1" min="1772" max="1772"/>
    <col width="16" customWidth="1" min="1773" max="1773"/>
    <col width="8.7109375" customWidth="1" min="1774" max="1774"/>
    <col width="16" customWidth="1" min="1775" max="1775"/>
    <col width="8.7109375" customWidth="1" min="1776" max="1776"/>
    <col width="16" customWidth="1" min="1777" max="1777"/>
    <col width="8.7109375" customWidth="1" min="1778" max="1778"/>
    <col width="16" customWidth="1" min="1779" max="1779"/>
    <col width="8.7109375" customWidth="1" min="1780" max="1780"/>
    <col width="16" customWidth="1" min="1781" max="1781"/>
    <col width="8.7109375" customWidth="1" min="1782" max="1782"/>
    <col width="16" customWidth="1" min="1783" max="1783"/>
    <col width="8.7109375" customWidth="1" min="1784" max="1784"/>
    <col width="16" customWidth="1" min="1785" max="1785"/>
    <col width="8.7109375" customWidth="1" min="1786" max="1786"/>
    <col width="16" customWidth="1" min="1787" max="1787"/>
    <col width="8.7109375" customWidth="1" min="1788" max="1788"/>
    <col width="16" customWidth="1" min="1789" max="1789"/>
    <col width="8.7109375" customWidth="1" min="1790" max="1790"/>
    <col width="16" customWidth="1" min="1791" max="1791"/>
    <col width="8.7109375" customWidth="1" min="1792" max="1792"/>
    <col width="16" customWidth="1" min="1793" max="1793"/>
    <col width="8.7109375" customWidth="1" min="1794" max="1794"/>
    <col width="16" customWidth="1" min="1795" max="1795"/>
    <col width="8.7109375" customWidth="1" min="1796" max="1796"/>
    <col width="16" customWidth="1" min="1797" max="1797"/>
    <col width="8.7109375" customWidth="1" min="1798" max="1798"/>
    <col width="16" customWidth="1" min="1799" max="1799"/>
    <col width="8.7109375" customWidth="1" min="1800" max="1800"/>
    <col width="16" customWidth="1" min="1801" max="1801"/>
    <col width="8.7109375" customWidth="1" min="1802" max="1802"/>
    <col width="16" customWidth="1" min="1803" max="1803"/>
    <col width="8.7109375" customWidth="1" min="1804" max="1804"/>
    <col width="16" customWidth="1" min="1805" max="1805"/>
    <col width="8.7109375" customWidth="1" min="1806" max="1806"/>
    <col width="16" customWidth="1" min="1807" max="1807"/>
    <col width="8.7109375" customWidth="1" min="1808" max="1808"/>
    <col width="16" customWidth="1" min="1809" max="1809"/>
    <col width="8.7109375" customWidth="1" min="1810" max="1810"/>
    <col width="16" customWidth="1" min="1811" max="1811"/>
    <col width="8.7109375" customWidth="1" min="1812" max="1812"/>
    <col width="16" customWidth="1" min="1813" max="1813"/>
    <col width="8.7109375" customWidth="1" min="1814" max="1814"/>
    <col width="16" customWidth="1" min="1815" max="1815"/>
    <col width="8.7109375" customWidth="1" min="1816" max="1816"/>
    <col width="16" customWidth="1" min="1817" max="1817"/>
    <col width="8.7109375" customWidth="1" min="1818" max="1818"/>
    <col width="16" customWidth="1" min="1819" max="1819"/>
    <col width="8.7109375" customWidth="1" min="1820" max="1820"/>
    <col width="16" customWidth="1" min="1821" max="1821"/>
    <col width="8.7109375" customWidth="1" min="1822" max="1822"/>
    <col width="16" customWidth="1" min="1823" max="1823"/>
    <col width="8.7109375" customWidth="1" min="1824" max="1824"/>
    <col width="16" customWidth="1" min="1825" max="1825"/>
    <col width="8.7109375" customWidth="1" min="1826" max="1826"/>
    <col width="16" customWidth="1" min="1827" max="1827"/>
    <col width="8.7109375" customWidth="1" min="1828" max="1828"/>
    <col width="16" customWidth="1" min="1829" max="1829"/>
    <col width="8.7109375" customWidth="1" min="1830" max="1831"/>
    <col width="16" customWidth="1" min="1832" max="1832"/>
    <col width="8.7109375" customWidth="1" min="1833" max="1847"/>
    <col width="16" customWidth="1" min="1848" max="1848"/>
    <col width="8.7109375" customWidth="1" min="1849" max="1849"/>
    <col width="16" customWidth="1" min="1850" max="1850"/>
    <col width="8.7109375" customWidth="1" min="1851" max="1851"/>
    <col width="16" customWidth="1" min="1852" max="1852"/>
    <col width="8.7109375" customWidth="1" min="1853" max="1853"/>
    <col width="16" customWidth="1" min="1854" max="1854"/>
    <col width="8.7109375" customWidth="1" min="1855" max="1855"/>
    <col width="16" customWidth="1" min="1856" max="1856"/>
    <col width="8.7109375" customWidth="1" min="1857" max="1857"/>
    <col width="16" customWidth="1" min="1858" max="1858"/>
    <col width="8.7109375" customWidth="1" min="1859" max="1859"/>
    <col width="16" customWidth="1" min="1860" max="1860"/>
    <col width="8.7109375" customWidth="1" min="1861" max="1861"/>
    <col width="16" customWidth="1" min="1862" max="1862"/>
    <col width="8.7109375" customWidth="1" min="1863" max="1863"/>
    <col width="16" customWidth="1" min="1864" max="1864"/>
    <col width="8.7109375" customWidth="1" min="1865" max="1865"/>
    <col width="16" customWidth="1" min="1866" max="1866"/>
    <col width="8.7109375" customWidth="1" min="1867" max="1867"/>
    <col width="16" customWidth="1" min="1868" max="1868"/>
    <col width="8.7109375" customWidth="1" min="1869" max="1869"/>
    <col width="16" customWidth="1" min="1870" max="1870"/>
    <col width="8.7109375" customWidth="1" min="1871" max="1871"/>
    <col width="16" customWidth="1" min="1872" max="1872"/>
    <col width="8.7109375" customWidth="1" min="1873" max="1873"/>
    <col width="16" customWidth="1" min="1874" max="1874"/>
    <col width="8.7109375" customWidth="1" min="1875" max="1875"/>
    <col width="16" customWidth="1" min="1876" max="1876"/>
    <col width="8.7109375" customWidth="1" min="1877" max="1877"/>
    <col width="16" customWidth="1" min="1878" max="1878"/>
    <col width="8.7109375" customWidth="1" min="1879" max="1879"/>
    <col width="16" customWidth="1" min="1880" max="1880"/>
    <col width="8.7109375" customWidth="1" min="1881" max="1881"/>
    <col width="16" customWidth="1" min="1882" max="1882"/>
    <col width="8.7109375" customWidth="1" min="1883" max="1883"/>
    <col width="16" customWidth="1" min="1884" max="1884"/>
    <col width="8.7109375" customWidth="1" min="1885" max="1885"/>
    <col width="16" customWidth="1" min="1886" max="1887"/>
    <col width="8.7109375" customWidth="1" min="1888" max="1888"/>
    <col width="16" customWidth="1" min="1889" max="1889"/>
    <col width="8.7109375" customWidth="1" min="1890" max="1891"/>
    <col width="16" customWidth="1" min="1892" max="1892"/>
    <col width="8.7109375" customWidth="1" min="1893" max="1893"/>
    <col width="16" customWidth="1" min="1894" max="1894"/>
    <col width="8.7109375" customWidth="1" min="1895" max="1895"/>
    <col width="16" customWidth="1" min="1896" max="1896"/>
    <col width="8.7109375" customWidth="1" min="1897" max="1897"/>
    <col width="16" customWidth="1" min="1898" max="1898"/>
    <col width="8.7109375" customWidth="1" min="1899" max="1899"/>
    <col width="16" customWidth="1" min="1900" max="1900"/>
    <col width="8.7109375" customWidth="1" min="1901" max="1901"/>
    <col width="16" customWidth="1" min="1902" max="1902"/>
    <col width="8.7109375" customWidth="1" min="1903" max="1903"/>
    <col width="16" customWidth="1" min="1904" max="1904"/>
    <col width="8.7109375" customWidth="1" min="1905" max="1905"/>
    <col width="16" customWidth="1" min="1906" max="1906"/>
    <col width="8.7109375" customWidth="1" min="1907" max="1907"/>
    <col width="16" customWidth="1" min="1908" max="1908"/>
    <col width="8.7109375" customWidth="1" min="1909" max="1909"/>
    <col width="16" customWidth="1" min="1910" max="1910"/>
    <col width="8.7109375" customWidth="1" min="1911" max="1911"/>
    <col width="16" customWidth="1" min="1912" max="1912"/>
    <col width="8.7109375" customWidth="1" min="1913" max="1913"/>
    <col width="16" customWidth="1" min="1914" max="1914"/>
    <col width="8.7109375" customWidth="1" min="1915" max="1915"/>
    <col width="16" customWidth="1" min="1916" max="1916"/>
    <col width="8.7109375" customWidth="1" min="1917" max="1917"/>
    <col width="16" customWidth="1" min="1918" max="1918"/>
    <col width="8.7109375" customWidth="1" min="1919" max="1919"/>
    <col width="16" customWidth="1" min="1920" max="1920"/>
    <col width="8.7109375" customWidth="1" min="1921" max="1921"/>
    <col width="16" customWidth="1" min="1922" max="1922"/>
    <col width="8.7109375" customWidth="1" min="1923" max="1923"/>
    <col width="16" customWidth="1" min="1924" max="1924"/>
    <col width="8.7109375" customWidth="1" min="1925" max="1925"/>
    <col width="16" customWidth="1" min="1926" max="1926"/>
    <col width="8.7109375" customWidth="1" min="1927" max="1927"/>
    <col width="16" customWidth="1" min="1928" max="1928"/>
    <col width="8.7109375" customWidth="1" min="1929" max="1929"/>
    <col width="16" customWidth="1" min="1930" max="1930"/>
    <col width="8.7109375" customWidth="1" min="1931" max="1931"/>
    <col width="16" customWidth="1" min="1932" max="1932"/>
    <col width="8.7109375" customWidth="1" min="1933" max="1933"/>
    <col width="16" customWidth="1" min="1934" max="1934"/>
    <col width="8.7109375" customWidth="1" min="1935" max="1935"/>
    <col width="16" customWidth="1" min="1936" max="1936"/>
    <col width="8.7109375" customWidth="1" min="1937" max="1937"/>
    <col width="16" customWidth="1" min="1938" max="1938"/>
    <col width="8.7109375" customWidth="1" min="1939" max="1939"/>
    <col width="16" customWidth="1" min="1940" max="1940"/>
    <col width="8.7109375" customWidth="1" min="1941" max="1941"/>
    <col width="16" customWidth="1" min="1942" max="1942"/>
    <col width="8.7109375" customWidth="1" min="1943" max="1943"/>
    <col width="16" customWidth="1" min="1944" max="1944"/>
    <col width="8.7109375" customWidth="1" min="1945" max="1945"/>
    <col width="16" customWidth="1" min="1946" max="1946"/>
    <col width="8.7109375" customWidth="1" min="1947" max="1947"/>
    <col width="16" customWidth="1" min="1948" max="1948"/>
    <col width="8.7109375" customWidth="1" min="1949" max="1949"/>
    <col width="16" customWidth="1" min="1950" max="1950"/>
    <col width="8.7109375" customWidth="1" min="1951" max="1952"/>
    <col width="16" customWidth="1" min="1953" max="1953"/>
    <col width="8.7109375" customWidth="1" min="1954" max="1954"/>
    <col width="16" customWidth="1" min="1955" max="1955"/>
    <col width="8.7109375" customWidth="1" min="1956" max="1956"/>
    <col width="16" customWidth="1" min="1957" max="1957"/>
    <col width="8.7109375" customWidth="1" min="1958" max="1958"/>
    <col width="16" customWidth="1" min="1959" max="1959"/>
    <col width="8.7109375" customWidth="1" min="1960" max="1960"/>
    <col width="16" customWidth="1" min="1961" max="1961"/>
    <col width="8.7109375" customWidth="1" min="1962" max="1962"/>
    <col width="16" customWidth="1" min="1963" max="1963"/>
    <col width="8.7109375" customWidth="1" min="1964" max="1964"/>
    <col width="16" customWidth="1" min="1965" max="1965"/>
    <col width="8.7109375" customWidth="1" min="1966" max="1967"/>
    <col width="16" customWidth="1" min="1968" max="1970"/>
    <col width="8.7109375" customWidth="1" min="1971" max="1973"/>
    <col width="16" customWidth="1" min="1974" max="1974"/>
    <col width="8.7109375" customWidth="1" min="1975" max="1975"/>
    <col width="16" customWidth="1" min="1976" max="1976"/>
    <col width="8.7109375" customWidth="1" min="1977" max="1977"/>
    <col width="16" customWidth="1" min="1978" max="1978"/>
    <col width="8.7109375" customWidth="1" min="1979" max="1979"/>
    <col width="16" customWidth="1" min="1980" max="1981"/>
    <col width="8.7109375" customWidth="1" min="1982" max="1982"/>
    <col width="16" customWidth="1" min="1983" max="1983"/>
    <col width="8.7109375" customWidth="1" min="1984" max="1984"/>
    <col width="16" customWidth="1" min="1985" max="1985"/>
    <col width="8.7109375" customWidth="1" min="1986" max="1986"/>
    <col width="16" customWidth="1" min="1987" max="1987"/>
    <col width="8.7109375" customWidth="1" min="1988" max="1988"/>
    <col width="16" customWidth="1" min="1989" max="1989"/>
    <col width="8.7109375" customWidth="1" min="1990" max="1990"/>
    <col width="16" customWidth="1" min="1991" max="1991"/>
    <col width="8.7109375" customWidth="1" min="1992" max="1992"/>
    <col width="16" customWidth="1" min="1993" max="1993"/>
    <col width="8.7109375" customWidth="1" min="1994" max="1994"/>
    <col width="16" customWidth="1" min="1995" max="1995"/>
    <col width="8.7109375" customWidth="1" min="1996" max="1996"/>
    <col width="16" customWidth="1" min="1997" max="1997"/>
    <col width="8.7109375" customWidth="1" min="1998" max="1998"/>
    <col width="16" customWidth="1" min="1999" max="1999"/>
    <col width="8.7109375" customWidth="1" min="2000" max="2000"/>
    <col width="16" customWidth="1" min="2001" max="2001"/>
    <col width="8.7109375" customWidth="1" min="2002" max="2002"/>
    <col width="16" customWidth="1" min="2003" max="2003"/>
    <col width="8.7109375" customWidth="1" min="2004" max="2004"/>
    <col width="16" customWidth="1" min="2005" max="2005"/>
    <col width="8.7109375" customWidth="1" min="2006" max="2006"/>
    <col width="16" customWidth="1" min="2007" max="2007"/>
    <col width="8.7109375" customWidth="1" min="2008" max="2008"/>
    <col width="16" customWidth="1" min="2009" max="2009"/>
    <col width="8.7109375" customWidth="1" min="2010" max="2010"/>
    <col width="16" customWidth="1" min="2011" max="2011"/>
    <col width="8.7109375" customWidth="1" min="2012" max="2012"/>
    <col width="16" customWidth="1" min="2013" max="2013"/>
    <col width="8.7109375" customWidth="1" min="2014" max="2014"/>
    <col width="16" customWidth="1" min="2015" max="2015"/>
    <col width="8.7109375" customWidth="1" min="2016" max="2016"/>
    <col width="16" customWidth="1" min="2017" max="2017"/>
    <col width="8.7109375" customWidth="1" min="2018" max="2018"/>
    <col width="16" customWidth="1" min="2019" max="2019"/>
    <col width="8.7109375" customWidth="1" min="2020" max="2020"/>
    <col width="16" customWidth="1" min="2021" max="2021"/>
    <col width="8.7109375" customWidth="1" min="2022" max="2022"/>
    <col width="16" customWidth="1" min="2023" max="2024"/>
    <col width="8.7109375" customWidth="1" min="2025" max="2025"/>
    <col width="16" customWidth="1" min="2026" max="2026"/>
    <col width="8.7109375" customWidth="1" min="2027" max="2027"/>
    <col width="16" customWidth="1" min="2028" max="2028"/>
    <col width="8.7109375" customWidth="1" min="2029" max="2029"/>
    <col width="16" customWidth="1" min="2030" max="2030"/>
    <col width="8.7109375" customWidth="1" min="2031" max="2031"/>
    <col width="16" customWidth="1" min="2032" max="2032"/>
    <col width="8.7109375" customWidth="1" min="2033" max="2033"/>
    <col width="16" customWidth="1" min="2034" max="2034"/>
    <col width="8.7109375" customWidth="1" min="2035" max="2035"/>
    <col width="16" customWidth="1" min="2036" max="2036"/>
    <col width="8.7109375" customWidth="1" min="2037" max="2037"/>
    <col width="16" customWidth="1" min="2038" max="2038"/>
    <col width="8.7109375" customWidth="1" min="2039" max="2039"/>
    <col width="16" customWidth="1" min="2040" max="2040"/>
    <col width="8.7109375" customWidth="1" min="2041" max="2041"/>
    <col width="16" customWidth="1" min="2042" max="2042"/>
    <col width="8.7109375" customWidth="1" min="2043" max="2043"/>
    <col width="16" customWidth="1" min="2044" max="2045"/>
    <col width="8.7109375" customWidth="1" min="2046" max="2046"/>
    <col width="16" customWidth="1" min="2047" max="2048"/>
    <col width="8.7109375" customWidth="1" min="2049" max="2049"/>
    <col width="16" customWidth="1" min="2050" max="2050"/>
    <col width="8.7109375" customWidth="1" min="2051" max="2051"/>
    <col width="16" customWidth="1" min="2052" max="2052"/>
    <col width="8.7109375" customWidth="1" min="2053" max="2053"/>
    <col width="16" customWidth="1" min="2054" max="2054"/>
    <col width="8.7109375" customWidth="1" min="2055" max="2055"/>
    <col width="16" customWidth="1" min="2056" max="2056"/>
    <col width="8.7109375" customWidth="1" min="2057" max="2057"/>
    <col width="16" customWidth="1" min="2058" max="2058"/>
    <col width="8.7109375" customWidth="1" min="2059" max="2059"/>
    <col width="16" customWidth="1" min="2060" max="2060"/>
    <col width="8.7109375" customWidth="1" min="2061" max="2061"/>
    <col width="16" customWidth="1" min="2062" max="2062"/>
    <col width="8.7109375" customWidth="1" min="2063" max="2063"/>
    <col width="16" customWidth="1" min="2064" max="2064"/>
    <col width="8.7109375" customWidth="1" min="2065" max="2065"/>
    <col width="16" customWidth="1" min="2066" max="2067"/>
    <col width="8.7109375" customWidth="1" min="2068" max="2068"/>
    <col width="16" customWidth="1" min="2069" max="2070"/>
    <col width="8.7109375" customWidth="1" min="2071" max="2071"/>
    <col width="16" customWidth="1" min="2072" max="2073"/>
    <col width="8.7109375" customWidth="1" min="2074" max="2074"/>
    <col width="16" customWidth="1" min="2075" max="2076"/>
    <col width="8.7109375" customWidth="1" min="2077" max="2077"/>
    <col width="16" customWidth="1" min="2078" max="2079"/>
    <col width="8.7109375" customWidth="1" min="2080" max="2080"/>
    <col width="16" customWidth="1" min="2081" max="2082"/>
    <col width="8.7109375" customWidth="1" min="2083" max="2083"/>
    <col width="16" customWidth="1" min="2084" max="2085"/>
    <col width="8.7109375" customWidth="1" min="2086" max="2086"/>
    <col width="16" customWidth="1" min="2087" max="2088"/>
    <col width="8.7109375" customWidth="1" min="2089" max="2089"/>
    <col width="16" customWidth="1" min="2090" max="2091"/>
    <col width="8.7109375" customWidth="1" min="2092" max="2092"/>
    <col width="16" customWidth="1" min="2093" max="2094"/>
    <col width="8.7109375" customWidth="1" min="2095" max="2095"/>
    <col width="16" customWidth="1" min="2096" max="2097"/>
    <col width="8.7109375" customWidth="1" min="2098" max="2098"/>
    <col width="16" customWidth="1" min="2099" max="2100"/>
    <col width="8.7109375" customWidth="1" min="2101" max="2101"/>
    <col width="16" customWidth="1" min="2102" max="2103"/>
    <col width="8.7109375" customWidth="1" min="2104" max="2104"/>
    <col width="16" customWidth="1" min="2105" max="2106"/>
    <col width="8.7109375" customWidth="1" min="2107" max="2107"/>
    <col width="16" customWidth="1" min="2108" max="2109"/>
    <col width="8.7109375" customWidth="1" min="2110" max="2110"/>
    <col width="16" customWidth="1" min="2111" max="2112"/>
    <col width="8.7109375" customWidth="1" min="2113" max="2113"/>
    <col width="16" customWidth="1" min="2114" max="2115"/>
    <col width="8.7109375" customWidth="1" min="2116" max="2116"/>
    <col width="16" customWidth="1" min="2117" max="2118"/>
    <col width="8.7109375" customWidth="1" min="2119" max="2119"/>
    <col width="16" customWidth="1" min="2120" max="2121"/>
    <col width="8.7109375" customWidth="1" min="2122" max="2122"/>
    <col width="16" customWidth="1" min="2123" max="2124"/>
    <col width="8.7109375" customWidth="1" min="2125" max="2125"/>
    <col width="16" customWidth="1" min="2126" max="2127"/>
    <col width="8.7109375" customWidth="1" min="2128" max="2128"/>
    <col width="16" customWidth="1" min="2129" max="2130"/>
    <col width="8.7109375" customWidth="1" min="2131" max="2131"/>
    <col width="16" customWidth="1" min="2132" max="2133"/>
    <col width="8.7109375" customWidth="1" min="2134" max="2134"/>
    <col width="16" customWidth="1" min="2135" max="2136"/>
    <col width="8.7109375" customWidth="1" min="2137" max="2137"/>
    <col width="16" customWidth="1" min="2138" max="2139"/>
    <col width="8.7109375" customWidth="1" min="2140" max="2140"/>
    <col width="16" customWidth="1" min="2141" max="2142"/>
    <col width="8.7109375" customWidth="1" min="2143" max="2143"/>
    <col width="16" customWidth="1" min="2144" max="2145"/>
    <col width="8.7109375" customWidth="1" min="2146" max="2146"/>
    <col width="16" customWidth="1" min="2147" max="2148"/>
    <col width="8.7109375" customWidth="1" min="2149" max="2149"/>
    <col width="16" customWidth="1" min="2150" max="2151"/>
    <col width="8.7109375" customWidth="1" min="2152" max="2152"/>
    <col width="16" customWidth="1" min="2153" max="2154"/>
    <col width="8.7109375" customWidth="1" min="2155" max="2155"/>
    <col width="16" customWidth="1" min="2156" max="2157"/>
    <col width="8.7109375" customWidth="1" min="2158" max="2158"/>
    <col width="16" customWidth="1" min="2159" max="2160"/>
    <col width="8.7109375" customWidth="1" min="2161" max="2161"/>
    <col width="16" customWidth="1" min="2162" max="2163"/>
    <col width="8.7109375" customWidth="1" min="2164" max="2164"/>
    <col width="16" customWidth="1" min="2165" max="2166"/>
    <col width="8.7109375" customWidth="1" min="2167" max="2167"/>
    <col width="16" customWidth="1" min="2168" max="2169"/>
    <col width="8.7109375" customWidth="1" min="2170" max="2170"/>
    <col width="16" customWidth="1" min="2171" max="2172"/>
    <col width="8.7109375" customWidth="1" min="2173" max="2173"/>
    <col width="16" customWidth="1" min="2174" max="2175"/>
    <col width="8.7109375" customWidth="1" min="2176" max="2176"/>
    <col width="16" customWidth="1" min="2177" max="2178"/>
    <col width="8.7109375" customWidth="1" min="2179" max="2179"/>
    <col width="16" customWidth="1" min="2180" max="2181"/>
    <col width="8.7109375" customWidth="1" min="2182" max="2182"/>
    <col width="16" customWidth="1" min="2183" max="2184"/>
    <col width="8.7109375" customWidth="1" min="2185" max="2185"/>
    <col width="16" customWidth="1" min="2186" max="2187"/>
    <col width="8.7109375" customWidth="1" min="2188" max="2188"/>
    <col width="16" customWidth="1" min="2189" max="2190"/>
    <col width="8.7109375" customWidth="1" min="2191" max="2191"/>
    <col width="16" customWidth="1" min="2192" max="2193"/>
    <col width="8.7109375" customWidth="1" min="2194" max="2194"/>
    <col width="16" customWidth="1" min="2195" max="2196"/>
    <col width="8.7109375" customWidth="1" min="2197" max="2197"/>
    <col width="16" customWidth="1" min="2198" max="2199"/>
    <col width="8.7109375" customWidth="1" min="2200" max="2200"/>
    <col width="16" customWidth="1" min="2201" max="2202"/>
    <col width="8.7109375" customWidth="1" min="2203" max="2203"/>
    <col width="16" customWidth="1" min="2204" max="2205"/>
    <col width="8.7109375" customWidth="1" min="2206" max="2206"/>
    <col width="16" customWidth="1" min="2207" max="2208"/>
    <col width="8.7109375" customWidth="1" min="2209" max="2209"/>
    <col width="16" customWidth="1" min="2210" max="2211"/>
    <col width="8.7109375" customWidth="1" min="2212" max="2212"/>
    <col width="16" customWidth="1" min="2213" max="2214"/>
    <col width="8.7109375" customWidth="1" min="2215" max="2215"/>
    <col width="16" customWidth="1" min="2216" max="2217"/>
    <col width="8.7109375" customWidth="1" min="2218" max="2218"/>
    <col width="16" customWidth="1" min="2219" max="2220"/>
    <col width="8.7109375" customWidth="1" min="2221" max="2221"/>
    <col width="16" customWidth="1" min="2222" max="2223"/>
    <col width="8.7109375" customWidth="1" min="2224" max="2224"/>
    <col width="16" customWidth="1" min="2225" max="2226"/>
    <col width="8.7109375" customWidth="1" min="2227" max="2227"/>
    <col width="16" customWidth="1" min="2228" max="2229"/>
    <col width="8.7109375" customWidth="1" min="2230" max="2230"/>
    <col width="16" customWidth="1" min="2231" max="2232"/>
    <col width="8.7109375" customWidth="1" min="2233" max="2233"/>
    <col width="16" customWidth="1" min="2234" max="2235"/>
    <col width="8.7109375" customWidth="1" min="2236" max="2236"/>
    <col width="16" customWidth="1" min="2237" max="2238"/>
    <col width="8.7109375" customWidth="1" min="2239" max="2239"/>
    <col width="16" customWidth="1" min="2240" max="2241"/>
    <col width="8.7109375" customWidth="1" min="2242" max="2245"/>
    <col width="16" customWidth="1" min="2246" max="2246"/>
    <col width="8.7109375" customWidth="1" min="2247" max="2247"/>
    <col width="16" customWidth="1" min="2248" max="2250"/>
    <col width="8.7109375" customWidth="1" min="2251" max="2251"/>
    <col width="16" customWidth="1" min="2252" max="2253"/>
    <col width="8.7109375" customWidth="1" min="2254" max="2254"/>
    <col width="16" customWidth="1" min="2255" max="2257"/>
    <col width="8.7109375" customWidth="1" min="2258" max="2259"/>
    <col width="16" customWidth="1" min="2260" max="2260"/>
    <col width="8.7109375" customWidth="1" min="2261" max="2262"/>
    <col width="16" customWidth="1" min="2263" max="2264"/>
    <col width="8.7109375" customWidth="1" min="2265" max="2266"/>
    <col width="16" customWidth="1" min="2267" max="2268"/>
    <col width="8.7109375" customWidth="1" min="2269" max="2269"/>
    <col width="16" customWidth="1" min="2270" max="2271"/>
    <col width="8.7109375" customWidth="1" min="2272" max="2272"/>
    <col width="16" customWidth="1" min="2273" max="2274"/>
    <col width="8.7109375" customWidth="1" min="2275" max="2276"/>
    <col width="16" customWidth="1" min="2277" max="2278"/>
    <col width="8.7109375" customWidth="1" min="2279" max="2279"/>
    <col width="16" customWidth="1" min="2280" max="2281"/>
    <col width="8.7109375" customWidth="1" min="2282" max="2283"/>
    <col width="16" customWidth="1" min="2284" max="2285"/>
    <col width="8.7109375" customWidth="1" min="2286" max="2287"/>
    <col width="16" customWidth="1" min="2288" max="2289"/>
    <col width="8.7109375" customWidth="1" min="2290" max="2290"/>
    <col width="16" customWidth="1" min="2291" max="2291"/>
    <col width="8.7109375" customWidth="1" min="2292" max="2292"/>
    <col width="16" customWidth="1" min="2293" max="2293"/>
    <col width="8.7109375" customWidth="1" min="2294" max="2295"/>
    <col width="16" customWidth="1" min="2296" max="2296"/>
    <col width="8.7109375" customWidth="1" min="2297" max="2297"/>
    <col width="16" customWidth="1" min="2298" max="2298"/>
    <col width="8.7109375" customWidth="1" min="2299" max="2299"/>
    <col width="16" customWidth="1" min="2300" max="2301"/>
    <col width="8.7109375" customWidth="1" min="2302" max="2302"/>
    <col width="16" customWidth="1" min="2303" max="2304"/>
    <col width="8.7109375" customWidth="1" min="2305" max="2306"/>
    <col width="16" customWidth="1" min="2307" max="2308"/>
    <col width="8.7109375" customWidth="1" min="2309" max="2309"/>
    <col width="16" customWidth="1" min="2310" max="2310"/>
    <col width="8.7109375" customWidth="1" min="2311" max="2311"/>
    <col width="16" customWidth="1" min="2312" max="2312"/>
    <col width="8.7109375" customWidth="1" min="2313" max="2313"/>
    <col width="16" customWidth="1" min="2314" max="2314"/>
    <col width="8.7109375" customWidth="1" min="2315" max="2315"/>
    <col width="16" customWidth="1" min="2316" max="2316"/>
    <col width="8.7109375" customWidth="1" min="2317" max="2317"/>
    <col width="16" customWidth="1" min="2318" max="2318"/>
    <col width="8.7109375" customWidth="1" min="2319" max="2319"/>
    <col width="16" customWidth="1" min="2320" max="2320"/>
    <col width="8.7109375" customWidth="1" min="2321" max="2321"/>
    <col width="16" customWidth="1" min="2322" max="2322"/>
    <col width="8.7109375" customWidth="1" min="2323" max="2323"/>
    <col width="16" customWidth="1" min="2324" max="2324"/>
    <col width="8.7109375" customWidth="1" min="2325" max="2325"/>
    <col width="16" customWidth="1" min="2326" max="2327"/>
    <col width="8.7109375" customWidth="1" min="2328" max="2328"/>
    <col width="16" customWidth="1" min="2329" max="2329"/>
    <col width="8.7109375" customWidth="1" min="2330" max="2330"/>
    <col width="16" customWidth="1" min="2331" max="2333"/>
    <col width="8.7109375" customWidth="1" min="2334" max="2334"/>
    <col width="16" customWidth="1" min="2335" max="2338"/>
    <col width="8.7109375" customWidth="1" min="2339" max="2339"/>
    <col width="16" customWidth="1" min="2340" max="2343"/>
    <col width="8.7109375" customWidth="1" min="2344" max="2344"/>
    <col width="16" customWidth="1" min="2345" max="2351"/>
    <col width="8.7109375" customWidth="1" min="2352" max="2353"/>
    <col width="16" customWidth="1" min="2354" max="2354"/>
    <col width="8.7109375" customWidth="1" min="2355" max="2355"/>
    <col width="16" customWidth="1" min="2356" max="2356"/>
    <col width="8.7109375" customWidth="1" min="2357" max="2357"/>
    <col width="16" customWidth="1" min="2358" max="2358"/>
    <col width="8.7109375" customWidth="1" min="2359" max="2359"/>
    <col width="16" customWidth="1" min="2360" max="2360"/>
    <col width="8.7109375" customWidth="1" min="2361" max="2361"/>
    <col width="16" customWidth="1" min="2362" max="2362"/>
    <col width="8.7109375" customWidth="1" min="2363" max="2363"/>
    <col width="16" customWidth="1" min="2364" max="2364"/>
    <col width="8.7109375" customWidth="1" min="2365" max="2365"/>
    <col width="16" customWidth="1" min="2366" max="2366"/>
    <col width="8.7109375" customWidth="1" min="2367" max="2367"/>
    <col width="16" customWidth="1" min="2368" max="2368"/>
    <col width="8.7109375" customWidth="1" min="2369" max="2369"/>
    <col width="16" customWidth="1" min="2370" max="2370"/>
    <col width="8.7109375" customWidth="1" min="2371" max="2371"/>
    <col width="16" customWidth="1" min="2372" max="2372"/>
    <col width="8.7109375" customWidth="1" min="2373" max="2373"/>
    <col width="16" customWidth="1" min="2374" max="2374"/>
    <col width="8.7109375" customWidth="1" min="2375" max="2375"/>
    <col width="16" customWidth="1" min="2376" max="2376"/>
    <col width="8.7109375" customWidth="1" min="2377" max="2377"/>
    <col width="16" customWidth="1" min="2378" max="2378"/>
    <col width="8.7109375" customWidth="1" min="2379" max="2379"/>
    <col width="16" customWidth="1" min="2380" max="2380"/>
    <col width="8.7109375" customWidth="1" min="2381" max="2381"/>
    <col width="16" customWidth="1" min="2382" max="2382"/>
    <col width="8.7109375" customWidth="1" min="2383" max="2383"/>
    <col width="16" customWidth="1" min="2384" max="2384"/>
    <col width="8.7109375" customWidth="1" min="2385" max="2385"/>
    <col width="16" customWidth="1" min="2386" max="2386"/>
    <col width="8.7109375" customWidth="1" min="2387" max="2387"/>
    <col width="16" customWidth="1" min="2388" max="2388"/>
    <col width="8.7109375" customWidth="1" min="2389" max="2389"/>
    <col width="16" customWidth="1" min="2390" max="2390"/>
    <col width="8.7109375" customWidth="1" min="2391" max="2391"/>
    <col width="16" customWidth="1" min="2392" max="2392"/>
    <col width="8.7109375" customWidth="1" min="2393" max="2393"/>
    <col width="16" customWidth="1" min="2394" max="2394"/>
    <col width="8.7109375" customWidth="1" min="2395" max="2395"/>
    <col width="16" customWidth="1" min="2396" max="2396"/>
    <col width="8.7109375" customWidth="1" min="2397" max="2397"/>
    <col width="16" customWidth="1" min="2398" max="2398"/>
    <col width="8.7109375" customWidth="1" min="2399" max="2400"/>
    <col width="16" customWidth="1" min="2401" max="2401"/>
    <col width="8.7109375" customWidth="1" min="2402" max="2403"/>
    <col width="16" customWidth="1" min="2404" max="2404"/>
    <col width="8.7109375" customWidth="1" min="2405" max="2405"/>
    <col width="16" customWidth="1" min="2406" max="2406"/>
    <col width="8.7109375" customWidth="1" min="2407" max="2428"/>
    <col width="16" customWidth="1" min="2429" max="2429"/>
    <col width="8.7109375" customWidth="1" min="2430" max="2430"/>
    <col width="16" customWidth="1" min="2431" max="2431"/>
    <col width="8.7109375" customWidth="1" min="2432" max="2432"/>
    <col width="16" customWidth="1" min="2433" max="2433"/>
    <col width="8.7109375" customWidth="1" min="2434" max="2434"/>
    <col width="16" customWidth="1" min="2435" max="2435"/>
    <col width="8.7109375" customWidth="1" min="2436" max="2436"/>
    <col width="16" customWidth="1" min="2437" max="2437"/>
    <col width="8.7109375" customWidth="1" min="2438" max="2438"/>
    <col width="16" customWidth="1" min="2439" max="2439"/>
    <col width="8.7109375" customWidth="1" min="2440" max="2440"/>
    <col width="16" customWidth="1" min="2441" max="2441"/>
    <col width="8.7109375" customWidth="1" min="2442" max="2442"/>
    <col width="16" customWidth="1" min="2443" max="2443"/>
    <col width="8.7109375" customWidth="1" min="2444" max="2444"/>
    <col width="16" customWidth="1" min="2445" max="2445"/>
    <col width="8.7109375" customWidth="1" min="2446" max="2446"/>
    <col width="16" customWidth="1" min="2447" max="2447"/>
    <col width="8.7109375" customWidth="1" min="2448" max="2448"/>
    <col width="16" customWidth="1" min="2449" max="2449"/>
    <col width="8.7109375" customWidth="1" min="2450" max="2450"/>
    <col width="16" customWidth="1" min="2451" max="2451"/>
    <col width="8.7109375" customWidth="1" min="2452" max="2452"/>
    <col width="16" customWidth="1" min="2453" max="2453"/>
    <col width="8.7109375" customWidth="1" min="2454" max="2454"/>
    <col width="16" customWidth="1" min="2455" max="2455"/>
    <col width="8.7109375" customWidth="1" min="2456" max="2456"/>
    <col width="16" customWidth="1" min="2457" max="2457"/>
    <col width="8.7109375" customWidth="1" min="2458" max="2458"/>
    <col width="16" customWidth="1" min="2459" max="2459"/>
    <col width="8.7109375" customWidth="1" min="2460" max="2460"/>
    <col width="16" customWidth="1" min="2461" max="2461"/>
    <col width="8.7109375" customWidth="1" min="2462" max="2462"/>
    <col width="16" customWidth="1" min="2463" max="2463"/>
    <col width="8.7109375" customWidth="1" min="2464" max="2464"/>
    <col width="16" customWidth="1" min="2465" max="2465"/>
    <col width="8.7109375" customWidth="1" min="2466" max="2466"/>
    <col width="16" customWidth="1" min="2467" max="2467"/>
    <col width="8.7109375" customWidth="1" min="2468" max="2468"/>
    <col width="16" customWidth="1" min="2469" max="2469"/>
    <col width="8.7109375" customWidth="1" min="2470" max="2470"/>
    <col width="16" customWidth="1" min="2471" max="2471"/>
    <col width="8.7109375" customWidth="1" min="2472" max="2472"/>
    <col width="16" customWidth="1" min="2473" max="2473"/>
    <col width="8.7109375" customWidth="1" min="2474" max="2474"/>
    <col width="16" customWidth="1" min="2475" max="2475"/>
    <col width="8.7109375" customWidth="1" min="2476" max="2476"/>
    <col width="16" customWidth="1" min="2477" max="2477"/>
    <col width="8.7109375" customWidth="1" min="2478" max="2478"/>
    <col width="16" customWidth="1" min="2479" max="2479"/>
    <col width="8.7109375" customWidth="1" min="2480" max="2480"/>
    <col width="16" customWidth="1" min="2481" max="2481"/>
    <col width="8.7109375" customWidth="1" min="2482" max="2482"/>
    <col width="16" customWidth="1" min="2483" max="2483"/>
    <col width="8.7109375" customWidth="1" min="2484" max="2484"/>
    <col width="16" customWidth="1" min="2485" max="2485"/>
    <col width="8.7109375" customWidth="1" min="2486" max="2486"/>
    <col width="16" customWidth="1" min="2487" max="2487"/>
    <col width="8.7109375" customWidth="1" min="2488" max="2488"/>
    <col width="16" customWidth="1" min="2489" max="2489"/>
    <col width="8.7109375" customWidth="1" min="2490" max="2490"/>
    <col width="16" customWidth="1" min="2491" max="2491"/>
    <col width="8.7109375" customWidth="1" min="2492" max="2492"/>
    <col width="16" customWidth="1" min="2493" max="2493"/>
    <col width="8.7109375" customWidth="1" min="2494" max="2494"/>
    <col width="16" customWidth="1" min="2495" max="2495"/>
    <col width="8.7109375" customWidth="1" min="2496" max="2496"/>
    <col width="16" customWidth="1" min="2497" max="2497"/>
    <col width="8.7109375" customWidth="1" min="2498" max="2498"/>
    <col width="16" customWidth="1" min="2499" max="2499"/>
    <col width="8.7109375" customWidth="1" min="2500" max="2500"/>
    <col width="16" customWidth="1" min="2501" max="2501"/>
    <col width="8.7109375" customWidth="1" min="2502" max="2502"/>
    <col width="16" customWidth="1" min="2503" max="2503"/>
    <col width="8.7109375" customWidth="1" min="2504" max="2504"/>
    <col width="16" customWidth="1" min="2505" max="2505"/>
    <col width="8.7109375" customWidth="1" min="2506" max="2506"/>
    <col width="16" customWidth="1" min="2507" max="2507"/>
    <col width="8.7109375" customWidth="1" min="2508" max="2508"/>
    <col width="16" customWidth="1" min="2509" max="2509"/>
    <col width="8.7109375" customWidth="1" min="2510" max="2510"/>
    <col width="16" customWidth="1" min="2511" max="2511"/>
    <col width="8.7109375" customWidth="1" min="2512" max="2512"/>
    <col width="16" customWidth="1" min="2513" max="2513"/>
    <col width="8.7109375" customWidth="1" min="2514" max="2514"/>
    <col width="16" customWidth="1" min="2515" max="2515"/>
    <col width="8.7109375" customWidth="1" min="2516" max="2516"/>
    <col width="16" customWidth="1" min="2517" max="2517"/>
    <col width="8.7109375" customWidth="1" min="2518" max="2518"/>
    <col width="16" customWidth="1" min="2519" max="2519"/>
    <col width="8.7109375" customWidth="1" min="2520" max="2520"/>
    <col width="16" customWidth="1" min="2521" max="2521"/>
    <col width="8.7109375" customWidth="1" min="2522" max="2522"/>
    <col width="16" customWidth="1" min="2523" max="2523"/>
    <col width="8.7109375" customWidth="1" min="2524" max="2524"/>
    <col width="16" customWidth="1" min="2525" max="2525"/>
    <col width="8.7109375" customWidth="1" min="2526" max="2526"/>
    <col width="16" customWidth="1" min="2527" max="2527"/>
    <col width="8.7109375" customWidth="1" min="2528" max="2528"/>
    <col width="16" customWidth="1" min="2529" max="2529"/>
    <col width="8.7109375" customWidth="1" min="2530" max="2530"/>
    <col width="16" customWidth="1" min="2531" max="2531"/>
    <col width="8.7109375" customWidth="1" min="2532" max="2532"/>
    <col width="16" customWidth="1" min="2533" max="2533"/>
    <col width="8.7109375" customWidth="1" min="2534" max="2534"/>
    <col width="16" customWidth="1" min="2535" max="2535"/>
    <col width="8.7109375" customWidth="1" min="2536" max="2536"/>
    <col width="16" customWidth="1" min="2537" max="2537"/>
    <col width="8.7109375" customWidth="1" min="2538" max="2538"/>
    <col width="16" customWidth="1" min="2539" max="2539"/>
    <col width="8.7109375" customWidth="1" min="2540" max="2540"/>
    <col width="16" customWidth="1" min="2541" max="2541"/>
    <col width="8.7109375" customWidth="1" min="2542" max="2542"/>
    <col width="16" customWidth="1" min="2543" max="2543"/>
    <col width="8.7109375" customWidth="1" min="2544" max="2544"/>
    <col width="16" customWidth="1" min="2545" max="2545"/>
    <col width="8.7109375" customWidth="1" min="2546" max="2546"/>
    <col width="16" customWidth="1" min="2547" max="2547"/>
    <col width="8.7109375" customWidth="1" min="2548" max="2548"/>
    <col width="16" customWidth="1" min="2549" max="2549"/>
    <col width="8.7109375" customWidth="1" min="2550" max="2550"/>
    <col width="16" customWidth="1" min="2551" max="2551"/>
    <col width="8.7109375" customWidth="1" min="2552" max="2552"/>
    <col width="16" customWidth="1" min="2553" max="2553"/>
    <col width="8.7109375" customWidth="1" min="2554" max="2554"/>
    <col width="16" customWidth="1" min="2555" max="2555"/>
    <col width="8.7109375" customWidth="1" min="2556" max="2556"/>
    <col width="16" customWidth="1" min="2557" max="2557"/>
    <col width="8.7109375" customWidth="1" min="2558" max="2558"/>
    <col width="16" customWidth="1" min="2559" max="2559"/>
    <col width="8.7109375" customWidth="1" min="2560" max="2560"/>
    <col width="16" customWidth="1" min="2561" max="2561"/>
    <col width="8.7109375" customWidth="1" min="2562" max="2562"/>
    <col width="16" customWidth="1" min="2563" max="2563"/>
    <col width="8.7109375" customWidth="1" min="2564" max="2564"/>
    <col width="16" customWidth="1" min="2565" max="2565"/>
    <col width="8.7109375" customWidth="1" min="2566" max="2566"/>
    <col width="16" customWidth="1" min="2567" max="2567"/>
    <col width="8.7109375" customWidth="1" min="2568" max="2568"/>
    <col width="16" customWidth="1" min="2569" max="2569"/>
    <col width="8.7109375" customWidth="1" min="2570" max="2570"/>
    <col width="16" customWidth="1" min="2571" max="2571"/>
    <col width="8.7109375" customWidth="1" min="2572" max="2572"/>
    <col width="16" customWidth="1" min="2573" max="2573"/>
    <col width="8.7109375" customWidth="1" min="2574" max="2574"/>
    <col width="16" customWidth="1" min="2575" max="2575"/>
    <col width="8.7109375" customWidth="1" min="2576" max="2576"/>
    <col width="16" customWidth="1" min="2577" max="2577"/>
    <col width="8.7109375" customWidth="1" min="2578" max="2578"/>
    <col width="16" customWidth="1" min="2579" max="2579"/>
    <col width="8.7109375" customWidth="1" min="2580" max="2580"/>
    <col width="16" customWidth="1" min="2581" max="2581"/>
    <col width="8.7109375" customWidth="1" min="2582" max="2582"/>
    <col width="16" customWidth="1" min="2583" max="2583"/>
    <col width="8.7109375" customWidth="1" min="2584" max="2584"/>
    <col width="16" customWidth="1" min="2585" max="2585"/>
    <col width="8.7109375" customWidth="1" min="2586" max="2586"/>
    <col width="16" customWidth="1" min="2587" max="2587"/>
    <col width="8.7109375" customWidth="1" min="2588" max="2588"/>
    <col width="16" customWidth="1" min="2589" max="2589"/>
    <col width="8.7109375" customWidth="1" min="2590" max="2590"/>
    <col width="16" customWidth="1" min="2591" max="2591"/>
    <col width="8.7109375" customWidth="1" min="2592" max="2592"/>
    <col width="16" customWidth="1" min="2593" max="2593"/>
    <col width="8.7109375" customWidth="1" min="2594" max="2594"/>
    <col width="16" customWidth="1" min="2595" max="2595"/>
    <col width="8.7109375" customWidth="1" min="2596" max="2596"/>
    <col width="16" customWidth="1" min="2597" max="2597"/>
    <col width="8.7109375" customWidth="1" min="2598" max="2598"/>
    <col width="16" customWidth="1" min="2599" max="2599"/>
    <col width="8.7109375" customWidth="1" min="2600" max="2600"/>
    <col width="16" customWidth="1" min="2601" max="2601"/>
    <col width="8.7109375" customWidth="1" min="2602" max="2602"/>
    <col width="16" customWidth="1" min="2603" max="2603"/>
    <col width="8.7109375" customWidth="1" min="2604" max="2604"/>
    <col width="16" customWidth="1" min="2605" max="2605"/>
    <col width="8.7109375" customWidth="1" min="2606" max="2606"/>
    <col width="16" customWidth="1" min="2607" max="2607"/>
    <col width="8.7109375" customWidth="1" min="2608" max="2608"/>
    <col width="16" customWidth="1" min="2609" max="2609"/>
    <col width="8.7109375" customWidth="1" min="2610" max="2610"/>
    <col width="16" customWidth="1" min="2611" max="2611"/>
    <col width="8.7109375" customWidth="1" min="2612" max="2612"/>
    <col width="16" customWidth="1" min="2613" max="2613"/>
    <col width="8.7109375" customWidth="1" min="2614" max="2614"/>
    <col width="16" customWidth="1" min="2615" max="2615"/>
    <col width="8.7109375" customWidth="1" min="2616" max="2616"/>
    <col width="16" customWidth="1" min="2617" max="2617"/>
    <col width="8.7109375" customWidth="1" min="2618" max="2618"/>
    <col width="16" customWidth="1" min="2619" max="2619"/>
    <col width="8.7109375" customWidth="1" min="2620" max="2620"/>
    <col width="16" customWidth="1" min="2621" max="2621"/>
    <col width="8.7109375" customWidth="1" min="2622" max="2622"/>
    <col width="16" customWidth="1" min="2623" max="2623"/>
    <col width="8.7109375" customWidth="1" min="2624" max="2624"/>
    <col width="16" customWidth="1" min="2625" max="2625"/>
    <col width="8.7109375" customWidth="1" min="2626" max="2626"/>
    <col width="16" customWidth="1" min="2627" max="2627"/>
    <col width="8.7109375" customWidth="1" min="2628" max="2628"/>
    <col width="16" customWidth="1" min="2629" max="2629"/>
    <col width="8.7109375" customWidth="1" min="2630" max="2630"/>
    <col width="16" customWidth="1" min="2631" max="2631"/>
    <col width="8.7109375" customWidth="1" min="2632" max="2632"/>
    <col width="16" customWidth="1" min="2633" max="2633"/>
    <col width="8.7109375" customWidth="1" min="2634" max="2634"/>
    <col width="16" customWidth="1" min="2635" max="2635"/>
    <col width="8.7109375" customWidth="1" min="2636" max="2636"/>
    <col width="16" customWidth="1" min="2637" max="2637"/>
    <col width="8.7109375" customWidth="1" min="2638" max="2638"/>
    <col width="16" customWidth="1" min="2639" max="2639"/>
    <col width="8.7109375" customWidth="1" min="2640" max="2640"/>
    <col width="16" customWidth="1" min="2641" max="2641"/>
    <col width="8.7109375" customWidth="1" min="2642" max="2642"/>
    <col width="16" customWidth="1" min="2643" max="2643"/>
    <col width="8.7109375" customWidth="1" min="2644" max="2644"/>
    <col width="16" customWidth="1" min="2645" max="2645"/>
    <col width="8.7109375" customWidth="1" min="2646" max="2646"/>
    <col width="16" customWidth="1" min="2647" max="2647"/>
    <col width="8.7109375" customWidth="1" min="2648" max="2648"/>
    <col width="16" customWidth="1" min="2649" max="2649"/>
    <col width="8.7109375" customWidth="1" min="2650" max="2650"/>
    <col width="16" customWidth="1" min="2651" max="2651"/>
    <col width="8.7109375" customWidth="1" min="2652" max="2704"/>
    <col width="16" customWidth="1" min="2705" max="2706"/>
    <col width="8.7109375" customWidth="1" min="2707" max="2707"/>
    <col width="16" customWidth="1" min="2708" max="2709"/>
    <col width="8.7109375" customWidth="1" min="2710" max="2710"/>
    <col width="16" customWidth="1" min="2711" max="2712"/>
    <col width="8.7109375" customWidth="1" min="2713" max="2713"/>
    <col width="16" customWidth="1" min="2714" max="2715"/>
    <col width="8.7109375" customWidth="1" min="2716" max="2716"/>
    <col width="16" customWidth="1" min="2717" max="2718"/>
    <col width="8.7109375" customWidth="1" min="2719" max="2719"/>
    <col width="16" customWidth="1" min="2720" max="2721"/>
    <col width="8.7109375" customWidth="1" min="2722" max="2722"/>
    <col width="16" customWidth="1" min="2723" max="2724"/>
    <col width="8.7109375" customWidth="1" min="2725" max="2725"/>
    <col width="16" customWidth="1" min="2726" max="2727"/>
    <col width="8.7109375" customWidth="1" min="2728" max="2728"/>
    <col width="16" customWidth="1" min="2729" max="2730"/>
    <col width="8.7109375" customWidth="1" min="2731" max="2731"/>
    <col width="16" customWidth="1" min="2732" max="2733"/>
    <col width="8.7109375" customWidth="1" min="2734" max="2734"/>
    <col width="16" customWidth="1" min="2735" max="2736"/>
    <col width="8.7109375" customWidth="1" min="2737" max="2737"/>
    <col width="16" customWidth="1" min="2738" max="2739"/>
    <col width="8.7109375" customWidth="1" min="2740" max="2740"/>
    <col width="16" customWidth="1" min="2741" max="2742"/>
    <col width="8.7109375" customWidth="1" min="2743" max="2743"/>
    <col width="16" customWidth="1" min="2744" max="2745"/>
    <col width="8.7109375" customWidth="1" min="2746" max="2746"/>
    <col width="16" customWidth="1" min="2747" max="2748"/>
    <col width="8.7109375" customWidth="1" min="2749" max="2749"/>
    <col width="16" customWidth="1" min="2750" max="2751"/>
    <col width="8.7109375" customWidth="1" min="2752" max="2752"/>
    <col width="16" customWidth="1" min="2753" max="2754"/>
    <col width="8.7109375" customWidth="1" min="2755" max="2755"/>
    <col width="16" customWidth="1" min="2756" max="2757"/>
    <col width="8.7109375" customWidth="1" min="2758" max="2758"/>
    <col width="16" customWidth="1" min="2759" max="2760"/>
    <col width="8.7109375" customWidth="1" min="2761" max="2761"/>
    <col width="16" customWidth="1" min="2762" max="2763"/>
    <col width="8.7109375" customWidth="1" min="2764" max="2764"/>
    <col width="16" customWidth="1" min="2765" max="2766"/>
    <col width="8.7109375" customWidth="1" min="2767" max="2767"/>
    <col width="16" customWidth="1" min="2768" max="2769"/>
    <col width="8.7109375" customWidth="1" min="2770" max="2770"/>
    <col width="16" customWidth="1" min="2771" max="2772"/>
    <col width="8.7109375" customWidth="1" min="2773" max="2773"/>
    <col width="16" customWidth="1" min="2774" max="2775"/>
    <col width="8.7109375" customWidth="1" min="2776" max="2776"/>
    <col width="16" customWidth="1" min="2777" max="2778"/>
    <col width="8.7109375" customWidth="1" min="2779" max="2779"/>
    <col width="16" customWidth="1" min="2780" max="2781"/>
    <col width="8.7109375" customWidth="1" min="2782" max="2782"/>
    <col width="16" customWidth="1" min="2783" max="2784"/>
    <col width="8.7109375" customWidth="1" min="2785" max="2785"/>
    <col width="16" customWidth="1" min="2786" max="2787"/>
    <col width="8.7109375" customWidth="1" min="2788" max="2788"/>
    <col width="16" customWidth="1" min="2789" max="2790"/>
    <col width="8.7109375" customWidth="1" min="2791" max="2791"/>
    <col width="16" customWidth="1" min="2792" max="2793"/>
    <col width="8.7109375" customWidth="1" min="2794" max="2794"/>
    <col width="16" customWidth="1" min="2795" max="2796"/>
    <col width="8.7109375" customWidth="1" min="2797" max="2797"/>
    <col width="16" customWidth="1" min="2798" max="2799"/>
    <col width="8.7109375" customWidth="1" min="2800" max="2800"/>
    <col width="16" customWidth="1" min="2801" max="2802"/>
    <col width="8.7109375" customWidth="1" min="2803" max="2803"/>
    <col width="16" customWidth="1" min="2804" max="2805"/>
    <col width="8.7109375" customWidth="1" min="2806" max="2806"/>
    <col width="16" customWidth="1" min="2807" max="2808"/>
    <col width="8.7109375" customWidth="1" min="2809" max="2809"/>
    <col width="16" customWidth="1" min="2810" max="2811"/>
    <col width="8.7109375" customWidth="1" min="2812" max="2812"/>
    <col width="16" customWidth="1" min="2813" max="2814"/>
    <col width="8.7109375" customWidth="1" min="2815" max="2815"/>
    <col width="16" customWidth="1" min="2816" max="2817"/>
    <col width="8.7109375" customWidth="1" min="2818" max="2818"/>
    <col width="16" customWidth="1" min="2819" max="2820"/>
    <col width="8.7109375" customWidth="1" min="2821" max="2821"/>
    <col width="16" customWidth="1" min="2822" max="2823"/>
    <col width="8.7109375" customWidth="1" min="2824" max="2824"/>
    <col width="16" customWidth="1" min="2825" max="2826"/>
    <col width="8.7109375" customWidth="1" min="2827" max="2827"/>
    <col width="16" customWidth="1" min="2828" max="2829"/>
    <col width="8.7109375" customWidth="1" min="2830" max="2830"/>
    <col width="16" customWidth="1" min="2831" max="2832"/>
    <col width="8.7109375" customWidth="1" min="2833" max="2833"/>
    <col width="16" customWidth="1" min="2834" max="2835"/>
    <col width="8.7109375" customWidth="1" min="2836" max="2836"/>
    <col width="16" customWidth="1" min="2837" max="2838"/>
    <col width="8.7109375" customWidth="1" min="2839" max="2839"/>
    <col width="16" customWidth="1" min="2840" max="2841"/>
    <col width="8.7109375" customWidth="1" min="2842" max="2842"/>
    <col width="16" customWidth="1" min="2843" max="2844"/>
    <col width="8.7109375" customWidth="1" min="2845" max="2845"/>
    <col width="16" customWidth="1" min="2846" max="2847"/>
    <col width="8.7109375" customWidth="1" min="2848" max="2848"/>
    <col width="16" customWidth="1" min="2849" max="2850"/>
    <col width="8.7109375" customWidth="1" min="2851" max="2851"/>
    <col width="16" customWidth="1" min="2852" max="2854"/>
    <col width="8.7109375" customWidth="1" min="2855" max="2855"/>
    <col width="16" customWidth="1" min="2856" max="2858"/>
    <col width="8.7109375" customWidth="1" min="2859" max="2859"/>
    <col width="16" customWidth="1" min="2860" max="2861"/>
    <col width="8.7109375" customWidth="1" min="2862" max="2862"/>
    <col width="16" customWidth="1" min="2863" max="2867"/>
    <col width="8.7109375" customWidth="1" min="2868" max="2868"/>
    <col width="16" customWidth="1" min="2869" max="2873"/>
    <col width="8.7109375" customWidth="1" min="2874" max="2874"/>
    <col width="16" customWidth="1" min="2875" max="2879"/>
    <col width="8.7109375" customWidth="1" min="2880" max="2880"/>
    <col width="16" customWidth="1" min="2881" max="2886"/>
    <col width="8.7109375" customWidth="1" min="2887" max="2887"/>
    <col width="16" customWidth="1" min="2888" max="2893"/>
    <col width="8.7109375" customWidth="1" min="2894" max="2894"/>
    <col width="16" customWidth="1" min="2895" max="2900"/>
    <col width="8.7109375" customWidth="1" min="2901" max="2901"/>
    <col width="16" customWidth="1" min="2902" max="2907"/>
    <col width="8.7109375" customWidth="1" min="2908" max="2908"/>
    <col width="16" customWidth="1" min="2909" max="2914"/>
    <col width="8.7109375" customWidth="1" min="2915" max="2915"/>
    <col width="16" customWidth="1" min="2916" max="2921"/>
    <col width="8.7109375" customWidth="1" min="2922" max="2922"/>
    <col width="16" customWidth="1" min="2923" max="2928"/>
    <col width="8.7109375" customWidth="1" min="2929" max="2929"/>
    <col width="16" customWidth="1" min="2930" max="2935"/>
    <col width="8.7109375" customWidth="1" min="2936" max="2936"/>
    <col width="16" customWidth="1" min="2937" max="2942"/>
    <col width="8.7109375" customWidth="1" min="2943" max="2943"/>
    <col width="16" customWidth="1" min="2944" max="2949"/>
    <col width="8.7109375" customWidth="1" min="2950" max="2950"/>
    <col width="16" customWidth="1" min="2951" max="2956"/>
    <col width="8.7109375" customWidth="1" min="2957" max="2957"/>
    <col width="16" customWidth="1" min="2958" max="2963"/>
    <col width="8.7109375" customWidth="1" min="2964" max="2964"/>
    <col width="16" customWidth="1" min="2965" max="2970"/>
    <col width="8.7109375" customWidth="1" min="2971" max="2971"/>
    <col width="16" customWidth="1" min="2972" max="2977"/>
    <col width="8.7109375" customWidth="1" min="2978" max="2978"/>
    <col width="16" customWidth="1" min="2979" max="2984"/>
    <col width="8.7109375" customWidth="1" min="2985" max="2985"/>
    <col width="16" customWidth="1" min="2986" max="2991"/>
    <col width="8.7109375" customWidth="1" min="2992" max="2992"/>
    <col width="16" customWidth="1" min="2993" max="2998"/>
    <col width="8.7109375" customWidth="1" min="2999" max="2999"/>
    <col width="16" customWidth="1" min="3000" max="3005"/>
    <col width="8.7109375" customWidth="1" min="3006" max="3006"/>
    <col width="16" customWidth="1" min="3007" max="3012"/>
    <col width="8.7109375" customWidth="1" min="3013" max="3013"/>
    <col width="16" customWidth="1" min="3014" max="3019"/>
    <col width="8.7109375" customWidth="1" min="3020" max="3020"/>
    <col width="16" customWidth="1" min="3021" max="3026"/>
    <col width="8.7109375" customWidth="1" min="3027" max="3027"/>
    <col width="16" customWidth="1" min="3028" max="3033"/>
    <col width="8.7109375" customWidth="1" min="3034" max="3034"/>
    <col width="16" customWidth="1" min="3035" max="3040"/>
    <col width="8.7109375" customWidth="1" min="3041" max="3041"/>
    <col width="16" customWidth="1" min="3042" max="3047"/>
    <col width="8.7109375" customWidth="1" min="3048" max="3048"/>
    <col width="16" customWidth="1" min="3049" max="3054"/>
    <col width="8.7109375" customWidth="1" min="3055" max="3055"/>
    <col width="16" customWidth="1" min="3056" max="3061"/>
    <col width="8.7109375" customWidth="1" min="3062" max="3062"/>
    <col width="16" customWidth="1" min="3063" max="3068"/>
    <col width="8.7109375" customWidth="1" min="3069" max="3069"/>
    <col width="16" customWidth="1" min="3070" max="3075"/>
    <col width="8.7109375" customWidth="1" min="3076" max="3076"/>
    <col width="16" customWidth="1" min="3077" max="3082"/>
    <col width="8.7109375" customWidth="1" min="3083" max="3083"/>
    <col width="16" customWidth="1" min="3084" max="3089"/>
    <col width="8.7109375" customWidth="1" min="3090" max="3090"/>
    <col width="16" customWidth="1" min="3091" max="3101"/>
    <col width="8.7109375" customWidth="1" min="3102" max="3102"/>
    <col width="16" customWidth="1" min="3103" max="3108"/>
    <col width="8.7109375" customWidth="1" min="3109" max="3109"/>
    <col width="16" customWidth="1" min="3110" max="3115"/>
    <col width="8.7109375" customWidth="1" min="3116" max="3116"/>
    <col width="16" customWidth="1" min="3117" max="3122"/>
    <col width="8.7109375" customWidth="1" min="3123" max="3123"/>
    <col width="16" customWidth="1" min="3124" max="3129"/>
    <col width="8.7109375" customWidth="1" min="3130" max="3130"/>
    <col width="16" customWidth="1" min="3131" max="3136"/>
    <col width="8.7109375" customWidth="1" min="3137" max="3137"/>
    <col width="16" customWidth="1" min="3138" max="3143"/>
    <col width="8.7109375" customWidth="1" min="3144" max="3144"/>
    <col width="16" customWidth="1" min="3145" max="3150"/>
    <col width="8.7109375" customWidth="1" min="3151" max="3151"/>
    <col width="16" customWidth="1" min="3152" max="3157"/>
    <col width="8.7109375" customWidth="1" min="3158" max="3158"/>
    <col width="16" customWidth="1" min="3159" max="3159"/>
    <col width="8.7109375" customWidth="1" min="3160" max="3160"/>
    <col width="16" customWidth="1" min="3161" max="3166"/>
    <col width="8.7109375" customWidth="1" min="3167" max="3167"/>
    <col width="16" customWidth="1" min="3168" max="3169"/>
    <col width="8.7109375" customWidth="1" min="3170" max="3170"/>
    <col width="16" customWidth="1" min="3171" max="3172"/>
    <col width="8.7109375" customWidth="1" min="3173" max="3173"/>
    <col width="16" customWidth="1" min="3174" max="3176"/>
    <col width="8.7109375" customWidth="1" min="3177" max="3177"/>
    <col width="16" customWidth="1" min="3178" max="3178"/>
    <col width="8.7109375" customWidth="1" min="3179" max="3179"/>
    <col width="16" customWidth="1" min="3180" max="3180"/>
    <col width="8.7109375" customWidth="1" min="3181" max="3181"/>
    <col width="16" customWidth="1" min="3182" max="3182"/>
    <col width="8.7109375" customWidth="1" min="3183" max="3183"/>
    <col width="16" customWidth="1" min="3184" max="3184"/>
    <col width="8.7109375" customWidth="1" min="3185" max="3185"/>
    <col width="16" customWidth="1" min="3186" max="3186"/>
    <col width="8.7109375" customWidth="1" min="3187" max="3187"/>
    <col width="16" customWidth="1" min="3188" max="3188"/>
    <col width="8.7109375" customWidth="1" min="3189" max="3189"/>
    <col width="16" customWidth="1" min="3190" max="3190"/>
    <col width="8.7109375" customWidth="1" min="3191" max="3191"/>
    <col width="16" customWidth="1" min="3192" max="3192"/>
    <col width="8.7109375" customWidth="1" min="3193" max="3193"/>
    <col width="16" customWidth="1" min="3194" max="3194"/>
    <col width="8.7109375" customWidth="1" min="3195" max="3195"/>
    <col width="16" customWidth="1" min="3196" max="3196"/>
    <col width="8.7109375" customWidth="1" min="3197" max="3197"/>
    <col width="16" customWidth="1" min="3198" max="3198"/>
    <col width="8.7109375" customWidth="1" min="3199" max="3199"/>
    <col width="16" customWidth="1" min="3200" max="3200"/>
    <col width="8.7109375" customWidth="1" min="3201" max="3201"/>
    <col width="16" customWidth="1" min="3202" max="3202"/>
    <col width="8.7109375" customWidth="1" min="3203" max="3203"/>
    <col width="16" customWidth="1" min="3204" max="3204"/>
    <col width="8.7109375" customWidth="1" min="3205" max="3205"/>
    <col width="16" customWidth="1" min="3206" max="3206"/>
    <col width="8.7109375" customWidth="1" min="3207" max="3207"/>
    <col width="16" customWidth="1" min="3208" max="3208"/>
    <col width="8.7109375" customWidth="1" min="3209" max="3209"/>
    <col width="16" customWidth="1" min="3210" max="3210"/>
    <col width="8.7109375" customWidth="1" min="3211" max="3211"/>
    <col width="16" customWidth="1" min="3212" max="3212"/>
    <col width="8.7109375" customWidth="1" min="3213" max="3214"/>
    <col width="16" customWidth="1" min="3215" max="3217"/>
    <col width="8.7109375" customWidth="1" min="3218" max="3218"/>
    <col width="16" customWidth="1" min="3219" max="3222"/>
    <col width="8.7109375" customWidth="1" min="3223" max="3223"/>
    <col width="16" customWidth="1" min="3224" max="3227"/>
    <col width="8.7109375" customWidth="1" min="3228" max="3228"/>
    <col width="16" customWidth="1" min="3229" max="3232"/>
    <col width="8.7109375" customWidth="1" min="3233" max="3233"/>
    <col width="16" customWidth="1" min="3234" max="3237"/>
    <col width="8.7109375" customWidth="1" min="3238" max="3238"/>
    <col width="16" customWidth="1" min="3239" max="3242"/>
    <col width="8.7109375" customWidth="1" min="3243" max="3243"/>
    <col width="16" customWidth="1" min="3244" max="3247"/>
    <col width="8.7109375" customWidth="1" min="3248" max="3248"/>
    <col width="16" customWidth="1" min="3249" max="3252"/>
    <col width="8.7109375" customWidth="1" min="3253" max="3253"/>
    <col width="16" customWidth="1" min="3254" max="3257"/>
    <col width="8.7109375" customWidth="1" min="3258" max="3258"/>
    <col width="16" customWidth="1" min="3259" max="3261"/>
    <col width="8.7109375" customWidth="1" min="3262" max="3262"/>
    <col width="16" customWidth="1" min="3263" max="3266"/>
    <col width="8.7109375" customWidth="1" min="3267" max="3267"/>
    <col width="16" customWidth="1" min="3268" max="3272"/>
    <col width="8.7109375" customWidth="1" min="3273" max="3273"/>
    <col width="16" customWidth="1" min="3274" max="3278"/>
    <col width="8.7109375" customWidth="1" min="3279" max="3279"/>
    <col width="16" customWidth="1" min="3280" max="3284"/>
    <col width="8.7109375" customWidth="1" min="3285" max="3285"/>
    <col width="16" customWidth="1" min="3286" max="3290"/>
    <col width="8.7109375" customWidth="1" min="3291" max="3291"/>
    <col width="16" customWidth="1" min="3292" max="3296"/>
    <col width="8.7109375" customWidth="1" min="3297" max="3297"/>
    <col width="16" customWidth="1" min="3298" max="3302"/>
    <col width="8.7109375" customWidth="1" min="3303" max="3303"/>
    <col width="16" customWidth="1" min="3304" max="3308"/>
    <col width="8.7109375" customWidth="1" min="3309" max="3309"/>
    <col width="16" customWidth="1" min="3310" max="3314"/>
    <col width="8.7109375" customWidth="1" min="3315" max="3315"/>
    <col width="16" customWidth="1" min="3316" max="3320"/>
    <col width="8.7109375" customWidth="1" min="3321" max="3321"/>
    <col width="16" customWidth="1" min="3322" max="3326"/>
    <col width="8.7109375" customWidth="1" min="3327" max="3327"/>
    <col width="16" customWidth="1" min="3328" max="3332"/>
    <col width="8.7109375" customWidth="1" min="3333" max="3333"/>
    <col width="16" customWidth="1" min="3334" max="3338"/>
    <col width="8.7109375" customWidth="1" min="3339" max="3339"/>
    <col width="16" customWidth="1" min="3340" max="3344"/>
    <col width="8.7109375" customWidth="1" min="3345" max="3345"/>
    <col width="16" customWidth="1" min="3346" max="3350"/>
    <col width="8.7109375" customWidth="1" min="3351" max="3351"/>
    <col width="16" customWidth="1" min="3352" max="3356"/>
    <col width="8.7109375" customWidth="1" min="3357" max="3357"/>
    <col width="16" customWidth="1" min="3358" max="3362"/>
    <col width="8.7109375" customWidth="1" min="3363" max="3363"/>
    <col width="16" customWidth="1" min="3364" max="3368"/>
    <col width="8.7109375" customWidth="1" min="3369" max="3369"/>
    <col width="16" customWidth="1" min="3370" max="3374"/>
    <col width="8.7109375" customWidth="1" min="3375" max="3375"/>
    <col width="16" customWidth="1" min="3376" max="3380"/>
    <col width="8.7109375" customWidth="1" min="3381" max="3381"/>
    <col width="16" customWidth="1" min="3382" max="3386"/>
    <col width="8.7109375" customWidth="1" min="3387" max="3387"/>
    <col width="16" customWidth="1" min="3388" max="3389"/>
    <col width="8.7109375" customWidth="1" min="3390" max="3390"/>
    <col width="16" customWidth="1" min="3391" max="3392"/>
    <col width="8.7109375" customWidth="1" min="3393" max="3393"/>
    <col width="16" customWidth="1" min="3394" max="3395"/>
    <col width="8.7109375" customWidth="1" min="3396" max="3396"/>
    <col width="16" customWidth="1" min="3397" max="3398"/>
    <col width="8.7109375" customWidth="1" min="3399" max="3399"/>
    <col width="16" customWidth="1" min="3400" max="3401"/>
    <col width="8.7109375" customWidth="1" min="3402" max="3402"/>
    <col width="16" customWidth="1" min="3403" max="3404"/>
    <col width="8.7109375" customWidth="1" min="3405" max="3405"/>
    <col width="16" customWidth="1" min="3406" max="3407"/>
    <col width="8.7109375" customWidth="1" min="3408" max="3408"/>
    <col width="16" customWidth="1" min="3409" max="3410"/>
    <col width="8.7109375" customWidth="1" min="3411" max="3411"/>
    <col width="16" customWidth="1" min="3412" max="3413"/>
    <col width="8.7109375" customWidth="1" min="3414" max="3414"/>
    <col width="16" customWidth="1" min="3415" max="3416"/>
    <col width="8.7109375" customWidth="1" min="3417" max="3417"/>
    <col width="16" customWidth="1" min="3418" max="3419"/>
    <col width="8.7109375" customWidth="1" min="3420" max="3420"/>
    <col width="16" customWidth="1" min="3421" max="3422"/>
    <col width="8.7109375" customWidth="1" min="3423" max="3423"/>
    <col width="16" customWidth="1" min="3424" max="3425"/>
    <col width="8.7109375" customWidth="1" min="3426" max="3426"/>
    <col width="16" customWidth="1" min="3427" max="3428"/>
    <col width="8.7109375" customWidth="1" min="3429" max="3429"/>
    <col width="16" customWidth="1" min="3430" max="3431"/>
    <col width="8.7109375" customWidth="1" min="3432" max="3432"/>
    <col width="16" customWidth="1" min="3433" max="3434"/>
    <col width="8.7109375" customWidth="1" min="3435" max="3435"/>
    <col width="16" customWidth="1" min="3436" max="3437"/>
    <col width="8.7109375" customWidth="1" min="3438" max="3438"/>
    <col width="16" customWidth="1" min="3439" max="3440"/>
    <col width="8.7109375" customWidth="1" min="3441" max="3441"/>
    <col width="16" customWidth="1" min="3442" max="3443"/>
    <col width="8.7109375" customWidth="1" min="3444" max="3444"/>
    <col width="16" customWidth="1" min="3445" max="3446"/>
    <col width="8.7109375" customWidth="1" min="3447" max="3447"/>
    <col width="16" customWidth="1" min="3448" max="3449"/>
    <col width="8.7109375" customWidth="1" min="3450" max="3450"/>
    <col width="16" customWidth="1" min="3451" max="3452"/>
    <col width="8.7109375" customWidth="1" min="3453" max="3453"/>
    <col width="16" customWidth="1" min="3454" max="3455"/>
    <col width="8.7109375" customWidth="1" min="3456" max="3456"/>
    <col width="16" customWidth="1" min="3457" max="3458"/>
    <col width="8.7109375" customWidth="1" min="3459" max="3459"/>
    <col width="16" customWidth="1" min="3460" max="3461"/>
    <col width="8.7109375" customWidth="1" min="3462" max="3462"/>
    <col width="16" customWidth="1" min="3463" max="3464"/>
    <col width="8.7109375" customWidth="1" min="3465" max="3465"/>
    <col width="16" customWidth="1" min="3466" max="3467"/>
    <col width="8.7109375" customWidth="1" min="3468" max="3468"/>
    <col width="16" customWidth="1" min="3469" max="3469"/>
    <col width="8.7109375" customWidth="1" min="3470" max="3470"/>
    <col width="16" customWidth="1" min="3471" max="3471"/>
    <col width="8.7109375" customWidth="1" min="3472" max="3472"/>
    <col width="16" customWidth="1" min="3473" max="3473"/>
    <col width="8.7109375" customWidth="1" min="3474" max="3474"/>
    <col width="16" customWidth="1" min="3475" max="3475"/>
    <col width="8.7109375" customWidth="1" min="3476" max="3476"/>
    <col width="16" customWidth="1" min="3477" max="3477"/>
    <col width="8.7109375" customWidth="1" min="3478" max="3478"/>
    <col width="16" customWidth="1" min="3479" max="3479"/>
    <col width="8.7109375" customWidth="1" min="3480" max="3480"/>
    <col width="16" customWidth="1" min="3481" max="3481"/>
    <col width="8.7109375" customWidth="1" min="3482" max="3482"/>
    <col width="16" customWidth="1" min="3483" max="3483"/>
    <col width="8.7109375" customWidth="1" min="3484" max="3484"/>
    <col width="16" customWidth="1" min="3485" max="3486"/>
    <col width="8.7109375" customWidth="1" min="3487" max="3487"/>
    <col width="16" customWidth="1" min="3488" max="3489"/>
    <col width="8.7109375" customWidth="1" min="3490" max="3490"/>
    <col width="16" customWidth="1" min="3491" max="3491"/>
    <col width="8.7109375" customWidth="1" min="3492" max="3493"/>
    <col width="16" customWidth="1" min="3494" max="3495"/>
    <col width="8.7109375" customWidth="1" min="3496" max="3519"/>
    <col width="16" customWidth="1" min="3520" max="3520"/>
    <col width="8.7109375" customWidth="1" min="3521" max="3521"/>
    <col width="16" customWidth="1" min="3522" max="3522"/>
    <col width="8.7109375" customWidth="1" min="3523" max="3523"/>
    <col width="16" customWidth="1" min="3524" max="3524"/>
    <col width="8.7109375" customWidth="1" min="3525" max="3525"/>
    <col width="16" customWidth="1" min="3526" max="3526"/>
    <col width="8.7109375" customWidth="1" min="3527" max="3527"/>
    <col width="16" customWidth="1" min="3528" max="3528"/>
    <col width="8.7109375" customWidth="1" min="3529" max="3545"/>
    <col width="16" customWidth="1" min="3546" max="3546"/>
    <col width="8.7109375" customWidth="1" min="3547" max="3547"/>
    <col width="16" customWidth="1" min="3548" max="3548"/>
    <col width="8.7109375" customWidth="1" min="3549" max="3549"/>
    <col width="16" customWidth="1" min="3550" max="3550"/>
    <col width="8.7109375" customWidth="1" min="3551" max="3551"/>
    <col width="16" customWidth="1" min="3552" max="3552"/>
    <col width="8.7109375" customWidth="1" min="3553" max="3553"/>
    <col width="16" customWidth="1" min="3554" max="3554"/>
    <col width="8.7109375" customWidth="1" min="3555" max="3555"/>
    <col width="16" customWidth="1" min="3556" max="3556"/>
    <col width="8.7109375" customWidth="1" min="3557" max="3557"/>
    <col width="16" customWidth="1" min="3558" max="3558"/>
    <col width="8.7109375" customWidth="1" min="3559" max="3559"/>
    <col width="16" customWidth="1" min="3560" max="3560"/>
    <col width="8.7109375" customWidth="1" min="3561" max="3561"/>
    <col width="16" customWidth="1" min="3562" max="3562"/>
    <col width="8.7109375" customWidth="1" min="3563" max="3570"/>
    <col width="16" customWidth="1" min="3571" max="3571"/>
    <col width="8.7109375" customWidth="1" min="3572" max="3577"/>
    <col width="16" customWidth="1" min="3578" max="3578"/>
    <col width="8.7109375" customWidth="1" min="3579" max="3579"/>
    <col width="16" customWidth="1" min="3580" max="3580"/>
    <col width="8.7109375" customWidth="1" min="3581" max="3581"/>
    <col width="16" customWidth="1" min="3582" max="3582"/>
    <col width="8.7109375" customWidth="1" min="3583" max="3583"/>
    <col width="16" customWidth="1" min="3584" max="3584"/>
    <col width="8.7109375" customWidth="1" min="3585" max="3585"/>
    <col width="16" customWidth="1" min="3586" max="3586"/>
    <col width="8.7109375" customWidth="1" min="3587" max="3587"/>
    <col width="16" customWidth="1" min="3588" max="3588"/>
    <col width="8.7109375" customWidth="1" min="3589" max="3589"/>
    <col width="16" customWidth="1" min="3590" max="3590"/>
    <col width="8.7109375" customWidth="1" min="3591" max="3591"/>
    <col width="16" customWidth="1" min="3592" max="3592"/>
    <col width="8.7109375" customWidth="1" min="3593" max="3593"/>
    <col width="16" customWidth="1" min="3594" max="3594"/>
    <col width="8.7109375" customWidth="1" min="3595" max="3595"/>
    <col width="16" customWidth="1" min="3596" max="3596"/>
    <col width="8.7109375" customWidth="1" min="3597" max="3597"/>
    <col width="16" customWidth="1" min="3598" max="3598"/>
    <col width="8.7109375" customWidth="1" min="3599" max="3599"/>
    <col width="16" customWidth="1" min="3600" max="3600"/>
    <col width="8.7109375" customWidth="1" min="3601" max="3601"/>
    <col width="16" customWidth="1" min="3602" max="3602"/>
    <col width="8.7109375" customWidth="1" min="3603" max="3603"/>
    <col width="16" customWidth="1" min="3604" max="3604"/>
    <col width="8.28515625" customWidth="1" min="3605" max="3605"/>
    <col width="16" customWidth="1" min="3606" max="3606"/>
    <col width="6.7109375" customWidth="1" min="3607" max="3607"/>
    <col width="16" customWidth="1" min="3608" max="3608"/>
    <col width="6.7109375" customWidth="1" min="3609" max="3609"/>
    <col width="16" customWidth="1" min="3610" max="3610"/>
    <col width="6.7109375" customWidth="1" min="3611" max="3611"/>
    <col width="16" customWidth="1" min="3612" max="3612"/>
    <col width="6.7109375" customWidth="1" min="3613" max="3613"/>
    <col width="16" customWidth="1" min="3614" max="3614"/>
    <col width="6.7109375" customWidth="1" min="3615" max="3615"/>
    <col width="16" customWidth="1" min="3616" max="3616"/>
    <col width="6.7109375" customWidth="1" min="3617" max="3620"/>
    <col width="16" customWidth="1" min="3621" max="3621"/>
    <col width="6.7109375" customWidth="1" min="3622" max="3622"/>
    <col width="16" customWidth="1" min="3623" max="3623"/>
    <col width="6.7109375" customWidth="1" min="3624" max="3624"/>
    <col width="16" customWidth="1" min="3625" max="3625"/>
    <col width="6.7109375" customWidth="1" min="3626" max="3626"/>
    <col width="16" customWidth="1" min="3627" max="3627"/>
    <col width="6.7109375" customWidth="1" min="3628" max="3628"/>
    <col width="16" customWidth="1" min="3629" max="3629"/>
    <col width="6.7109375" customWidth="1" min="3630" max="3630"/>
    <col width="16" customWidth="1" min="3631" max="3631"/>
    <col width="6.7109375" customWidth="1" min="3632" max="3632"/>
    <col width="16" customWidth="1" min="3633" max="3633"/>
    <col width="6.7109375" customWidth="1" min="3634" max="3635"/>
    <col width="16" customWidth="1" min="3636" max="3637"/>
    <col width="6.7109375" customWidth="1" min="3638" max="3639"/>
    <col width="16" customWidth="1" min="3640" max="3640"/>
    <col width="6.7109375" customWidth="1" min="3641" max="3646"/>
    <col width="16" customWidth="1" min="3647" max="3647"/>
    <col width="6.7109375" customWidth="1" min="3648" max="3669"/>
    <col width="16" customWidth="1" min="3670" max="3670"/>
    <col width="6.7109375" customWidth="1" min="3671" max="3671"/>
    <col width="16" customWidth="1" min="3672" max="3672"/>
    <col width="6.7109375" customWidth="1" min="3673" max="3675"/>
    <col width="16" customWidth="1" min="3676" max="3676"/>
    <col width="6.7109375" customWidth="1" min="3677" max="3677"/>
    <col width="16" customWidth="1" min="3678" max="3678"/>
    <col width="6.7109375" customWidth="1" min="3679" max="3679"/>
    <col width="16" customWidth="1" min="3680" max="3680"/>
    <col width="6.7109375" customWidth="1" min="3681" max="3681"/>
    <col width="16" customWidth="1" min="3682" max="3682"/>
    <col width="6.7109375" customWidth="1" min="3683" max="3683"/>
    <col width="16" customWidth="1" min="3684" max="3684"/>
    <col width="6.7109375" customWidth="1" min="3685" max="3685"/>
    <col width="16" customWidth="1" min="3686" max="3686"/>
    <col width="6.7109375" customWidth="1" min="3687" max="3687"/>
    <col width="16" customWidth="1" min="3688" max="3688"/>
    <col width="6.7109375" customWidth="1" min="3689" max="3689"/>
    <col width="16" customWidth="1" min="3690" max="3690"/>
    <col width="6.7109375" customWidth="1" min="3691" max="3691"/>
    <col width="16" customWidth="1" min="3692" max="3693"/>
    <col width="6.7109375" customWidth="1" min="3694" max="3694"/>
    <col width="16" customWidth="1" min="3695" max="3696"/>
    <col width="6.7109375" customWidth="1" min="3697" max="3697"/>
    <col width="16" customWidth="1" min="3698" max="3698"/>
    <col width="6.7109375" customWidth="1" min="3699" max="3699"/>
    <col width="16" customWidth="1" min="3700" max="3701"/>
    <col width="6.7109375" customWidth="1" min="3702" max="3702"/>
    <col width="16" customWidth="1" min="3703" max="3704"/>
    <col width="6.7109375" customWidth="1" min="3705" max="3705"/>
    <col width="16" customWidth="1" min="3706" max="3707"/>
    <col width="6.7109375" customWidth="1" min="3708" max="3708"/>
    <col width="16" customWidth="1" min="3709" max="3710"/>
    <col width="6.7109375" customWidth="1" min="3711" max="3711"/>
    <col width="16" customWidth="1" min="3712" max="3713"/>
    <col width="6.7109375" customWidth="1" min="3714" max="3714"/>
    <col width="16" customWidth="1" min="3715" max="3716"/>
    <col width="6.7109375" customWidth="1" min="3717" max="3717"/>
    <col width="16" customWidth="1" min="3718" max="3719"/>
    <col width="6.7109375" customWidth="1" min="3720" max="3720"/>
    <col width="16" customWidth="1" min="3721" max="3722"/>
    <col width="6.7109375" customWidth="1" min="3723" max="3723"/>
    <col width="16" customWidth="1" min="3724" max="3724"/>
    <col width="6.7109375" customWidth="1" min="3725" max="3725"/>
    <col width="16" customWidth="1" min="3726" max="3728"/>
    <col width="6.7109375" customWidth="1" min="3729" max="3730"/>
    <col width="16" customWidth="1" min="3731" max="3732"/>
    <col width="6.7109375" customWidth="1" min="3733" max="3733"/>
    <col width="16" customWidth="1" min="3734" max="3735"/>
    <col width="6.7109375" customWidth="1" min="3736" max="3736"/>
    <col width="16" customWidth="1" min="3737" max="3738"/>
    <col width="6.7109375" customWidth="1" min="3739" max="3739"/>
    <col width="16" customWidth="1" min="3740" max="3741"/>
    <col width="6.7109375" customWidth="1" min="3742" max="3742"/>
    <col width="16" customWidth="1" min="3743" max="3744"/>
    <col width="6.7109375" customWidth="1" min="3745" max="3745"/>
    <col width="16" customWidth="1" min="3746" max="3746"/>
    <col width="6.7109375" customWidth="1" min="3747" max="3747"/>
    <col width="16" customWidth="1" min="3748" max="3748"/>
    <col width="6.7109375" customWidth="1" min="3749" max="3749"/>
    <col width="16" customWidth="1" min="3750" max="3750"/>
    <col width="6.7109375" customWidth="1" min="3751" max="3751"/>
    <col width="16" customWidth="1" min="3752" max="3752"/>
    <col width="6.7109375" customWidth="1" min="3753" max="3753"/>
    <col width="16" customWidth="1" min="3754" max="3754"/>
    <col width="6.7109375" customWidth="1" min="3755" max="3755"/>
    <col width="16" customWidth="1" min="3756" max="3756"/>
    <col width="6.7109375" customWidth="1" min="3757" max="3757"/>
    <col width="16" customWidth="1" min="3758" max="3758"/>
    <col width="6.7109375" customWidth="1" min="3759" max="3759"/>
    <col width="16" customWidth="1" min="3760" max="3760"/>
    <col width="6.7109375" customWidth="1" min="3761" max="3761"/>
    <col width="16" customWidth="1" min="3762" max="3762"/>
    <col width="6.7109375" customWidth="1" min="3763" max="3763"/>
    <col width="16" customWidth="1" min="3764" max="3765"/>
    <col width="6.7109375" customWidth="1" min="3766" max="3766"/>
    <col width="16" customWidth="1" min="3767" max="3767"/>
    <col width="6.7109375" customWidth="1" min="3768" max="3768"/>
    <col width="16" customWidth="1" min="3769" max="3769"/>
    <col width="6.7109375" customWidth="1" min="3770" max="3770"/>
    <col width="16" customWidth="1" min="3771" max="3771"/>
    <col width="6.7109375" customWidth="1" min="3772" max="3772"/>
    <col width="16" customWidth="1" min="3773" max="3773"/>
    <col width="6.7109375" customWidth="1" min="3774" max="3774"/>
    <col width="16" customWidth="1" min="3775" max="3775"/>
    <col width="6.7109375" customWidth="1" min="3776" max="3776"/>
    <col width="16" customWidth="1" min="3777" max="3777"/>
    <col width="6.7109375" customWidth="1" min="3778" max="3778"/>
    <col width="16" customWidth="1" min="3779" max="3779"/>
    <col width="6.7109375" customWidth="1" min="3780" max="3780"/>
    <col width="16" customWidth="1" min="3781" max="3781"/>
    <col width="6.7109375" customWidth="1" min="3782" max="3782"/>
    <col width="16" customWidth="1" min="3783" max="3783"/>
    <col width="6.7109375" customWidth="1" min="3784" max="3784"/>
    <col width="16" customWidth="1" min="3785" max="3785"/>
    <col width="6.7109375" customWidth="1" min="3786" max="3786"/>
    <col width="16" customWidth="1" min="3787" max="3787"/>
    <col width="6.7109375" customWidth="1" min="3788" max="3788"/>
    <col width="16" customWidth="1" min="3789" max="3789"/>
    <col width="6.7109375" customWidth="1" min="3790" max="3790"/>
    <col width="16" customWidth="1" min="3791" max="3791"/>
    <col width="6.7109375" customWidth="1" min="3792" max="3792"/>
    <col width="16" customWidth="1" min="3793" max="3793"/>
    <col width="6.7109375" customWidth="1" min="3794" max="3794"/>
    <col width="16" customWidth="1" min="3795" max="3795"/>
    <col width="6.7109375" customWidth="1" min="3796" max="3796"/>
    <col width="16" customWidth="1" min="3797" max="3797"/>
    <col width="6.7109375" customWidth="1" min="3798" max="3798"/>
    <col width="16" customWidth="1" min="3799" max="3799"/>
    <col width="6.7109375" customWidth="1" min="3800" max="3800"/>
    <col width="16" customWidth="1" min="3801" max="3801"/>
    <col width="6.7109375" customWidth="1" min="3802" max="3803"/>
    <col width="16" customWidth="1" min="3804" max="3804"/>
    <col width="6.7109375" customWidth="1" min="3805" max="3805"/>
    <col width="16" customWidth="1" min="3806" max="3806"/>
    <col width="6.7109375" customWidth="1" min="3807" max="3807"/>
    <col width="16" customWidth="1" min="3808" max="3808"/>
    <col width="6.7109375" customWidth="1" min="3809" max="3809"/>
    <col width="16" customWidth="1" min="3810" max="3810"/>
    <col width="6.7109375" customWidth="1" min="3811" max="3811"/>
    <col width="16" customWidth="1" min="3812" max="3812"/>
    <col width="6.7109375" customWidth="1" min="3813" max="3813"/>
    <col width="16" customWidth="1" min="3814" max="3814"/>
    <col width="6.7109375" customWidth="1" min="3815" max="3815"/>
    <col width="16" customWidth="1" min="3816" max="3816"/>
    <col width="6.7109375" customWidth="1" min="3817" max="3817"/>
    <col width="16" customWidth="1" min="3818" max="3818"/>
    <col width="6.7109375" customWidth="1" min="3819" max="3819"/>
    <col width="16" customWidth="1" min="3820" max="3820"/>
    <col width="6.7109375" customWidth="1" min="3821" max="3821"/>
    <col width="16" customWidth="1" min="3822" max="3822"/>
    <col width="6.7109375" customWidth="1" min="3823" max="3823"/>
    <col width="16" customWidth="1" min="3824" max="3824"/>
    <col width="6.7109375" customWidth="1" min="3825" max="3825"/>
    <col width="16" customWidth="1" min="3826" max="3826"/>
    <col width="6.7109375" customWidth="1" min="3827" max="3829"/>
    <col width="16" customWidth="1" min="3830" max="3831"/>
    <col width="6.7109375" customWidth="1" min="3832" max="3832"/>
    <col width="16" customWidth="1" min="3833" max="3834"/>
    <col width="6.7109375" customWidth="1" min="3835" max="3835"/>
    <col width="16" customWidth="1" min="3836" max="3837"/>
    <col width="6.7109375" customWidth="1" min="3838" max="3838"/>
    <col width="16" customWidth="1" min="3839" max="3840"/>
    <col width="6.7109375" customWidth="1" min="3841" max="3841"/>
    <col width="16" customWidth="1" min="3842" max="3843"/>
    <col width="6.7109375" customWidth="1" min="3844" max="3844"/>
    <col width="16" customWidth="1" min="3845" max="3846"/>
    <col width="6.7109375" customWidth="1" min="3847" max="3847"/>
    <col width="16" customWidth="1" min="3848" max="3849"/>
    <col width="6.7109375" customWidth="1" min="3850" max="3850"/>
    <col width="16" customWidth="1" min="3851" max="3852"/>
    <col width="6.7109375" customWidth="1" min="3853" max="3853"/>
    <col width="16" customWidth="1" min="3854" max="3855"/>
    <col width="6.7109375" customWidth="1" min="3856" max="3856"/>
    <col width="16" customWidth="1" min="3857" max="3858"/>
    <col width="6.7109375" customWidth="1" min="3859" max="3859"/>
    <col width="16" customWidth="1" min="3860" max="3861"/>
    <col width="6.7109375" customWidth="1" min="3862" max="3862"/>
    <col width="16" customWidth="1" min="3863" max="3864"/>
    <col width="6.7109375" customWidth="1" min="3865" max="3865"/>
    <col width="16" customWidth="1" min="3866" max="3867"/>
    <col width="6.7109375" customWidth="1" min="3868" max="3868"/>
    <col width="16" customWidth="1" min="3869" max="3870"/>
    <col width="6.7109375" customWidth="1" min="3871" max="3871"/>
    <col width="16" customWidth="1" min="3872" max="3873"/>
    <col width="6.7109375" customWidth="1" min="3874" max="3874"/>
    <col width="16" customWidth="1" min="3875" max="3876"/>
    <col width="6.7109375" customWidth="1" min="3877" max="3877"/>
    <col width="16" customWidth="1" min="3878" max="3879"/>
    <col width="6.7109375" customWidth="1" min="3880" max="3880"/>
    <col width="16" customWidth="1" min="3881" max="3882"/>
    <col width="6.7109375" customWidth="1" min="3883" max="3883"/>
    <col width="16" customWidth="1" min="3884" max="3885"/>
    <col width="6.7109375" customWidth="1" min="3886" max="3886"/>
    <col width="16" customWidth="1" min="3887" max="3888"/>
    <col width="6.7109375" customWidth="1" min="3889" max="3889"/>
    <col width="16" customWidth="1" min="3890" max="3891"/>
    <col width="6.7109375" customWidth="1" min="3892" max="3892"/>
    <col width="16" customWidth="1" min="3893" max="3894"/>
    <col width="6.7109375" customWidth="1" min="3895" max="3895"/>
    <col width="16" customWidth="1" min="3896" max="3897"/>
    <col width="6.7109375" customWidth="1" min="3898" max="3898"/>
    <col width="16" customWidth="1" min="3899" max="3900"/>
    <col width="6.7109375" customWidth="1" min="3901" max="3901"/>
    <col width="16" customWidth="1" min="3902" max="3902"/>
    <col width="6.7109375" customWidth="1" min="3903" max="3903"/>
    <col width="16" customWidth="1" min="3904" max="3904"/>
    <col width="6.7109375" customWidth="1" min="3905" max="3905"/>
    <col width="16" customWidth="1" min="3906" max="3906"/>
    <col width="6.7109375" customWidth="1" min="3907" max="3907"/>
    <col width="16" customWidth="1" min="3908" max="3908"/>
    <col width="6.7109375" customWidth="1" min="3909" max="3909"/>
    <col width="16" customWidth="1" min="3910" max="3910"/>
    <col width="6.7109375" customWidth="1" min="3911" max="3911"/>
    <col width="16" customWidth="1" min="3912" max="3912"/>
    <col width="6.7109375" customWidth="1" min="3913" max="3913"/>
    <col width="16" customWidth="1" min="3914" max="3914"/>
    <col width="6.7109375" customWidth="1" min="3915" max="3915"/>
    <col width="16" customWidth="1" min="3916" max="3916"/>
    <col width="6.7109375" customWidth="1" min="3917" max="3917"/>
    <col width="16" customWidth="1" min="3918" max="3918"/>
    <col width="6.7109375" customWidth="1" min="3919" max="3919"/>
    <col width="16" customWidth="1" min="3920" max="3920"/>
    <col width="6.7109375" customWidth="1" min="3921" max="3921"/>
    <col width="16" customWidth="1" min="3922" max="3922"/>
    <col width="6.7109375" customWidth="1" min="3923" max="3923"/>
    <col width="16" customWidth="1" min="3924" max="3924"/>
    <col width="6.7109375" customWidth="1" min="3925" max="3925"/>
    <col width="16" customWidth="1" min="3926" max="3926"/>
    <col width="6.7109375" customWidth="1" min="3927" max="3927"/>
    <col width="16" customWidth="1" min="3928" max="3928"/>
    <col width="6.7109375" customWidth="1" min="3929" max="3948"/>
    <col width="16" customWidth="1" min="3949" max="3949"/>
    <col width="6.7109375" customWidth="1" min="3950" max="3950"/>
    <col width="16" customWidth="1" min="3951" max="3951"/>
    <col width="6.7109375" customWidth="1" min="3952" max="3952"/>
    <col width="16" customWidth="1" min="3953" max="3953"/>
    <col width="6.7109375" customWidth="1" min="3954" max="3956"/>
    <col width="16" customWidth="1" min="3957" max="3957"/>
    <col width="6.7109375" customWidth="1" min="3958" max="3958"/>
    <col width="16" customWidth="1" min="3959" max="3959"/>
    <col width="6.7109375" customWidth="1" min="3960" max="3960"/>
    <col width="16" customWidth="1" min="3961" max="3961"/>
    <col width="6.7109375" customWidth="1" min="3962" max="3962"/>
    <col width="16" customWidth="1" min="3963" max="3963"/>
    <col width="6.7109375" customWidth="1" min="3964" max="3965"/>
    <col width="16" customWidth="1" min="3966" max="3966"/>
    <col width="6.7109375" customWidth="1" min="3967" max="3967"/>
    <col width="16" customWidth="1" min="3968" max="3968"/>
    <col width="6.7109375" customWidth="1" min="3969" max="3969"/>
    <col width="16" customWidth="1" min="3970" max="3970"/>
    <col width="6.7109375" customWidth="1" min="3971" max="3971"/>
    <col width="16" customWidth="1" min="3972" max="3972"/>
    <col width="6.7109375" customWidth="1" min="3973" max="3973"/>
    <col width="16" customWidth="1" min="3974" max="3974"/>
    <col width="6.7109375" customWidth="1" min="3975" max="3976"/>
    <col width="16" customWidth="1" min="3977" max="3977"/>
    <col width="6.7109375" customWidth="1" min="3978" max="3978"/>
    <col width="16" customWidth="1" min="3979" max="3979"/>
    <col width="6.7109375" customWidth="1" min="3980" max="3980"/>
    <col width="16" customWidth="1" min="3981" max="3981"/>
    <col width="6.7109375" customWidth="1" min="3982" max="3982"/>
    <col width="16" customWidth="1" min="3983" max="3983"/>
    <col width="6.7109375" customWidth="1" min="3984" max="3984"/>
    <col width="16" customWidth="1" min="3985" max="3985"/>
    <col width="6.7109375" customWidth="1" min="3986" max="3986"/>
    <col width="16" customWidth="1" min="3987" max="3987"/>
    <col width="6.7109375" customWidth="1" min="3988" max="3988"/>
    <col width="16" customWidth="1" min="3989" max="3989"/>
    <col width="6.7109375" customWidth="1" min="3990" max="3990"/>
    <col width="16" customWidth="1" min="3991" max="3991"/>
    <col width="6.7109375" customWidth="1" min="3992" max="3992"/>
    <col width="16" customWidth="1" min="3993" max="3993"/>
    <col width="6.7109375" customWidth="1" min="3994" max="3994"/>
    <col width="16" customWidth="1" min="3995" max="3995"/>
    <col width="6.7109375" customWidth="1" min="3996" max="3996"/>
    <col width="16" customWidth="1" min="3997" max="3997"/>
    <col width="6.7109375" customWidth="1" min="3998" max="3998"/>
    <col width="16" customWidth="1" min="3999" max="3999"/>
    <col width="6.7109375" customWidth="1" min="4000" max="4000"/>
    <col width="16" customWidth="1" min="4001" max="4001"/>
    <col width="6.7109375" customWidth="1" min="4002" max="4002"/>
    <col width="16" customWidth="1" min="4003" max="4003"/>
    <col width="6.7109375" customWidth="1" min="4004" max="4004"/>
    <col width="16" customWidth="1" min="4005" max="4005"/>
    <col width="6.7109375" customWidth="1" min="4006" max="4006"/>
    <col width="16" customWidth="1" min="4007" max="4007"/>
    <col width="6.7109375" customWidth="1" min="4008" max="4008"/>
    <col width="16" customWidth="1" min="4009" max="4009"/>
    <col width="6.7109375" customWidth="1" min="4010" max="4010"/>
    <col width="16" customWidth="1" min="4011" max="4011"/>
    <col width="6.7109375" customWidth="1" min="4012" max="4012"/>
    <col width="16" customWidth="1" min="4013" max="4013"/>
    <col width="6.7109375" customWidth="1" min="4014" max="4014"/>
    <col width="16" customWidth="1" min="4015" max="4016"/>
    <col width="6.7109375" customWidth="1" min="4017" max="4017"/>
    <col width="16" customWidth="1" min="4018" max="4019"/>
    <col width="6.7109375" customWidth="1" min="4020" max="4020"/>
    <col width="16" customWidth="1" min="4021" max="4022"/>
    <col width="6.7109375" customWidth="1" min="4023" max="4024"/>
    <col width="16" customWidth="1" min="4025" max="4025"/>
    <col width="6.7109375" customWidth="1" min="4026" max="4026"/>
    <col width="16" customWidth="1" min="4027" max="4028"/>
    <col width="6.7109375" customWidth="1" min="4029" max="4035"/>
  </cols>
  <sheetData>
    <row r="1" ht="49.35" customHeight="1" thickBot="1">
      <c r="A1" s="292" t="inlineStr">
        <is>
          <t>ESTIMATED BREAKDOWN OF THE LUMP SUM</t>
        </is>
      </c>
    </row>
    <row r="2" ht="56.25" customHeight="1">
      <c r="A2" s="43" t="inlineStr">
        <is>
          <t>BENEFICIARIES \ WORK PACKAGES</t>
        </is>
      </c>
      <c r="B2" s="266" t="inlineStr">
        <is>
          <t>WP1_x000D_
Management, IP and Innovation Management</t>
        </is>
      </c>
      <c r="C2" s="266" t="inlineStr">
        <is>
          <t>WP2_x000D_
Site Characterisation and Demonstrator Engineering</t>
        </is>
      </c>
      <c r="D2" s="266" t="inlineStr">
        <is>
          <t>WP3_x000D_
Integrated Design Verification and Monitoring Specification</t>
        </is>
      </c>
      <c r="E2" s="266" t="inlineStr">
        <is>
          <t>WP4_x000D_
Performance, Durability and Model Validation</t>
        </is>
      </c>
      <c r="F2" s="266" t="inlineStr">
        <is>
          <t>WP5_x000D_
Manufacturing, Instrumentation and Factory Acceptance</t>
        </is>
      </c>
      <c r="G2" s="266" t="inlineStr">
        <is>
          <t>WP6_x000D_
Deployment, Operation and Validation Campaign</t>
        </is>
      </c>
      <c r="H2" s="266" t="inlineStr">
        <is>
          <t>WP7_x000D_
Market Validation, Exploitation and Investment Readiness</t>
        </is>
      </c>
      <c r="I2" s="325" t="inlineStr">
        <is>
          <t>Total</t>
        </is>
      </c>
      <c r="J2" s="325" t="inlineStr">
        <is>
          <t>Pct %</t>
        </is>
      </c>
    </row>
    <row r="3" ht="14.45" customHeight="1">
      <c r="A3" s="265" t="inlineStr">
        <is>
          <t>BE1: SINTEF AS</t>
        </is>
      </c>
      <c r="B3" s="268">
        <f>'BE1'!D43*'BE list'!F4</f>
        <v/>
      </c>
      <c r="C3" s="268">
        <f>'BE1'!D84*'BE list'!F4</f>
        <v/>
      </c>
      <c r="D3" s="268">
        <f>'BE1'!D125*'BE list'!F4</f>
        <v/>
      </c>
      <c r="E3" s="268">
        <f>'BE1'!D166*'BE list'!F4</f>
        <v/>
      </c>
      <c r="F3" s="268">
        <f>'BE1'!D207*'BE list'!F4</f>
        <v/>
      </c>
      <c r="G3" s="268">
        <f>'BE1'!D248*'BE list'!F4</f>
        <v/>
      </c>
      <c r="H3" s="268">
        <f>'BE1'!D289*'BE list'!F4</f>
        <v/>
      </c>
      <c r="I3" s="326">
        <f>SUM(B3:H3)</f>
        <v/>
      </c>
      <c r="J3" s="144">
        <f>IF(I$7&gt;0,I3/I$7," ")</f>
        <v/>
      </c>
    </row>
    <row r="4" ht="14.45" customHeight="1">
      <c r="A4" s="265" t="inlineStr">
        <is>
          <t>BE2: Sunlit Sea AS</t>
        </is>
      </c>
      <c r="B4" s="268">
        <f>'BE2'!D43*'BE list'!F5</f>
        <v/>
      </c>
      <c r="C4" s="268">
        <f>'BE2'!D84*'BE list'!F5</f>
        <v/>
      </c>
      <c r="D4" s="268">
        <f>'BE2'!D125*'BE list'!F5</f>
        <v/>
      </c>
      <c r="E4" s="268">
        <f>'BE2'!D166*'BE list'!F5</f>
        <v/>
      </c>
      <c r="F4" s="268">
        <f>'BE2'!D207*'BE list'!F5</f>
        <v/>
      </c>
      <c r="G4" s="268">
        <f>'BE2'!D248*'BE list'!F5</f>
        <v/>
      </c>
      <c r="H4" s="268">
        <f>'BE2'!D289*'BE list'!F5</f>
        <v/>
      </c>
      <c r="I4" s="326">
        <f>SUM(B4:H4)</f>
        <v/>
      </c>
      <c r="J4" s="144">
        <f>IF(I$7&gt;0,I4/I$7," ")</f>
        <v/>
      </c>
    </row>
    <row r="5" ht="14.45" customHeight="1">
      <c r="A5" s="265" t="inlineStr">
        <is>
          <t>BE3: Clement Gmbh</t>
        </is>
      </c>
      <c r="B5" s="268">
        <f>'BE3'!D43*'BE list'!F6</f>
        <v/>
      </c>
      <c r="C5" s="268">
        <f>'BE3'!D84*'BE list'!F6</f>
        <v/>
      </c>
      <c r="D5" s="268">
        <f>'BE3'!D125*'BE list'!F6</f>
        <v/>
      </c>
      <c r="E5" s="268">
        <f>'BE3'!D166*'BE list'!F6</f>
        <v/>
      </c>
      <c r="F5" s="268">
        <f>'BE3'!D207*'BE list'!F6</f>
        <v/>
      </c>
      <c r="G5" s="268">
        <f>'BE3'!D248*'BE list'!F6</f>
        <v/>
      </c>
      <c r="H5" s="268">
        <f>'BE3'!D289*'BE list'!F6</f>
        <v/>
      </c>
      <c r="I5" s="326">
        <f>SUM(B5:H5)</f>
        <v/>
      </c>
      <c r="J5" s="144">
        <f>IF(I$7&gt;0,I5/I$7," ")</f>
        <v/>
      </c>
    </row>
    <row r="6" ht="14.45" customHeight="1">
      <c r="A6" s="265" t="inlineStr">
        <is>
          <t>BE4: EDP</t>
        </is>
      </c>
      <c r="B6" s="268">
        <f>'BE4'!D43*'BE list'!F7</f>
        <v/>
      </c>
      <c r="C6" s="268">
        <f>'BE4'!D84*'BE list'!F7</f>
        <v/>
      </c>
      <c r="D6" s="268">
        <f>'BE4'!D125*'BE list'!F7</f>
        <v/>
      </c>
      <c r="E6" s="268">
        <f>'BE4'!D166*'BE list'!F7</f>
        <v/>
      </c>
      <c r="F6" s="268">
        <f>'BE4'!D207*'BE list'!F7</f>
        <v/>
      </c>
      <c r="G6" s="268">
        <f>'BE4'!D248*'BE list'!F7</f>
        <v/>
      </c>
      <c r="H6" s="268">
        <f>'BE4'!D289*'BE list'!F7</f>
        <v/>
      </c>
      <c r="I6" s="326">
        <f>SUM(B6:H6)</f>
        <v/>
      </c>
      <c r="J6" s="144">
        <f>IF(I$7&gt;0,I6/I$7," ")</f>
        <v/>
      </c>
    </row>
    <row r="7" ht="14.45" customHeight="1">
      <c r="A7" s="71" t="inlineStr">
        <is>
          <t xml:space="preserve">Total: </t>
        </is>
      </c>
      <c r="B7" s="327">
        <f>SUM(B3:B6)</f>
        <v/>
      </c>
      <c r="C7" s="327">
        <f>SUM(C3:C6)</f>
        <v/>
      </c>
      <c r="D7" s="327">
        <f>SUM(D3:D6)</f>
        <v/>
      </c>
      <c r="E7" s="327">
        <f>SUM(E3:E6)</f>
        <v/>
      </c>
      <c r="F7" s="327">
        <f>SUM(F3:F6)</f>
        <v/>
      </c>
      <c r="G7" s="327">
        <f>SUM(G3:G6)</f>
        <v/>
      </c>
      <c r="H7" s="327">
        <f>SUM(H3:H6)</f>
        <v/>
      </c>
      <c r="I7" s="328">
        <f>SUM(B3:H6)</f>
        <v/>
      </c>
      <c r="J7" s="144">
        <f>IF(I$7&gt;0,I7/I$7," ")</f>
        <v/>
      </c>
    </row>
    <row r="8" ht="14.45" customHeight="1">
      <c r="A8" s="72" t="inlineStr">
        <is>
          <t xml:space="preserve">Percentage: </t>
        </is>
      </c>
      <c r="B8" s="144">
        <f>IF($I7&gt;0,B7/$I7," ")</f>
        <v/>
      </c>
      <c r="C8" s="144">
        <f>IF($I7&gt;0,C7/$I7," ")</f>
        <v/>
      </c>
      <c r="D8" s="144">
        <f>IF($I7&gt;0,D7/$I7," ")</f>
        <v/>
      </c>
      <c r="E8" s="144">
        <f>IF($I7&gt;0,E7/$I7," ")</f>
        <v/>
      </c>
      <c r="F8" s="144">
        <f>IF($I7&gt;0,F7/$I7," ")</f>
        <v/>
      </c>
      <c r="G8" s="144">
        <f>IF($I7&gt;0,G7/$I7," ")</f>
        <v/>
      </c>
      <c r="H8" s="144">
        <f>IF($I7&gt;0,H7/$I7," ")</f>
        <v/>
      </c>
      <c r="I8" s="144">
        <f>IF($I7&gt;0,I7/$I7," ")</f>
        <v/>
      </c>
      <c r="J8" s="61" t="n"/>
    </row>
    <row r="9" ht="14.45" customHeight="1"/>
    <row r="10" ht="14.45" customHeight="1"/>
    <row r="11" ht="14.45" customHeight="1"/>
    <row r="12" ht="14.45" customHeight="1"/>
    <row r="13" ht="14.45" customHeight="1"/>
    <row r="14" ht="14.45" customHeight="1"/>
    <row r="15" ht="14.45" customHeight="1"/>
    <row r="16" ht="14.45" customHeight="1"/>
    <row r="17" ht="14.45" customHeight="1"/>
    <row r="18" ht="14.45" customHeight="1"/>
    <row r="19" ht="14.45" customHeight="1"/>
    <row r="20" ht="14.45" customHeight="1"/>
    <row r="21" ht="14.45" customHeight="1"/>
    <row r="22" ht="14.45" customHeight="1"/>
    <row r="23" ht="14.45" customHeight="1"/>
    <row r="24" ht="14.45" customHeight="1"/>
    <row r="25" ht="14.45" customHeight="1"/>
    <row r="26" ht="14.45" customHeight="1"/>
    <row r="27" ht="14.45" customHeight="1"/>
    <row r="28" ht="14.45" customHeight="1"/>
    <row r="29" ht="14.45" customHeight="1"/>
    <row r="30" ht="14.45" customHeight="1"/>
    <row r="31" ht="14.45" customHeight="1"/>
    <row r="32" ht="14.45" customHeight="1"/>
    <row r="33" ht="14.45" customHeight="1"/>
    <row r="34" ht="14.45" customHeight="1"/>
    <row r="35" ht="14.45" customHeight="1"/>
    <row r="36" ht="14.45" customHeight="1"/>
    <row r="37" ht="14.45" customHeight="1"/>
    <row r="38" ht="14.45" customHeight="1"/>
    <row r="39" ht="14.45" customHeight="1"/>
    <row r="40" ht="14.45" customHeight="1"/>
    <row r="41" ht="14.45" customHeight="1"/>
    <row r="42" ht="14.45" customHeight="1"/>
    <row r="43" ht="14.45" customHeight="1"/>
    <row r="44" ht="14.45" customHeight="1"/>
    <row r="45" ht="14.45" customHeight="1"/>
    <row r="46" ht="14.45" customHeight="1"/>
    <row r="47" ht="14.45" customHeight="1"/>
    <row r="48" ht="14.45" customHeight="1"/>
    <row r="49" ht="14.45" customHeight="1"/>
    <row r="50" ht="14.45" customHeight="1"/>
    <row r="51" ht="14.45" customHeight="1"/>
    <row r="52" ht="14.45" customHeight="1"/>
    <row r="53" ht="14.45" customHeight="1"/>
    <row r="54" ht="14.45" customHeight="1"/>
    <row r="55" ht="14.45" customHeight="1"/>
    <row r="56" ht="14.45" customHeight="1"/>
    <row r="57" ht="14.45" customHeight="1"/>
    <row r="58" ht="14.45" customHeight="1"/>
    <row r="59" ht="14.45" customHeight="1"/>
    <row r="60" ht="14.45" customHeight="1"/>
    <row r="61" ht="14.45" customHeight="1"/>
    <row r="62" ht="14.45" customHeight="1"/>
    <row r="63" ht="14.45" customHeight="1"/>
    <row r="64" ht="14.45" customHeight="1"/>
    <row r="65" ht="14.45" customHeight="1"/>
    <row r="66" ht="14.45" customHeight="1"/>
    <row r="67" ht="14.45" customHeight="1"/>
    <row r="68" ht="14.45" customHeight="1"/>
    <row r="69" ht="14.45" customHeight="1"/>
    <row r="70" ht="14.45" customHeight="1"/>
    <row r="71" ht="14.45" customHeight="1"/>
    <row r="72" ht="14.45" customHeight="1"/>
    <row r="73" ht="14.45" customHeight="1"/>
    <row r="74" ht="14.45" customHeight="1"/>
    <row r="75" ht="14.45" customHeight="1"/>
    <row r="76" ht="14.45" customHeight="1"/>
    <row r="77" ht="14.45" customHeight="1"/>
    <row r="78" ht="14.45" customHeight="1"/>
    <row r="79" ht="14.45" customHeight="1"/>
    <row r="80" ht="14.45" customHeight="1"/>
    <row r="81" ht="14.45" customHeight="1"/>
    <row r="82" ht="14.45" customHeight="1"/>
    <row r="83" ht="14.45" customHeight="1"/>
    <row r="84" ht="14.45" customHeight="1"/>
    <row r="85" ht="14.45" customHeight="1"/>
    <row r="86" ht="14.45" customHeight="1"/>
    <row r="87" ht="14.45" customHeight="1"/>
    <row r="88" ht="14.45" customHeight="1"/>
    <row r="89" ht="14.45" customHeight="1"/>
    <row r="90" ht="14.45" customHeight="1"/>
    <row r="91" ht="14.45" customHeight="1"/>
    <row r="92" ht="14.45" customHeight="1"/>
    <row r="93" ht="14.45" customHeight="1"/>
    <row r="94" ht="14.45" customHeight="1"/>
    <row r="95" ht="14.45" customHeight="1"/>
    <row r="96" ht="14.45" customHeight="1"/>
    <row r="97" ht="14.45" customHeight="1"/>
    <row r="98" ht="14.45" customHeight="1"/>
    <row r="99" ht="14.45" customHeight="1"/>
    <row r="100" ht="14.45" customHeight="1"/>
    <row r="101" ht="14.45" customHeight="1"/>
    <row r="102" ht="14.45" customHeight="1"/>
    <row r="103" ht="14.45" customHeight="1"/>
    <row r="104" ht="14.45" customHeight="1"/>
    <row r="105" ht="14.45" customHeight="1"/>
    <row r="106" ht="14.45" customHeight="1"/>
    <row r="107" ht="14.45" customHeight="1"/>
    <row r="108" ht="14.45" customHeight="1"/>
    <row r="109" ht="14.45" customHeight="1"/>
    <row r="110" ht="14.45" customHeight="1"/>
    <row r="111" ht="14.45" customHeight="1"/>
    <row r="112" ht="14.45" customHeight="1"/>
    <row r="113" ht="14.45" customHeight="1"/>
    <row r="114" ht="14.45" customHeight="1"/>
    <row r="115" ht="14.45" customHeight="1"/>
    <row r="116" ht="14.45" customHeight="1"/>
    <row r="117" ht="14.45" customHeight="1"/>
    <row r="118" ht="14.45" customHeight="1"/>
    <row r="119" ht="14.45" customHeight="1"/>
    <row r="120" ht="14.45" customHeight="1"/>
    <row r="121" ht="14.45" customHeight="1"/>
    <row r="122" ht="14.45" customHeight="1"/>
    <row r="123" ht="14.45" customHeight="1"/>
    <row r="124" ht="14.4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4.45" customHeight="1"/>
    <row r="984" ht="14.45" customHeight="1"/>
    <row r="985" ht="14.45" customHeight="1"/>
    <row r="986" ht="14.45" customHeight="1"/>
    <row r="987" ht="14.45" customHeight="1"/>
    <row r="988" ht="14.45" customHeight="1"/>
    <row r="989" ht="14.45" customHeight="1"/>
    <row r="990" ht="14.45" customHeight="1"/>
    <row r="991" ht="14.45" customHeight="1"/>
    <row r="992" ht="14.45" customHeight="1"/>
    <row r="993" ht="14.45" customHeight="1"/>
    <row r="994" ht="14.45" customHeight="1"/>
    <row r="995" ht="14.45" customHeight="1"/>
    <row r="996" ht="14.45" customHeight="1"/>
    <row r="997" ht="14.45" customHeight="1"/>
    <row r="998" ht="14.45" customHeight="1"/>
    <row r="999" ht="14.45" customHeight="1"/>
    <row r="1000" ht="14.45" customHeight="1"/>
    <row r="1001" ht="14.45" customHeight="1"/>
    <row r="1002" ht="14.45" customHeight="1"/>
    <row r="1003" ht="14.45" customHeight="1"/>
    <row r="1004" ht="14.45" customHeight="1"/>
    <row r="1005" ht="14.45" customHeight="1"/>
    <row r="1006" ht="14.45" customHeight="1"/>
    <row r="1007" ht="14.45" customHeight="1"/>
    <row r="1008" ht="14.45" customHeight="1"/>
    <row r="1009" ht="14.45" customHeight="1"/>
    <row r="1010" ht="14.45" customHeight="1"/>
    <row r="1011" ht="14.45" customHeight="1"/>
    <row r="1012" ht="14.45" customHeight="1"/>
    <row r="1013" ht="14.4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806" ht="15" customHeight="1"/>
    <row r="1807" ht="15" customHeight="1"/>
    <row r="1808" ht="20.1" customHeight="1"/>
    <row r="1809" ht="15" customHeight="1"/>
    <row r="1810" ht="15" customHeight="1"/>
    <row r="1811" ht="15" customHeight="1"/>
    <row r="1812" ht="15" customHeight="1"/>
    <row r="1813" ht="15" customHeight="1"/>
    <row r="1814" ht="15" customHeight="1"/>
    <row r="1815" ht="15" customHeight="1"/>
    <row r="1816" ht="20.1" customHeight="1"/>
    <row r="1817" ht="15" customHeight="1"/>
    <row r="1818" ht="15" customHeight="1"/>
    <row r="1819" ht="15" customHeight="1"/>
    <row r="1820" ht="15" customHeight="1"/>
    <row r="1821" ht="15" customHeight="1"/>
    <row r="1822" ht="15" customHeight="1"/>
    <row r="1823" ht="15" customHeight="1"/>
    <row r="1824" ht="20.1" customHeight="1"/>
    <row r="1825" ht="15" customHeight="1"/>
    <row r="1826" ht="15" customHeight="1"/>
    <row r="1827" ht="15" customHeight="1"/>
    <row r="1828" ht="15" customHeight="1"/>
    <row r="1829" ht="15" customHeight="1"/>
    <row r="1830" ht="15" customHeight="1"/>
    <row r="1831" ht="15" customHeight="1"/>
    <row r="1832" ht="20.1" customHeight="1"/>
    <row r="1833" ht="15" customHeight="1"/>
    <row r="1834" ht="15" customHeight="1"/>
    <row r="1835" ht="15" customHeight="1"/>
    <row r="1836" ht="15" customHeight="1"/>
    <row r="1837" ht="15" customHeight="1"/>
    <row r="1838" ht="20.1" customHeight="1"/>
    <row r="1839" ht="15" customHeight="1"/>
    <row r="1840" ht="15" customHeight="1"/>
    <row r="1841" ht="15" customHeight="1"/>
    <row r="1842" ht="15" customHeight="1"/>
    <row r="1843" ht="15" customHeight="1"/>
    <row r="1844" ht="15" customHeight="1"/>
    <row r="1845" ht="15" customHeight="1"/>
    <row r="1846" ht="20.1" customHeight="1"/>
    <row r="1847" ht="15" customHeight="1"/>
    <row r="1848" ht="15" customHeight="1"/>
    <row r="1849" ht="15" customHeight="1"/>
    <row r="1850" ht="15" customHeight="1"/>
    <row r="1851" ht="15" customHeight="1"/>
    <row r="1852" ht="20.1" customHeight="1"/>
    <row r="1853" ht="15" customHeight="1"/>
    <row r="1854" ht="15" customHeight="1"/>
    <row r="1855" ht="20.1" customHeight="1"/>
    <row r="1856" ht="15" customHeight="1"/>
    <row r="1857" ht="15" customHeight="1"/>
    <row r="1858" ht="20.1" customHeight="1"/>
    <row r="1859" ht="15" customHeight="1"/>
    <row r="1860" ht="20.1" customHeight="1"/>
    <row r="1861" ht="15" customHeight="1"/>
    <row r="1862" ht="20.1" customHeight="1"/>
    <row r="1863" ht="15" customHeight="1"/>
    <row r="1864" ht="20.1" customHeight="1"/>
    <row r="1865" ht="15" customHeight="1"/>
    <row r="1866" ht="20.1"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20.1" customHeight="1"/>
    <row r="1877" ht="15" customHeight="1"/>
    <row r="1878" ht="15" customHeight="1"/>
    <row r="1879" ht="15" customHeight="1"/>
    <row r="1880" ht="20.1" customHeight="1"/>
    <row r="1881" ht="15" customHeight="1"/>
    <row r="1882" ht="15" customHeight="1"/>
    <row r="1883" ht="15" customHeight="1"/>
    <row r="1884" ht="20.1" customHeight="1"/>
    <row r="1885" ht="15" customHeight="1"/>
    <row r="1886" ht="15" customHeight="1"/>
    <row r="1887" ht="15" customHeight="1"/>
    <row r="1888" ht="20.1" customHeight="1"/>
    <row r="1889" ht="15" customHeight="1"/>
    <row r="1890" ht="15" customHeight="1"/>
    <row r="1891" ht="15" customHeight="1"/>
    <row r="1892" ht="20.1" customHeight="1"/>
    <row r="1893" ht="15" customHeight="1"/>
    <row r="1894" ht="15" customHeight="1"/>
    <row r="1895" ht="15" customHeight="1"/>
    <row r="1896" ht="20.1" customHeight="1"/>
    <row r="1897" ht="15" customHeight="1"/>
    <row r="1898" ht="15" customHeight="1"/>
    <row r="1899" ht="15" customHeight="1"/>
    <row r="1900" ht="20.1" customHeight="1"/>
    <row r="1901" ht="15" customHeight="1"/>
    <row r="1902" ht="15" customHeight="1"/>
    <row r="1903" ht="15" customHeight="1"/>
    <row r="1904" ht="20.1" customHeight="1"/>
    <row r="1905" ht="15" customHeight="1"/>
    <row r="1906" ht="15" customHeight="1"/>
    <row r="1907" ht="15" customHeight="1"/>
    <row r="1908" ht="20.1" customHeight="1"/>
    <row r="1909" ht="15" customHeight="1"/>
    <row r="1910" ht="15" customHeight="1"/>
    <row r="1911" ht="15" customHeight="1"/>
    <row r="1912" ht="20.1" customHeight="1"/>
    <row r="1913" ht="15" customHeight="1"/>
    <row r="1914" ht="15" customHeight="1"/>
    <row r="1915" ht="15" customHeight="1"/>
    <row r="1916" ht="20.1" customHeight="1"/>
    <row r="1917" ht="15" customHeight="1"/>
    <row r="1918" ht="15" customHeight="1"/>
    <row r="1919" ht="15" customHeight="1"/>
    <row r="1920" ht="20.1" customHeight="1"/>
    <row r="1921" ht="15" customHeight="1"/>
    <row r="1922" ht="15" customHeight="1"/>
    <row r="1923" ht="20.1" customHeight="1"/>
    <row r="1924" ht="15" customHeight="1"/>
    <row r="1925" ht="15" customHeight="1"/>
    <row r="1926" ht="15" customHeight="1"/>
    <row r="1927" ht="20.1" customHeight="1"/>
    <row r="1928" ht="15" customHeight="1"/>
    <row r="1929" ht="15" customHeight="1"/>
    <row r="1930" ht="15" customHeight="1"/>
    <row r="1931" ht="20.1" customHeight="1"/>
    <row r="1932" ht="15" customHeight="1"/>
    <row r="1933" ht="15" customHeight="1"/>
    <row r="1934" ht="15" customHeight="1"/>
    <row r="1935" ht="20.1" customHeight="1"/>
    <row r="1936" ht="15" customHeight="1"/>
    <row r="1937" ht="15" customHeight="1"/>
    <row r="1938" ht="15" customHeight="1"/>
    <row r="1939" ht="20.1" customHeight="1"/>
    <row r="1940" ht="15" customHeight="1"/>
    <row r="1941" ht="15" customHeight="1"/>
    <row r="1942" ht="15" customHeight="1"/>
    <row r="1943" ht="20.1"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20.1" customHeight="1"/>
    <row r="1970" ht="15" customHeight="1"/>
    <row r="1971" ht="15" customHeight="1"/>
    <row r="1972" ht="15" customHeight="1"/>
    <row r="1973" ht="15" customHeight="1"/>
    <row r="1974" ht="15" customHeight="1"/>
    <row r="1975" ht="15" customHeight="1"/>
    <row r="1976" ht="14.65" customHeight="1"/>
    <row r="1977" ht="14.65" customHeight="1"/>
    <row r="1978" ht="14.65" customHeight="1"/>
    <row r="1979" ht="14.65" customHeight="1"/>
    <row r="1980" ht="15" customHeight="1"/>
    <row r="1981" ht="20.1" customHeight="1"/>
    <row r="1982" ht="15" customHeight="1"/>
    <row r="1983" ht="15" customHeight="1"/>
    <row r="1984" ht="15" customHeight="1"/>
    <row r="1985" ht="20.1" customHeight="1"/>
    <row r="1986" ht="15" customHeight="1"/>
    <row r="1987" ht="15" customHeight="1"/>
    <row r="1988" ht="15" customHeight="1"/>
    <row r="1989" ht="20.1" customHeight="1"/>
    <row r="1990" ht="15" customHeight="1"/>
    <row r="1991" ht="15" customHeight="1"/>
    <row r="1992" ht="15" customHeight="1"/>
    <row r="1993" ht="20.1" customHeight="1"/>
    <row r="1994" ht="15" customHeight="1"/>
    <row r="1995" ht="15" customHeight="1"/>
    <row r="1996" ht="15" customHeight="1"/>
    <row r="1997" ht="20.1" customHeight="1"/>
    <row r="1998" ht="15" customHeight="1"/>
    <row r="1999" ht="15" customHeight="1"/>
    <row r="2000" ht="15" customHeight="1"/>
    <row r="2001" ht="20.1" customHeight="1"/>
    <row r="2002" ht="15" customHeight="1"/>
    <row r="2003" ht="15" customHeight="1"/>
    <row r="2004" ht="15" customHeight="1"/>
    <row r="2005" ht="20.1" customHeight="1"/>
    <row r="2006" ht="15" customHeight="1"/>
    <row r="2007" ht="15" customHeight="1"/>
    <row r="2008" ht="15" customHeight="1"/>
    <row r="2009" ht="20.1" customHeight="1"/>
    <row r="2010" ht="15" customHeight="1"/>
    <row r="2011" ht="15" customHeight="1"/>
    <row r="2012" ht="15" customHeight="1"/>
    <row r="2013" ht="20.1" customHeight="1"/>
    <row r="2014" ht="15" customHeight="1"/>
    <row r="2015" ht="15" customHeight="1"/>
    <row r="2016" ht="15" customHeight="1"/>
    <row r="2017" ht="20.1" customHeight="1"/>
    <row r="2018" ht="15" customHeight="1"/>
    <row r="2019" ht="15" customHeight="1"/>
    <row r="2020" ht="15" customHeight="1"/>
    <row r="2021" ht="20.1" customHeight="1"/>
    <row r="2022" ht="15" customHeight="1"/>
    <row r="2023" ht="15" customHeight="1"/>
    <row r="2024" ht="15" customHeight="1"/>
    <row r="2025" ht="15" customHeight="1"/>
    <row r="2026" ht="20.1" customHeight="1"/>
    <row r="2027" ht="15" customHeight="1"/>
    <row r="2028" ht="15" customHeight="1"/>
    <row r="2029" ht="15" customHeight="1"/>
    <row r="2030" ht="20.1" customHeight="1"/>
    <row r="2031" ht="15" customHeight="1"/>
    <row r="2032" ht="15" customHeight="1"/>
    <row r="2033" ht="15" customHeight="1"/>
    <row r="2034" ht="20.1" customHeight="1"/>
    <row r="2035" ht="15" customHeight="1"/>
    <row r="2036" ht="15" customHeight="1"/>
    <row r="2037" ht="15" customHeight="1"/>
    <row r="2038" ht="20.1" customHeight="1"/>
    <row r="2039" ht="15" customHeight="1"/>
    <row r="2040" ht="15" customHeight="1"/>
    <row r="2041" ht="15" customHeight="1"/>
    <row r="2042" ht="20.1" customHeight="1"/>
    <row r="2043" ht="15" customHeight="1"/>
    <row r="2044" ht="15" customHeight="1"/>
    <row r="2045" ht="15" customHeight="1"/>
    <row r="2046" ht="20.1" customHeight="1"/>
    <row r="2047" ht="15" customHeight="1"/>
    <row r="2048" ht="15" customHeight="1"/>
    <row r="2049" ht="15" customHeight="1"/>
    <row r="2050" ht="20.1" customHeight="1"/>
    <row r="2051" ht="15" customHeight="1"/>
    <row r="2052" ht="15" customHeight="1"/>
    <row r="2053" ht="15" customHeight="1"/>
    <row r="2054" ht="20.1" customHeight="1"/>
    <row r="2055" ht="15" customHeight="1"/>
    <row r="2056" ht="15" customHeight="1"/>
    <row r="2057" ht="15" customHeight="1"/>
    <row r="2058" ht="15" customHeight="1"/>
    <row r="2059" ht="20.1" customHeight="1"/>
    <row r="2060" ht="15" customHeight="1"/>
    <row r="2061" ht="15" customHeight="1"/>
    <row r="2062" ht="15" customHeight="1"/>
    <row r="2063" ht="20.1" customHeight="1"/>
    <row r="2064" ht="15" customHeight="1"/>
    <row r="2065" ht="15" customHeight="1"/>
    <row r="2066" ht="15" customHeight="1"/>
    <row r="2067" ht="20.1" customHeight="1"/>
    <row r="2068" ht="15" customHeight="1"/>
    <row r="2069" ht="15" customHeight="1"/>
    <row r="2070" ht="15" customHeight="1"/>
    <row r="2071" ht="20.1" customHeight="1"/>
    <row r="2072" ht="15" customHeight="1"/>
    <row r="2073" ht="15" customHeight="1"/>
    <row r="2074" ht="15" customHeight="1"/>
    <row r="2075" ht="20.1" customHeight="1"/>
    <row r="2076" ht="15" customHeight="1"/>
    <row r="2077" ht="15" customHeight="1"/>
    <row r="2078" ht="15" customHeight="1"/>
    <row r="2079" ht="20.1" customHeight="1"/>
    <row r="2080" ht="15" customHeight="1"/>
    <row r="2081" ht="15" customHeight="1"/>
    <row r="2082" ht="15" customHeight="1"/>
    <row r="2083" ht="15" customHeight="1"/>
    <row r="2084" ht="20.1" customHeight="1"/>
    <row r="2085" ht="15" customHeight="1"/>
    <row r="2086" ht="15" customHeight="1"/>
    <row r="2087" ht="15" customHeight="1"/>
    <row r="2088" ht="20.1" customHeight="1"/>
    <row r="2089" ht="15" customHeight="1"/>
    <row r="2090" ht="15" customHeight="1"/>
    <row r="2091" ht="15" customHeight="1"/>
    <row r="2092" ht="20.1" customHeight="1"/>
    <row r="2093" ht="15" customHeight="1"/>
    <row r="2094" ht="15" customHeight="1"/>
    <row r="2095" ht="15" customHeight="1"/>
    <row r="2096" ht="15" customHeight="1"/>
    <row r="2097" ht="20.1" customHeight="1"/>
    <row r="2098" ht="15" customHeight="1"/>
    <row r="2099" ht="15" customHeight="1"/>
    <row r="2100" ht="15" customHeight="1"/>
    <row r="2101" ht="20.1" customHeight="1"/>
    <row r="2102" ht="15" customHeight="1"/>
    <row r="2103" ht="15" customHeight="1"/>
    <row r="2104" ht="15" customHeight="1"/>
    <row r="2105" ht="20.1" customHeight="1"/>
    <row r="2106" ht="15" customHeight="1"/>
    <row r="2107" ht="15" customHeight="1"/>
    <row r="2108" ht="15" customHeight="1"/>
    <row r="2109" ht="20.1" customHeight="1"/>
    <row r="2110" ht="15" customHeight="1"/>
    <row r="2111" ht="15" customHeight="1"/>
    <row r="2112" ht="15" customHeight="1"/>
    <row r="2113" ht="20.1" customHeight="1"/>
    <row r="2114" ht="15" customHeight="1"/>
    <row r="2115" ht="15" customHeight="1"/>
    <row r="2116" ht="15" customHeight="1"/>
    <row r="2117" ht="15" customHeight="1"/>
    <row r="2118" ht="20.1" customHeight="1"/>
    <row r="2119" ht="15" customHeight="1"/>
    <row r="2120" ht="15" customHeight="1"/>
    <row r="2121" ht="15" customHeight="1"/>
    <row r="2122" ht="20.1" customHeight="1"/>
    <row r="2123" ht="15" customHeight="1"/>
    <row r="2124" ht="15" customHeight="1"/>
    <row r="2125" ht="15" customHeight="1"/>
    <row r="2126" ht="15" customHeight="1"/>
    <row r="2127" ht="20.1" customHeight="1"/>
    <row r="2128" ht="15" customHeight="1"/>
    <row r="2129" ht="15" customHeight="1"/>
    <row r="2130" ht="15" customHeight="1"/>
    <row r="2131" ht="20.1" customHeight="1"/>
    <row r="2132" ht="15" customHeight="1"/>
    <row r="2133" ht="15" customHeight="1"/>
    <row r="2134" ht="15" customHeight="1"/>
    <row r="2135" ht="20.1" customHeight="1"/>
    <row r="2136" ht="15" customHeight="1"/>
    <row r="2137" ht="15" customHeight="1"/>
    <row r="2138" ht="15" customHeight="1"/>
    <row r="2139" ht="20.1" customHeight="1"/>
    <row r="2140" ht="15" customHeight="1"/>
    <row r="2141" ht="15" customHeight="1"/>
    <row r="2142" ht="15" customHeight="1"/>
    <row r="2143" ht="20.1" customHeight="1"/>
    <row r="2144" ht="15" customHeight="1"/>
    <row r="2145" ht="15" customHeight="1"/>
    <row r="2146" ht="15" customHeight="1"/>
    <row r="2147" ht="15" customHeight="1"/>
    <row r="2148" ht="20.1" customHeight="1"/>
    <row r="2149" ht="15" customHeight="1"/>
    <row r="2150" ht="15" customHeight="1"/>
    <row r="2151" ht="15" customHeight="1"/>
    <row r="2152" ht="20.1"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20.1" customHeight="1"/>
    <row r="2165" ht="15" customHeight="1"/>
    <row r="2166" ht="15" customHeight="1"/>
    <row r="2167" ht="15" customHeight="1"/>
    <row r="2168" ht="20.1" customHeight="1"/>
    <row r="2169" ht="15" customHeight="1"/>
    <row r="2170" ht="15" customHeight="1"/>
    <row r="2171" ht="15" customHeight="1"/>
    <row r="2172" ht="20.1" customHeight="1"/>
    <row r="2173" ht="15" customHeight="1"/>
    <row r="2174" ht="15" customHeight="1"/>
    <row r="2175" ht="15" customHeight="1"/>
    <row r="2176" ht="20.1" customHeight="1"/>
    <row r="2177" ht="15" customHeight="1"/>
    <row r="2178" ht="15" customHeight="1"/>
    <row r="2179" ht="15" customHeight="1"/>
    <row r="2180" ht="20.1" customHeight="1"/>
    <row r="2181" ht="15" customHeight="1"/>
    <row r="2182" ht="15" customHeight="1"/>
    <row r="2183" ht="15" customHeight="1"/>
    <row r="2184" ht="20.1" customHeight="1"/>
    <row r="2185" ht="15" customHeight="1"/>
    <row r="2186" ht="15" customHeight="1"/>
    <row r="2187" ht="15" customHeight="1"/>
    <row r="2188" ht="20.1" customHeight="1"/>
    <row r="2189" ht="15" customHeight="1"/>
    <row r="2190" ht="15" customHeight="1"/>
    <row r="2191" ht="15" customHeight="1"/>
    <row r="2192" ht="20.1" customHeight="1"/>
    <row r="2193" ht="15" customHeight="1"/>
    <row r="2194" ht="15" customHeight="1"/>
    <row r="2195" ht="15" customHeight="1"/>
    <row r="2196" ht="15" customHeight="1"/>
    <row r="2197" ht="20.1" customHeight="1"/>
    <row r="2198" ht="15" customHeight="1"/>
    <row r="2199" ht="15" customHeight="1"/>
    <row r="2200" ht="15" customHeight="1"/>
    <row r="2201" ht="20.1" customHeight="1"/>
    <row r="2202" ht="15" customHeight="1"/>
    <row r="2203" ht="15" customHeight="1"/>
    <row r="2204" ht="15" customHeight="1"/>
    <row r="2205" ht="20.1" customHeight="1"/>
    <row r="2206" ht="15" customHeight="1"/>
    <row r="2207" ht="15" customHeight="1"/>
    <row r="2208" ht="15" customHeight="1"/>
    <row r="2209" ht="15" customHeight="1"/>
    <row r="2210" ht="20.1" customHeight="1"/>
    <row r="2211" ht="15" customHeight="1"/>
    <row r="2212" ht="15" customHeight="1"/>
    <row r="2213" ht="15" customHeight="1"/>
    <row r="2214" ht="20.1" customHeight="1"/>
    <row r="2215" ht="15" customHeight="1"/>
    <row r="2216" ht="15" customHeight="1"/>
    <row r="2217" ht="15" customHeight="1"/>
    <row r="2218" ht="20.1" customHeight="1"/>
    <row r="2219" ht="15" customHeight="1"/>
    <row r="2220" ht="15" customHeight="1"/>
    <row r="2221" ht="15" customHeight="1"/>
    <row r="2222" ht="20.1" customHeight="1"/>
    <row r="2223" ht="15" customHeight="1"/>
    <row r="2224" ht="15" customHeight="1"/>
    <row r="2225" ht="15" customHeight="1"/>
    <row r="2226" ht="15" customHeight="1"/>
    <row r="2227" ht="20.1" customHeight="1"/>
    <row r="2228" ht="15" customHeight="1"/>
    <row r="2229" ht="15" customHeight="1"/>
    <row r="2230" ht="15" customHeight="1"/>
    <row r="2231" ht="20.1" customHeight="1"/>
    <row r="2232" ht="15" customHeight="1"/>
    <row r="2233" ht="15" customHeight="1"/>
    <row r="2234" ht="15" customHeight="1"/>
    <row r="2235" ht="20.1" customHeight="1"/>
    <row r="2236" ht="15" customHeight="1"/>
    <row r="2237" ht="15" customHeight="1"/>
    <row r="2238" ht="15" customHeight="1"/>
    <row r="2239" ht="20.1" customHeight="1"/>
    <row r="2240" ht="15" customHeight="1"/>
    <row r="2241" ht="15" customHeight="1"/>
    <row r="2242" ht="15" customHeight="1"/>
    <row r="2243" ht="20.1" customHeight="1"/>
    <row r="2244" ht="15" customHeight="1"/>
    <row r="2245" ht="15" customHeight="1"/>
    <row r="2246" ht="15" customHeight="1"/>
    <row r="2247" ht="20.1" customHeight="1"/>
    <row r="2248" ht="15" customHeight="1"/>
    <row r="2249" ht="15" customHeight="1"/>
    <row r="2250" ht="15" customHeight="1"/>
    <row r="2251" ht="20.1" customHeight="1"/>
    <row r="2252" ht="15" customHeight="1"/>
    <row r="2253" ht="15" customHeight="1"/>
    <row r="2254" ht="15" customHeight="1"/>
    <row r="2255" ht="20.1" customHeight="1"/>
    <row r="2256" ht="15" customHeight="1"/>
    <row r="2257" ht="15" customHeight="1"/>
    <row r="2258" ht="15" customHeight="1"/>
    <row r="2259" ht="20.1"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20.1" customHeight="1"/>
    <row r="2272" ht="15" customHeight="1"/>
    <row r="2273" ht="15" customHeight="1"/>
    <row r="2274" ht="15" customHeight="1"/>
    <row r="2275" ht="20.1" customHeight="1"/>
    <row r="2276" ht="15" customHeight="1"/>
    <row r="2277" ht="15" customHeight="1"/>
    <row r="2278" ht="15" customHeight="1"/>
    <row r="2279" ht="20.1" customHeight="1"/>
    <row r="2280" ht="15" customHeight="1"/>
    <row r="2281" ht="15" customHeight="1"/>
    <row r="2282" ht="15" customHeight="1"/>
    <row r="2283" ht="20.1" customHeight="1"/>
    <row r="2284" ht="15" customHeight="1"/>
    <row r="2285" ht="15" customHeight="1"/>
    <row r="2286" ht="15" customHeight="1"/>
    <row r="2287" ht="20.1" customHeight="1"/>
    <row r="2288" ht="15" customHeight="1"/>
    <row r="2289" ht="15" customHeight="1"/>
    <row r="2290" ht="15" customHeight="1"/>
    <row r="2291" ht="20.1" customHeight="1"/>
    <row r="2292" ht="15" customHeight="1"/>
    <row r="2293" ht="15" customHeight="1"/>
    <row r="2294" ht="15" customHeight="1"/>
    <row r="2295" ht="20.1" customHeight="1"/>
    <row r="2296" ht="15" customHeight="1"/>
    <row r="2297" ht="15" customHeight="1"/>
    <row r="2298" ht="15" customHeight="1"/>
    <row r="2299" ht="20.1" customHeight="1"/>
    <row r="2300" ht="15" customHeight="1"/>
    <row r="2301" ht="15" customHeight="1"/>
    <row r="2302" ht="15" customHeight="1"/>
    <row r="2303" ht="20.1" customHeight="1"/>
    <row r="2304" ht="15" customHeight="1"/>
    <row r="2305" ht="15" customHeight="1"/>
    <row r="2306" ht="15" customHeight="1"/>
    <row r="2307" ht="20.1" customHeight="1"/>
    <row r="2308" ht="15" customHeight="1"/>
    <row r="2309" ht="15" customHeight="1"/>
    <row r="2310" ht="15" customHeight="1"/>
    <row r="2311" ht="20.1" customHeight="1"/>
    <row r="2312" ht="15" customHeight="1"/>
    <row r="2313" ht="15" customHeight="1"/>
    <row r="2314" ht="15" customHeight="1"/>
    <row r="2315" ht="15" customHeight="1"/>
    <row r="2316" ht="20.1" customHeight="1"/>
    <row r="2317" ht="15" customHeight="1"/>
    <row r="2318" ht="15" customHeight="1"/>
    <row r="2319" ht="15" customHeight="1"/>
    <row r="2320" ht="20.1" customHeight="1"/>
    <row r="2321" ht="15" customHeight="1"/>
    <row r="2322" ht="15" customHeight="1"/>
    <row r="2323" ht="15" customHeight="1"/>
    <row r="2324" ht="15" customHeight="1"/>
    <row r="2325" ht="15" customHeight="1"/>
    <row r="2326" ht="15" customHeight="1"/>
    <row r="2327" ht="15" customHeight="1"/>
    <row r="2328" ht="20.1" customHeight="1"/>
    <row r="2329" ht="15" customHeight="1"/>
    <row r="2330" ht="15" customHeight="1"/>
    <row r="2331" ht="15" customHeight="1"/>
    <row r="2332" ht="20.1" customHeight="1"/>
    <row r="2333" ht="15" customHeight="1"/>
    <row r="2334" ht="15" customHeight="1"/>
    <row r="2335" ht="15" customHeight="1"/>
    <row r="2336" ht="20.1" customHeight="1"/>
    <row r="2337" ht="15" customHeight="1"/>
    <row r="2338" ht="15" customHeight="1"/>
    <row r="2339" ht="15" customHeight="1"/>
    <row r="2340" ht="20.1" customHeight="1"/>
    <row r="2341" ht="15" customHeight="1"/>
    <row r="2342" ht="15" customHeight="1"/>
    <row r="2343" ht="15" customHeight="1"/>
    <row r="2344" ht="20.1" customHeight="1"/>
    <row r="2345" ht="15" customHeight="1"/>
    <row r="2346" ht="15" customHeight="1"/>
    <row r="2347" ht="15" customHeight="1"/>
    <row r="2348" ht="20.1" customHeight="1"/>
    <row r="2349" ht="15" customHeight="1"/>
    <row r="2350" ht="15" customHeight="1"/>
    <row r="2351" ht="15" customHeight="1"/>
    <row r="2352" ht="20.1" customHeight="1"/>
    <row r="2353" ht="15" customHeight="1"/>
    <row r="2354" ht="15" customHeight="1"/>
    <row r="2355" ht="15" customHeight="1"/>
    <row r="2356" ht="20.1" customHeight="1"/>
    <row r="2357" ht="15" customHeight="1"/>
    <row r="2358" ht="15" customHeight="1"/>
    <row r="2359" ht="15" customHeight="1"/>
    <row r="2360" ht="15" customHeight="1"/>
    <row r="2361" ht="20.1" customHeight="1"/>
    <row r="2362" ht="15" customHeight="1"/>
    <row r="2363" ht="15" customHeight="1"/>
    <row r="2364" ht="15" customHeight="1"/>
    <row r="2365" ht="20.1" customHeight="1"/>
    <row r="2366" ht="15" customHeight="1"/>
    <row r="2367" ht="15" customHeight="1"/>
    <row r="2368" ht="15" customHeight="1"/>
    <row r="2369" ht="15" customHeight="1"/>
    <row r="2370" ht="20.1" customHeight="1"/>
    <row r="2371" ht="15" customHeight="1"/>
    <row r="2372" ht="15" customHeight="1"/>
    <row r="2373" ht="15" customHeight="1"/>
    <row r="2374" ht="20.1" customHeight="1"/>
    <row r="2375" ht="15" customHeight="1"/>
    <row r="2376" ht="15" customHeight="1"/>
    <row r="2377" ht="15" customHeight="1"/>
    <row r="2378" ht="15" customHeight="1"/>
    <row r="2379" ht="15" customHeight="1"/>
    <row r="2380" ht="15" customHeight="1"/>
    <row r="2381" ht="15" customHeight="1"/>
    <row r="2382" ht="20.1" customHeight="1"/>
    <row r="2383" ht="15" customHeight="1"/>
    <row r="2384" ht="15" customHeight="1"/>
    <row r="2385" ht="15" customHeight="1"/>
    <row r="2386" ht="15" customHeight="1"/>
    <row r="2387" ht="20.1" customHeight="1"/>
    <row r="2388" ht="15" customHeight="1"/>
    <row r="2389" ht="15" customHeight="1"/>
    <row r="2390" ht="15" customHeight="1"/>
    <row r="2391" ht="20.1" customHeight="1"/>
    <row r="2392" ht="15" customHeight="1"/>
    <row r="2393" ht="15" customHeight="1"/>
    <row r="2394" ht="15" customHeight="1"/>
    <row r="2395" ht="20.1" customHeight="1"/>
    <row r="2396" ht="15" customHeight="1"/>
    <row r="2397" ht="15" customHeight="1"/>
    <row r="2398" ht="15" customHeight="1"/>
    <row r="2399" ht="20.1" customHeight="1"/>
    <row r="2400" ht="15" customHeight="1"/>
    <row r="2401" ht="15" customHeight="1"/>
    <row r="2402" ht="15" customHeight="1"/>
    <row r="2403" ht="20.1" customHeight="1"/>
    <row r="2404" ht="15" customHeight="1"/>
    <row r="2405" ht="15" customHeight="1"/>
    <row r="2406" ht="15" customHeight="1"/>
    <row r="2407" ht="20.1" customHeight="1"/>
    <row r="2408" ht="15" customHeight="1"/>
    <row r="2409" ht="15" customHeight="1"/>
    <row r="2410" ht="15" customHeight="1"/>
    <row r="2411" ht="20.1" customHeight="1"/>
    <row r="2412" ht="15" customHeight="1"/>
    <row r="2413" ht="15" customHeight="1"/>
    <row r="2414" ht="15" customHeight="1"/>
    <row r="2415" ht="20.1" customHeight="1"/>
    <row r="2416" ht="15" customHeight="1"/>
    <row r="2417" ht="15" customHeight="1"/>
    <row r="2418" ht="15" customHeight="1"/>
    <row r="2419" ht="20.1" customHeight="1"/>
    <row r="2420" ht="15" customHeight="1"/>
    <row r="2421" ht="15" customHeight="1"/>
    <row r="2422" ht="15" customHeight="1"/>
    <row r="2423" ht="20.1" customHeight="1"/>
    <row r="2424" ht="15" customHeight="1"/>
    <row r="2425" ht="15" customHeight="1"/>
    <row r="2426" ht="15" customHeight="1"/>
    <row r="2427" ht="20.1" customHeight="1"/>
    <row r="2428" ht="15" customHeight="1"/>
    <row r="2429" ht="15" customHeight="1"/>
    <row r="2430" ht="15" customHeight="1"/>
    <row r="2431" ht="20.1" customHeight="1"/>
    <row r="2432" ht="15" customHeight="1"/>
    <row r="2433" ht="15" customHeight="1"/>
    <row r="2434" ht="15" customHeight="1"/>
    <row r="2435" ht="20.1" customHeight="1"/>
    <row r="2436" ht="15" customHeight="1"/>
    <row r="2437" ht="15" customHeight="1"/>
    <row r="2438" ht="15" customHeight="1"/>
    <row r="2439" ht="20.1" customHeight="1"/>
    <row r="2440" ht="15" customHeight="1"/>
    <row r="2441" ht="15" customHeight="1"/>
    <row r="2442" ht="15" customHeight="1"/>
    <row r="2443" ht="20.1" customHeight="1"/>
    <row r="2444" ht="15" customHeight="1"/>
    <row r="2445" ht="15" customHeight="1"/>
    <row r="2446" ht="15" customHeight="1"/>
    <row r="2447" ht="20.1" customHeight="1"/>
    <row r="2448" ht="15" customHeight="1"/>
    <row r="2449" ht="15" customHeight="1"/>
    <row r="2450" ht="15" customHeight="1"/>
    <row r="2451" ht="20.1" customHeight="1"/>
    <row r="2452" ht="15" customHeight="1"/>
    <row r="2453" ht="15" customHeight="1"/>
    <row r="2454" ht="15" customHeight="1"/>
    <row r="2455" ht="20.1" customHeight="1"/>
    <row r="2456" ht="15" customHeight="1"/>
    <row r="2457" ht="15" customHeight="1"/>
    <row r="2458" ht="15" customHeight="1"/>
    <row r="2459" ht="20.1" customHeight="1"/>
    <row r="2460" ht="15" customHeight="1"/>
    <row r="2461" ht="15" customHeight="1"/>
    <row r="2462" ht="15" customHeight="1"/>
    <row r="2463" ht="20.1" customHeight="1"/>
    <row r="2464" ht="15" customHeight="1"/>
    <row r="2465" ht="15" customHeight="1"/>
    <row r="2466" ht="15" customHeight="1"/>
    <row r="2467" ht="20.1" customHeight="1"/>
    <row r="2468" ht="15" customHeight="1"/>
    <row r="2469" ht="15" customHeight="1"/>
    <row r="2470" ht="15" customHeight="1"/>
    <row r="2471" ht="20.1" customHeight="1"/>
    <row r="2472" ht="15" customHeight="1"/>
    <row r="2473" ht="15" customHeight="1"/>
    <row r="2474" ht="15" customHeight="1"/>
    <row r="2475" ht="20.1" customHeight="1"/>
    <row r="2476" ht="15" customHeight="1"/>
    <row r="2477" ht="15" customHeight="1"/>
    <row r="2478" ht="15" customHeight="1"/>
    <row r="2479" ht="20.1" customHeight="1"/>
    <row r="2480" ht="15" customHeight="1"/>
    <row r="2481" ht="15" customHeight="1"/>
    <row r="2482" ht="15" customHeight="1"/>
    <row r="2483" ht="20.1" customHeight="1"/>
    <row r="2484" ht="15" customHeight="1"/>
    <row r="2485" ht="15" customHeight="1"/>
    <row r="2486" ht="15" customHeight="1"/>
    <row r="2487" ht="20.1" customHeight="1"/>
    <row r="2488" ht="15" customHeight="1"/>
    <row r="2489" ht="15" customHeight="1"/>
    <row r="2490" ht="15" customHeight="1"/>
    <row r="2491" ht="20.1" customHeight="1"/>
    <row r="2492" ht="15" customHeight="1"/>
    <row r="2493" ht="15" customHeight="1"/>
    <row r="2494" ht="15" customHeight="1"/>
    <row r="2495" ht="20.1" customHeight="1"/>
    <row r="2496" ht="15" customHeight="1"/>
    <row r="2497" ht="15" customHeight="1"/>
    <row r="2498" ht="15" customHeight="1"/>
    <row r="2499" ht="20.1" customHeight="1"/>
    <row r="2500" ht="15" customHeight="1"/>
    <row r="2501" ht="15" customHeight="1"/>
    <row r="2502" ht="15" customHeight="1"/>
    <row r="2503" ht="20.1" customHeight="1"/>
    <row r="2504" ht="15" customHeight="1"/>
    <row r="2505" ht="15" customHeight="1"/>
    <row r="2506" ht="15" customHeight="1"/>
    <row r="2507" ht="20.1" customHeight="1"/>
    <row r="2508" ht="15" customHeight="1"/>
    <row r="2509" ht="15" customHeight="1"/>
    <row r="2510" ht="15" customHeight="1"/>
    <row r="2511" ht="20.1" customHeight="1"/>
    <row r="2512" ht="15" customHeight="1"/>
    <row r="2513" ht="15" customHeight="1"/>
    <row r="2514" ht="15" customHeight="1"/>
    <row r="2515" ht="20.1" customHeight="1"/>
    <row r="2516" ht="15" customHeight="1"/>
    <row r="2517" ht="15" customHeight="1"/>
    <row r="2518" ht="15" customHeight="1"/>
    <row r="2519" ht="20.1" customHeight="1"/>
    <row r="2520" ht="15" customHeight="1"/>
    <row r="2521" ht="15" customHeight="1"/>
    <row r="2522" ht="15" customHeight="1"/>
    <row r="2523" ht="20.1" customHeight="1"/>
    <row r="2524" ht="15" customHeight="1"/>
    <row r="2525" ht="15" customHeight="1"/>
    <row r="2526" ht="15" customHeight="1"/>
    <row r="2527" ht="20.1" customHeight="1"/>
    <row r="2528" ht="15" customHeight="1"/>
    <row r="2529" ht="15" customHeight="1"/>
    <row r="2530" ht="15" customHeight="1"/>
    <row r="2531" ht="20.1" customHeight="1"/>
    <row r="2532" ht="15" customHeight="1"/>
    <row r="2533" ht="15" customHeight="1"/>
    <row r="2534" ht="15" customHeight="1"/>
    <row r="2535" ht="20.1" customHeight="1"/>
    <row r="2536" ht="15" customHeight="1"/>
    <row r="2537" ht="15" customHeight="1"/>
    <row r="2538" ht="15" customHeight="1"/>
    <row r="2539" ht="20.1" customHeight="1"/>
    <row r="2540" ht="15" customHeight="1"/>
    <row r="2541" ht="15" customHeight="1"/>
    <row r="2542" ht="15" customHeight="1"/>
    <row r="2543" ht="20.1" customHeight="1"/>
    <row r="2544" ht="15" customHeight="1"/>
    <row r="2545" ht="15" customHeight="1"/>
    <row r="2546" ht="15" customHeight="1"/>
    <row r="2547" ht="20.1" customHeight="1"/>
    <row r="2548" ht="15" customHeight="1"/>
    <row r="2549" ht="15" customHeight="1"/>
    <row r="2550" ht="15" customHeight="1"/>
    <row r="2551" ht="20.1" customHeight="1"/>
    <row r="2552" ht="15" customHeight="1"/>
    <row r="2553" ht="15" customHeight="1"/>
    <row r="2554" ht="15" customHeight="1"/>
    <row r="2555" ht="20.1" customHeight="1"/>
    <row r="2556" ht="15" customHeight="1"/>
    <row r="2557" ht="15" customHeight="1"/>
    <row r="2558" ht="15" customHeight="1"/>
    <row r="2559" ht="20.1" customHeight="1"/>
    <row r="2560" ht="15" customHeight="1"/>
    <row r="2561" ht="15" customHeight="1"/>
    <row r="2562" ht="15" customHeight="1"/>
    <row r="2563" ht="20.1" customHeight="1"/>
    <row r="2564" ht="15" customHeight="1"/>
    <row r="2565" ht="15" customHeight="1"/>
    <row r="2566" ht="15" customHeight="1"/>
    <row r="2567" ht="20.1" customHeight="1"/>
    <row r="2568" ht="15" customHeight="1"/>
    <row r="2569" ht="15" customHeight="1"/>
    <row r="2570" ht="15" customHeight="1"/>
    <row r="2571" ht="20.1" customHeight="1"/>
    <row r="2572" ht="15" customHeight="1"/>
    <row r="2573" ht="15" customHeight="1"/>
    <row r="2574" ht="15" customHeight="1"/>
    <row r="2575" ht="20.1" customHeight="1"/>
    <row r="2576" ht="15" customHeight="1"/>
    <row r="2577" ht="15" customHeight="1"/>
    <row r="2578" ht="15" customHeight="1"/>
    <row r="2579" ht="20.1" customHeight="1"/>
    <row r="2580" ht="15" customHeight="1"/>
    <row r="2581" ht="15" customHeight="1"/>
    <row r="2582" ht="15" customHeight="1"/>
    <row r="2583" ht="20.1" customHeight="1"/>
    <row r="2584" ht="15" customHeight="1"/>
    <row r="2585" ht="15" customHeight="1"/>
    <row r="2586" ht="15" customHeight="1"/>
    <row r="2587" ht="20.1" customHeight="1"/>
    <row r="2588" ht="15" customHeight="1"/>
    <row r="2589" ht="15" customHeight="1"/>
    <row r="2590" ht="15" customHeight="1"/>
    <row r="2591" ht="15" customHeight="1"/>
    <row r="2592" ht="20.1" customHeight="1"/>
    <row r="2593" ht="15" customHeight="1"/>
    <row r="2594" ht="15" customHeight="1"/>
    <row r="2595" ht="15" customHeight="1"/>
    <row r="2596" ht="20.1" customHeight="1"/>
    <row r="2597" ht="15" customHeight="1"/>
    <row r="2598" ht="15" customHeight="1"/>
    <row r="2599" ht="15" customHeight="1"/>
    <row r="2600" ht="20.1" customHeight="1"/>
    <row r="2601" ht="15" customHeight="1"/>
    <row r="2602" ht="15" customHeight="1"/>
    <row r="2603" ht="15" customHeight="1"/>
    <row r="2604" ht="20.1"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20.1" customHeight="1"/>
    <row r="2661" ht="15" customHeight="1"/>
    <row r="2662" ht="15" customHeight="1"/>
    <row r="2663" ht="15" customHeight="1"/>
    <row r="2664" ht="20.1" customHeight="1"/>
    <row r="2665" ht="15" customHeight="1"/>
    <row r="2666" ht="15" customHeight="1"/>
    <row r="2667" ht="15" customHeight="1"/>
    <row r="2668" ht="15" customHeight="1"/>
    <row r="2669" ht="20.1" customHeight="1"/>
    <row r="2670" ht="15" customHeight="1"/>
    <row r="2671" ht="15" customHeight="1"/>
    <row r="2672" ht="15" customHeight="1"/>
    <row r="2673" ht="15" customHeight="1"/>
    <row r="2674" ht="20.1" customHeight="1"/>
    <row r="2675" ht="15" customHeight="1"/>
    <row r="2676" ht="15" customHeight="1"/>
    <row r="2677" ht="15" customHeight="1"/>
    <row r="2678" ht="15" customHeight="1"/>
    <row r="2679" ht="20.1" customHeight="1"/>
    <row r="2680" ht="15" customHeight="1"/>
    <row r="2681" ht="15" customHeight="1"/>
    <row r="2682" ht="15" customHeight="1"/>
    <row r="2683" ht="15" customHeight="1"/>
    <row r="2684" ht="20.1" customHeight="1"/>
    <row r="2685" ht="15" customHeight="1"/>
    <row r="2686" ht="15" customHeight="1"/>
    <row r="2687" ht="15" customHeight="1"/>
    <row r="2688" ht="15" customHeight="1"/>
    <row r="2689" ht="20.1" customHeight="1"/>
    <row r="2690" ht="15" customHeight="1"/>
    <row r="2691" ht="15" customHeight="1"/>
    <row r="2692" ht="15" customHeight="1"/>
    <row r="2693" ht="15" customHeight="1"/>
    <row r="2694" ht="20.1" customHeight="1"/>
    <row r="2695" ht="15" customHeight="1"/>
    <row r="2696" ht="15" customHeight="1"/>
    <row r="2697" ht="15" customHeight="1"/>
    <row r="2698" ht="15" customHeight="1"/>
    <row r="2699" ht="20.1" customHeight="1"/>
    <row r="2700" ht="15" customHeight="1"/>
    <row r="2701" ht="15" customHeight="1"/>
    <row r="2702" ht="15" customHeight="1"/>
    <row r="2703" ht="15" customHeight="1"/>
    <row r="2704" ht="20.1" customHeight="1"/>
    <row r="2705" ht="15" customHeight="1"/>
    <row r="2706" ht="15" customHeight="1"/>
    <row r="2707" ht="15" customHeight="1"/>
    <row r="2708" ht="15" customHeight="1"/>
    <row r="2709" ht="20.1" customHeight="1"/>
    <row r="2710" ht="15" customHeight="1"/>
    <row r="2711" ht="15" customHeight="1"/>
    <row r="2712" ht="15" customHeight="1"/>
    <row r="2713" ht="15" customHeight="1"/>
    <row r="2714" ht="20.1"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20.1" customHeight="1"/>
    <row r="2732" ht="15" customHeight="1"/>
    <row r="2733" ht="15" customHeight="1"/>
    <row r="2734" ht="15" customHeight="1"/>
    <row r="2735" ht="15" customHeight="1"/>
    <row r="2736" ht="15" customHeight="1"/>
    <row r="2737" ht="15" customHeight="1"/>
    <row r="2738" ht="15" customHeight="1"/>
    <row r="2739" ht="15" customHeight="1"/>
    <row r="2740" ht="20.1"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20.1" customHeight="1"/>
    <row r="2765" ht="15" customHeight="1"/>
    <row r="2766" ht="15" customHeight="1"/>
    <row r="2767" ht="15" customHeight="1"/>
    <row r="2768" ht="20.1" customHeight="1"/>
    <row r="2769" ht="15" customHeight="1"/>
    <row r="2770" ht="15" customHeight="1"/>
    <row r="2771" ht="15" customHeight="1"/>
    <row r="2772" ht="20.1" customHeight="1"/>
    <row r="2773" ht="15" customHeight="1"/>
    <row r="2774" ht="15" customHeight="1"/>
    <row r="2775" ht="15" customHeight="1"/>
    <row r="2776" ht="20.1" customHeight="1"/>
    <row r="2777" ht="15" customHeight="1"/>
    <row r="2778" ht="15" customHeight="1"/>
    <row r="2779" ht="15" customHeight="1"/>
    <row r="2780" ht="20.1" customHeight="1"/>
    <row r="2781" ht="15" customHeight="1"/>
    <row r="2782" ht="15" customHeight="1"/>
    <row r="2783" ht="15" customHeight="1"/>
    <row r="2784" ht="15" customHeight="1"/>
    <row r="2785" ht="20.1" customHeight="1"/>
    <row r="2786" ht="15" customHeight="1"/>
    <row r="2787" ht="15" customHeight="1"/>
    <row r="2788" ht="15" customHeight="1"/>
    <row r="2789" ht="15" customHeight="1"/>
    <row r="2790" ht="20.1" customHeight="1"/>
    <row r="2791" ht="15" customHeight="1"/>
    <row r="2792" ht="15" customHeight="1"/>
    <row r="2793" ht="15" customHeight="1"/>
    <row r="2794" ht="20.1" customHeight="1"/>
    <row r="2795" ht="15" customHeight="1"/>
    <row r="2796" ht="15" customHeight="1"/>
    <row r="2797" ht="15" customHeight="1"/>
    <row r="2798" ht="20.1" customHeight="1"/>
    <row r="2799" ht="15" customHeight="1"/>
    <row r="2800" ht="15" customHeight="1"/>
    <row r="2801" ht="15" customHeight="1"/>
    <row r="2802" ht="20.1" customHeight="1"/>
    <row r="2803" ht="15" customHeight="1"/>
    <row r="2804" ht="15" customHeight="1"/>
    <row r="2805" ht="15" customHeight="1"/>
    <row r="2806" ht="20.1" customHeight="1"/>
    <row r="2807" ht="15" customHeight="1"/>
    <row r="2808" ht="15" customHeight="1"/>
    <row r="2809" ht="15" customHeight="1"/>
    <row r="2810" ht="20.1" customHeight="1"/>
    <row r="2811" ht="15" customHeight="1"/>
    <row r="2812" ht="15" customHeight="1"/>
    <row r="2813" ht="15" customHeight="1"/>
    <row r="2814" ht="20.1" customHeight="1"/>
    <row r="2815" ht="15" customHeight="1"/>
    <row r="2816" ht="15" customHeight="1"/>
    <row r="2817" ht="15" customHeight="1"/>
    <row r="2818" ht="20.1" customHeight="1"/>
    <row r="2819" ht="15" customHeight="1"/>
    <row r="2820" ht="15" customHeight="1"/>
    <row r="2821" ht="15" customHeight="1"/>
    <row r="2822" ht="20.1" customHeight="1"/>
    <row r="2823" ht="15" customHeight="1"/>
    <row r="2824" ht="15" customHeight="1"/>
    <row r="2825" ht="15" customHeight="1"/>
    <row r="2826" ht="20.1" customHeight="1"/>
    <row r="2827" ht="15" customHeight="1"/>
    <row r="2828" ht="15" customHeight="1"/>
    <row r="2829" ht="15" customHeight="1"/>
    <row r="2830" ht="20.1" customHeight="1"/>
    <row r="2831" ht="15" customHeight="1"/>
    <row r="2832" ht="15" customHeight="1"/>
    <row r="2833" ht="15" customHeight="1"/>
    <row r="2834" ht="20.1" customHeight="1"/>
    <row r="2835" ht="15" customHeight="1"/>
    <row r="2836" ht="15" customHeight="1"/>
    <row r="2837" ht="15" customHeight="1"/>
    <row r="2838" ht="20.1" customHeight="1"/>
    <row r="2839" ht="15" customHeight="1"/>
    <row r="2840" ht="15" customHeight="1"/>
    <row r="2841" ht="15" customHeight="1"/>
    <row r="2842" ht="20.1" customHeight="1"/>
    <row r="2843" ht="15" customHeight="1"/>
    <row r="2844" ht="15" customHeight="1"/>
    <row r="2845" ht="15" customHeight="1"/>
    <row r="2846" ht="20.1" customHeight="1"/>
    <row r="2847" ht="15" customHeight="1"/>
    <row r="2848" ht="15" customHeight="1"/>
    <row r="2849" ht="15" customHeight="1"/>
    <row r="2850" ht="20.1" customHeight="1"/>
    <row r="2851" ht="15" customHeight="1"/>
    <row r="2852" ht="15" customHeight="1"/>
    <row r="2853" ht="15" customHeight="1"/>
    <row r="2854" ht="20.1" customHeight="1"/>
    <row r="2855" ht="15" customHeight="1"/>
    <row r="2856" ht="15" customHeight="1"/>
    <row r="2857" ht="15" customHeight="1"/>
    <row r="2858" ht="20.1" customHeight="1"/>
    <row r="2859" ht="15" customHeight="1"/>
    <row r="2860" ht="15" customHeight="1"/>
    <row r="2861" ht="15" customHeight="1"/>
    <row r="2862" ht="20.1" customHeight="1"/>
    <row r="2863" ht="15" customHeight="1"/>
    <row r="2864" ht="15" customHeight="1"/>
    <row r="2865" ht="15" customHeight="1"/>
    <row r="2866" ht="20.1" customHeight="1"/>
    <row r="2867" ht="15" customHeight="1"/>
    <row r="2868" ht="15" customHeight="1"/>
    <row r="2869" ht="15" customHeight="1"/>
    <row r="2870" ht="20.1" customHeight="1"/>
    <row r="2871" ht="15" customHeight="1"/>
    <row r="2872" ht="15" customHeight="1"/>
    <row r="2873" ht="15" customHeight="1"/>
    <row r="2874" ht="20.1" customHeight="1"/>
    <row r="2875" ht="15" customHeight="1"/>
    <row r="2876" ht="15" customHeight="1"/>
    <row r="2877" ht="15" customHeight="1"/>
    <row r="2878" ht="20.1" customHeight="1"/>
    <row r="2879" ht="15" customHeight="1"/>
    <row r="2880" ht="15" customHeight="1"/>
    <row r="2881" ht="15" customHeight="1"/>
    <row r="2882" ht="20.1" customHeight="1"/>
    <row r="2883" ht="15" customHeight="1"/>
    <row r="2884" ht="15" customHeight="1"/>
    <row r="2885" ht="15" customHeight="1"/>
    <row r="2886" ht="20.1" customHeight="1"/>
    <row r="2887" ht="15" customHeight="1"/>
    <row r="2888" ht="15" customHeight="1"/>
    <row r="2889" ht="15" customHeight="1"/>
    <row r="2890" ht="20.1" customHeight="1"/>
    <row r="2891" ht="15" customHeight="1"/>
    <row r="2892" ht="14.65" customHeight="1"/>
    <row r="2893" ht="20.1"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20.1" customHeight="1"/>
    <row r="2934" ht="15" customHeight="1"/>
    <row r="2935" ht="15" customHeight="1"/>
    <row r="2936" ht="20.1" customHeight="1"/>
    <row r="2937" ht="15" customHeight="1"/>
    <row r="2938" ht="15" customHeight="1"/>
    <row r="2939" ht="20.1" customHeight="1"/>
    <row r="2940" ht="15" customHeight="1"/>
    <row r="2941" ht="15" customHeight="1"/>
    <row r="2942" ht="15" customHeight="1"/>
    <row r="2943" ht="15" customHeight="1"/>
    <row r="2944" ht="20.1"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20.1" customHeight="1"/>
    <row r="2959" ht="15" customHeight="1"/>
    <row r="2960" ht="15" customHeight="1"/>
    <row r="2961" ht="15" customHeight="1"/>
    <row r="2962" ht="15" customHeight="1"/>
    <row r="2963" ht="15" customHeight="1"/>
    <row r="2964" ht="20.1" customHeight="1"/>
    <row r="2965" ht="15" customHeight="1"/>
    <row r="2966" ht="15" customHeight="1"/>
    <row r="2967" ht="15" customHeight="1"/>
    <row r="2968" ht="15" customHeight="1"/>
    <row r="2969" ht="15" customHeight="1"/>
    <row r="2970" ht="20.1" customHeight="1"/>
    <row r="2971" ht="15" customHeight="1"/>
    <row r="2972" ht="15" customHeight="1"/>
    <row r="2973" ht="15" customHeight="1"/>
    <row r="2974" ht="15" customHeight="1"/>
    <row r="2975" ht="20.1" customHeight="1"/>
    <row r="2976" ht="15" customHeight="1"/>
    <row r="2977" ht="15" customHeight="1"/>
    <row r="2978" ht="15" customHeight="1"/>
    <row r="2979" ht="15" customHeight="1"/>
    <row r="2980" ht="20.1" customHeight="1"/>
    <row r="2981" ht="15" customHeight="1"/>
    <row r="2982" ht="15" customHeight="1"/>
    <row r="2983" ht="15" customHeight="1"/>
    <row r="2984" ht="15" customHeight="1"/>
    <row r="2985" ht="20.1" customHeight="1"/>
    <row r="2986" ht="15" customHeight="1"/>
    <row r="2987" ht="15" customHeight="1"/>
    <row r="2988" ht="15" customHeight="1"/>
    <row r="2989" ht="15" customHeight="1"/>
    <row r="2990" ht="20.1" customHeight="1"/>
    <row r="2991" ht="15" customHeight="1"/>
    <row r="2992" ht="15" customHeight="1"/>
    <row r="2993" ht="15" customHeight="1"/>
    <row r="2994" ht="15" customHeight="1"/>
    <row r="2995" ht="20.1" customHeight="1"/>
    <row r="2996" ht="15" customHeight="1"/>
    <row r="2997" ht="15" customHeight="1"/>
    <row r="2998" ht="15" customHeight="1"/>
    <row r="2999" ht="15" customHeight="1"/>
    <row r="3000" ht="20.1" customHeight="1"/>
    <row r="3001" ht="15" customHeight="1"/>
    <row r="3002" ht="15" customHeight="1"/>
    <row r="3003" ht="15" customHeight="1"/>
    <row r="3004" ht="15" customHeight="1"/>
    <row r="3005" ht="20.1" customHeight="1"/>
    <row r="3006" ht="15" customHeight="1"/>
    <row r="3007" ht="15" customHeight="1"/>
    <row r="3008" ht="15" customHeight="1"/>
    <row r="3009" ht="15" customHeight="1"/>
    <row r="3010" ht="20.1" customHeight="1"/>
    <row r="3011" ht="15" customHeight="1"/>
    <row r="3012" ht="15" customHeight="1"/>
    <row r="3013" ht="15" customHeight="1"/>
    <row r="3014" ht="15" customHeight="1"/>
    <row r="3015" ht="20.1" customHeight="1"/>
    <row r="3016" ht="15" customHeight="1"/>
    <row r="3017" ht="15" customHeight="1"/>
    <row r="3018" ht="15" customHeight="1"/>
    <row r="3019" ht="15" customHeight="1"/>
    <row r="3020" ht="20.1" customHeight="1"/>
    <row r="3021" ht="15" customHeight="1"/>
    <row r="3022" ht="15" customHeight="1"/>
    <row r="3023" ht="15" customHeight="1"/>
    <row r="3024" ht="15" customHeight="1"/>
    <row r="3025" ht="15" customHeight="1"/>
    <row r="3026" ht="20.1" customHeight="1"/>
    <row r="3027" ht="15" customHeight="1"/>
    <row r="3028" ht="15" customHeight="1"/>
    <row r="3029" ht="15" customHeight="1"/>
    <row r="3030" ht="15" customHeight="1"/>
    <row r="3031" ht="15" customHeight="1"/>
    <row r="3032" ht="15" customHeight="1"/>
    <row r="3033" ht="20.1" customHeight="1"/>
    <row r="3034" ht="15" customHeight="1"/>
    <row r="3035" ht="15" customHeight="1"/>
    <row r="3036" ht="15" customHeight="1"/>
    <row r="3037" ht="15" customHeight="1"/>
    <row r="3038" ht="15" customHeight="1"/>
    <row r="3039" ht="20.1"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20.1" customHeight="1"/>
    <row r="3067" ht="15" customHeight="1"/>
    <row r="3068" ht="15" customHeight="1"/>
    <row r="3069" ht="15" customHeight="1"/>
    <row r="3070" ht="15" customHeight="1"/>
    <row r="3071" ht="20.1" customHeight="1"/>
    <row r="3072" ht="15" customHeight="1"/>
    <row r="3073" ht="15" customHeight="1"/>
    <row r="3074" ht="15" customHeight="1"/>
    <row r="3075" ht="15" customHeight="1"/>
    <row r="3076" ht="20.1"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20.1" customHeight="1"/>
    <row r="3100" ht="15" customHeight="1"/>
    <row r="3101" ht="15" customHeight="1"/>
    <row r="3102" ht="15" customHeight="1"/>
    <row r="3103" ht="15" customHeight="1"/>
    <row r="3104" ht="15" customHeight="1"/>
    <row r="3105" ht="20.1" customHeight="1"/>
    <row r="3106" ht="15" customHeight="1"/>
    <row r="3107" ht="15" customHeight="1"/>
    <row r="3108" ht="15" customHeight="1"/>
    <row r="3109" ht="15" customHeight="1"/>
    <row r="3110" ht="15" customHeight="1"/>
    <row r="3111" ht="20.1" customHeight="1"/>
    <row r="3112" ht="15" customHeight="1"/>
    <row r="3113" ht="15" customHeight="1"/>
    <row r="3114" ht="15" customHeight="1"/>
    <row r="3115" ht="15" customHeight="1"/>
    <row r="3116" ht="15" customHeight="1"/>
    <row r="3117" ht="20.1" customHeight="1"/>
    <row r="3118" ht="15" customHeight="1"/>
    <row r="3119" ht="15" customHeight="1"/>
    <row r="3120" ht="15" customHeight="1"/>
    <row r="3121" ht="15" customHeight="1"/>
    <row r="3122" ht="15" customHeight="1"/>
    <row r="3123" ht="20.1"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20.1" customHeight="1"/>
    <row r="3144" ht="15" customHeight="1"/>
    <row r="3145" ht="15" customHeight="1"/>
    <row r="3146" ht="15" customHeight="1"/>
    <row r="3147" ht="15" customHeight="1"/>
    <row r="3148" ht="15" customHeight="1"/>
    <row r="3149" ht="15" customHeight="1"/>
    <row r="3150" ht="20.1" customHeight="1"/>
    <row r="3151" ht="15" customHeight="1"/>
    <row r="3152" ht="15" customHeight="1"/>
    <row r="3153" ht="15" customHeight="1"/>
    <row r="3154" ht="15" customHeight="1"/>
    <row r="3155" ht="15" customHeight="1"/>
    <row r="3156" ht="15" customHeight="1"/>
    <row r="3157" ht="15" customHeight="1"/>
    <row r="3158" ht="20.1"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20.1" customHeight="1"/>
    <row r="3169" ht="15" customHeight="1"/>
    <row r="3170" ht="15" customHeight="1"/>
    <row r="3171" ht="15" customHeight="1"/>
    <row r="3172" ht="15" customHeight="1"/>
    <row r="3173" ht="15" customHeight="1"/>
    <row r="3174" ht="20.1" customHeight="1"/>
    <row r="3175" ht="15" customHeight="1"/>
    <row r="3176" ht="15" customHeight="1"/>
    <row r="3177" ht="15" customHeight="1"/>
    <row r="3178" ht="15" customHeight="1"/>
    <row r="3179" ht="15" customHeight="1"/>
    <row r="3180" ht="20.1" customHeight="1"/>
    <row r="3181" ht="15" customHeight="1"/>
    <row r="3182" ht="15" customHeight="1"/>
    <row r="3183" ht="15" customHeight="1"/>
    <row r="3184" ht="15" customHeight="1"/>
    <row r="3185" ht="15" customHeight="1"/>
    <row r="3186" ht="20.1" customHeight="1"/>
    <row r="3187" ht="15" customHeight="1"/>
    <row r="3188" ht="15" customHeight="1"/>
    <row r="3189" ht="15" customHeight="1"/>
    <row r="3190" ht="15" customHeight="1"/>
    <row r="3191" ht="15" customHeight="1"/>
    <row r="3192" ht="20.1" customHeight="1"/>
    <row r="3193" ht="15" customHeight="1"/>
    <row r="3194" ht="15" customHeight="1"/>
    <row r="3195" ht="15" customHeight="1"/>
    <row r="3196" ht="15" customHeight="1"/>
    <row r="3197" ht="15" customHeight="1"/>
    <row r="3198" ht="20.1" customHeight="1"/>
    <row r="3199" ht="15" customHeight="1"/>
    <row r="3200" ht="15" customHeight="1"/>
    <row r="3201" ht="15" customHeight="1"/>
    <row r="3202" ht="15" customHeight="1"/>
    <row r="3203" ht="15" customHeight="1"/>
    <row r="3204" ht="20.1" customHeight="1"/>
    <row r="3205" ht="15" customHeight="1"/>
    <row r="3206" ht="15" customHeight="1"/>
    <row r="3207" ht="15" customHeight="1"/>
    <row r="3208" ht="15" customHeight="1"/>
    <row r="3209" ht="15" customHeight="1"/>
    <row r="3210" ht="20.1" customHeight="1"/>
    <row r="3211" ht="15" customHeight="1"/>
    <row r="3212" ht="15" customHeight="1"/>
    <row r="3213" ht="15" customHeight="1"/>
    <row r="3214" ht="15" customHeight="1"/>
    <row r="3215" ht="15" customHeight="1"/>
    <row r="3216" ht="20.1" customHeight="1"/>
    <row r="3217" ht="15" customHeight="1"/>
    <row r="3218" ht="15" customHeight="1"/>
    <row r="3219" ht="15" customHeight="1"/>
    <row r="3220" ht="15" customHeight="1"/>
    <row r="3221" ht="15" customHeight="1"/>
    <row r="3222" ht="20.1" customHeight="1"/>
    <row r="3223" ht="15" customHeight="1"/>
    <row r="3224" ht="15" customHeight="1"/>
    <row r="3225" ht="15" customHeight="1"/>
    <row r="3226" ht="15" customHeight="1"/>
    <row r="3227" ht="15" customHeight="1"/>
    <row r="3228" ht="20.1" customHeight="1"/>
    <row r="3229" ht="15" customHeight="1"/>
    <row r="3230" ht="15" customHeight="1"/>
    <row r="3231" ht="15" customHeight="1"/>
    <row r="3232" ht="15" customHeight="1"/>
    <row r="3233" ht="15" customHeight="1"/>
    <row r="3234" ht="20.1" customHeight="1"/>
    <row r="3235" ht="15" customHeight="1"/>
    <row r="3236" ht="15" customHeight="1"/>
    <row r="3237" ht="15" customHeight="1"/>
    <row r="3238" ht="15" customHeight="1"/>
    <row r="3239" ht="15" customHeight="1"/>
    <row r="3240" ht="20.1" customHeight="1"/>
    <row r="3241" ht="15" customHeight="1"/>
    <row r="3242" ht="15" customHeight="1"/>
    <row r="3243" ht="15" customHeight="1"/>
    <row r="3244" ht="15" customHeight="1"/>
    <row r="3245" ht="15" customHeight="1"/>
    <row r="3246" ht="20.1" customHeight="1"/>
    <row r="3247" ht="15" customHeight="1"/>
    <row r="3248" ht="15" customHeight="1"/>
    <row r="3249" ht="15" customHeight="1"/>
    <row r="3250" ht="15" customHeight="1"/>
    <row r="3251" ht="15" customHeight="1"/>
    <row r="3252" ht="20.1" customHeight="1"/>
    <row r="3253" ht="15" customHeight="1"/>
    <row r="3254" ht="15" customHeight="1"/>
    <row r="3255" ht="15" customHeight="1"/>
    <row r="3256" ht="15" customHeight="1"/>
    <row r="3257" ht="15" customHeight="1"/>
    <row r="3258" ht="20.1" customHeight="1"/>
    <row r="3259" ht="15" customHeight="1"/>
    <row r="3260" ht="15" customHeight="1"/>
    <row r="3261" ht="15" customHeight="1"/>
    <row r="3262" ht="15" customHeight="1"/>
    <row r="3263" ht="15" customHeight="1"/>
    <row r="3264" ht="20.1" customHeight="1"/>
    <row r="3265" ht="15" customHeight="1"/>
    <row r="3266" ht="15" customHeight="1"/>
    <row r="3267" ht="15" customHeight="1"/>
    <row r="3268" ht="15" customHeight="1"/>
    <row r="3269" ht="15" customHeight="1"/>
    <row r="3270" ht="20.1" customHeight="1"/>
    <row r="3271" ht="15" customHeight="1"/>
    <row r="3272" ht="15" customHeight="1"/>
    <row r="3273" ht="15" customHeight="1"/>
    <row r="3274" ht="15" customHeight="1"/>
    <row r="3275" ht="15" customHeight="1"/>
    <row r="3276" ht="20.1" customHeight="1"/>
    <row r="3277" ht="15" customHeight="1"/>
    <row r="3278" ht="15" customHeight="1"/>
    <row r="3279" ht="15" customHeight="1"/>
    <row r="3280" ht="15" customHeight="1"/>
    <row r="3281" ht="15" customHeight="1"/>
    <row r="3282" ht="20.1"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20.1" customHeight="1"/>
    <row r="3298" ht="15" customHeight="1"/>
    <row r="3299" ht="15" customHeight="1"/>
    <row r="3300" ht="15" customHeight="1"/>
    <row r="3301" ht="15" customHeight="1"/>
    <row r="3302" ht="20.1" customHeight="1"/>
    <row r="3303" ht="15" customHeight="1"/>
    <row r="3304" ht="15" customHeight="1"/>
    <row r="3305" ht="15" customHeight="1"/>
    <row r="3306" ht="15" customHeight="1"/>
    <row r="3307" ht="20.1" customHeight="1"/>
    <row r="3308" ht="15" customHeight="1"/>
    <row r="3309" ht="15" customHeight="1"/>
    <row r="3310" ht="15" customHeight="1"/>
    <row r="3311" ht="15" customHeight="1"/>
    <row r="3312" ht="20.1" customHeight="1"/>
    <row r="3313" ht="15" customHeight="1"/>
    <row r="3314" ht="15" customHeight="1"/>
    <row r="3315" ht="15" customHeight="1"/>
    <row r="3316" ht="15" customHeight="1"/>
    <row r="3317" ht="20.1" customHeight="1"/>
    <row r="3318" ht="15" customHeight="1"/>
    <row r="3319" ht="15" customHeight="1"/>
    <row r="3320" ht="15" customHeight="1"/>
    <row r="3321" ht="15" customHeight="1"/>
    <row r="3322" ht="20.1" customHeight="1"/>
    <row r="3323" ht="15" customHeight="1"/>
    <row r="3324" ht="15" customHeight="1"/>
    <row r="3325" ht="15" customHeight="1"/>
    <row r="3326" ht="15" customHeight="1"/>
    <row r="3327" ht="20.1" customHeight="1"/>
    <row r="3328" ht="15" customHeight="1"/>
    <row r="3329" ht="15" customHeight="1"/>
    <row r="3330" ht="15" customHeight="1"/>
    <row r="3331" ht="15" customHeight="1"/>
    <row r="3332" ht="20.1" customHeight="1"/>
    <row r="3333" ht="15" customHeight="1"/>
    <row r="3334" ht="15" customHeight="1"/>
    <row r="3335" ht="15" customHeight="1"/>
    <row r="3336" ht="15" customHeight="1"/>
    <row r="3337" ht="15" customHeight="1"/>
    <row r="3338" ht="15" customHeight="1"/>
    <row r="3339" ht="20.1" customHeight="1"/>
    <row r="3340" ht="15" customHeight="1"/>
    <row r="3341" ht="15" customHeight="1"/>
    <row r="3342" ht="15" customHeight="1"/>
    <row r="3343" ht="15" customHeight="1"/>
    <row r="3344" ht="15" customHeight="1"/>
    <row r="3345" ht="20.1" customHeight="1"/>
    <row r="3346" ht="15" customHeight="1"/>
    <row r="3347" ht="15" customHeight="1"/>
    <row r="3348" ht="15" customHeight="1"/>
    <row r="3349" ht="15" customHeight="1"/>
    <row r="3350" ht="15" customHeight="1"/>
    <row r="3351" ht="20.1" customHeight="1"/>
    <row r="3352" ht="15" customHeight="1"/>
    <row r="3353" ht="15" customHeight="1"/>
    <row r="3354" ht="15" customHeight="1"/>
    <row r="3355" ht="15" customHeight="1"/>
    <row r="3356" ht="15" customHeight="1"/>
    <row r="3357" ht="15" customHeight="1"/>
    <row r="3358" ht="15" customHeight="1"/>
    <row r="3359" ht="20.1" customHeight="1"/>
    <row r="3360" ht="15" customHeight="1"/>
    <row r="3361" ht="15" customHeight="1"/>
    <row r="3362" ht="15" customHeight="1"/>
    <row r="3363" ht="15" customHeight="1"/>
    <row r="3364" ht="15" customHeight="1"/>
    <row r="3365" ht="15" customHeight="1"/>
    <row r="3366" ht="15" customHeight="1"/>
    <row r="3367" ht="20.1" customHeight="1"/>
    <row r="3368" ht="15" customHeight="1"/>
    <row r="3369" ht="15" customHeight="1"/>
    <row r="3370" ht="15" customHeight="1"/>
    <row r="3371" ht="15" customHeight="1"/>
    <row r="3372" ht="20.1" customHeight="1"/>
    <row r="3373" ht="15" customHeight="1"/>
    <row r="3374" ht="15" customHeight="1"/>
    <row r="3375" ht="15" customHeight="1"/>
    <row r="3376" ht="20.1" customHeight="1"/>
    <row r="3377" ht="15" customHeight="1"/>
    <row r="3378" ht="15" customHeight="1"/>
    <row r="3379" ht="15" customHeight="1"/>
    <row r="3380" ht="20.1" customHeight="1"/>
    <row r="3381" ht="15" customHeight="1"/>
    <row r="3382" ht="15" customHeight="1"/>
    <row r="3383" ht="15" customHeight="1"/>
    <row r="3384" ht="15" customHeight="1"/>
    <row r="3385" ht="15" customHeight="1"/>
    <row r="3386" ht="15" customHeight="1"/>
    <row r="3387" ht="20.1" customHeight="1"/>
    <row r="3388" ht="15" customHeight="1"/>
    <row r="3389" ht="15" customHeight="1"/>
    <row r="3390" ht="15" customHeight="1"/>
    <row r="3391" ht="15" customHeight="1"/>
    <row r="3392" ht="20.1" customHeight="1"/>
    <row r="3393" ht="15" customHeight="1"/>
    <row r="3394" ht="15" customHeight="1"/>
    <row r="3395" ht="15" customHeight="1"/>
    <row r="3396" ht="15" customHeight="1"/>
    <row r="3397" ht="20.1" customHeight="1"/>
    <row r="3398" ht="15" customHeight="1"/>
    <row r="3399" ht="15" customHeight="1"/>
    <row r="3400" ht="15" customHeight="1"/>
    <row r="3401" ht="15" customHeight="1"/>
    <row r="3402" ht="15" customHeight="1"/>
    <row r="3403" ht="20.1" customHeight="1"/>
    <row r="3404" ht="15" customHeight="1"/>
    <row r="3405" ht="15" customHeight="1"/>
    <row r="3406" ht="15" customHeight="1"/>
    <row r="3407" ht="20.1" customHeight="1"/>
    <row r="3408" ht="15" customHeight="1"/>
    <row r="3409" ht="15" customHeight="1"/>
    <row r="3410" ht="15" customHeight="1"/>
    <row r="3411" ht="15" customHeight="1"/>
    <row r="3412" ht="15" customHeight="1"/>
    <row r="3413" ht="15" customHeight="1"/>
    <row r="3414" ht="20.1" customHeight="1"/>
    <row r="3415" ht="15" customHeight="1"/>
    <row r="3416" ht="15" customHeight="1"/>
    <row r="3417" ht="15" customHeight="1"/>
    <row r="3418" ht="15" customHeight="1"/>
    <row r="3419" ht="20.1" customHeight="1"/>
    <row r="3420" ht="15" customHeight="1"/>
    <row r="3421" ht="15" customHeight="1"/>
    <row r="3422" ht="15" customHeight="1"/>
    <row r="3423" ht="15" customHeight="1"/>
    <row r="3424" ht="15" customHeight="1"/>
    <row r="3425" ht="20.1" customHeight="1"/>
    <row r="3426" ht="15" customHeight="1"/>
    <row r="3427" ht="15" customHeight="1"/>
    <row r="3428" ht="15" customHeight="1"/>
    <row r="3429" ht="15" customHeight="1"/>
    <row r="3430" ht="15" customHeight="1"/>
    <row r="3431" ht="20.1" customHeight="1"/>
    <row r="3432" ht="15" customHeight="1"/>
    <row r="3433" ht="15" customHeight="1"/>
    <row r="3434" ht="15" customHeight="1"/>
    <row r="3435" ht="15" customHeight="1"/>
    <row r="3436" ht="20.1" customHeight="1"/>
    <row r="3437" ht="15" customHeight="1"/>
    <row r="3438" ht="15" customHeight="1"/>
    <row r="3439" ht="15" customHeight="1"/>
    <row r="3440" ht="15" customHeight="1"/>
    <row r="3441" ht="20.1" customHeight="1"/>
    <row r="3442" ht="15" customHeight="1"/>
    <row r="3443" ht="15" customHeight="1"/>
    <row r="3444" ht="15" customHeight="1"/>
    <row r="3445" ht="15" customHeight="1"/>
    <row r="3446" ht="20.1" customHeight="1"/>
    <row r="3447" ht="15" customHeight="1"/>
    <row r="3448" ht="15" customHeight="1"/>
    <row r="3449" ht="15" customHeight="1"/>
    <row r="3450" ht="20.1" customHeight="1"/>
    <row r="3451" ht="15" customHeight="1"/>
    <row r="3452" ht="15" customHeight="1"/>
    <row r="3453" ht="15" customHeight="1"/>
    <row r="3454" ht="15" customHeight="1"/>
    <row r="3455" ht="20.1" customHeight="1"/>
    <row r="3456" ht="15" customHeight="1"/>
    <row r="3457" ht="15" customHeight="1"/>
    <row r="3458" ht="15" customHeight="1"/>
    <row r="3459" ht="15" customHeight="1"/>
    <row r="3460" ht="20.1" customHeight="1"/>
    <row r="3461" ht="15" customHeight="1"/>
    <row r="3462" ht="15" customHeight="1"/>
    <row r="3463" ht="15" customHeight="1"/>
    <row r="3464" ht="15" customHeight="1"/>
    <row r="3465" ht="20.1" customHeight="1"/>
    <row r="3466" ht="15" customHeight="1"/>
    <row r="3467" ht="15" customHeight="1"/>
    <row r="3468" ht="15" customHeight="1"/>
    <row r="3469" ht="15" customHeight="1"/>
    <row r="3470" ht="20.1" customHeight="1"/>
    <row r="3471" ht="15" customHeight="1"/>
    <row r="3472" ht="15" customHeight="1"/>
    <row r="3473" ht="15" customHeight="1"/>
    <row r="3474" ht="15" customHeight="1"/>
    <row r="3475" ht="20.1" customHeight="1"/>
    <row r="3476" ht="15" customHeight="1"/>
    <row r="3477" ht="15" customHeight="1"/>
    <row r="3478" ht="15" customHeight="1"/>
    <row r="3479" ht="15" customHeight="1"/>
    <row r="3480" ht="20.1" customHeight="1"/>
    <row r="3481" ht="15" customHeight="1"/>
    <row r="3482" ht="15" customHeight="1"/>
    <row r="3483" ht="15" customHeight="1"/>
    <row r="3484" ht="15" customHeight="1"/>
    <row r="3485" ht="20.1" customHeight="1"/>
    <row r="3486" ht="15" customHeight="1"/>
    <row r="3487" ht="15" customHeight="1"/>
    <row r="3488" ht="15" customHeight="1"/>
    <row r="3489" ht="15" customHeight="1"/>
    <row r="3490" ht="20.1" customHeight="1"/>
    <row r="3491" ht="15" customHeight="1"/>
    <row r="3492" ht="15" customHeight="1"/>
    <row r="3493" ht="15" customHeight="1"/>
    <row r="3494" ht="15" customHeight="1"/>
    <row r="3495" ht="20.1" customHeight="1"/>
    <row r="3496" ht="15" customHeight="1"/>
    <row r="3497" ht="15" customHeight="1"/>
    <row r="3498" ht="15" customHeight="1"/>
    <row r="3499" ht="15" customHeight="1"/>
    <row r="3500" ht="20.1"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20.1" customHeight="1"/>
    <row r="3511" ht="15" customHeight="1"/>
    <row r="3512" ht="15" customHeight="1"/>
    <row r="3513" ht="15" customHeight="1"/>
    <row r="3514" ht="15" customHeight="1"/>
    <row r="3515" ht="15" customHeight="1"/>
    <row r="3516" ht="15" customHeight="1"/>
    <row r="3517" ht="20.1" customHeight="1"/>
    <row r="3518" ht="15" customHeight="1"/>
    <row r="3519" ht="15" customHeight="1"/>
    <row r="3520" ht="15" customHeight="1"/>
    <row r="3521" ht="15" customHeight="1"/>
    <row r="3522" ht="20.1" customHeight="1"/>
    <row r="3523" ht="15" customHeight="1"/>
    <row r="3524" ht="15" customHeight="1"/>
    <row r="3525" ht="15" customHeight="1"/>
    <row r="3526" ht="15" customHeight="1"/>
    <row r="3527" ht="15" customHeight="1"/>
    <row r="3528" ht="15" customHeight="1"/>
    <row r="3529" ht="20.1" customHeight="1"/>
    <row r="3530" ht="15" customHeight="1"/>
    <row r="3531" ht="15" customHeight="1"/>
    <row r="3532" ht="20.1"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20.1" customHeight="1"/>
    <row r="3543" ht="15" customHeight="1"/>
    <row r="3544" ht="15" customHeight="1"/>
    <row r="3545" ht="15" customHeight="1"/>
    <row r="3546" ht="15" customHeight="1"/>
    <row r="3547" ht="20.1" customHeight="1"/>
    <row r="3548" ht="15" customHeight="1"/>
    <row r="3549" ht="15" customHeight="1"/>
    <row r="3550" ht="15" customHeight="1"/>
    <row r="3551" ht="20.1" customHeight="1"/>
    <row r="3552" ht="15" customHeight="1"/>
    <row r="3553" ht="15" customHeight="1"/>
    <row r="3554" ht="15" customHeight="1"/>
    <row r="3555" ht="15" customHeight="1"/>
    <row r="3556" ht="15" customHeight="1"/>
    <row r="3557" ht="15" customHeight="1"/>
    <row r="3558" ht="15" customHeight="1"/>
    <row r="3559" ht="20.1" customHeight="1"/>
    <row r="3560" ht="15" customHeight="1"/>
    <row r="3561" ht="15" customHeight="1"/>
    <row r="3562" ht="15" customHeight="1"/>
    <row r="3563" ht="20.1" customHeight="1"/>
    <row r="3564" ht="15" customHeight="1"/>
    <row r="3565" ht="15" customHeight="1"/>
    <row r="3566" ht="15" customHeight="1"/>
    <row r="3567" ht="20.1" customHeight="1"/>
    <row r="3568" ht="15" customHeight="1"/>
    <row r="3569" ht="15" customHeight="1"/>
    <row r="3570" ht="15" customHeight="1"/>
    <row r="3571" ht="20.1" customHeight="1"/>
    <row r="3572" ht="15" customHeight="1"/>
    <row r="3573" ht="15" customHeight="1"/>
    <row r="3574" ht="15" customHeight="1"/>
    <row r="3575" ht="20.1" customHeight="1"/>
    <row r="3576" ht="15" customHeight="1"/>
    <row r="3577" ht="15" customHeight="1"/>
    <row r="3578" ht="15" customHeight="1"/>
    <row r="3579" ht="20.1" customHeight="1"/>
    <row r="3580" ht="15" customHeight="1"/>
    <row r="3581" ht="15" customHeight="1"/>
    <row r="3582" ht="15" customHeight="1"/>
    <row r="3583" ht="20.1" customHeight="1"/>
    <row r="3584" ht="15" customHeight="1"/>
    <row r="3585" ht="15" customHeight="1"/>
    <row r="3586" ht="15" customHeight="1"/>
    <row r="3587" ht="20.1" customHeight="1"/>
    <row r="3588" ht="15" customHeight="1"/>
    <row r="3589" ht="15" customHeight="1"/>
    <row r="3590" ht="15" customHeight="1"/>
    <row r="3591" ht="20.1" customHeight="1"/>
    <row r="3592" ht="15" customHeight="1"/>
    <row r="3593" ht="15" customHeight="1"/>
    <row r="3594" ht="15" customHeight="1"/>
    <row r="3595" ht="20.1" customHeight="1"/>
    <row r="3596" ht="15" customHeight="1"/>
    <row r="3597" ht="15" customHeight="1"/>
    <row r="3598" ht="15" customHeight="1"/>
    <row r="3599" ht="20.1" customHeight="1"/>
    <row r="3600" ht="15" customHeight="1"/>
    <row r="3601" ht="15" customHeight="1"/>
    <row r="3602" ht="15" customHeight="1"/>
    <row r="3603" ht="20.1" customHeight="1"/>
    <row r="3604" ht="15" customHeight="1"/>
    <row r="3605" ht="15" customHeight="1"/>
    <row r="3606" ht="15" customHeight="1"/>
    <row r="3607" ht="20.1" customHeight="1"/>
    <row r="3608" ht="15" customHeight="1"/>
    <row r="3609" ht="15" customHeight="1"/>
    <row r="3610" ht="15" customHeight="1"/>
    <row r="3611" ht="20.1" customHeight="1"/>
    <row r="3612" ht="15" customHeight="1"/>
    <row r="3613" ht="15" customHeight="1"/>
    <row r="3614" ht="15" customHeight="1"/>
    <row r="3615" ht="20.1" customHeight="1"/>
    <row r="3616" ht="15" customHeight="1"/>
    <row r="3617" ht="15" customHeight="1"/>
    <row r="3618" ht="15" customHeight="1"/>
    <row r="3619" ht="20.1"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20.1" customHeight="1"/>
    <row r="3659" ht="15" customHeight="1"/>
    <row r="3660" ht="15" customHeight="1"/>
    <row r="3661" ht="15" customHeight="1"/>
    <row r="3662" ht="15" customHeight="1"/>
    <row r="3663" ht="20.1" customHeight="1"/>
    <row r="3664" ht="15" customHeight="1"/>
    <row r="3665" ht="15" customHeight="1"/>
    <row r="3666" ht="15" customHeight="1"/>
    <row r="3667" ht="15" customHeight="1"/>
    <row r="3668" ht="15" customHeight="1"/>
    <row r="3669" ht="20.1" customHeight="1"/>
    <row r="3670" ht="15" customHeight="1"/>
    <row r="3671" ht="15" customHeight="1"/>
    <row r="3672" ht="15" customHeight="1"/>
    <row r="3673" ht="15" customHeight="1"/>
    <row r="3674" ht="15" customHeight="1"/>
    <row r="3675" ht="20.1" customHeight="1"/>
    <row r="3676" ht="15" customHeight="1"/>
    <row r="3677" ht="15" customHeight="1"/>
    <row r="3678" ht="15" customHeight="1"/>
    <row r="3679" ht="15" customHeight="1"/>
    <row r="3680" ht="15" customHeight="1"/>
    <row r="3681" ht="20.1" customHeight="1"/>
    <row r="3682" ht="15" customHeight="1"/>
    <row r="3683" ht="15" customHeight="1"/>
    <row r="3684" ht="15" customHeight="1"/>
    <row r="3685" ht="15" customHeight="1"/>
    <row r="3686" ht="15" customHeight="1"/>
    <row r="3687" ht="20.1" customHeight="1"/>
    <row r="3688" ht="15" customHeight="1"/>
    <row r="3689" ht="15" customHeight="1"/>
    <row r="3690" ht="15" customHeight="1"/>
    <row r="3691" ht="15" customHeight="1"/>
    <row r="3692" ht="15" customHeight="1"/>
    <row r="3693" ht="20.1" customHeight="1"/>
    <row r="3694" ht="15" customHeight="1"/>
    <row r="3695" ht="15" customHeight="1"/>
    <row r="3696" ht="15" customHeight="1"/>
    <row r="3697" ht="15" customHeight="1"/>
    <row r="3698" ht="15" customHeight="1"/>
    <row r="3699" ht="20.1"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20.1" customHeight="1"/>
    <row r="3731" ht="15" customHeight="1"/>
    <row r="3732" ht="15" customHeight="1"/>
    <row r="3733" ht="15" customHeight="1"/>
    <row r="3734" ht="15" customHeight="1"/>
    <row r="3735" ht="20.1" customHeight="1"/>
    <row r="3736" ht="15" customHeight="1"/>
    <row r="3737" ht="15" customHeight="1"/>
    <row r="3738" ht="15" customHeight="1"/>
    <row r="3739" ht="15" customHeight="1"/>
    <row r="3740" ht="15" customHeight="1"/>
    <row r="3741" ht="15" customHeight="1"/>
    <row r="3742" ht="15" customHeight="1"/>
    <row r="3743" ht="15" customHeight="1"/>
    <row r="3744" ht="20.1" customHeight="1"/>
    <row r="3745" ht="15" customHeight="1"/>
    <row r="3746" ht="15" customHeight="1"/>
    <row r="3747" ht="15" customHeight="1"/>
    <row r="3748" ht="15" customHeight="1"/>
    <row r="3749" ht="15" customHeight="1"/>
    <row r="3750" ht="15" customHeight="1"/>
    <row r="3751" ht="20.1"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20.1"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20.1"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20.1" customHeight="1"/>
    <row r="3824" ht="15" customHeight="1"/>
    <row r="3825" ht="15" customHeight="1"/>
    <row r="3826" ht="15" customHeight="1"/>
    <row r="3827" ht="15" customHeight="1"/>
    <row r="3828" ht="20.1" customHeight="1"/>
    <row r="3829" ht="15" customHeight="1"/>
    <row r="3830" ht="15" customHeight="1"/>
    <row r="3831" ht="15" customHeight="1"/>
    <row r="3832" ht="15" customHeight="1"/>
    <row r="3833" ht="15" customHeight="1"/>
    <row r="3834" ht="20.1" customHeight="1"/>
    <row r="3835" ht="15" customHeight="1"/>
    <row r="3836" ht="15" customHeight="1"/>
    <row r="3837" ht="15" customHeight="1"/>
    <row r="3838" ht="15" customHeight="1"/>
    <row r="3839" ht="20.1" customHeight="1"/>
    <row r="3840" ht="15" customHeight="1"/>
    <row r="3841" ht="15" customHeight="1"/>
    <row r="3842" ht="15" customHeight="1"/>
    <row r="3843" ht="15" customHeight="1"/>
    <row r="3844" ht="15" customHeight="1"/>
    <row r="3845" ht="20.1" customHeight="1"/>
    <row r="3846" ht="15" customHeight="1"/>
    <row r="3847" ht="15" customHeight="1"/>
    <row r="3848" ht="15" customHeight="1"/>
    <row r="3849" ht="15" customHeight="1"/>
    <row r="3850" ht="20.1" customHeight="1"/>
    <row r="3851" ht="15" customHeight="1"/>
    <row r="3852" ht="15" customHeight="1"/>
    <row r="3853" ht="15" customHeight="1"/>
    <row r="3854" ht="15" customHeight="1"/>
    <row r="3855" ht="15" customHeight="1"/>
    <row r="3856" ht="20.1" customHeight="1"/>
    <row r="3857" ht="15" customHeight="1"/>
    <row r="3858" ht="15" customHeight="1"/>
    <row r="3859" ht="15" customHeight="1"/>
    <row r="3860" ht="15" customHeight="1"/>
    <row r="3861" ht="20.1" customHeight="1"/>
    <row r="3862" ht="15" customHeight="1"/>
    <row r="3863" ht="15" customHeight="1"/>
    <row r="3864" ht="15" customHeight="1"/>
    <row r="3865" ht="15" customHeight="1"/>
    <row r="3866" ht="15" customHeight="1"/>
    <row r="3867" ht="20.1" customHeight="1"/>
    <row r="3868" ht="15" customHeight="1"/>
    <row r="3869" ht="15" customHeight="1"/>
    <row r="3870" ht="15" customHeight="1"/>
    <row r="3871" ht="15" customHeight="1"/>
    <row r="3872" ht="20.1" customHeight="1"/>
    <row r="3873" ht="15" customHeight="1"/>
    <row r="3874" ht="15" customHeight="1"/>
    <row r="3875" ht="15" customHeight="1"/>
    <row r="3876" ht="15" customHeight="1"/>
    <row r="3877" ht="15" customHeight="1"/>
    <row r="3878" ht="20.1" customHeight="1"/>
    <row r="3879" ht="15" customHeight="1"/>
    <row r="3880" ht="15" customHeight="1"/>
    <row r="3881" ht="15" customHeight="1"/>
    <row r="3882" ht="15" customHeight="1"/>
    <row r="3883" ht="20.1" customHeight="1"/>
    <row r="3884" ht="15" customHeight="1"/>
    <row r="3885" ht="15" customHeight="1"/>
    <row r="3886" ht="15" customHeight="1"/>
    <row r="3887" ht="15" customHeight="1"/>
    <row r="3888" ht="20.1" customHeight="1"/>
    <row r="3889" ht="15" customHeight="1"/>
    <row r="3890" ht="15" customHeight="1"/>
    <row r="3891" ht="15" customHeight="1"/>
    <row r="3892" ht="15" customHeight="1"/>
    <row r="3893" ht="15" customHeight="1"/>
    <row r="3894" ht="20.1" customHeight="1"/>
    <row r="3895" ht="15" customHeight="1"/>
    <row r="3896" ht="15" customHeight="1"/>
    <row r="3897" ht="15" customHeight="1"/>
    <row r="3898" ht="15" customHeight="1"/>
    <row r="3899" ht="20.1" customHeight="1"/>
    <row r="3900" ht="15" customHeight="1"/>
    <row r="3901" ht="15" customHeight="1"/>
    <row r="3902" ht="15" customHeight="1"/>
    <row r="3903" ht="15" customHeight="1"/>
    <row r="3904" ht="20.1" customHeight="1"/>
    <row r="3905" ht="15" customHeight="1"/>
    <row r="3906" ht="15" customHeight="1"/>
    <row r="3907" ht="15" customHeight="1"/>
    <row r="3908" ht="15" customHeight="1"/>
    <row r="3909" ht="15" customHeight="1"/>
    <row r="3910" ht="20.1" customHeight="1"/>
    <row r="3911" ht="15" customHeight="1"/>
    <row r="3912" ht="15" customHeight="1"/>
    <row r="3913" ht="15" customHeight="1"/>
    <row r="3914" ht="15" customHeight="1"/>
    <row r="3915" ht="15" customHeight="1"/>
    <row r="3916" ht="20.1" customHeight="1"/>
    <row r="3917" ht="15" customHeight="1"/>
    <row r="3918" ht="15" customHeight="1"/>
    <row r="3919" ht="15" customHeight="1"/>
    <row r="3920" ht="20.1" customHeight="1"/>
    <row r="3921" ht="15" customHeight="1"/>
    <row r="3922" ht="15" customHeight="1"/>
    <row r="3923" ht="15" customHeight="1"/>
    <row r="3924" ht="15" customHeight="1"/>
    <row r="3925" ht="20.1" customHeight="1"/>
    <row r="3926" ht="15" customHeight="1"/>
    <row r="3927" ht="15" customHeight="1"/>
    <row r="3928" ht="15" customHeight="1"/>
    <row r="3929" ht="15" customHeight="1"/>
    <row r="3930" ht="20.1" customHeight="1"/>
    <row r="3931" ht="15" customHeight="1"/>
    <row r="3932" ht="15" customHeight="1"/>
    <row r="3933" ht="15" customHeight="1"/>
    <row r="3934" ht="15" customHeight="1"/>
    <row r="3935" ht="20.1"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20.1"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20.1" customHeight="1"/>
    <row r="3956" ht="15" customHeight="1"/>
    <row r="3957" ht="15" customHeight="1"/>
    <row r="3958" ht="15" customHeight="1"/>
    <row r="3959" ht="15" customHeight="1"/>
    <row r="3960" ht="20.1" customHeight="1"/>
    <row r="3961" ht="15" customHeight="1"/>
    <row r="3962" ht="15" customHeight="1"/>
    <row r="3963" ht="15" customHeight="1"/>
    <row r="3964" ht="15" customHeight="1"/>
    <row r="3965" ht="20.1" customHeight="1"/>
    <row r="3966" ht="15" customHeight="1"/>
    <row r="3967" ht="15" customHeight="1"/>
    <row r="3968" ht="15" customHeight="1"/>
    <row r="3969" ht="15" customHeight="1"/>
    <row r="3970" ht="20.1" customHeight="1"/>
    <row r="3971" ht="15" customHeight="1"/>
    <row r="3972" ht="15" customHeight="1"/>
    <row r="3973" ht="15" customHeight="1"/>
    <row r="3974" ht="15" customHeight="1"/>
    <row r="3975" ht="20.1" customHeight="1"/>
    <row r="3976" ht="15" customHeight="1"/>
    <row r="3977" ht="15" customHeight="1"/>
    <row r="3978" ht="15" customHeight="1"/>
    <row r="3979" ht="15" customHeight="1"/>
    <row r="3980" ht="20.1" customHeight="1"/>
    <row r="3981" ht="15" customHeight="1"/>
    <row r="3982" ht="15" customHeight="1"/>
    <row r="3983" ht="15" customHeight="1"/>
    <row r="3984" ht="15" customHeight="1"/>
    <row r="3985" ht="20.1" customHeight="1"/>
    <row r="3986" ht="15" customHeight="1"/>
    <row r="3987" ht="15" customHeight="1"/>
    <row r="3988" ht="15" customHeight="1"/>
    <row r="3989" ht="15" customHeight="1"/>
    <row r="3990" ht="20.1" customHeight="1"/>
    <row r="3991" ht="15" customHeight="1"/>
    <row r="3992" ht="15" customHeight="1"/>
    <row r="3993" ht="15" customHeight="1"/>
    <row r="3994" ht="15" customHeight="1"/>
    <row r="3995" ht="20.1" customHeight="1"/>
    <row r="3996" ht="15" customHeight="1"/>
    <row r="3997" ht="15" customHeight="1"/>
    <row r="3998" ht="15" customHeight="1"/>
    <row r="3999" ht="15" customHeight="1"/>
    <row r="4000" ht="20.1" customHeight="1"/>
    <row r="4001" ht="15" customHeight="1"/>
    <row r="4002" ht="15" customHeight="1"/>
    <row r="4003" ht="15" customHeight="1"/>
    <row r="4004" ht="15" customHeight="1"/>
    <row r="4005" ht="20.1" customHeight="1"/>
    <row r="4006" ht="15" customHeight="1"/>
    <row r="4007" ht="15" customHeight="1"/>
    <row r="4008" ht="15" customHeight="1"/>
    <row r="4009" ht="15" customHeight="1"/>
    <row r="4010" ht="20.1" customHeight="1"/>
    <row r="4011" ht="15" customHeight="1"/>
    <row r="4012" ht="15" customHeight="1"/>
    <row r="4013" ht="15" customHeight="1"/>
    <row r="4014" ht="15" customHeight="1"/>
    <row r="4015" ht="20.1" customHeight="1"/>
    <row r="4016" ht="15" customHeight="1"/>
    <row r="4017" ht="15" customHeight="1"/>
    <row r="4018" ht="15" customHeight="1"/>
    <row r="4019" ht="15" customHeight="1"/>
    <row r="4020" ht="20.1" customHeight="1"/>
    <row r="4021" ht="15" customHeight="1"/>
    <row r="4022" ht="15" customHeight="1"/>
    <row r="4023" ht="15" customHeight="1"/>
    <row r="4024" ht="15" customHeight="1"/>
    <row r="4025" ht="20.1" customHeight="1"/>
    <row r="4026" ht="15" customHeight="1"/>
    <row r="4027" ht="15" customHeight="1"/>
    <row r="4028" ht="15" customHeight="1"/>
    <row r="4029" ht="15" customHeight="1"/>
    <row r="4030" ht="20.1" customHeight="1"/>
    <row r="4031" ht="15" customHeight="1"/>
    <row r="4032" ht="15" customHeight="1"/>
    <row r="4033" ht="15" customHeight="1"/>
    <row r="4034" ht="15" customHeight="1"/>
    <row r="4035" ht="20.1" customHeight="1"/>
    <row r="4036" ht="15" customHeight="1"/>
    <row r="4037" ht="15" customHeight="1"/>
    <row r="4038" ht="15" customHeight="1"/>
    <row r="4039" ht="15" customHeight="1"/>
    <row r="4040" ht="20.1" customHeight="1"/>
    <row r="4041" ht="15" customHeight="1"/>
    <row r="4042" ht="15" customHeight="1"/>
    <row r="4043" ht="15" customHeight="1"/>
    <row r="4044" ht="15" customHeight="1"/>
    <row r="4045" ht="20.1" customHeight="1"/>
    <row r="4046" ht="15" customHeight="1"/>
    <row r="4047" ht="15" customHeight="1"/>
    <row r="4048" ht="15" customHeight="1"/>
    <row r="4049" ht="15" customHeight="1"/>
    <row r="4050" ht="20.1" customHeight="1"/>
    <row r="4051" ht="15" customHeight="1"/>
    <row r="4052" ht="15" customHeight="1"/>
    <row r="4053" ht="15" customHeight="1"/>
    <row r="4054" ht="15" customHeight="1"/>
    <row r="4055" ht="20.1" customHeight="1"/>
    <row r="4056" ht="15" customHeight="1"/>
    <row r="4057" ht="15" customHeight="1"/>
    <row r="4058" ht="15" customHeight="1"/>
    <row r="4059" ht="15" customHeight="1"/>
    <row r="4060" ht="20.1" customHeight="1"/>
    <row r="4061" ht="15" customHeight="1"/>
    <row r="4062" ht="15" customHeight="1"/>
    <row r="4063" ht="15" customHeight="1"/>
    <row r="4064" ht="15" customHeight="1"/>
    <row r="4065" ht="20.1" customHeight="1"/>
    <row r="4066" ht="15" customHeight="1"/>
    <row r="4067" ht="15" customHeight="1"/>
    <row r="4068" ht="15" customHeight="1"/>
    <row r="4069" ht="15" customHeight="1"/>
    <row r="4070" ht="20.1" customHeight="1"/>
    <row r="4071" ht="15" customHeight="1"/>
    <row r="4072" ht="15" customHeight="1"/>
    <row r="4073" ht="15" customHeight="1"/>
    <row r="4074" ht="15" customHeight="1"/>
    <row r="4075" ht="20.1" customHeight="1"/>
    <row r="4076" ht="15" customHeight="1"/>
    <row r="4077" ht="15" customHeight="1"/>
    <row r="4078" ht="15" customHeight="1"/>
    <row r="4079" ht="15" customHeight="1"/>
    <row r="4080" ht="20.1" customHeight="1"/>
    <row r="4081" ht="15" customHeight="1"/>
    <row r="4082" ht="15" customHeight="1"/>
    <row r="4083" ht="15" customHeight="1"/>
    <row r="4084" ht="15" customHeight="1"/>
    <row r="4085" ht="20.1" customHeight="1"/>
    <row r="4086" ht="15" customHeight="1"/>
    <row r="4087" ht="15" customHeight="1"/>
    <row r="4088" ht="15" customHeight="1"/>
    <row r="4089" ht="15" customHeight="1"/>
    <row r="4090" ht="20.1" customHeight="1"/>
    <row r="4091" ht="15" customHeight="1"/>
    <row r="4092" ht="15" customHeight="1"/>
    <row r="4093" ht="15" customHeight="1"/>
    <row r="4094" ht="15" customHeight="1"/>
    <row r="4095" ht="20.1" customHeight="1"/>
    <row r="4096" ht="15" customHeight="1"/>
    <row r="4097" ht="15" customHeight="1"/>
    <row r="4098" ht="15" customHeight="1"/>
    <row r="4099" ht="15" customHeight="1"/>
    <row r="4100" ht="20.1" customHeight="1"/>
    <row r="4101" ht="15" customHeight="1"/>
    <row r="4102" ht="15" customHeight="1"/>
    <row r="4103" ht="15" customHeight="1"/>
    <row r="4104" ht="15" customHeight="1"/>
    <row r="4105" ht="20.1" customHeight="1"/>
    <row r="4106" ht="15" customHeight="1"/>
    <row r="4107" ht="15" customHeight="1"/>
    <row r="4108" ht="15" customHeight="1"/>
    <row r="4109" ht="15" customHeight="1"/>
    <row r="4110" ht="20.1" customHeight="1"/>
    <row r="4111" ht="15" customHeight="1"/>
    <row r="4112" ht="15" customHeight="1"/>
    <row r="4113" ht="15" customHeight="1"/>
    <row r="4114" ht="15" customHeight="1"/>
    <row r="4115" ht="20.1" customHeight="1"/>
    <row r="4116" ht="15" customHeight="1"/>
    <row r="4117" ht="15" customHeight="1"/>
    <row r="4118" ht="15" customHeight="1"/>
    <row r="4119" ht="15" customHeight="1"/>
    <row r="4120" ht="20.1"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20.1" customHeight="1"/>
    <row r="4146" ht="15" customHeight="1"/>
    <row r="4147" ht="15" customHeight="1"/>
    <row r="4148" ht="15" customHeight="1"/>
    <row r="4149" ht="15" customHeight="1"/>
    <row r="4150" ht="20.1" customHeight="1"/>
    <row r="4151" ht="15" customHeight="1"/>
    <row r="4152" ht="15" customHeight="1"/>
    <row r="4153" ht="15" customHeight="1"/>
    <row r="4154" ht="15" customHeight="1"/>
    <row r="4155" ht="20.1" customHeight="1"/>
    <row r="4156" ht="15" customHeight="1"/>
    <row r="4157" ht="15" customHeight="1"/>
    <row r="4158" ht="15" customHeight="1"/>
    <row r="4159" ht="15" customHeight="1"/>
    <row r="4160" ht="20.1" customHeight="1"/>
    <row r="4161" ht="15" customHeight="1"/>
    <row r="4162" ht="15" customHeight="1"/>
    <row r="4163" ht="15" customHeight="1"/>
    <row r="4164" ht="15" customHeight="1"/>
    <row r="4165" ht="20.1" customHeight="1"/>
    <row r="4166" ht="15" customHeight="1"/>
    <row r="4167" ht="15" customHeight="1"/>
    <row r="4168" ht="15" customHeight="1"/>
    <row r="4169" ht="15" customHeight="1"/>
    <row r="4170" ht="20.1" customHeight="1"/>
    <row r="4171" ht="15" customHeight="1"/>
    <row r="4172" ht="15" customHeight="1"/>
    <row r="4173" ht="15" customHeight="1"/>
    <row r="4174" ht="15" customHeight="1"/>
    <row r="4175" ht="20.1" customHeight="1"/>
    <row r="4176" ht="15" customHeight="1"/>
    <row r="4177" ht="15" customHeight="1"/>
    <row r="4178" ht="15" customHeight="1"/>
    <row r="4179" ht="15" customHeight="1"/>
    <row r="4180" ht="20.1" customHeight="1"/>
    <row r="4181" ht="15" customHeight="1"/>
    <row r="4182" ht="15" customHeight="1"/>
    <row r="4183" ht="15" customHeight="1"/>
    <row r="4184" ht="15" customHeight="1"/>
    <row r="4185" ht="20.1" customHeight="1"/>
    <row r="4186" ht="15" customHeight="1"/>
    <row r="4187" ht="15" customHeight="1"/>
    <row r="4188" ht="15" customHeight="1"/>
    <row r="4189" ht="15" customHeight="1"/>
    <row r="4190" ht="20.1" customHeight="1"/>
    <row r="4191" ht="15" customHeight="1"/>
    <row r="4192" ht="15" customHeight="1"/>
    <row r="4193" ht="15" customHeight="1"/>
    <row r="4194" ht="15" customHeight="1"/>
    <row r="4195" ht="20.1" customHeight="1"/>
    <row r="4196" ht="15" customHeight="1"/>
    <row r="4197" ht="15" customHeight="1"/>
    <row r="4198" ht="15" customHeight="1"/>
    <row r="4199" ht="15" customHeight="1"/>
    <row r="4200" ht="20.1" customHeight="1"/>
    <row r="4201" ht="15" customHeight="1"/>
    <row r="4202" ht="15" customHeight="1"/>
    <row r="4203" ht="15" customHeight="1"/>
    <row r="4204" ht="15" customHeight="1"/>
    <row r="4205" ht="20.1" customHeight="1"/>
    <row r="4206" ht="15" customHeight="1"/>
    <row r="4207" ht="15" customHeight="1"/>
    <row r="4208" ht="15" customHeight="1"/>
    <row r="4209" ht="15" customHeight="1"/>
    <row r="4210" ht="20.1" customHeight="1"/>
    <row r="4211" ht="15" customHeight="1"/>
    <row r="4212" ht="15" customHeight="1"/>
    <row r="4213" ht="15" customHeight="1"/>
    <row r="4214" ht="15" customHeight="1"/>
    <row r="4215" ht="20.1" customHeight="1"/>
    <row r="4216" ht="15" customHeight="1"/>
    <row r="4217" ht="15" customHeight="1"/>
    <row r="4218" ht="15" customHeight="1"/>
    <row r="4219" ht="15" customHeight="1"/>
    <row r="4220" ht="20.1" customHeight="1"/>
    <row r="4221" ht="15" customHeight="1"/>
    <row r="4222" ht="15" customHeight="1"/>
    <row r="4223" ht="15" customHeight="1"/>
    <row r="4224" ht="15" customHeight="1"/>
    <row r="4225" ht="20.1" customHeight="1"/>
    <row r="4226" ht="15" customHeight="1"/>
    <row r="4227" ht="15" customHeight="1"/>
    <row r="4228" ht="15" customHeight="1"/>
    <row r="4229" ht="15" customHeight="1"/>
    <row r="4230" ht="20.1" customHeight="1"/>
    <row r="4231" ht="15" customHeight="1"/>
    <row r="4232" ht="15" customHeight="1"/>
    <row r="4233" ht="15" customHeight="1"/>
    <row r="4234" ht="15" customHeight="1"/>
    <row r="4235" ht="20.1" customHeight="1"/>
    <row r="4236" ht="15" customHeight="1"/>
    <row r="4237" ht="15" customHeight="1"/>
    <row r="4238" ht="15" customHeight="1"/>
    <row r="4239" ht="15" customHeight="1"/>
    <row r="4240" ht="20.1" customHeight="1"/>
    <row r="4241" ht="15" customHeight="1"/>
    <row r="4242" ht="15" customHeight="1"/>
    <row r="4243" ht="15" customHeight="1"/>
    <row r="4244" ht="15" customHeight="1"/>
    <row r="4245" ht="20.1" customHeight="1"/>
    <row r="4246" ht="15" customHeight="1"/>
    <row r="4247" ht="15" customHeight="1"/>
    <row r="4248" ht="15" customHeight="1"/>
    <row r="4249" ht="15" customHeight="1"/>
    <row r="4250" ht="20.1" customHeight="1"/>
    <row r="4251" ht="15" customHeight="1"/>
    <row r="4252" ht="15" customHeight="1"/>
    <row r="4253" ht="15" customHeight="1"/>
    <row r="4254" ht="15" customHeight="1"/>
    <row r="4255" ht="20.1" customHeight="1"/>
    <row r="4256" ht="15" customHeight="1"/>
    <row r="4257" ht="15" customHeight="1"/>
    <row r="4258" ht="15" customHeight="1"/>
    <row r="4259" ht="15" customHeight="1"/>
    <row r="4260" ht="20.1" customHeight="1"/>
    <row r="4261" ht="15" customHeight="1"/>
    <row r="4262" ht="15" customHeight="1"/>
    <row r="4263" ht="15" customHeight="1"/>
    <row r="4264" ht="15" customHeight="1"/>
    <row r="4265" ht="15" customHeight="1"/>
    <row r="4266" ht="20.1" customHeight="1"/>
    <row r="4267" ht="15" customHeight="1"/>
    <row r="4268" ht="15" customHeight="1"/>
    <row r="4269" ht="15" customHeight="1"/>
    <row r="4270" ht="15" customHeight="1"/>
    <row r="4271" ht="20.1" customHeight="1"/>
    <row r="4272" ht="15" customHeight="1"/>
    <row r="4273" ht="15" customHeight="1"/>
    <row r="4274" ht="15" customHeight="1"/>
    <row r="4275" ht="15" customHeight="1"/>
    <row r="4276" ht="20.1" customHeight="1"/>
    <row r="4277" ht="15" customHeight="1"/>
    <row r="4278" ht="15" customHeight="1"/>
    <row r="4279" ht="15" customHeight="1"/>
    <row r="4280" ht="15" customHeight="1"/>
    <row r="4281" ht="20.1" customHeight="1"/>
    <row r="4282" ht="15" customHeight="1"/>
    <row r="4283" ht="15" customHeight="1"/>
    <row r="4284" ht="15" customHeight="1"/>
    <row r="4285" ht="15" customHeight="1"/>
    <row r="4286" ht="20.1" customHeight="1"/>
    <row r="4287" ht="15" customHeight="1"/>
    <row r="4288" ht="15" customHeight="1"/>
    <row r="4289" ht="15" customHeight="1"/>
    <row r="4290" ht="15" customHeight="1"/>
    <row r="4291" ht="20.1" customHeight="1"/>
    <row r="4292" ht="15" customHeight="1"/>
    <row r="4293" ht="15" customHeight="1"/>
    <row r="4294" ht="15" customHeight="1"/>
    <row r="4295" ht="15" customHeight="1"/>
    <row r="4296" ht="20.1" customHeight="1"/>
    <row r="4297" ht="15" customHeight="1"/>
    <row r="4298" ht="15" customHeight="1"/>
    <row r="4299" ht="15" customHeight="1"/>
    <row r="4300" ht="15" customHeight="1"/>
    <row r="4301" ht="15" customHeight="1"/>
    <row r="4302" ht="20.1" customHeight="1"/>
    <row r="4303" ht="15" customHeight="1"/>
    <row r="4304" ht="15" customHeight="1"/>
    <row r="4305" ht="15" customHeight="1"/>
    <row r="4306" ht="15" customHeight="1"/>
    <row r="4307" ht="15" customHeight="1"/>
    <row r="4308" ht="15" customHeight="1"/>
    <row r="4309" ht="20.1" customHeight="1"/>
    <row r="4310" ht="15" customHeight="1"/>
    <row r="4311" ht="15" customHeight="1"/>
    <row r="4312" ht="20.1" customHeight="1"/>
    <row r="4313" ht="15" customHeight="1"/>
    <row r="4314" ht="15" customHeight="1"/>
    <row r="4315" ht="20.1" customHeight="1"/>
    <row r="4316" ht="15" customHeight="1"/>
    <row r="4317" ht="15" customHeight="1"/>
    <row r="4318" ht="20.1" customHeight="1"/>
    <row r="4319" ht="15" customHeight="1"/>
    <row r="4320" ht="15" customHeight="1"/>
    <row r="4321" ht="20.1" customHeight="1"/>
    <row r="4322" ht="15" customHeight="1"/>
    <row r="4323" ht="15" customHeight="1"/>
    <row r="4324" ht="20.1" customHeight="1"/>
    <row r="4325" ht="15" customHeight="1"/>
    <row r="4326" ht="15" customHeight="1"/>
    <row r="4327" ht="15" customHeight="1"/>
    <row r="4328" ht="15" customHeight="1"/>
    <row r="4329" ht="20.1" customHeight="1"/>
    <row r="4330" ht="15" customHeight="1"/>
    <row r="4331" ht="15" customHeight="1"/>
    <row r="4332" ht="15" customHeight="1"/>
    <row r="4333" ht="15" customHeight="1"/>
    <row r="4334" ht="20.1" customHeight="1"/>
    <row r="4335" ht="15" customHeight="1"/>
    <row r="4336" ht="15" customHeight="1"/>
    <row r="4337" ht="15" customHeight="1"/>
    <row r="4338" ht="15" customHeight="1"/>
    <row r="4339" ht="15" customHeight="1"/>
    <row r="4340" ht="20.1" customHeight="1"/>
    <row r="4341" ht="15" customHeight="1"/>
    <row r="4342" ht="15" customHeight="1"/>
    <row r="4343" ht="15" customHeight="1"/>
    <row r="4344" ht="15" customHeight="1"/>
    <row r="4345" ht="15" customHeight="1"/>
    <row r="4346" ht="20.1" customHeight="1"/>
    <row r="4347" ht="15" customHeight="1"/>
    <row r="4348" ht="15" customHeight="1"/>
    <row r="4349" ht="15" customHeight="1"/>
    <row r="4350" ht="15" customHeight="1"/>
    <row r="4351" ht="15" customHeight="1"/>
    <row r="4352" ht="20.1" customHeight="1"/>
    <row r="4353" ht="15" customHeight="1"/>
    <row r="4354" ht="15" customHeight="1"/>
    <row r="4355" ht="15" customHeight="1"/>
    <row r="4356" ht="15" customHeight="1"/>
    <row r="4357" ht="15" customHeight="1"/>
    <row r="4358" ht="20.1" customHeight="1"/>
    <row r="4359" ht="15" customHeight="1"/>
    <row r="4360" ht="15" customHeight="1"/>
    <row r="4361" ht="15" customHeight="1"/>
    <row r="4362" ht="15" customHeight="1"/>
    <row r="4363" ht="15" customHeight="1"/>
    <row r="4364" ht="20.1" customHeight="1"/>
    <row r="4365" ht="15" customHeight="1"/>
    <row r="4366" ht="15" customHeight="1"/>
    <row r="4367" ht="15" customHeight="1"/>
    <row r="4368" ht="15" customHeight="1"/>
    <row r="4369" ht="15" customHeight="1"/>
    <row r="4370" ht="20.1" customHeight="1"/>
    <row r="4371" ht="15" customHeight="1"/>
    <row r="4372" ht="15" customHeight="1"/>
    <row r="4373" ht="15" customHeight="1"/>
    <row r="4374" ht="15" customHeight="1"/>
    <row r="4375" ht="15" customHeight="1"/>
    <row r="4376" ht="20.1" customHeight="1"/>
    <row r="4377" ht="15" customHeight="1"/>
    <row r="4378" ht="15" customHeight="1"/>
    <row r="4379" ht="15" customHeight="1"/>
    <row r="4380" ht="20.1" customHeight="1"/>
    <row r="4381" ht="15" customHeight="1"/>
    <row r="4382" ht="15" customHeight="1"/>
    <row r="4383" ht="15" customHeight="1"/>
    <row r="4384" ht="15" customHeight="1"/>
    <row r="4385" ht="15" customHeight="1"/>
    <row r="4386" ht="15" customHeight="1"/>
    <row r="4387" ht="15" customHeight="1"/>
    <row r="4388" ht="20.1" customHeight="1"/>
    <row r="4389" ht="15" customHeight="1"/>
    <row r="4390" ht="15" customHeight="1"/>
    <row r="4391" ht="15" customHeight="1"/>
    <row r="4392" ht="15" customHeight="1"/>
    <row r="4393" ht="15" customHeight="1"/>
    <row r="4394" ht="20.1" customHeight="1"/>
    <row r="4395" ht="15" customHeight="1"/>
    <row r="4396" ht="15" customHeight="1"/>
    <row r="4397" ht="15" customHeight="1"/>
    <row r="4398" ht="20.1" customHeight="1"/>
    <row r="4399" ht="15" customHeight="1"/>
    <row r="4400" ht="15" customHeight="1"/>
    <row r="4401" ht="15" customHeight="1"/>
    <row r="4402" ht="15" customHeight="1"/>
    <row r="4403" ht="20.1" customHeight="1"/>
    <row r="4404" ht="15" customHeight="1"/>
    <row r="4405" ht="15" customHeight="1"/>
    <row r="4406" ht="15" customHeight="1"/>
    <row r="4407" ht="20.1"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20.1" customHeight="1"/>
    <row r="4418" ht="15" customHeight="1"/>
    <row r="4419" ht="15" customHeight="1"/>
    <row r="4420" ht="15" customHeight="1"/>
    <row r="4421" ht="20.1"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20.1"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20.1" customHeight="1"/>
    <row r="4448" ht="15" customHeight="1"/>
    <row r="4449" ht="15" customHeight="1"/>
    <row r="4450" ht="15" customHeight="1"/>
    <row r="4451" ht="15" customHeight="1"/>
    <row r="4452" ht="15" customHeight="1"/>
    <row r="4453" ht="15" customHeight="1"/>
    <row r="4454" ht="20.1" customHeight="1"/>
    <row r="4455" ht="15" customHeight="1"/>
    <row r="4456" ht="15" customHeight="1"/>
    <row r="4457" ht="15" customHeight="1"/>
    <row r="4458" ht="15" customHeight="1"/>
    <row r="4459" ht="15" customHeight="1"/>
    <row r="4460" ht="15" customHeight="1"/>
    <row r="4461" ht="20.1" customHeight="1"/>
    <row r="4462" ht="15" customHeight="1"/>
    <row r="4463" ht="15" customHeight="1"/>
    <row r="4464" ht="15" customHeight="1"/>
    <row r="4465" ht="15" customHeight="1"/>
    <row r="4466" ht="15" customHeight="1"/>
    <row r="4467" ht="15" customHeight="1"/>
    <row r="4468" ht="20.1" customHeight="1"/>
    <row r="4469" ht="15" customHeight="1"/>
    <row r="4470" ht="15" customHeight="1"/>
    <row r="4471" ht="15" customHeight="1"/>
    <row r="4472" ht="15" customHeight="1"/>
    <row r="4473" ht="15" customHeight="1"/>
    <row r="4474" ht="15" customHeight="1"/>
    <row r="4475" ht="20.1" customHeight="1"/>
    <row r="4476" ht="15" customHeight="1"/>
    <row r="4477" ht="15" customHeight="1"/>
    <row r="4478" ht="15" customHeight="1"/>
    <row r="4479" ht="15" customHeight="1"/>
    <row r="4480" ht="15" customHeight="1"/>
    <row r="4481" ht="15" customHeight="1"/>
    <row r="4482" ht="20.1" customHeight="1"/>
    <row r="4483" ht="15" customHeight="1"/>
    <row r="4484" ht="15" customHeight="1"/>
    <row r="4485" ht="15" customHeight="1"/>
    <row r="4486" ht="20.1" customHeight="1"/>
    <row r="4487" ht="15" customHeight="1"/>
    <row r="4488" ht="15" customHeight="1"/>
    <row r="4489" ht="15" customHeight="1"/>
    <row r="4490" ht="20.1" customHeight="1"/>
    <row r="4491" ht="15" customHeight="1"/>
    <row r="4492" ht="15" customHeight="1"/>
    <row r="4493" ht="15" customHeight="1"/>
    <row r="4494" ht="15" customHeight="1"/>
    <row r="4495" ht="15" customHeight="1"/>
    <row r="4496" ht="15" customHeight="1"/>
    <row r="4497" ht="20.1" customHeight="1"/>
    <row r="4498" ht="15" customHeight="1"/>
    <row r="4499" ht="15" customHeight="1"/>
    <row r="4500" ht="15" customHeight="1"/>
    <row r="4501" ht="15" customHeight="1"/>
    <row r="4502" ht="15" customHeight="1"/>
    <row r="4503" ht="15" customHeight="1"/>
    <row r="4504" ht="20.1" customHeight="1"/>
    <row r="4505" ht="15" customHeight="1"/>
    <row r="4506" ht="15" customHeight="1"/>
    <row r="4507" ht="15" customHeight="1"/>
    <row r="4508" ht="20.1" customHeight="1"/>
    <row r="4509" ht="15" customHeight="1"/>
    <row r="4510" ht="15" customHeight="1"/>
    <row r="4511" ht="15" customHeight="1"/>
    <row r="4512" ht="20.1" customHeight="1"/>
    <row r="4513" ht="15" customHeight="1"/>
    <row r="4514" ht="15" customHeight="1"/>
    <row r="4515" ht="15" customHeight="1"/>
    <row r="4516" ht="20.1" customHeight="1"/>
    <row r="4517" ht="15" customHeight="1"/>
    <row r="4518" ht="15" customHeight="1"/>
    <row r="4519" ht="15" customHeight="1"/>
    <row r="4520" ht="20.1" customHeight="1"/>
    <row r="4521" ht="15" customHeight="1"/>
    <row r="4522" ht="15" customHeight="1"/>
    <row r="4523" ht="15" customHeight="1"/>
    <row r="4524" ht="20.1" customHeight="1"/>
    <row r="4525" ht="15" customHeight="1"/>
    <row r="4526" ht="15" customHeight="1"/>
    <row r="4527" ht="15" customHeight="1"/>
    <row r="4528" ht="20.1" customHeight="1"/>
    <row r="4529" ht="15" customHeight="1"/>
    <row r="4530" ht="15" customHeight="1"/>
    <row r="4531" ht="15" customHeight="1"/>
    <row r="4532" ht="20.1" customHeight="1"/>
    <row r="4533" ht="15" customHeight="1"/>
    <row r="4534" ht="15" customHeight="1"/>
    <row r="4535" ht="15" customHeight="1"/>
    <row r="4536" ht="20.1" customHeight="1"/>
    <row r="4537" ht="15" customHeight="1"/>
    <row r="4538" ht="15" customHeight="1"/>
    <row r="4539" ht="15" customHeight="1"/>
    <row r="4540" ht="20.1" customHeight="1"/>
    <row r="4541" ht="15" customHeight="1"/>
    <row r="4542" ht="15" customHeight="1"/>
    <row r="4543" ht="15" customHeight="1"/>
    <row r="4544" ht="20.1" customHeight="1"/>
    <row r="4545" ht="15" customHeight="1"/>
    <row r="4546" ht="15" customHeight="1"/>
    <row r="4547" ht="15" customHeight="1"/>
    <row r="4548" ht="20.1" customHeight="1"/>
    <row r="4549" ht="15" customHeight="1"/>
    <row r="4550" ht="15" customHeight="1"/>
    <row r="4551" ht="15" customHeight="1"/>
    <row r="4552" ht="15" customHeight="1"/>
    <row r="4553" ht="15" customHeight="1"/>
    <row r="4554" ht="20.1" customHeight="1"/>
    <row r="4555" ht="15" customHeight="1"/>
    <row r="4556" ht="15" customHeight="1"/>
    <row r="4557" ht="15" customHeight="1"/>
    <row r="4558" ht="15" customHeight="1"/>
    <row r="4559" ht="15" customHeight="1"/>
    <row r="4560" ht="15" customHeight="1"/>
    <row r="4561" ht="20.1" customHeight="1"/>
    <row r="4562" ht="15" customHeight="1"/>
    <row r="4563" ht="15" customHeight="1"/>
    <row r="4564" ht="15" customHeight="1"/>
    <row r="4565" ht="15" customHeight="1"/>
    <row r="4566" ht="15" customHeight="1"/>
    <row r="4567" ht="15" customHeight="1"/>
    <row r="4568" ht="15" customHeight="1"/>
    <row r="4569" ht="20.1"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20.1" customHeight="1"/>
    <row r="4655" ht="15" customHeight="1"/>
    <row r="4656" ht="15" customHeight="1"/>
    <row r="4657" ht="15" customHeight="1"/>
    <row r="4658" ht="15" customHeight="1"/>
    <row r="4659" ht="15" customHeight="1"/>
    <row r="4660" ht="20.1"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20.1" customHeight="1"/>
    <row r="4675" ht="15" customHeight="1"/>
    <row r="4676" ht="15" customHeight="1"/>
    <row r="4677" ht="15" customHeight="1"/>
    <row r="4678" ht="15" customHeight="1"/>
    <row r="4679" ht="20.1" customHeight="1"/>
    <row r="4680" ht="15" customHeight="1"/>
    <row r="4681" ht="15" customHeight="1"/>
    <row r="4682" ht="15" customHeight="1"/>
    <row r="4683" ht="15" customHeight="1"/>
    <row r="4684" ht="15" customHeight="1"/>
    <row r="4685" ht="15" customHeight="1"/>
    <row r="4686" ht="20.1" customHeight="1"/>
    <row r="4687" ht="15" customHeight="1"/>
    <row r="4688" ht="15" customHeight="1"/>
    <row r="4689" ht="15" customHeight="1"/>
    <row r="4690" ht="15" customHeight="1"/>
    <row r="4691" ht="15" customHeight="1"/>
    <row r="4692" ht="15" customHeight="1"/>
    <row r="4693" ht="20.1" customHeight="1"/>
    <row r="4694" ht="15" customHeight="1"/>
    <row r="4695" ht="15" customHeight="1"/>
    <row r="4696" ht="15" customHeight="1"/>
    <row r="4697" ht="15" customHeight="1"/>
    <row r="4698" ht="15" customHeight="1"/>
    <row r="4699" ht="15" customHeight="1"/>
    <row r="4700" ht="20.1" customHeight="1"/>
    <row r="4701" ht="15" customHeight="1"/>
    <row r="4702" ht="15" customHeight="1"/>
    <row r="4703" ht="15" customHeight="1"/>
    <row r="4704" ht="15" customHeight="1"/>
    <row r="4705" ht="15" customHeight="1"/>
    <row r="4706" ht="15" customHeight="1"/>
    <row r="4707" ht="20.1" customHeight="1"/>
    <row r="4708" ht="15" customHeight="1"/>
    <row r="4709" ht="15" customHeight="1"/>
    <row r="4710" ht="15" customHeight="1"/>
    <row r="4711" ht="15" customHeight="1"/>
    <row r="4712" ht="15" customHeight="1"/>
    <row r="4713" ht="20.1" customHeight="1"/>
    <row r="4714" ht="15" customHeight="1"/>
    <row r="4715" ht="15" customHeight="1"/>
    <row r="4716" ht="15" customHeight="1"/>
    <row r="4717" ht="15" customHeight="1"/>
    <row r="4718" ht="20.1" customHeight="1"/>
    <row r="4719" ht="15" customHeight="1"/>
    <row r="4720" ht="15" customHeight="1"/>
    <row r="4721" ht="15" customHeight="1"/>
    <row r="4722" ht="15" customHeight="1"/>
    <row r="4723" ht="20.1" customHeight="1"/>
    <row r="4724" ht="15" customHeight="1"/>
    <row r="4725" ht="15" customHeight="1"/>
    <row r="4726" ht="15" customHeight="1"/>
    <row r="4727" ht="15" customHeight="1"/>
    <row r="4728" ht="20.1" customHeight="1"/>
    <row r="4729" ht="15" customHeight="1"/>
    <row r="4730" ht="15" customHeight="1"/>
    <row r="4731" ht="15" customHeight="1"/>
    <row r="4732" ht="20.1" customHeight="1"/>
    <row r="4733" ht="15" customHeight="1"/>
    <row r="4734" ht="15" customHeight="1"/>
    <row r="4735" ht="15" customHeight="1"/>
    <row r="4736" ht="20.1" customHeight="1"/>
    <row r="4737" ht="15" customHeight="1"/>
    <row r="4738" ht="15" customHeight="1"/>
    <row r="4739" ht="15" customHeight="1"/>
    <row r="4740" ht="20.1" customHeight="1"/>
    <row r="4741" ht="15" customHeight="1"/>
    <row r="4742" ht="15" customHeight="1"/>
    <row r="4743" ht="15" customHeight="1"/>
    <row r="4744" ht="20.1" customHeight="1"/>
    <row r="4745" ht="15" customHeight="1"/>
    <row r="4746" ht="15" customHeight="1"/>
    <row r="4747" ht="15" customHeight="1"/>
    <row r="4748" ht="20.1" customHeight="1"/>
    <row r="4749" ht="15" customHeight="1"/>
    <row r="4750" ht="15" customHeight="1"/>
    <row r="4751" ht="15" customHeight="1"/>
    <row r="4752" ht="20.1" customHeight="1"/>
    <row r="4753" ht="15" customHeight="1"/>
    <row r="4754" ht="15" customHeight="1"/>
    <row r="4755" ht="15" customHeight="1"/>
    <row r="4756" ht="15" customHeight="1"/>
    <row r="4757" ht="15" customHeight="1"/>
    <row r="4758" ht="15" customHeight="1"/>
    <row r="4759" ht="15" customHeight="1"/>
    <row r="4760" ht="20.1" customHeight="1"/>
    <row r="4761" ht="15" customHeight="1"/>
    <row r="4762" ht="15" customHeight="1"/>
    <row r="4763" ht="15" customHeight="1"/>
    <row r="4764" ht="15" customHeight="1"/>
    <row r="4765" ht="15" customHeight="1"/>
    <row r="4766" ht="15" customHeight="1"/>
    <row r="4767" ht="15" customHeight="1"/>
    <row r="4768" ht="20.1" customHeight="1"/>
    <row r="4769" ht="15" customHeight="1"/>
    <row r="4770" ht="15" customHeight="1"/>
    <row r="4771" ht="15" customHeight="1"/>
    <row r="4772" ht="15" customHeight="1"/>
    <row r="4773" ht="15" customHeight="1"/>
    <row r="4774" ht="15" customHeight="1"/>
    <row r="4775" ht="15" customHeight="1"/>
    <row r="4776" ht="20.1" customHeight="1"/>
    <row r="4777" ht="15" customHeight="1"/>
    <row r="4778" ht="15" customHeight="1"/>
    <row r="4779" ht="15" customHeight="1"/>
    <row r="4780" ht="15" customHeight="1"/>
    <row r="4781" ht="15" customHeight="1"/>
    <row r="4782" ht="15" customHeight="1"/>
    <row r="4783" ht="15" customHeight="1"/>
    <row r="4784" ht="15" customHeight="1"/>
    <row r="4785" ht="20.1" customHeight="1"/>
    <row r="4786" ht="15" customHeight="1"/>
    <row r="4787" ht="15" customHeight="1"/>
    <row r="4788" ht="15" customHeight="1"/>
    <row r="4789" ht="15" customHeight="1"/>
    <row r="4790" ht="15" customHeight="1"/>
    <row r="4791" ht="15" customHeight="1"/>
    <row r="4792" ht="20.1" customHeight="1"/>
    <row r="4793" ht="15" customHeight="1"/>
    <row r="4794" ht="15" customHeight="1"/>
    <row r="4795" ht="15" customHeight="1"/>
    <row r="4796" ht="15" customHeight="1"/>
    <row r="4797" ht="15" customHeight="1"/>
    <row r="4798" ht="15" customHeight="1"/>
    <row r="4799" ht="15" customHeight="1"/>
    <row r="4800" ht="20.1" customHeight="1"/>
    <row r="4801" ht="15" customHeight="1"/>
    <row r="4802" ht="15" customHeight="1"/>
    <row r="4803" ht="15" customHeight="1"/>
    <row r="4804" ht="15" customHeight="1"/>
    <row r="4805" ht="15" customHeight="1"/>
    <row r="4806" ht="15" customHeight="1"/>
    <row r="4807" ht="15" customHeight="1"/>
    <row r="4808" ht="15" customHeight="1"/>
    <row r="4809" ht="20.1" customHeight="1"/>
    <row r="4810" ht="15" customHeight="1"/>
    <row r="4811" ht="15" customHeight="1"/>
    <row r="4812" ht="15" customHeight="1"/>
    <row r="4813" ht="15" customHeight="1"/>
    <row r="4814" ht="15" customHeight="1"/>
    <row r="4815" ht="15" customHeight="1"/>
    <row r="4816" ht="15" customHeight="1"/>
    <row r="4817" ht="15" customHeight="1"/>
    <row r="4818" ht="20.1" customHeight="1"/>
    <row r="4819" ht="15" customHeight="1"/>
    <row r="4820" ht="15" customHeight="1"/>
    <row r="4821" ht="15" customHeight="1"/>
    <row r="4822" ht="15" customHeight="1"/>
    <row r="4823" ht="15" customHeight="1"/>
    <row r="4824" ht="15" customHeight="1"/>
    <row r="4825" ht="15" customHeight="1"/>
    <row r="4826" ht="15" customHeight="1"/>
    <row r="4827" ht="20.1" customHeight="1"/>
    <row r="4828" ht="15" customHeight="1"/>
    <row r="4829" ht="15" customHeight="1"/>
    <row r="4830" ht="15" customHeight="1"/>
    <row r="4831" ht="15" customHeight="1"/>
    <row r="4832" ht="15" customHeight="1"/>
    <row r="4833" ht="15" customHeight="1"/>
    <row r="4834" ht="15" customHeight="1"/>
    <row r="4835" ht="15" customHeight="1"/>
    <row r="4836" ht="20.1" customHeight="1"/>
    <row r="4837" ht="15" customHeight="1"/>
    <row r="4838" ht="15" customHeight="1"/>
    <row r="4839" ht="15" customHeight="1"/>
    <row r="4840" ht="15" customHeight="1"/>
    <row r="4841" ht="15" customHeight="1"/>
    <row r="4842" ht="20.1" customHeight="1"/>
    <row r="4843" ht="15" customHeight="1"/>
    <row r="4844" ht="15" customHeight="1"/>
    <row r="4845" ht="15" customHeight="1"/>
    <row r="4846" ht="15" customHeight="1"/>
    <row r="4847" ht="15" customHeight="1"/>
    <row r="4848" ht="15" customHeight="1"/>
    <row r="4849" ht="15" customHeight="1"/>
    <row r="4850" ht="15" customHeight="1"/>
    <row r="4851" ht="20.1" customHeight="1"/>
    <row r="4852" ht="15" customHeight="1"/>
    <row r="4853" ht="15" customHeight="1"/>
    <row r="4854" ht="15" customHeight="1"/>
    <row r="4855" ht="15" customHeight="1"/>
    <row r="4856" ht="15" customHeight="1"/>
    <row r="4857" ht="15" customHeight="1"/>
    <row r="4858" ht="15" customHeight="1"/>
    <row r="4859" ht="15" customHeight="1"/>
    <row r="4860" ht="20.1" customHeight="1"/>
    <row r="4861" ht="15" customHeight="1"/>
    <row r="4862" ht="15" customHeight="1"/>
    <row r="4863" ht="15" customHeight="1"/>
    <row r="4864" ht="15" customHeight="1"/>
    <row r="4865" ht="15" customHeight="1"/>
    <row r="4866" ht="15" customHeight="1"/>
    <row r="4867" ht="15" customHeight="1"/>
    <row r="4868" ht="15" customHeight="1"/>
    <row r="4869" ht="20.1" customHeight="1"/>
    <row r="4870" ht="15" customHeight="1"/>
    <row r="4871" ht="15" customHeight="1"/>
    <row r="4872" ht="15" customHeight="1"/>
    <row r="4873" ht="15" customHeight="1"/>
    <row r="4874" ht="15" customHeight="1"/>
    <row r="4875" ht="15" customHeight="1"/>
    <row r="4876" ht="20.1" customHeight="1"/>
    <row r="4877" ht="15" customHeight="1"/>
    <row r="4878" ht="15" customHeight="1"/>
    <row r="4879" ht="15" customHeight="1"/>
    <row r="4880" ht="15" customHeight="1"/>
    <row r="4881" ht="15" customHeight="1"/>
    <row r="4882" ht="15" customHeight="1"/>
    <row r="4883" ht="15" customHeight="1"/>
    <row r="4884" ht="20.1" customHeight="1"/>
    <row r="4885" ht="15" customHeight="1"/>
    <row r="4886" ht="15" customHeight="1"/>
    <row r="4887" ht="15" customHeight="1"/>
    <row r="4888" ht="15" customHeight="1"/>
    <row r="4889" ht="15" customHeight="1"/>
    <row r="4890" ht="15" customHeight="1"/>
    <row r="4891" ht="15" customHeight="1"/>
    <row r="4892" ht="20.1" customHeight="1"/>
    <row r="4893" ht="15" customHeight="1"/>
    <row r="4894" ht="15" customHeight="1"/>
    <row r="4895" ht="15" customHeight="1"/>
    <row r="4896" ht="15" customHeight="1"/>
    <row r="4897" ht="15" customHeight="1"/>
    <row r="4898" ht="15" customHeight="1"/>
    <row r="4899" ht="15" customHeight="1"/>
    <row r="4900" ht="20.1" customHeight="1"/>
    <row r="4901" ht="15" customHeight="1"/>
    <row r="4902" ht="15" customHeight="1"/>
    <row r="4903" ht="15" customHeight="1"/>
    <row r="4904" ht="15" customHeight="1"/>
    <row r="4905" ht="15" customHeight="1"/>
    <row r="4906" ht="15" customHeight="1"/>
    <row r="4907" ht="15" customHeight="1"/>
    <row r="4908" ht="20.1" customHeight="1"/>
    <row r="4909" ht="15" customHeight="1"/>
    <row r="4910" ht="15" customHeight="1"/>
    <row r="4911" ht="15" customHeight="1"/>
    <row r="4912" ht="15" customHeight="1"/>
    <row r="4913" ht="15" customHeight="1"/>
    <row r="4914" ht="15" customHeight="1"/>
    <row r="4915" ht="15" customHeight="1"/>
    <row r="4916" ht="20.1" customHeight="1"/>
    <row r="4917" ht="15" customHeight="1"/>
    <row r="4918" ht="15" customHeight="1"/>
    <row r="4919" ht="15" customHeight="1"/>
    <row r="4920" ht="15" customHeight="1"/>
    <row r="4921" ht="15" customHeight="1"/>
    <row r="4922" ht="15" customHeight="1"/>
    <row r="4923" ht="15" customHeight="1"/>
    <row r="4924" ht="20.1" customHeight="1"/>
    <row r="4925" ht="15" customHeight="1"/>
    <row r="4926" ht="15" customHeight="1"/>
    <row r="4927" ht="15" customHeight="1"/>
    <row r="4928" ht="15" customHeight="1"/>
    <row r="4929" ht="15" customHeight="1"/>
    <row r="4930" ht="15" customHeight="1"/>
    <row r="4931" ht="15" customHeight="1"/>
    <row r="4932" ht="20.1" customHeight="1"/>
    <row r="4933" ht="15" customHeight="1"/>
    <row r="4934" ht="15" customHeight="1"/>
    <row r="4935" ht="15" customHeight="1"/>
    <row r="4936" ht="15" customHeight="1"/>
    <row r="4937" ht="15" customHeight="1"/>
    <row r="4938" ht="15" customHeight="1"/>
    <row r="4939" ht="15" customHeight="1"/>
    <row r="4940" ht="20.1" customHeight="1"/>
    <row r="4941" ht="15" customHeight="1"/>
    <row r="4942" ht="15" customHeight="1"/>
    <row r="4943" ht="15" customHeight="1"/>
    <row r="4944" ht="15" customHeight="1"/>
    <row r="4945" ht="15" customHeight="1"/>
    <row r="4946" ht="15" customHeight="1"/>
    <row r="4947" ht="15" customHeight="1"/>
    <row r="4948" ht="20.1" customHeight="1"/>
    <row r="4949" ht="15" customHeight="1"/>
    <row r="4950" ht="15" customHeight="1"/>
    <row r="4951" ht="15" customHeight="1"/>
    <row r="4952" ht="15" customHeight="1"/>
    <row r="4953" ht="15" customHeight="1"/>
    <row r="4954" ht="15" customHeight="1"/>
    <row r="4955" ht="15" customHeight="1"/>
    <row r="4956" ht="20.1" customHeight="1"/>
    <row r="4957" ht="15" customHeight="1"/>
    <row r="4958" ht="15" customHeight="1"/>
    <row r="4959" ht="15" customHeight="1"/>
    <row r="4960" ht="15" customHeight="1"/>
    <row r="4961" ht="15" customHeight="1"/>
    <row r="4962" ht="15" customHeight="1"/>
    <row r="4963" ht="15" customHeight="1"/>
    <row r="4964" ht="20.1" customHeight="1"/>
    <row r="4965" ht="15" customHeight="1"/>
    <row r="4966" ht="15" customHeight="1"/>
    <row r="4967" ht="15" customHeight="1"/>
    <row r="4968" ht="15" customHeight="1"/>
    <row r="4969" ht="15" customHeight="1"/>
    <row r="4970" ht="15" customHeight="1"/>
    <row r="4971" ht="15" customHeight="1"/>
    <row r="4972" ht="20.1" customHeight="1"/>
    <row r="4973" ht="15" customHeight="1"/>
    <row r="4974" ht="15" customHeight="1"/>
    <row r="4975" ht="15" customHeight="1"/>
    <row r="4976" ht="15" customHeight="1"/>
    <row r="4977" ht="15" customHeight="1"/>
    <row r="4978" ht="15" customHeight="1"/>
    <row r="4979" ht="15" customHeight="1"/>
    <row r="4980" ht="20.1" customHeight="1"/>
    <row r="4981" ht="15" customHeight="1"/>
    <row r="4982" ht="15" customHeight="1"/>
    <row r="4983" ht="15" customHeight="1"/>
    <row r="4984" ht="15" customHeight="1"/>
    <row r="4985" ht="15" customHeight="1"/>
    <row r="4986" ht="15" customHeight="1"/>
    <row r="4987" ht="15" customHeight="1"/>
    <row r="4988" ht="20.1" customHeight="1"/>
    <row r="4989" ht="15" customHeight="1"/>
    <row r="4990" ht="15" customHeight="1"/>
    <row r="4991" ht="15" customHeight="1"/>
    <row r="4992" ht="15" customHeight="1"/>
    <row r="4993" ht="15" customHeight="1"/>
    <row r="4994" ht="15" customHeight="1"/>
    <row r="4995" ht="15" customHeight="1"/>
    <row r="4996" ht="20.1" customHeight="1"/>
    <row r="4997" ht="15" customHeight="1"/>
    <row r="4998" ht="15" customHeight="1"/>
    <row r="4999" ht="15" customHeight="1"/>
    <row r="5000" ht="15" customHeight="1"/>
    <row r="5001" ht="15" customHeight="1"/>
    <row r="5002" ht="15" customHeight="1"/>
    <row r="5003" ht="15" customHeight="1"/>
    <row r="5004" ht="20.1" customHeight="1"/>
    <row r="5005" ht="15" customHeight="1"/>
    <row r="5006" ht="15" customHeight="1"/>
    <row r="5007" ht="15" customHeight="1"/>
    <row r="5008" ht="15" customHeight="1"/>
    <row r="5009" ht="15" customHeight="1"/>
    <row r="5010" ht="15" customHeight="1"/>
    <row r="5011" ht="15" customHeight="1"/>
    <row r="5012" ht="20.1" customHeight="1"/>
    <row r="5013" ht="15" customHeight="1"/>
    <row r="5014" ht="15" customHeight="1"/>
    <row r="5015" ht="15" customHeight="1"/>
    <row r="5016" ht="15" customHeight="1"/>
    <row r="5017" ht="15" customHeight="1"/>
    <row r="5018" ht="15" customHeight="1"/>
    <row r="5019" ht="15" customHeight="1"/>
    <row r="5020" ht="20.1" customHeight="1"/>
    <row r="5021" ht="15" customHeight="1"/>
    <row r="5022" ht="15" customHeight="1"/>
    <row r="5023" ht="15" customHeight="1"/>
    <row r="5024" ht="15" customHeight="1"/>
    <row r="5025" ht="15" customHeight="1"/>
    <row r="5026" ht="15" customHeight="1"/>
    <row r="5027" ht="15" customHeight="1"/>
    <row r="5028" ht="20.1" customHeight="1"/>
    <row r="5029" ht="15" customHeight="1"/>
    <row r="5030" ht="15" customHeight="1"/>
    <row r="5031" ht="15" customHeight="1"/>
    <row r="5032" ht="15" customHeight="1"/>
    <row r="5033" ht="15" customHeight="1"/>
    <row r="5034" ht="15" customHeight="1"/>
    <row r="5035" ht="15" customHeight="1"/>
    <row r="5036" ht="20.1" customHeight="1"/>
    <row r="5037" ht="15" customHeight="1"/>
    <row r="5038" ht="15" customHeight="1"/>
    <row r="5039" ht="15" customHeight="1"/>
    <row r="5040" ht="15" customHeight="1"/>
    <row r="5041" ht="15" customHeight="1"/>
    <row r="5042" ht="15" customHeight="1"/>
    <row r="5043" ht="15" customHeight="1"/>
    <row r="5044" ht="20.1" customHeight="1"/>
    <row r="5045" ht="15" customHeight="1"/>
    <row r="5046" ht="15" customHeight="1"/>
    <row r="5047" ht="15" customHeight="1"/>
    <row r="5048" ht="15" customHeight="1"/>
    <row r="5049" ht="15" customHeight="1"/>
    <row r="5050" ht="15" customHeight="1"/>
    <row r="5051" ht="15" customHeight="1"/>
    <row r="5052" ht="20.1" customHeight="1"/>
    <row r="5053" ht="15" customHeight="1"/>
    <row r="5054" ht="15" customHeight="1"/>
    <row r="5055" ht="15" customHeight="1"/>
    <row r="5056" ht="15" customHeight="1"/>
    <row r="5057" ht="15" customHeight="1"/>
    <row r="5058" ht="15" customHeight="1"/>
    <row r="5059" ht="15" customHeight="1"/>
    <row r="5060" ht="20.1" customHeight="1"/>
    <row r="5061" ht="15" customHeight="1"/>
    <row r="5062" ht="15" customHeight="1"/>
    <row r="5063" ht="15" customHeight="1"/>
    <row r="5064" ht="15" customHeight="1"/>
    <row r="5065" ht="15" customHeight="1"/>
    <row r="5066" ht="15" customHeight="1"/>
    <row r="5067" ht="15" customHeight="1"/>
    <row r="5068" ht="20.1" customHeight="1"/>
    <row r="5069" ht="15" customHeight="1"/>
    <row r="5070" ht="15" customHeight="1"/>
    <row r="5071" ht="15" customHeight="1"/>
    <row r="5072" ht="15" customHeight="1"/>
    <row r="5073" ht="15" customHeight="1"/>
    <row r="5074" ht="15" customHeight="1"/>
    <row r="5075" ht="15" customHeight="1"/>
    <row r="5076" ht="20.1" customHeight="1"/>
    <row r="5077" ht="15" customHeight="1"/>
    <row r="5078" ht="15" customHeight="1"/>
    <row r="5079" ht="15" customHeight="1"/>
    <row r="5080" ht="15" customHeight="1"/>
    <row r="5081" ht="15" customHeight="1"/>
    <row r="5082" ht="15" customHeight="1"/>
    <row r="5083" ht="15" customHeight="1"/>
    <row r="5084" ht="20.1" customHeight="1"/>
    <row r="5085" ht="15" customHeight="1"/>
    <row r="5086" ht="15" customHeight="1"/>
    <row r="5087" ht="15" customHeight="1"/>
    <row r="5088" ht="15" customHeight="1"/>
    <row r="5089" ht="15" customHeight="1"/>
    <row r="5090" ht="15" customHeight="1"/>
    <row r="5091" ht="15" customHeight="1"/>
    <row r="5092" ht="20.1" customHeight="1"/>
    <row r="5093" ht="15" customHeight="1"/>
    <row r="5094" ht="15" customHeight="1"/>
    <row r="5095" ht="15" customHeight="1"/>
    <row r="5096" ht="15" customHeight="1"/>
    <row r="5097" ht="15" customHeight="1"/>
    <row r="5098" ht="15" customHeight="1"/>
    <row r="5099" ht="15" customHeight="1"/>
    <row r="5100" ht="20.1"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20.1"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20.1"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20.1"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4.65" customHeight="1"/>
    <row r="5984" ht="14.65" customHeight="1"/>
    <row r="5985" ht="14.65" customHeight="1"/>
    <row r="5986" ht="14.65" customHeight="1"/>
    <row r="5987" ht="14.65" customHeight="1"/>
    <row r="5988" ht="14.65" customHeight="1"/>
    <row r="5989" ht="14.65" customHeight="1"/>
    <row r="5990" ht="14.65" customHeight="1"/>
    <row r="5991" ht="14.65" customHeight="1"/>
    <row r="5992" ht="14.65" customHeight="1"/>
    <row r="5993" ht="14.65" customHeight="1"/>
    <row r="5994" ht="14.65" customHeight="1"/>
    <row r="5995" ht="14.65" customHeight="1"/>
    <row r="5996" ht="14.65" customHeight="1"/>
    <row r="5997" ht="14.65" customHeight="1"/>
    <row r="5998" ht="14.65" customHeight="1"/>
    <row r="5999" ht="19.9" customHeight="1"/>
    <row r="6000" ht="14.65" customHeight="1"/>
    <row r="6001" ht="14.65" customHeight="1"/>
    <row r="6002" ht="14.65" customHeight="1"/>
    <row r="6003" ht="14.65" customHeight="1"/>
    <row r="6004" ht="14.65" customHeight="1"/>
    <row r="6005" ht="14.65" customHeight="1"/>
    <row r="6006" ht="14.65" customHeight="1"/>
    <row r="6007" ht="14.65" customHeight="1"/>
    <row r="6008" ht="14.65" customHeight="1"/>
    <row r="6009" ht="14.65" customHeight="1"/>
    <row r="6010" ht="14.65" customHeight="1"/>
    <row r="6011" ht="14.65" customHeight="1"/>
    <row r="6012" ht="14.65" customHeight="1"/>
    <row r="6013" ht="14.65" customHeight="1"/>
    <row r="6014" ht="14.65" customHeight="1"/>
    <row r="6015" ht="14.65" customHeight="1"/>
    <row r="6016" ht="14.65" customHeight="1"/>
    <row r="6017" ht="14.65" customHeight="1"/>
    <row r="6018" ht="14.65" customHeight="1"/>
    <row r="6019" ht="14.65" customHeight="1"/>
    <row r="6020" ht="14.65" customHeight="1"/>
    <row r="6021" ht="14.65" customHeight="1"/>
    <row r="6022" ht="14.65" customHeight="1"/>
    <row r="6023" ht="14.65" customHeight="1"/>
    <row r="6024" ht="14.65" customHeight="1"/>
    <row r="6025" ht="14.65" customHeight="1"/>
    <row r="6026" ht="14.65" customHeight="1"/>
    <row r="6027" ht="14.65" customHeight="1"/>
    <row r="6028" ht="14.65" customHeight="1"/>
    <row r="6029" ht="14.65" customHeight="1"/>
    <row r="6030" ht="14.65" customHeight="1"/>
    <row r="6031" ht="14.65" customHeight="1"/>
    <row r="6032" ht="14.65" customHeight="1"/>
    <row r="6033" ht="14.65" customHeight="1"/>
    <row r="6034" ht="14.65" customHeight="1"/>
    <row r="6035" ht="14.65" customHeight="1"/>
    <row r="6036" ht="14.65" customHeight="1"/>
    <row r="6037" ht="14.65" customHeight="1"/>
    <row r="6038" ht="14.65" customHeight="1"/>
    <row r="6039" ht="14.65" customHeight="1"/>
    <row r="6040" ht="14.65" customHeight="1"/>
    <row r="6041" ht="14.65" customHeight="1"/>
    <row r="6042" ht="14.65" customHeight="1"/>
    <row r="6043" ht="14.65" customHeight="1"/>
    <row r="6044" ht="14.65" customHeight="1"/>
    <row r="6045" ht="14.65" customHeight="1"/>
    <row r="6046" ht="14.65" customHeight="1"/>
    <row r="6047" ht="14.65" customHeight="1"/>
    <row r="6048" ht="14.65" customHeight="1"/>
    <row r="6049" ht="14.65" customHeight="1"/>
    <row r="6050" ht="14.65" customHeight="1"/>
    <row r="6051" ht="14.65" customHeight="1"/>
    <row r="6052" ht="14.65" customHeight="1"/>
    <row r="6053" ht="14.65" customHeight="1"/>
    <row r="6054" ht="14.65" customHeight="1"/>
    <row r="6055" ht="14.65" customHeight="1"/>
    <row r="6056" ht="14.65" customHeight="1"/>
    <row r="6057" ht="14.65" customHeight="1"/>
    <row r="6058" ht="14.65" customHeight="1"/>
    <row r="6059" ht="14.65" customHeight="1"/>
    <row r="6060" ht="14.65" customHeight="1"/>
    <row r="6061" ht="14.65" customHeight="1"/>
    <row r="6062" ht="14.65" customHeight="1"/>
    <row r="6063" ht="14.65" customHeight="1"/>
    <row r="6064" ht="14.65" customHeight="1"/>
    <row r="6065" ht="14.65" customHeight="1"/>
    <row r="6066" ht="14.65" customHeight="1"/>
    <row r="6067" ht="14.65" customHeight="1"/>
    <row r="6068" ht="14.65" customHeight="1"/>
    <row r="6069" ht="14.65" customHeight="1"/>
    <row r="6070" ht="14.65" customHeight="1"/>
    <row r="6071" ht="14.65" customHeight="1"/>
    <row r="6072" ht="14.65" customHeight="1"/>
    <row r="6073" ht="14.65" customHeight="1"/>
    <row r="6074" ht="14.65" customHeight="1"/>
    <row r="6075" ht="14.65" customHeight="1"/>
    <row r="6076" ht="14.65" customHeight="1"/>
    <row r="6077" ht="14.65" customHeight="1"/>
    <row r="6078" ht="14.65" customHeight="1"/>
    <row r="6079" ht="14.65" customHeight="1"/>
    <row r="6080" ht="14.65" customHeight="1"/>
    <row r="6081" ht="14.65" customHeight="1"/>
    <row r="6082" ht="14.65" customHeight="1"/>
    <row r="6083" ht="14.65" customHeight="1"/>
    <row r="6084" ht="14.65" customHeight="1"/>
    <row r="6085" ht="14.65" customHeight="1"/>
    <row r="6086" ht="14.65" customHeight="1"/>
    <row r="6087" ht="14.65" customHeight="1"/>
    <row r="6088" ht="14.65" customHeight="1"/>
    <row r="6089" ht="14.65" customHeight="1"/>
    <row r="6090" ht="14.65" customHeight="1"/>
    <row r="6091" ht="14.65" customHeight="1"/>
    <row r="6092" ht="14.65" customHeight="1"/>
    <row r="6093" ht="14.65" customHeight="1"/>
    <row r="6094" ht="14.65" customHeight="1"/>
    <row r="6095" ht="14.65" customHeight="1"/>
    <row r="6096" ht="14.65" customHeight="1"/>
    <row r="6097" ht="15" customHeight="1"/>
    <row r="6098" ht="15" customHeight="1"/>
    <row r="6099" ht="15" customHeight="1"/>
  </sheetData>
  <sheetProtection selectLockedCells="1" selectUnlockedCells="1" algorithmName="SHA-512" sheet="1" objects="1" insertRows="1" insertHyperlinks="1" autoFilter="1" scenarios="1" formatColumns="1" deleteColumns="1" insertColumns="1" pivotTables="1" deleteRows="1" formatCells="1" saltValue="eXFBh2b3K+nIdXZxHVeP0A==" formatRows="1" sort="1" spinCount="100000" hashValue="xNIrSjtJtDT3zwejP7BggMVnM9pTSPjWm0w+5a6IKma5ZUWu4gvOkZuwKxWTUvHZ4G9OnDpo0G+/bd9NUPXdWg=="/>
  <mergeCells count="1">
    <mergeCell ref="A1:J1"/>
  </mergeCells>
  <pageMargins left="0.25" right="0.25" top="0.75" bottom="0.75" header="0.3" footer="0.3"/>
  <pageSetup orientation="landscape" paperSize="9" fitToHeight="0"/>
</worksheet>
</file>

<file path=xl/worksheets/sheet6.xml><?xml version="1.0" encoding="utf-8"?>
<worksheet xmlns="http://schemas.openxmlformats.org/spreadsheetml/2006/main">
  <sheetPr codeName="Sheet105">
    <tabColor theme="3" tint="0.7999816888943144"/>
    <outlinePr summaryBelow="1" summaryRight="1"/>
    <pageSetUpPr fitToPage="1"/>
  </sheetPr>
  <dimension ref="A1:D5"/>
  <sheetViews>
    <sheetView zoomScale="80" zoomScaleNormal="80" workbookViewId="0">
      <selection activeCell="B3" sqref="B3"/>
    </sheetView>
  </sheetViews>
  <sheetFormatPr baseColWidth="8" defaultColWidth="9.28515625" defaultRowHeight="14.45"/>
  <cols>
    <col width="44.7109375" customWidth="1" style="17" min="1" max="1"/>
    <col width="28.7109375" customWidth="1" style="17" min="2" max="2"/>
    <col width="12.7109375" customWidth="1" style="17" min="3" max="3"/>
    <col width="9.7109375" customWidth="1" style="17" min="4" max="4"/>
    <col width="9.28515625" customWidth="1" style="17" min="5" max="16384"/>
  </cols>
  <sheetData>
    <row r="1" ht="50.25" customHeight="1" thickBot="1">
      <c r="A1" s="294" t="inlineStr">
        <is>
          <t>TOTAL PERSON-MONTHS</t>
        </is>
      </c>
      <c r="B1" s="329" t="n"/>
      <c r="C1" s="329" t="n"/>
      <c r="D1" s="329" t="n"/>
    </row>
    <row r="2" ht="59.1" customFormat="1" customHeight="1" s="166">
      <c r="A2" s="162" t="inlineStr">
        <is>
          <t>BENEFICIARIES \ WORK PACKAGES</t>
        </is>
      </c>
      <c r="B2" s="330" t="inlineStr">
        <is>
          <t>WP1</t>
        </is>
      </c>
      <c r="C2" s="331" t="inlineStr">
        <is>
          <t>Total</t>
        </is>
      </c>
      <c r="D2" s="164" t="inlineStr">
        <is>
          <t>Pct %</t>
        </is>
      </c>
    </row>
    <row r="3">
      <c r="A3" s="95" t="inlineStr">
        <is>
          <t>BEx: BEx name</t>
        </is>
      </c>
      <c r="B3" s="332" t="n"/>
      <c r="C3" s="333">
        <f>SUM(B3:B3)</f>
        <v/>
      </c>
      <c r="D3" s="144">
        <f>IF(C$4&gt;0,C3/C$4," ")</f>
        <v/>
      </c>
    </row>
    <row r="4">
      <c r="A4" s="96" t="inlineStr">
        <is>
          <t xml:space="preserve">Total: </t>
        </is>
      </c>
      <c r="B4" s="334" t="n"/>
      <c r="C4" s="335">
        <f>SUM(C3:C3)</f>
        <v/>
      </c>
      <c r="D4" s="144">
        <f>IF(C$4&gt;0,C4/C$4," ")</f>
        <v/>
      </c>
    </row>
    <row r="5">
      <c r="A5" s="72" t="inlineStr">
        <is>
          <t xml:space="preserve">Percentage: </t>
        </is>
      </c>
      <c r="B5" s="144">
        <f>IF($C4&gt;0,B4/$C4," ")</f>
        <v/>
      </c>
      <c r="C5" s="144">
        <f>IF($C4&gt;0,C4/$C4," ")</f>
        <v/>
      </c>
      <c r="D5" s="97" t="n"/>
    </row>
  </sheetData>
  <sheetProtection selectLockedCells="0" selectUnlockedCells="0" algorithmName="SHA-512" sheet="1" objects="1" insertRows="1" insertHyperlinks="1" autoFilter="1" scenarios="1" formatColumns="1" deleteColumns="1" insertColumns="1" pivotTables="1" deleteRows="1" formatCells="1" saltValue="dOoMULtTLtqznbMY0rhplg==" formatRows="1" sort="1" spinCount="100000" hashValue="1yGtrfH4NEA2fICc9d5hMh9VJbDlCYAL3fO30uwbSz97D4cosa4VFjZjM9iFGydcVPnnP2QVh4M2Xg4bOV1t1w=="/>
  <mergeCells count="1">
    <mergeCell ref="A1:D1"/>
  </mergeCells>
  <pageMargins left="0.7086614173228347" right="0.7086614173228347" top="0.7480314960629921" bottom="0.7480314960629921" header="0.3149606299212598" footer="0.3149606299212598"/>
  <pageSetup orientation="landscape" paperSize="9"/>
</worksheet>
</file>

<file path=xl/worksheets/sheet7.xml><?xml version="1.0" encoding="utf-8"?>
<worksheet xmlns="http://schemas.openxmlformats.org/spreadsheetml/2006/main">
  <sheetPr codeName="Sheet106">
    <tabColor theme="3" tint="0.7999816888943144"/>
    <outlinePr summaryBelow="1" summaryRight="1"/>
    <pageSetUpPr fitToPage="1"/>
  </sheetPr>
  <dimension ref="A1:J8"/>
  <sheetViews>
    <sheetView topLeftCell="B1" zoomScale="80" zoomScaleNormal="80" workbookViewId="0">
      <pane ySplit="2" topLeftCell="A3" activePane="bottomLeft" state="frozenSplit"/>
      <selection pane="bottomLeft" activeCell="A1" sqref="A1:J1"/>
      <selection activeCell="B7" sqref="B7"/>
    </sheetView>
  </sheetViews>
  <sheetFormatPr baseColWidth="8" defaultColWidth="8.7109375" defaultRowHeight="14.45"/>
  <cols>
    <col width="44.7109375" customWidth="1" min="1" max="1"/>
    <col width="28.7109375" customWidth="1" min="2" max="8"/>
    <col width="12.7109375" customWidth="1" min="9" max="9"/>
    <col width="9.7109375" customWidth="1" min="10" max="10"/>
    <col width="28.7109375" customWidth="1" min="11" max="13"/>
    <col width="12.7109375" customWidth="1" min="14" max="14"/>
    <col width="9.7109375" customWidth="1" min="15" max="15"/>
    <col width="28.7109375" customWidth="1" min="16" max="18"/>
    <col width="12.7109375" customWidth="1" min="19" max="19"/>
    <col width="9.7109375" customWidth="1" min="20" max="20"/>
    <col width="28.7109375" customWidth="1" min="21" max="23"/>
    <col width="12.7109375" customWidth="1" min="24" max="24"/>
    <col width="9.7109375" customWidth="1" min="25" max="25"/>
    <col width="28.7109375" customWidth="1" min="26" max="36"/>
    <col width="12.7109375" customWidth="1" min="37" max="37"/>
    <col width="9.7109375" customWidth="1" min="38" max="38"/>
    <col width="28.7109375" customWidth="1" min="39" max="49"/>
    <col width="12.7109375" customWidth="1" min="50" max="50"/>
    <col width="9.7109375" customWidth="1" min="51" max="51"/>
    <col width="28.7109375" customWidth="1" min="52" max="62"/>
    <col width="12.7109375" customWidth="1" min="63" max="63"/>
    <col width="9.7109375" customWidth="1" min="64" max="64"/>
    <col width="28.7109375" customWidth="1" min="65" max="75"/>
    <col width="12.7109375" customWidth="1" min="76" max="76"/>
    <col width="9.7109375" customWidth="1" min="77" max="77"/>
    <col width="28.7109375" customWidth="1" min="78" max="88"/>
    <col width="12.7109375" customWidth="1" min="89" max="89"/>
    <col width="9.7109375" customWidth="1" min="90" max="90"/>
    <col width="28.7109375" customWidth="1" min="91" max="101"/>
    <col width="12.7109375" customWidth="1" min="102" max="102"/>
    <col width="9.7109375" customWidth="1" min="103" max="103"/>
    <col width="28.7109375" customWidth="1" min="104" max="114"/>
    <col width="12.7109375" customWidth="1" min="115" max="115"/>
    <col width="9.7109375" customWidth="1" min="116" max="116"/>
    <col width="28.7109375" customWidth="1" min="117" max="127"/>
    <col width="12.7109375" customWidth="1" min="128" max="128"/>
    <col width="9.7109375" customWidth="1" min="129" max="129"/>
    <col width="28.7109375" customWidth="1" min="130" max="140"/>
    <col width="12.7109375" customWidth="1" min="141" max="141"/>
    <col width="9.7109375" customWidth="1" min="142" max="142"/>
    <col width="28.7109375" customWidth="1" min="143" max="153"/>
    <col width="12.7109375" customWidth="1" min="154" max="154"/>
    <col width="9.7109375" customWidth="1" min="155" max="155"/>
    <col width="28.7109375" customWidth="1" min="156" max="167"/>
    <col width="12.7109375" customWidth="1" min="168" max="168"/>
    <col width="9.7109375" customWidth="1" min="169" max="169"/>
    <col width="28.7109375" customWidth="1" min="170" max="181"/>
    <col width="12.7109375" customWidth="1" min="182" max="182"/>
    <col width="9.7109375" customWidth="1" min="183" max="183"/>
    <col width="28.7109375" customWidth="1" min="184" max="195"/>
    <col width="12.7109375" customWidth="1" min="196" max="196"/>
    <col width="9.7109375" customWidth="1" min="197" max="197"/>
    <col width="28.7109375" customWidth="1" min="198" max="209"/>
    <col width="12.7109375" customWidth="1" min="210" max="210"/>
    <col width="9.7109375" customWidth="1" min="211" max="211"/>
    <col width="28.7109375" customWidth="1" min="212" max="223"/>
    <col width="12.7109375" customWidth="1" min="224" max="224"/>
    <col width="9.7109375" customWidth="1" min="225" max="225"/>
    <col width="28.7109375" customWidth="1" min="226" max="237"/>
    <col width="12.7109375" customWidth="1" min="238" max="238"/>
    <col width="9.7109375" customWidth="1" min="239" max="239"/>
    <col width="28.7109375" customWidth="1" min="240" max="247"/>
    <col width="12.7109375" customWidth="1" min="248" max="248"/>
    <col width="9.7109375" customWidth="1" min="249" max="249"/>
    <col width="28.7109375" customWidth="1" min="250" max="255"/>
    <col width="12.7109375" customWidth="1" min="256" max="256"/>
    <col width="9.7109375" customWidth="1" min="257" max="257"/>
    <col width="28.7109375" customWidth="1" min="258" max="259"/>
    <col width="12.7109375" customWidth="1" min="260" max="260"/>
    <col width="9.7109375" customWidth="1" min="261" max="261"/>
    <col width="28.7109375" customWidth="1" min="262" max="263"/>
    <col width="12.7109375" customWidth="1" min="264" max="264"/>
    <col width="9.7109375" customWidth="1" min="265" max="266"/>
    <col width="28.7109375" customWidth="1" min="267" max="269"/>
    <col width="12.7109375" customWidth="1" min="270" max="270"/>
    <col width="9.7109375" customWidth="1" min="271" max="271"/>
    <col width="28.7109375" customWidth="1" min="272" max="274"/>
    <col width="12.7109375" customWidth="1" min="275" max="275"/>
    <col width="9.7109375" customWidth="1" min="276" max="276"/>
    <col width="28.7109375" customWidth="1" min="277" max="279"/>
    <col width="12.7109375" customWidth="1" min="280" max="280"/>
    <col width="9.7109375" customWidth="1" min="281" max="281"/>
    <col width="28.7109375" customWidth="1" min="282" max="284"/>
    <col width="12.7109375" customWidth="1" min="285" max="285"/>
    <col width="9.7109375" customWidth="1" min="286" max="286"/>
    <col width="28.7109375" customWidth="1" min="287" max="289"/>
    <col width="12.7109375" customWidth="1" min="290" max="290"/>
    <col width="9.7109375" customWidth="1" min="291" max="291"/>
    <col width="28.7109375" customWidth="1" min="292" max="294"/>
    <col width="12.7109375" customWidth="1" min="295" max="295"/>
    <col width="9.7109375" customWidth="1" min="296" max="296"/>
    <col width="28.7109375" customWidth="1" min="297" max="299"/>
    <col width="12.7109375" customWidth="1" min="300" max="300"/>
    <col width="9.7109375" customWidth="1" min="301" max="301"/>
    <col width="28.7109375" customWidth="1" min="302" max="304"/>
    <col width="12.7109375" customWidth="1" min="305" max="305"/>
    <col width="9.7109375" customWidth="1" min="306" max="306"/>
    <col width="28.7109375" customWidth="1" min="307" max="309"/>
    <col width="12.7109375" customWidth="1" min="310" max="310"/>
    <col width="9.7109375" customWidth="1" min="311" max="311"/>
    <col width="28.7109375" customWidth="1" min="312" max="314"/>
    <col width="12.7109375" customWidth="1" min="315" max="315"/>
    <col width="9.7109375" customWidth="1" min="316" max="316"/>
    <col width="28.7109375" customWidth="1" min="317" max="318"/>
    <col width="12.7109375" customWidth="1" min="319" max="319"/>
    <col width="9.7109375" customWidth="1" min="320" max="320"/>
    <col width="28.7109375" customWidth="1" min="321" max="322"/>
    <col width="12.7109375" customWidth="1" min="323" max="323"/>
    <col width="9.7109375" customWidth="1" min="324" max="324"/>
    <col width="28.7109375" customWidth="1" min="325" max="326"/>
    <col width="12.7109375" customWidth="1" min="327" max="327"/>
    <col width="9.7109375" customWidth="1" min="328" max="328"/>
    <col width="28.7109375" customWidth="1" min="329" max="331"/>
    <col width="12.7109375" customWidth="1" min="332" max="332"/>
    <col width="9.7109375" customWidth="1" min="333" max="333"/>
    <col width="28.7109375" customWidth="1" min="334" max="336"/>
    <col width="12.7109375" customWidth="1" min="337" max="337"/>
    <col width="9.7109375" customWidth="1" min="338" max="338"/>
    <col width="28.7109375" customWidth="1" min="339" max="341"/>
    <col width="12.7109375" customWidth="1" min="342" max="342"/>
    <col width="9.7109375" customWidth="1" min="343" max="343"/>
    <col width="28.7109375" customWidth="1" min="344" max="345"/>
    <col width="12.7109375" customWidth="1" min="346" max="346"/>
    <col width="9.7109375" customWidth="1" min="347" max="347"/>
    <col width="28.7109375" customWidth="1" min="348" max="349"/>
    <col width="12.7109375" customWidth="1" min="350" max="350"/>
    <col width="9.7109375" customWidth="1" min="351" max="351"/>
    <col width="28.7109375" customWidth="1" min="352" max="354"/>
    <col width="12.7109375" customWidth="1" min="355" max="355"/>
    <col width="9.7109375" customWidth="1" min="356" max="356"/>
    <col width="28.7109375" customWidth="1" min="357" max="359"/>
    <col width="12.7109375" customWidth="1" min="360" max="360"/>
    <col width="9.7109375" customWidth="1" min="361" max="361"/>
    <col width="28.7109375" customWidth="1" min="362" max="364"/>
    <col width="12.7109375" customWidth="1" min="365" max="365"/>
    <col width="9.7109375" customWidth="1" min="366" max="366"/>
    <col width="28.7109375" customWidth="1" min="367" max="368"/>
    <col width="12.7109375" customWidth="1" min="369" max="369"/>
    <col width="9.7109375" customWidth="1" min="370" max="370"/>
    <col width="28.7109375" customWidth="1" min="371" max="372"/>
    <col width="12.7109375" customWidth="1" min="373" max="373"/>
    <col width="9.7109375" customWidth="1" min="374" max="374"/>
    <col width="28.7109375" customWidth="1" min="375" max="376"/>
    <col width="12.7109375" customWidth="1" min="377" max="377"/>
    <col width="9.7109375" customWidth="1" min="378" max="378"/>
    <col width="28.7109375" customWidth="1" min="379" max="380"/>
    <col width="12.7109375" customWidth="1" min="381" max="381"/>
    <col width="9.7109375" customWidth="1" min="382" max="382"/>
    <col width="28.7109375" customWidth="1" min="383" max="387"/>
    <col width="12.7109375" customWidth="1" min="388" max="388"/>
    <col width="9.7109375" customWidth="1" min="389" max="389"/>
    <col width="28.7109375" customWidth="1" min="390" max="393"/>
    <col width="12.7109375" customWidth="1" min="394" max="394"/>
    <col width="9.7109375" customWidth="1" min="395" max="395"/>
    <col width="28.7109375" customWidth="1" min="396" max="398"/>
    <col width="12.7109375" customWidth="1" min="399" max="399"/>
    <col width="9.7109375" customWidth="1" min="400" max="400"/>
    <col width="28.7109375" customWidth="1" min="401" max="403"/>
    <col width="12.7109375" customWidth="1" min="404" max="404"/>
    <col width="9.7109375" customWidth="1" min="405" max="405"/>
    <col width="28.7109375" customWidth="1" min="406" max="406"/>
    <col width="12.7109375" customWidth="1" min="407" max="407"/>
    <col width="9.7109375" customWidth="1" min="408" max="408"/>
    <col width="28.7109375" customWidth="1" min="409" max="411"/>
    <col width="12.7109375" customWidth="1" min="412" max="412"/>
    <col width="9.7109375" customWidth="1" min="413" max="413"/>
    <col width="28.7109375" customWidth="1" min="414" max="415"/>
    <col width="12.7109375" customWidth="1" min="416" max="416"/>
    <col width="9.7109375" customWidth="1" min="417" max="417"/>
    <col width="28.7109375" customWidth="1" min="418" max="419"/>
    <col width="12.7109375" customWidth="1" min="420" max="420"/>
    <col width="9.7109375" customWidth="1" min="421" max="421"/>
    <col width="28.7109375" customWidth="1" min="422" max="423"/>
    <col width="12.7109375" customWidth="1" min="424" max="424"/>
    <col width="9.7109375" customWidth="1" min="425" max="425"/>
    <col width="28.7109375" customWidth="1" min="426" max="426"/>
    <col width="12.7109375" customWidth="1" min="427" max="427"/>
    <col width="9.7109375" customWidth="1" min="428" max="430"/>
    <col width="28.7109375" customWidth="1" min="431" max="431"/>
    <col width="12.7109375" customWidth="1" min="432" max="432"/>
    <col width="9.7109375" customWidth="1" min="433" max="434"/>
    <col width="28.7109375" customWidth="1" min="435" max="436"/>
    <col width="12.7109375" customWidth="1" min="437" max="437"/>
    <col width="9.7109375" customWidth="1" min="438" max="438"/>
    <col width="28.7109375" customWidth="1" min="439" max="439"/>
    <col width="12.7109375" customWidth="1" min="440" max="440"/>
    <col width="9.7109375" customWidth="1" min="441" max="441"/>
    <col width="28.7109375" customWidth="1" min="442" max="442"/>
    <col width="12.7109375" customWidth="1" min="443" max="443"/>
    <col width="9.7109375" customWidth="1" min="444" max="444"/>
    <col width="12.7109375" customWidth="1" min="445" max="445"/>
    <col width="9.7109375" customWidth="1" min="446" max="447"/>
    <col width="12.7109375" customWidth="1" min="448" max="448"/>
    <col width="9.7109375" customWidth="1" min="449" max="449"/>
    <col width="12.7109375" customWidth="1" min="450" max="450"/>
    <col width="9.7109375" customWidth="1" min="451" max="451"/>
    <col width="12.7109375" customWidth="1" min="452" max="452"/>
    <col width="9.7109375" customWidth="1" min="453" max="454"/>
    <col width="12.7109375" customWidth="1" min="455" max="455"/>
    <col width="9.7109375" customWidth="1" min="456" max="456"/>
    <col width="12.7109375" customWidth="1" min="457" max="457"/>
    <col width="9.7109375" customWidth="1" min="458" max="458"/>
    <col width="12.7109375" customWidth="1" min="459" max="459"/>
    <col width="9.7109375" customWidth="1" min="460" max="460"/>
    <col width="12.7109375" customWidth="1" min="461" max="461"/>
    <col width="9.7109375" customWidth="1" min="462" max="462"/>
    <col width="12.7109375" customWidth="1" min="463" max="463"/>
    <col width="9.7109375" customWidth="1" min="464" max="464"/>
    <col width="28.7109375" customWidth="1" min="465" max="465"/>
    <col width="12.7109375" customWidth="1" min="466" max="466"/>
    <col width="9.7109375" customWidth="1" min="467" max="467"/>
    <col width="28.7109375" customWidth="1" min="468" max="469"/>
    <col width="12.7109375" customWidth="1" min="470" max="470"/>
    <col width="9.7109375" customWidth="1" min="471" max="471"/>
    <col width="28.7109375" customWidth="1" min="472" max="473"/>
    <col width="12.7109375" customWidth="1" min="474" max="474"/>
    <col width="9.7109375" customWidth="1" min="475" max="475"/>
    <col width="28.7109375" customWidth="1" min="476" max="477"/>
    <col width="12.7109375" customWidth="1" min="478" max="478"/>
    <col width="9.7109375" customWidth="1" min="479" max="479"/>
    <col width="28.7109375" customWidth="1" min="480" max="481"/>
    <col width="12.7109375" customWidth="1" min="482" max="482"/>
    <col width="9.7109375" customWidth="1" min="483" max="483"/>
    <col width="28.7109375" customWidth="1" min="484" max="485"/>
    <col width="12.7109375" customWidth="1" min="486" max="486"/>
    <col width="9.7109375" customWidth="1" min="487" max="487"/>
    <col width="28.7109375" customWidth="1" min="488" max="489"/>
    <col width="12.7109375" customWidth="1" min="490" max="490"/>
    <col width="9.7109375" customWidth="1" min="491" max="491"/>
    <col width="28.7109375" customWidth="1" min="492" max="493"/>
    <col width="12.7109375" customWidth="1" min="494" max="494"/>
    <col width="9.7109375" customWidth="1" min="495" max="495"/>
    <col width="28.7109375" customWidth="1" min="496" max="497"/>
    <col width="12.7109375" customWidth="1" min="498" max="498"/>
    <col width="9.7109375" customWidth="1" min="499" max="499"/>
    <col width="28.7109375" customWidth="1" min="500" max="501"/>
    <col width="12.7109375" customWidth="1" min="502" max="502"/>
    <col width="9.7109375" customWidth="1" min="503" max="503"/>
    <col width="12.7109375" customWidth="1" min="504" max="504"/>
    <col width="9.7109375" customWidth="1" min="505" max="505"/>
    <col width="28.7109375" customWidth="1" min="506" max="506"/>
    <col width="12.7109375" customWidth="1" min="507" max="507"/>
    <col width="9.7109375" customWidth="1" min="508" max="508"/>
    <col width="28.7109375" customWidth="1" min="509" max="510"/>
    <col width="12.7109375" customWidth="1" min="511" max="511"/>
    <col width="9.7109375" customWidth="1" min="512" max="512"/>
    <col width="28.7109375" customWidth="1" min="513" max="514"/>
    <col width="12.7109375" customWidth="1" min="515" max="515"/>
    <col width="9.7109375" customWidth="1" min="516" max="516"/>
    <col width="28.7109375" customWidth="1" min="517" max="518"/>
    <col width="12.7109375" customWidth="1" min="519" max="519"/>
    <col width="9.7109375" customWidth="1" min="520" max="520"/>
    <col width="12.7109375" customWidth="1" min="521" max="521"/>
    <col width="9.7109375" customWidth="1" min="522" max="522"/>
    <col width="28.7109375" customWidth="1" min="523" max="524"/>
    <col width="12.7109375" customWidth="1" min="525" max="525"/>
    <col width="9.7109375" customWidth="1" min="526" max="526"/>
    <col width="28.7109375" customWidth="1" min="527" max="528"/>
    <col width="12.7109375" customWidth="1" min="529" max="529"/>
    <col width="9.7109375" customWidth="1" min="530" max="530"/>
    <col width="28.7109375" customWidth="1" min="531" max="532"/>
    <col width="12.7109375" customWidth="1" min="533" max="533"/>
    <col width="9.7109375" customWidth="1" min="534" max="534"/>
    <col width="28.7109375" customWidth="1" min="535" max="536"/>
    <col width="12.7109375" customWidth="1" min="537" max="537"/>
    <col width="9.7109375" customWidth="1" min="538" max="538"/>
    <col width="28.7109375" customWidth="1" min="539" max="540"/>
    <col width="12.7109375" customWidth="1" min="541" max="541"/>
    <col width="9.7109375" customWidth="1" min="542" max="542"/>
    <col width="28.7109375" customWidth="1" min="543" max="544"/>
    <col width="12.7109375" customWidth="1" min="545" max="545"/>
    <col width="9.7109375" customWidth="1" min="546" max="546"/>
    <col width="28.7109375" customWidth="1" min="547" max="548"/>
    <col width="12.7109375" customWidth="1" min="549" max="549"/>
    <col width="9.7109375" customWidth="1" min="550" max="550"/>
    <col width="28.7109375" customWidth="1" min="551" max="552"/>
    <col width="12.7109375" customWidth="1" min="553" max="553"/>
    <col width="9.7109375" customWidth="1" min="554" max="554"/>
    <col width="12.7109375" customWidth="1" min="555" max="555"/>
    <col width="9.7109375" customWidth="1" min="556" max="556"/>
    <col width="28.7109375" customWidth="1" min="557" max="558"/>
    <col width="12.7109375" customWidth="1" min="559" max="559"/>
    <col width="9.7109375" customWidth="1" min="560" max="560"/>
    <col width="28.7109375" customWidth="1" min="561" max="562"/>
    <col width="12.7109375" customWidth="1" min="563" max="563"/>
    <col width="9.7109375" customWidth="1" min="564" max="564"/>
    <col width="28.7109375" customWidth="1" min="565" max="566"/>
    <col width="12.7109375" customWidth="1" min="567" max="567"/>
    <col width="9.7109375" customWidth="1" min="568" max="568"/>
    <col width="12.7109375" customWidth="1" min="569" max="569"/>
    <col width="9.7109375" customWidth="1" min="570" max="570"/>
    <col width="28.7109375" customWidth="1" min="571" max="572"/>
    <col width="12.7109375" customWidth="1" min="573" max="573"/>
    <col width="9.7109375" customWidth="1" min="574" max="574"/>
    <col width="28.7109375" customWidth="1" min="575" max="576"/>
    <col width="12.7109375" customWidth="1" min="577" max="577"/>
    <col width="9.7109375" customWidth="1" min="578" max="578"/>
    <col width="12.7109375" customWidth="1" min="579" max="579"/>
    <col width="9.7109375" customWidth="1" min="580" max="580"/>
    <col width="28.7109375" customWidth="1" min="581" max="582"/>
    <col width="12.7109375" customWidth="1" min="583" max="583"/>
    <col width="9.7109375" customWidth="1" min="584" max="584"/>
    <col width="28.7109375" customWidth="1" min="585" max="586"/>
    <col width="12.7109375" customWidth="1" min="587" max="587"/>
    <col width="9.7109375" customWidth="1" min="588" max="588"/>
    <col width="28.7109375" customWidth="1" min="589" max="590"/>
    <col width="12.7109375" customWidth="1" min="591" max="591"/>
    <col width="9.7109375" customWidth="1" min="592" max="592"/>
    <col width="28.7109375" customWidth="1" min="593" max="594"/>
    <col width="12.7109375" customWidth="1" min="595" max="595"/>
    <col width="9.7109375" customWidth="1" min="596" max="596"/>
    <col width="28.7109375" customWidth="1" min="597" max="598"/>
    <col width="12.7109375" customWidth="1" min="599" max="599"/>
    <col width="9.7109375" customWidth="1" min="600" max="600"/>
    <col width="28.7109375" customWidth="1" min="601" max="602"/>
    <col width="12.7109375" customWidth="1" min="603" max="603"/>
    <col width="9.7109375" customWidth="1" min="604" max="604"/>
    <col width="28.7109375" customWidth="1" min="605" max="606"/>
    <col width="12.7109375" customWidth="1" min="607" max="607"/>
    <col width="9.7109375" customWidth="1" min="608" max="608"/>
    <col width="28.7109375" customWidth="1" min="609" max="610"/>
    <col width="12.7109375" customWidth="1" min="611" max="611"/>
    <col width="9.7109375" customWidth="1" min="612" max="612"/>
    <col width="28.7109375" customWidth="1" min="613" max="614"/>
    <col width="12.7109375" customWidth="1" min="615" max="615"/>
    <col width="9.7109375" customWidth="1" min="616" max="616"/>
    <col width="28.7109375" customWidth="1" min="617" max="618"/>
    <col width="12.7109375" customWidth="1" min="619" max="619"/>
    <col width="9.7109375" customWidth="1" min="620" max="621"/>
    <col width="12.7109375" customWidth="1" min="622" max="622"/>
    <col width="9.7109375" customWidth="1" min="623" max="623"/>
    <col width="28.7109375" customWidth="1" min="624" max="624"/>
    <col width="12.7109375" customWidth="1" min="625" max="625"/>
    <col width="9.7109375" customWidth="1" min="626" max="626"/>
    <col width="28.7109375" customWidth="1" min="627" max="627"/>
    <col width="12.7109375" customWidth="1" min="628" max="628"/>
    <col width="9.7109375" customWidth="1" min="629" max="629"/>
    <col width="28.7109375" customWidth="1" min="630" max="630"/>
    <col width="12.7109375" customWidth="1" min="631" max="631"/>
    <col width="9.7109375" customWidth="1" min="632" max="632"/>
    <col width="28.7109375" customWidth="1" min="633" max="633"/>
    <col width="12.7109375" customWidth="1" min="634" max="634"/>
    <col width="9.7109375" customWidth="1" min="635" max="635"/>
    <col width="28.7109375" customWidth="1" min="636" max="636"/>
    <col width="12.7109375" customWidth="1" min="637" max="637"/>
    <col width="9.7109375" customWidth="1" min="638" max="638"/>
    <col width="28.7109375" customWidth="1" min="639" max="639"/>
    <col width="12.7109375" customWidth="1" min="640" max="640"/>
    <col width="9.7109375" customWidth="1" min="641" max="641"/>
    <col width="28.7109375" customWidth="1" min="642" max="642"/>
    <col width="12.7109375" customWidth="1" min="643" max="643"/>
    <col width="9.7109375" customWidth="1" min="644" max="644"/>
    <col width="28.7109375" customWidth="1" min="645" max="645"/>
    <col width="12.7109375" customWidth="1" min="646" max="646"/>
    <col width="9.7109375" customWidth="1" min="647" max="647"/>
    <col width="28.7109375" customWidth="1" min="648" max="648"/>
    <col width="12.7109375" customWidth="1" min="649" max="649"/>
    <col width="9.7109375" customWidth="1" min="650" max="650"/>
    <col width="28.7109375" customWidth="1" min="651" max="651"/>
    <col width="12.7109375" customWidth="1" min="652" max="652"/>
    <col width="9.7109375" customWidth="1" min="653" max="653"/>
    <col width="28.7109375" customWidth="1" min="654" max="654"/>
    <col width="12.7109375" customWidth="1" min="655" max="655"/>
    <col width="9.7109375" customWidth="1" min="656" max="656"/>
    <col width="28.7109375" customWidth="1" min="657" max="657"/>
    <col width="12.7109375" customWidth="1" min="658" max="658"/>
    <col width="9.7109375" customWidth="1" min="659" max="659"/>
    <col width="28.7109375" customWidth="1" min="660" max="660"/>
    <col width="12.7109375" customWidth="1" min="661" max="661"/>
    <col width="9.7109375" customWidth="1" min="662" max="662"/>
    <col width="28.7109375" customWidth="1" min="663" max="663"/>
    <col width="12.7109375" customWidth="1" min="664" max="664"/>
    <col width="9.7109375" customWidth="1" min="665" max="665"/>
    <col width="28.7109375" customWidth="1" min="666" max="666"/>
    <col width="12.7109375" customWidth="1" min="667" max="667"/>
    <col width="9.7109375" customWidth="1" min="668" max="668"/>
    <col width="28.7109375" customWidth="1" min="669" max="669"/>
    <col width="12.7109375" customWidth="1" min="670" max="670"/>
    <col width="9.7109375" customWidth="1" min="671" max="671"/>
    <col width="28.7109375" customWidth="1" min="672" max="672"/>
    <col width="12.7109375" customWidth="1" min="673" max="673"/>
    <col width="9.7109375" customWidth="1" min="674" max="674"/>
    <col width="28.7109375" customWidth="1" min="675" max="675"/>
    <col width="12.7109375" customWidth="1" min="676" max="676"/>
    <col width="9.7109375" customWidth="1" min="677" max="677"/>
    <col width="28.7109375" customWidth="1" min="678" max="678"/>
    <col width="12.7109375" customWidth="1" min="679" max="679"/>
    <col width="9.7109375" customWidth="1" min="680" max="680"/>
    <col width="28.7109375" customWidth="1" min="681" max="681"/>
    <col width="12.7109375" customWidth="1" min="682" max="682"/>
    <col width="9.7109375" customWidth="1" min="683" max="683"/>
    <col width="28.7109375" customWidth="1" min="684" max="684"/>
    <col width="12.7109375" customWidth="1" min="685" max="685"/>
    <col width="9.7109375" customWidth="1" min="686" max="686"/>
    <col width="28.7109375" customWidth="1" min="687" max="687"/>
    <col width="12.7109375" customWidth="1" min="688" max="688"/>
    <col width="9.7109375" customWidth="1" min="689" max="689"/>
    <col width="28.7109375" customWidth="1" min="690" max="690"/>
    <col width="12.7109375" customWidth="1" min="691" max="691"/>
    <col width="9.7109375" customWidth="1" min="692" max="692"/>
    <col width="28.7109375" customWidth="1" min="693" max="693"/>
    <col width="12.7109375" customWidth="1" min="694" max="694"/>
    <col width="9.7109375" customWidth="1" min="695" max="695"/>
    <col width="28.7109375" customWidth="1" min="696" max="696"/>
    <col width="12.7109375" customWidth="1" min="697" max="697"/>
    <col width="9.7109375" customWidth="1" min="698" max="698"/>
    <col width="28.7109375" customWidth="1" min="699" max="699"/>
    <col width="12.7109375" customWidth="1" min="700" max="700"/>
    <col width="9.7109375" customWidth="1" min="701" max="701"/>
    <col width="28.7109375" customWidth="1" min="702" max="702"/>
    <col width="12.7109375" customWidth="1" min="703" max="703"/>
    <col width="9.7109375" customWidth="1" min="704" max="704"/>
    <col width="28.7109375" customWidth="1" min="705" max="705"/>
    <col width="12.7109375" customWidth="1" min="706" max="706"/>
    <col width="9.7109375" customWidth="1" min="707" max="707"/>
    <col width="28.7109375" customWidth="1" min="708" max="708"/>
    <col width="12.7109375" customWidth="1" min="709" max="709"/>
    <col width="9.7109375" customWidth="1" min="710" max="710"/>
    <col width="28.7109375" customWidth="1" min="711" max="711"/>
    <col width="12.7109375" customWidth="1" min="712" max="712"/>
    <col width="9.7109375" customWidth="1" min="713" max="713"/>
    <col width="28.7109375" customWidth="1" min="714" max="715"/>
    <col width="12.7109375" customWidth="1" min="716" max="716"/>
    <col width="9.7109375" customWidth="1" min="717" max="717"/>
    <col width="28.7109375" customWidth="1" min="718" max="718"/>
    <col width="12.7109375" customWidth="1" min="719" max="719"/>
    <col width="9.7109375" customWidth="1" min="720" max="720"/>
    <col width="28.7109375" customWidth="1" min="721" max="721"/>
    <col width="12.7109375" customWidth="1" min="722" max="722"/>
    <col width="9.7109375" customWidth="1" min="723" max="723"/>
    <col width="28.7109375" customWidth="1" min="724" max="724"/>
    <col width="12.7109375" customWidth="1" min="725" max="725"/>
    <col width="9.7109375" customWidth="1" min="726" max="726"/>
    <col width="28.7109375" customWidth="1" min="727" max="727"/>
    <col width="12.7109375" customWidth="1" min="728" max="728"/>
    <col width="9.7109375" customWidth="1" min="729" max="729"/>
    <col width="28.7109375" customWidth="1" min="730" max="730"/>
    <col width="12.7109375" customWidth="1" min="731" max="731"/>
    <col width="9.7109375" customWidth="1" min="732" max="732"/>
    <col width="28.7109375" customWidth="1" min="733" max="733"/>
    <col width="12.7109375" customWidth="1" min="734" max="734"/>
    <col width="9.7109375" customWidth="1" min="735" max="735"/>
    <col width="28.7109375" customWidth="1" min="736" max="737"/>
    <col width="12.7109375" customWidth="1" min="738" max="738"/>
    <col width="9.7109375" customWidth="1" min="739" max="739"/>
    <col width="28.7109375" customWidth="1" min="740" max="741"/>
    <col width="12.7109375" customWidth="1" min="742" max="742"/>
    <col width="9.7109375" customWidth="1" min="743" max="743"/>
    <col width="28.7109375" customWidth="1" min="744" max="744"/>
    <col width="12.7109375" customWidth="1" min="745" max="745"/>
    <col width="9.7109375" customWidth="1" min="746" max="746"/>
    <col width="28.7109375" customWidth="1" min="747" max="747"/>
    <col width="12.7109375" customWidth="1" min="748" max="748"/>
    <col width="9.7109375" customWidth="1" min="749" max="749"/>
    <col width="28.7109375" customWidth="1" min="750" max="750"/>
    <col width="12.7109375" customWidth="1" min="751" max="751"/>
    <col width="9.7109375" customWidth="1" min="752" max="752"/>
    <col width="28.7109375" customWidth="1" min="753" max="753"/>
    <col width="12.7109375" customWidth="1" min="754" max="754"/>
    <col width="9.7109375" customWidth="1" min="755" max="755"/>
    <col width="28.7109375" customWidth="1" min="756" max="756"/>
    <col width="12.7109375" customWidth="1" min="757" max="757"/>
    <col width="9.7109375" customWidth="1" min="758" max="758"/>
    <col width="28.7109375" customWidth="1" min="759" max="759"/>
    <col width="12.7109375" customWidth="1" min="760" max="760"/>
    <col width="9.7109375" customWidth="1" min="761" max="761"/>
    <col width="28.7109375" customWidth="1" min="762" max="762"/>
    <col width="12.7109375" customWidth="1" min="763" max="763"/>
    <col width="9.7109375" customWidth="1" min="764" max="764"/>
    <col width="28.7109375" customWidth="1" min="765" max="765"/>
    <col width="12.7109375" customWidth="1" min="766" max="766"/>
    <col width="9.7109375" customWidth="1" min="767" max="803"/>
    <col width="12.7109375" customWidth="1" min="804" max="804"/>
    <col width="9.7109375" customWidth="1" min="805" max="806"/>
    <col width="12.7109375" customWidth="1" min="807" max="807"/>
    <col width="9.7109375" customWidth="1" min="808" max="817"/>
    <col width="12.7109375" customWidth="1" min="818" max="818"/>
    <col width="9.7109375" customWidth="1" min="819" max="836"/>
    <col width="12.7109375" customWidth="1" min="837" max="837"/>
    <col width="9.7109375" customWidth="1" min="838" max="838"/>
    <col width="12.7109375" customWidth="1" min="839" max="839"/>
    <col width="9.7109375" customWidth="1" min="840" max="840"/>
    <col width="12.7109375" customWidth="1" min="841" max="841"/>
    <col width="9.7109375" customWidth="1" min="842" max="842"/>
    <col width="12.7109375" customWidth="1" min="843" max="843"/>
    <col width="9.7109375" customWidth="1" min="844" max="844"/>
    <col width="12.7109375" customWidth="1" min="845" max="845"/>
    <col width="9.7109375" customWidth="1" min="846" max="846"/>
    <col width="12.7109375" customWidth="1" min="847" max="847"/>
    <col width="9.7109375" customWidth="1" min="848" max="848"/>
    <col width="12.7109375" customWidth="1" min="849" max="849"/>
    <col width="9.7109375" customWidth="1" min="850" max="850"/>
    <col width="12.7109375" customWidth="1" min="851" max="851"/>
    <col width="9.7109375" customWidth="1" min="852" max="852"/>
    <col width="12.7109375" customWidth="1" min="853" max="853"/>
    <col width="9.7109375" customWidth="1" min="854" max="854"/>
    <col width="12.7109375" customWidth="1" min="855" max="855"/>
    <col width="9.7109375" customWidth="1" min="856" max="856"/>
    <col width="12.7109375" customWidth="1" min="857" max="857"/>
    <col width="9.7109375" customWidth="1" min="858" max="858"/>
    <col width="12.7109375" customWidth="1" min="859" max="859"/>
    <col width="9.7109375" customWidth="1" min="860" max="860"/>
    <col width="12.7109375" customWidth="1" min="861" max="861"/>
    <col width="9.7109375" customWidth="1" min="862" max="862"/>
    <col width="12.7109375" customWidth="1" min="863" max="863"/>
    <col width="9.7109375" customWidth="1" min="864" max="864"/>
    <col width="12.7109375" customWidth="1" min="865" max="865"/>
    <col width="9.7109375" customWidth="1" min="866" max="866"/>
    <col width="12.7109375" customWidth="1" min="867" max="867"/>
    <col width="9.7109375" customWidth="1" min="868" max="868"/>
    <col width="12.7109375" customWidth="1" min="869" max="869"/>
    <col width="9.7109375" customWidth="1" min="870" max="870"/>
    <col width="12.7109375" customWidth="1" min="871" max="871"/>
    <col width="9.7109375" customWidth="1" min="872" max="872"/>
    <col width="12.7109375" customWidth="1" min="873" max="873"/>
    <col width="9.7109375" customWidth="1" min="874" max="874"/>
    <col width="12.7109375" customWidth="1" min="875" max="875"/>
    <col width="9.7109375" customWidth="1" min="876" max="876"/>
    <col width="12.7109375" customWidth="1" min="877" max="877"/>
    <col width="9.7109375" customWidth="1" min="878" max="878"/>
    <col width="12.7109375" customWidth="1" min="879" max="879"/>
    <col width="9.7109375" customWidth="1" min="880" max="880"/>
    <col width="12.7109375" customWidth="1" min="881" max="881"/>
    <col width="9.7109375" customWidth="1" min="882" max="882"/>
    <col width="12.7109375" customWidth="1" min="883" max="883"/>
    <col width="9.7109375" customWidth="1" min="884" max="884"/>
    <col width="12.7109375" customWidth="1" min="885" max="885"/>
    <col width="9.7109375" customWidth="1" min="886" max="890"/>
    <col width="12.7109375" customWidth="1" min="891" max="891"/>
    <col width="9.7109375" customWidth="1" min="892" max="894"/>
    <col width="12.7109375" customWidth="1" min="895" max="895"/>
    <col width="9.7109375" customWidth="1" min="896" max="896"/>
    <col width="12.7109375" customWidth="1" min="897" max="897"/>
    <col width="9.7109375" customWidth="1" min="898" max="898"/>
    <col width="28.7109375" customWidth="1" min="899" max="899"/>
    <col width="12.7109375" customWidth="1" min="900" max="900"/>
    <col width="9.7109375" customWidth="1" min="901" max="902"/>
    <col width="12.7109375" customWidth="1" min="903" max="903"/>
    <col width="9.7109375" customWidth="1" min="904" max="905"/>
    <col width="12.7109375" customWidth="1" min="906" max="906"/>
    <col width="9.7109375" customWidth="1" min="907" max="911"/>
    <col width="12.7109375" customWidth="1" min="912" max="912"/>
    <col width="9.7109375" customWidth="1" min="913" max="913"/>
    <col width="12.7109375" customWidth="1" min="914" max="914"/>
    <col width="9.7109375" customWidth="1" min="915" max="915"/>
    <col width="12.7109375" customWidth="1" min="916" max="916"/>
    <col width="9.7109375" customWidth="1" min="917" max="918"/>
    <col width="12.7109375" customWidth="1" min="919" max="919"/>
    <col width="9.7109375" customWidth="1" min="920" max="920"/>
    <col width="12.7109375" customWidth="1" min="921" max="921"/>
    <col width="9.7109375" customWidth="1" min="922" max="922"/>
    <col width="12.7109375" customWidth="1" min="923" max="923"/>
    <col width="9.7109375" customWidth="1" min="924" max="924"/>
    <col width="12.7109375" customWidth="1" min="925" max="925"/>
    <col width="9.7109375" customWidth="1" min="926" max="926"/>
    <col width="12.7109375" customWidth="1" min="927" max="927"/>
    <col width="9.7109375" customWidth="1" min="928" max="928"/>
    <col width="12.7109375" customWidth="1" min="929" max="929"/>
    <col width="9.7109375" customWidth="1" min="930" max="930"/>
    <col width="12.7109375" customWidth="1" min="931" max="931"/>
    <col width="9.7109375" customWidth="1" min="932" max="932"/>
    <col width="12.7109375" customWidth="1" min="933" max="933"/>
    <col width="9.7109375" customWidth="1" min="934" max="934"/>
    <col width="12.7109375" customWidth="1" min="935" max="935"/>
    <col width="9.7109375" customWidth="1" min="936" max="977"/>
    <col width="28.7109375" customWidth="1" min="978" max="979"/>
    <col width="12.7109375" customWidth="1" min="980" max="980"/>
    <col width="9.7109375" customWidth="1" min="981" max="981"/>
    <col width="28.7109375" customWidth="1" min="982" max="983"/>
    <col width="12.7109375" customWidth="1" min="984" max="984"/>
    <col width="9.7109375" customWidth="1" min="985" max="985"/>
    <col width="28.7109375" customWidth="1" min="986" max="987"/>
    <col width="12.7109375" customWidth="1" min="988" max="988"/>
    <col width="9.7109375" customWidth="1" min="989" max="989"/>
    <col width="28.7109375" customWidth="1" min="990" max="991"/>
    <col width="12.7109375" customWidth="1" min="992" max="992"/>
    <col width="9.7109375" customWidth="1" min="993" max="993"/>
    <col width="28.7109375" customWidth="1" min="994" max="995"/>
    <col width="12.7109375" customWidth="1" min="996" max="996"/>
    <col width="9.7109375" customWidth="1" min="997" max="997"/>
    <col width="28.7109375" customWidth="1" min="998" max="999"/>
    <col width="12.7109375" customWidth="1" min="1000" max="1000"/>
    <col width="9.7109375" customWidth="1" min="1001" max="1001"/>
    <col width="28.7109375" customWidth="1" min="1002" max="1003"/>
    <col width="12.7109375" customWidth="1" min="1004" max="1004"/>
    <col width="9.7109375" customWidth="1" min="1005" max="1005"/>
    <col width="28.7109375" customWidth="1" min="1006" max="1007"/>
    <col width="12.7109375" customWidth="1" min="1008" max="1008"/>
    <col width="9.7109375" customWidth="1" min="1009" max="1009"/>
    <col width="28.7109375" customWidth="1" min="1010" max="1011"/>
    <col width="12.7109375" customWidth="1" min="1012" max="1012"/>
    <col width="9.7109375" customWidth="1" min="1013" max="1013"/>
    <col width="12.7109375" customWidth="1" min="1014" max="1014"/>
    <col width="9.7109375" customWidth="1" min="1015" max="1015"/>
    <col width="12.7109375" customWidth="1" min="1016" max="1016"/>
    <col width="9.7109375" customWidth="1" min="1017" max="1017"/>
    <col width="12.7109375" customWidth="1" min="1018" max="1018"/>
    <col width="9.7109375" customWidth="1" min="1019" max="1019"/>
    <col width="12.7109375" customWidth="1" min="1020" max="1020"/>
    <col width="9.7109375" customWidth="1" min="1021" max="1021"/>
    <col width="12.7109375" customWidth="1" min="1022" max="1022"/>
    <col width="9.7109375" customWidth="1" min="1023" max="1023"/>
    <col width="28.7109375" customWidth="1" min="1024" max="1024"/>
    <col width="12.7109375" customWidth="1" min="1025" max="1025"/>
    <col width="9.7109375" customWidth="1" min="1026" max="1026"/>
    <col width="28.7109375" customWidth="1" min="1027" max="1027"/>
    <col width="12.7109375" customWidth="1" min="1028" max="1028"/>
    <col width="9.7109375" customWidth="1" min="1029" max="1029"/>
    <col width="28.7109375" customWidth="1" min="1030" max="1030"/>
    <col width="12.7109375" customWidth="1" min="1031" max="1031"/>
    <col width="9.7109375" customWidth="1" min="1032" max="1032"/>
    <col width="28.7109375" customWidth="1" min="1033" max="1033"/>
    <col width="12.7109375" customWidth="1" min="1034" max="1034"/>
    <col width="9.7109375" customWidth="1" min="1035" max="1035"/>
    <col width="28.7109375" customWidth="1" min="1036" max="1036"/>
    <col width="12.7109375" customWidth="1" min="1037" max="1037"/>
    <col width="9.7109375" customWidth="1" min="1038" max="1038"/>
    <col width="28.7109375" customWidth="1" min="1039" max="1039"/>
    <col width="12.7109375" customWidth="1" min="1040" max="1040"/>
    <col width="9.7109375" customWidth="1" min="1041" max="1041"/>
    <col width="28.7109375" customWidth="1" min="1042" max="1042"/>
    <col width="12.7109375" customWidth="1" min="1043" max="1043"/>
    <col width="9.7109375" customWidth="1" min="1044" max="1044"/>
    <col width="28.7109375" customWidth="1" min="1045" max="1045"/>
    <col width="12.7109375" customWidth="1" min="1046" max="1046"/>
    <col width="9.7109375" customWidth="1" min="1047" max="1047"/>
    <col width="28.7109375" customWidth="1" min="1048" max="1048"/>
    <col width="12.7109375" customWidth="1" min="1049" max="1049"/>
    <col width="9.7109375" customWidth="1" min="1050" max="1050"/>
    <col width="28.7109375" customWidth="1" min="1051" max="1051"/>
    <col width="12.7109375" customWidth="1" min="1052" max="1052"/>
    <col width="9.7109375" customWidth="1" min="1053" max="1053"/>
    <col width="28.7109375" customWidth="1" min="1054" max="1054"/>
    <col width="12.7109375" customWidth="1" min="1055" max="1055"/>
    <col width="9.7109375" customWidth="1" min="1056" max="1056"/>
    <col width="28.7109375" customWidth="1" min="1057" max="1057"/>
    <col width="12.7109375" customWidth="1" min="1058" max="1058"/>
    <col width="9.7109375" customWidth="1" min="1059" max="1059"/>
    <col width="28.7109375" customWidth="1" min="1060" max="1060"/>
    <col width="12.7109375" customWidth="1" min="1061" max="1061"/>
    <col width="9.7109375" customWidth="1" min="1062" max="1062"/>
    <col width="28.7109375" customWidth="1" min="1063" max="1063"/>
    <col width="12.7109375" customWidth="1" min="1064" max="1064"/>
    <col width="9.7109375" customWidth="1" min="1065" max="1065"/>
    <col width="28.7109375" customWidth="1" min="1066" max="1066"/>
    <col width="12.7109375" customWidth="1" min="1067" max="1067"/>
    <col width="9.7109375" customWidth="1" min="1068" max="1068"/>
    <col width="28.7109375" customWidth="1" min="1069" max="1069"/>
    <col width="12.7109375" customWidth="1" min="1070" max="1070"/>
    <col width="9.7109375" customWidth="1" min="1071" max="1071"/>
    <col width="28.7109375" customWidth="1" min="1072" max="1072"/>
    <col width="12.7109375" customWidth="1" min="1073" max="1073"/>
    <col width="9.7109375" customWidth="1" min="1074" max="1074"/>
    <col width="28.7109375" customWidth="1" min="1075" max="1075"/>
    <col width="12.7109375" customWidth="1" min="1076" max="1076"/>
    <col width="9.7109375" customWidth="1" min="1077" max="1094"/>
    <col width="12.7109375" customWidth="1" min="1095" max="1098"/>
    <col width="24.7109375" customWidth="1" min="1099" max="1099"/>
    <col width="12.7109375" customWidth="1" min="1100" max="1101"/>
    <col width="24.7109375" customWidth="1" min="1102" max="1102"/>
    <col width="12.7109375" customWidth="1" min="1103" max="1104"/>
    <col width="24.7109375" customWidth="1" min="1105" max="1105"/>
    <col width="12.7109375" customWidth="1" min="1106" max="1107"/>
    <col width="24.7109375" customWidth="1" min="1108" max="1108"/>
    <col width="12.7109375" customWidth="1" min="1109" max="1110"/>
    <col width="24.7109375" customWidth="1" min="1111" max="1111"/>
    <col width="12.7109375" customWidth="1" min="1112" max="1113"/>
    <col width="24.7109375" customWidth="1" min="1114" max="1114"/>
    <col width="12.7109375" customWidth="1" min="1115" max="1116"/>
    <col width="24.7109375" customWidth="1" min="1117" max="1117"/>
    <col width="12.7109375" customWidth="1" min="1118" max="1119"/>
    <col width="24.7109375" customWidth="1" min="1120" max="1120"/>
    <col width="12.7109375" customWidth="1" min="1121" max="1122"/>
    <col width="24.7109375" customWidth="1" min="1123" max="1123"/>
    <col width="12.7109375" customWidth="1" min="1124" max="1125"/>
    <col width="24.7109375" customWidth="1" min="1126" max="1126"/>
    <col width="12.7109375" customWidth="1" min="1127" max="1128"/>
    <col width="24.7109375" customWidth="1" min="1129" max="1129"/>
    <col width="12.7109375" customWidth="1" min="1130" max="1131"/>
    <col width="24.7109375" customWidth="1" min="1132" max="1132"/>
    <col width="12.7109375" customWidth="1" min="1133" max="1134"/>
    <col width="24.7109375" customWidth="1" min="1135" max="1135"/>
    <col width="12.7109375" customWidth="1" min="1136" max="1137"/>
    <col width="24.7109375" customWidth="1" min="1138" max="1138"/>
    <col width="12.7109375" customWidth="1" min="1139" max="1140"/>
    <col width="24.7109375" customWidth="1" min="1141" max="1141"/>
    <col width="12.7109375" customWidth="1" min="1142" max="1143"/>
    <col width="24.7109375" customWidth="1" min="1144" max="1144"/>
    <col width="12.7109375" customWidth="1" min="1145" max="1146"/>
    <col width="24.7109375" customWidth="1" min="1147" max="1147"/>
    <col width="12.7109375" customWidth="1" min="1148" max="1149"/>
    <col width="24.7109375" customWidth="1" min="1150" max="1150"/>
    <col width="12.7109375" customWidth="1" min="1151" max="1152"/>
    <col width="24.7109375" customWidth="1" min="1153" max="1153"/>
    <col width="12.7109375" customWidth="1" min="1154" max="1155"/>
    <col width="24.7109375" customWidth="1" min="1156" max="1156"/>
    <col width="12.7109375" customWidth="1" min="1157" max="1158"/>
    <col width="24.7109375" customWidth="1" min="1159" max="1159"/>
    <col width="12.7109375" customWidth="1" min="1160" max="1161"/>
    <col width="24.7109375" customWidth="1" min="1162" max="1162"/>
    <col width="12.7109375" customWidth="1" min="1163" max="1177"/>
    <col width="24.7109375" customWidth="1" min="1178" max="1178"/>
    <col width="12.7109375" customWidth="1" min="1179" max="1183"/>
    <col width="24.7109375" customWidth="1" min="1184" max="1184"/>
    <col width="12.7109375" customWidth="1" min="1185" max="1186"/>
    <col width="24.7109375" customWidth="1" min="1187" max="1187"/>
    <col width="12.7109375" customWidth="1" min="1188" max="1189"/>
    <col width="24.7109375" customWidth="1" min="1190" max="1191"/>
    <col width="12.7109375" customWidth="1" min="1192" max="1193"/>
    <col width="24.7109375" customWidth="1" min="1194" max="1194"/>
    <col width="12.7109375" customWidth="1" min="1195" max="1196"/>
    <col width="24.7109375" customWidth="1" min="1197" max="1197"/>
    <col width="12.7109375" customWidth="1" min="1198" max="1199"/>
    <col width="24.7109375" customWidth="1" min="1200" max="1201"/>
    <col width="12.7109375" customWidth="1" min="1202" max="1203"/>
    <col width="24.7109375" customWidth="1" min="1204" max="1204"/>
    <col width="12.7109375" customWidth="1" min="1205" max="1216"/>
    <col width="24.7109375" customWidth="1" min="1217" max="1217"/>
    <col width="12.7109375" customWidth="1" min="1218" max="1227"/>
    <col width="24.7109375" customWidth="1" min="1228" max="1228"/>
    <col width="12.7109375" customWidth="1" min="1229" max="1230"/>
    <col width="24.7109375" customWidth="1" min="1231" max="1232"/>
    <col width="12.7109375" customWidth="1" min="1233" max="1265"/>
    <col width="24.7109375" customWidth="1" min="1266" max="1266"/>
    <col width="12.7109375" customWidth="1" min="1267" max="1268"/>
    <col width="24.7109375" customWidth="1" min="1269" max="1269"/>
    <col width="12.7109375" customWidth="1" min="1270" max="1297"/>
    <col width="24.7109375" customWidth="1" min="1298" max="1298"/>
    <col width="12.7109375" customWidth="1" min="1299" max="1324"/>
    <col width="24.7109375" customWidth="1" min="1325" max="1325"/>
    <col width="12.7109375" customWidth="1" min="1326" max="1336"/>
    <col width="24.7109375" customWidth="1" min="1337" max="1337"/>
    <col width="12.7109375" customWidth="1" min="1338" max="1339"/>
    <col width="24.7109375" customWidth="1" min="1340" max="1340"/>
    <col width="12.7109375" customWidth="1" min="1341" max="1342"/>
    <col width="24.7109375" customWidth="1" min="1343" max="1343"/>
    <col width="12.7109375" customWidth="1" min="1344" max="1345"/>
    <col width="24.7109375" customWidth="1" min="1346" max="1346"/>
    <col width="12.7109375" customWidth="1" min="1347" max="1348"/>
    <col width="24.7109375" customWidth="1" min="1349" max="1350"/>
    <col width="12.7109375" customWidth="1" min="1351" max="1352"/>
    <col width="24.7109375" customWidth="1" min="1353" max="1354"/>
    <col width="12.7109375" customWidth="1" min="1355" max="1356"/>
    <col width="24.7109375" customWidth="1" min="1357" max="1358"/>
    <col width="12.7109375" customWidth="1" min="1359" max="1360"/>
    <col width="24.7109375" customWidth="1" min="1361" max="1362"/>
    <col width="12.7109375" customWidth="1" min="1363" max="1364"/>
    <col width="24.7109375" customWidth="1" min="1365" max="1366"/>
    <col width="12.7109375" customWidth="1" min="1367" max="1368"/>
    <col width="24.7109375" customWidth="1" min="1369" max="1370"/>
    <col width="12.7109375" customWidth="1" min="1371" max="1372"/>
    <col width="24.7109375" customWidth="1" min="1373" max="1374"/>
    <col width="12.7109375" customWidth="1" min="1375" max="1376"/>
    <col width="24.7109375" customWidth="1" min="1377" max="1377"/>
    <col width="12.7109375" customWidth="1" min="1378" max="1379"/>
    <col width="24.7109375" customWidth="1" min="1380" max="1381"/>
    <col width="12.7109375" customWidth="1" min="1382" max="1391"/>
    <col width="24.7109375" customWidth="1" min="1392" max="1392"/>
    <col width="12.7109375" customWidth="1" min="1393" max="1394"/>
    <col width="24.7109375" customWidth="1" min="1395" max="1395"/>
    <col width="12.7109375" customWidth="1" min="1396" max="1397"/>
    <col width="24.7109375" customWidth="1" min="1398" max="1398"/>
    <col width="12.7109375" customWidth="1" min="1399" max="1400"/>
    <col width="24.7109375" customWidth="1" min="1401" max="1401"/>
    <col width="12.7109375" customWidth="1" min="1402" max="1403"/>
    <col width="24.7109375" customWidth="1" min="1404" max="1404"/>
    <col width="12.7109375" customWidth="1" min="1405" max="1406"/>
    <col width="24.7109375" customWidth="1" min="1407" max="1407"/>
    <col width="12.7109375" customWidth="1" min="1408" max="1409"/>
    <col width="24.7109375" customWidth="1" min="1410" max="1410"/>
    <col width="12.7109375" customWidth="1" min="1411" max="1412"/>
    <col width="24.7109375" customWidth="1" min="1413" max="1413"/>
    <col width="12.7109375" customWidth="1" min="1414" max="1415"/>
    <col width="24.7109375" customWidth="1" min="1416" max="1416"/>
    <col width="12.7109375" customWidth="1" min="1417" max="1418"/>
    <col width="24.7109375" customWidth="1" min="1419" max="1419"/>
    <col width="12.7109375" customWidth="1" min="1420" max="1421"/>
    <col width="24.7109375" customWidth="1" min="1422" max="1422"/>
    <col width="12.7109375" customWidth="1" min="1423" max="1424"/>
    <col width="24.7109375" customWidth="1" min="1425" max="1425"/>
    <col width="12.7109375" customWidth="1" min="1426" max="1427"/>
    <col width="24.7109375" customWidth="1" min="1428" max="1429"/>
    <col width="12.7109375" customWidth="1" min="1430" max="1431"/>
    <col width="24.7109375" customWidth="1" min="1432" max="1432"/>
    <col width="12.7109375" customWidth="1" min="1433" max="1434"/>
    <col width="24.7109375" customWidth="1" min="1435" max="1435"/>
    <col width="12.7109375" customWidth="1" min="1436" max="1437"/>
    <col width="24.7109375" customWidth="1" min="1438" max="1438"/>
    <col width="12.7109375" customWidth="1" min="1439" max="1440"/>
    <col width="24.7109375" customWidth="1" min="1441" max="1441"/>
    <col width="12.7109375" customWidth="1" min="1442" max="1443"/>
    <col width="24.7109375" customWidth="1" min="1444" max="1444"/>
    <col width="12.7109375" customWidth="1" min="1445" max="1446"/>
    <col width="24.7109375" customWidth="1" min="1447" max="1447"/>
    <col width="12.7109375" customWidth="1" min="1448" max="1449"/>
    <col width="24.7109375" customWidth="1" min="1450" max="1450"/>
    <col width="12.7109375" customWidth="1" min="1451" max="1452"/>
    <col width="24.7109375" customWidth="1" min="1453" max="1453"/>
    <col width="12.7109375" customWidth="1" min="1454" max="1511"/>
    <col width="8.7109375" customWidth="1" min="1512" max="1556"/>
    <col width="8.42578125" customWidth="1" min="1557" max="1557"/>
    <col width="8.7109375" customWidth="1" min="1558" max="1558"/>
    <col width="8.42578125" customWidth="1" min="1559" max="1559"/>
    <col width="8.7109375" customWidth="1" min="1560" max="1560"/>
    <col width="8.42578125" customWidth="1" min="1561" max="1561"/>
    <col width="8.7109375" customWidth="1" min="1562" max="1572"/>
    <col width="8.42578125" customWidth="1" min="1573" max="1573"/>
    <col width="8.7109375" customWidth="1" min="1574" max="1574"/>
    <col width="8.42578125" customWidth="1" min="1575" max="1575"/>
    <col width="8.7109375" customWidth="1" min="1576" max="1576"/>
    <col width="8.42578125" customWidth="1" min="1577" max="1577"/>
    <col width="8.7109375" customWidth="1" min="1578" max="1579"/>
    <col width="8.42578125" customWidth="1" min="1580" max="1580"/>
    <col width="8.7109375" customWidth="1" min="1581" max="1583"/>
    <col width="8.42578125" customWidth="1" min="1584" max="1584"/>
    <col width="8.7109375" customWidth="1" min="1585" max="1588"/>
    <col width="8.42578125" customWidth="1" min="1589" max="1589"/>
    <col width="8.7109375" customWidth="1" min="1590" max="1606"/>
    <col width="8.42578125" customWidth="1" min="1607" max="1607"/>
    <col width="8.7109375" customWidth="1" min="1608" max="1610"/>
    <col width="8.42578125" customWidth="1" min="1611" max="1611"/>
    <col width="8.7109375" customWidth="1" min="1612" max="1612"/>
    <col width="30.7109375" customWidth="1" min="1613" max="1613"/>
    <col width="8.42578125" customWidth="1" min="1614" max="1614"/>
    <col width="8.7109375" customWidth="1" min="1615" max="1618"/>
    <col width="8.42578125" customWidth="1" min="1619" max="1619"/>
    <col width="8.7109375" customWidth="1" min="1620" max="1620"/>
    <col width="8.42578125" customWidth="1" min="1621" max="1621"/>
    <col width="8.7109375" customWidth="1" min="1622" max="1622"/>
    <col width="8.42578125" customWidth="1" min="1623" max="1623"/>
    <col width="8.7109375" customWidth="1" min="1624" max="1624"/>
    <col width="8.42578125" customWidth="1" min="1625" max="1625"/>
    <col width="8.7109375" customWidth="1" min="1626" max="1626"/>
    <col width="8.42578125" customWidth="1" min="1627" max="1627"/>
    <col width="8.7109375" customWidth="1" min="1628" max="1628"/>
    <col width="8.42578125" customWidth="1" min="1629" max="1629"/>
    <col width="8.7109375" customWidth="1" min="1630" max="1630"/>
    <col width="8.42578125" customWidth="1" min="1631" max="1631"/>
    <col width="8.7109375" customWidth="1" min="1632" max="1632"/>
    <col width="8.42578125" customWidth="1" min="1633" max="1633"/>
    <col width="8.7109375" customWidth="1" min="1634" max="1634"/>
    <col width="8.42578125" customWidth="1" min="1635" max="1635"/>
    <col width="8.7109375" customWidth="1" min="1636" max="1636"/>
    <col width="8.42578125" customWidth="1" min="1637" max="1637"/>
    <col width="8.7109375" customWidth="1" min="1638" max="1638"/>
    <col width="8.42578125" customWidth="1" min="1639" max="1639"/>
    <col width="8.7109375" customWidth="1" min="1640" max="1640"/>
    <col width="8.42578125" customWidth="1" min="1641" max="1641"/>
    <col width="8.7109375" customWidth="1" min="1642" max="1642"/>
    <col width="8.42578125" customWidth="1" min="1643" max="1643"/>
    <col width="8.7109375" customWidth="1" min="1644" max="1644"/>
    <col width="8.42578125" customWidth="1" min="1645" max="1645"/>
    <col width="8.7109375" customWidth="1" min="1646" max="1646"/>
    <col width="8.42578125" customWidth="1" min="1647" max="1647"/>
    <col width="8.7109375" customWidth="1" min="1648" max="1648"/>
    <col width="8.42578125" customWidth="1" min="1649" max="1649"/>
    <col width="8.7109375" customWidth="1" min="1650" max="1650"/>
    <col width="8.42578125" customWidth="1" min="1651" max="1651"/>
    <col width="8.7109375" customWidth="1" min="1652" max="1652"/>
    <col width="8.42578125" customWidth="1" min="1653" max="1653"/>
    <col width="8.7109375" customWidth="1" min="1654" max="1654"/>
    <col width="8.42578125" customWidth="1" min="1655" max="1655"/>
    <col width="8.7109375" customWidth="1" min="1656" max="1656"/>
    <col width="8.42578125" customWidth="1" min="1657" max="1657"/>
    <col width="8.7109375" customWidth="1" min="1658" max="1677"/>
    <col width="8.42578125" customWidth="1" min="1678" max="1678"/>
    <col width="8.7109375" customWidth="1" min="1679" max="1679"/>
    <col width="8.42578125" customWidth="1" min="1680" max="1680"/>
    <col width="8.7109375" customWidth="1" min="1681" max="1681"/>
    <col width="8.42578125" customWidth="1" min="1682" max="1682"/>
    <col width="8.7109375" customWidth="1" min="1683" max="1683"/>
    <col width="8.42578125" customWidth="1" min="1684" max="1684"/>
    <col width="8.7109375" customWidth="1" min="1685" max="1686"/>
    <col width="8.42578125" customWidth="1" min="1687" max="1687"/>
    <col width="8.7109375" customWidth="1" min="1688" max="1688"/>
    <col width="8.42578125" customWidth="1" min="1689" max="1689"/>
    <col width="8.7109375" customWidth="1" min="1690" max="1690"/>
    <col width="8.42578125" customWidth="1" min="1691" max="1691"/>
    <col width="8.7109375" customWidth="1" min="1692" max="1692"/>
    <col width="8.42578125" customWidth="1" min="1693" max="1693"/>
    <col width="8.7109375" customWidth="1" min="1694" max="1694"/>
    <col width="8.42578125" customWidth="1" min="1695" max="1695"/>
    <col width="8.7109375" customWidth="1" min="1696" max="1696"/>
    <col width="8.42578125" customWidth="1" min="1697" max="1697"/>
    <col width="8.7109375" customWidth="1" min="1698" max="1698"/>
    <col width="8.42578125" customWidth="1" min="1699" max="1699"/>
    <col width="8.7109375" customWidth="1" min="1700" max="1700"/>
    <col width="8.42578125" customWidth="1" min="1701" max="1701"/>
    <col width="8.7109375" customWidth="1" min="1702" max="1702"/>
    <col width="8.42578125" customWidth="1" min="1703" max="1703"/>
    <col width="8.7109375" customWidth="1" min="1704" max="1704"/>
    <col width="8.42578125" customWidth="1" min="1705" max="1705"/>
    <col width="8.7109375" customWidth="1" min="1706" max="1706"/>
    <col width="8.42578125" customWidth="1" min="1707" max="1707"/>
    <col width="8.7109375" customWidth="1" min="1708" max="1708"/>
    <col width="8.42578125" customWidth="1" min="1709" max="1709"/>
    <col width="8.7109375" customWidth="1" min="1710" max="1710"/>
    <col width="8.42578125" customWidth="1" min="1711" max="1711"/>
    <col width="8.7109375" customWidth="1" min="1712" max="1712"/>
    <col width="8.42578125" customWidth="1" min="1713" max="1713"/>
    <col width="8.7109375" customWidth="1" min="1714" max="1714"/>
    <col width="8.42578125" customWidth="1" min="1715" max="1715"/>
    <col width="8.7109375" customWidth="1" min="1716" max="1716"/>
    <col width="8.42578125" customWidth="1" min="1717" max="1717"/>
    <col width="8.7109375" customWidth="1" min="1718" max="1718"/>
    <col width="8.42578125" customWidth="1" min="1719" max="1719"/>
    <col width="8.7109375" customWidth="1" min="1720" max="1720"/>
    <col width="8.42578125" customWidth="1" min="1721" max="1721"/>
    <col width="8.7109375" customWidth="1" min="1722" max="1722"/>
    <col width="8.42578125" customWidth="1" min="1723" max="1723"/>
    <col width="8.7109375" customWidth="1" min="1724" max="1724"/>
    <col width="8.42578125" customWidth="1" min="1725" max="1725"/>
    <col width="8.7109375" customWidth="1" min="1726" max="1726"/>
    <col width="8.42578125" customWidth="1" min="1727" max="1727"/>
    <col width="8.7109375" customWidth="1" min="1728" max="1728"/>
    <col width="8.42578125" customWidth="1" min="1729" max="1729"/>
    <col width="8.7109375" customWidth="1" min="1730" max="1730"/>
    <col width="8.42578125" customWidth="1" min="1731" max="1731"/>
    <col width="8.7109375" customWidth="1" min="1732" max="1734"/>
    <col width="8.42578125" customWidth="1" min="1735" max="1735"/>
    <col width="8.7109375" customWidth="1" min="1736" max="1737"/>
    <col width="8.42578125" customWidth="1" min="1738" max="1738"/>
    <col width="8.7109375" customWidth="1" min="1739" max="1739"/>
    <col width="8.42578125" customWidth="1" min="1740" max="1740"/>
    <col width="8.7109375" customWidth="1" min="1741" max="1741"/>
    <col width="8.42578125" customWidth="1" min="1742" max="1742"/>
    <col width="8.7109375" customWidth="1" min="1743" max="1743"/>
    <col width="8.42578125" customWidth="1" min="1744" max="1744"/>
    <col width="8.7109375" customWidth="1" min="1745" max="1745"/>
    <col width="8.42578125" customWidth="1" min="1746" max="1746"/>
    <col width="8.7109375" customWidth="1" min="1747" max="1749"/>
    <col width="8.42578125" customWidth="1" min="1750" max="1750"/>
    <col width="8.7109375" customWidth="1" min="1751" max="1778"/>
    <col width="8.42578125" customWidth="1" min="1779" max="1779"/>
    <col width="8.7109375" customWidth="1" min="1780" max="1780"/>
    <col width="8.42578125" customWidth="1" min="1781" max="1781"/>
    <col width="8.7109375" customWidth="1" min="1782" max="1782"/>
    <col width="8.42578125" customWidth="1" min="1783" max="1783"/>
    <col width="8.7109375" customWidth="1" min="1784" max="1784"/>
    <col width="8.42578125" customWidth="1" min="1785" max="1785"/>
    <col width="8.7109375" customWidth="1" min="1786" max="1786"/>
    <col width="8.42578125" customWidth="1" min="1787" max="1787"/>
    <col width="8.7109375" customWidth="1" min="1788" max="1788"/>
    <col width="8.42578125" customWidth="1" min="1789" max="1789"/>
    <col width="8.7109375" customWidth="1" min="1790" max="1790"/>
    <col width="8.42578125" customWidth="1" min="1791" max="1791"/>
    <col width="8.7109375" customWidth="1" min="1792" max="1792"/>
    <col width="8.42578125" customWidth="1" min="1793" max="1793"/>
    <col width="8.7109375" customWidth="1" min="1794" max="1794"/>
    <col width="8.42578125" customWidth="1" min="1795" max="1795"/>
    <col width="8.7109375" customWidth="1" min="1796" max="1796"/>
    <col width="8.42578125" customWidth="1" min="1797" max="1797"/>
    <col width="8.7109375" customWidth="1" min="1798" max="1798"/>
    <col width="30.7109375" customWidth="1" min="1799" max="1799"/>
    <col width="8.42578125" customWidth="1" min="1800" max="1800"/>
    <col width="8.7109375" customWidth="1" min="1801" max="1801"/>
    <col width="8.42578125" customWidth="1" min="1802" max="1802"/>
    <col width="8.7109375" customWidth="1" min="1803" max="1803"/>
    <col width="30.7109375" customWidth="1" min="1804" max="1804"/>
    <col width="8.42578125" customWidth="1" min="1805" max="1805"/>
    <col width="8.7109375" customWidth="1" min="1806" max="1806"/>
    <col width="30.7109375" customWidth="1" min="1807" max="1807"/>
    <col width="8.42578125" customWidth="1" min="1808" max="1808"/>
    <col width="8.7109375" customWidth="1" min="1809" max="1810"/>
    <col width="8.42578125" customWidth="1" min="1811" max="1811"/>
    <col width="8.7109375" customWidth="1" min="1812" max="1813"/>
    <col width="8.42578125" customWidth="1" min="1814" max="1814"/>
    <col width="8.7109375" customWidth="1" min="1815" max="1816"/>
    <col width="8.42578125" customWidth="1" min="1817" max="1817"/>
    <col width="8.7109375" customWidth="1" min="1818" max="1818"/>
    <col width="8.42578125" customWidth="1" min="1819" max="1819"/>
    <col width="8.7109375" customWidth="1" min="1820" max="1820"/>
    <col width="8.42578125" customWidth="1" min="1821" max="1821"/>
    <col width="8.7109375" customWidth="1" min="1822" max="1822"/>
    <col width="8.42578125" customWidth="1" min="1823" max="1823"/>
    <col width="8.7109375" customWidth="1" min="1824" max="1824"/>
    <col width="8.42578125" customWidth="1" min="1825" max="1825"/>
    <col width="8.7109375" customWidth="1" min="1826" max="1826"/>
    <col width="8.42578125" customWidth="1" min="1827" max="1827"/>
    <col width="8.7109375" customWidth="1" min="1828" max="1828"/>
    <col width="8.42578125" customWidth="1" min="1829" max="1829"/>
    <col width="8.7109375" customWidth="1" min="1830" max="1830"/>
    <col width="8.42578125" customWidth="1" min="1831" max="1831"/>
    <col width="8.7109375" customWidth="1" min="1832" max="1832"/>
    <col width="8.42578125" customWidth="1" min="1833" max="1833"/>
    <col width="8.7109375" customWidth="1" min="1834" max="1834"/>
    <col width="8.42578125" customWidth="1" min="1835" max="1835"/>
    <col width="8.7109375" customWidth="1" min="1836" max="1836"/>
    <col width="8.42578125" customWidth="1" min="1837" max="1837"/>
    <col width="8.7109375" customWidth="1" min="1838" max="1838"/>
    <col width="8.42578125" customWidth="1" min="1839" max="1839"/>
    <col width="8.7109375" customWidth="1" min="1840" max="1840"/>
    <col width="8.42578125" customWidth="1" min="1841" max="1841"/>
    <col width="8.7109375" customWidth="1" min="1842" max="1842"/>
    <col width="8.42578125" customWidth="1" min="1843" max="1843"/>
    <col width="8.7109375" customWidth="1" min="1844" max="1844"/>
    <col width="8.42578125" customWidth="1" min="1845" max="1845"/>
    <col width="8.7109375" customWidth="1" min="1846" max="1846"/>
    <col width="8.42578125" customWidth="1" min="1847" max="1847"/>
    <col width="8.7109375" customWidth="1" min="1848" max="1848"/>
    <col width="8.42578125" customWidth="1" min="1849" max="1849"/>
    <col width="8.7109375" customWidth="1" min="1850" max="1850"/>
    <col width="8.42578125" customWidth="1" min="1851" max="1851"/>
    <col width="8.7109375" customWidth="1" min="1852" max="1852"/>
    <col width="8.42578125" customWidth="1" min="1853" max="1853"/>
    <col width="8.7109375" customWidth="1" min="1854" max="1854"/>
    <col width="8.42578125" customWidth="1" min="1855" max="1855"/>
    <col width="8.7109375" customWidth="1" min="1856" max="1856"/>
    <col width="8.42578125" customWidth="1" min="1857" max="1857"/>
    <col width="8.7109375" customWidth="1" min="1858" max="1858"/>
    <col width="8.42578125" customWidth="1" min="1859" max="1859"/>
    <col width="8.7109375" customWidth="1" min="1860" max="1860"/>
    <col width="8.42578125" customWidth="1" min="1861" max="1861"/>
    <col width="8.7109375" customWidth="1" min="1862" max="1862"/>
    <col width="8.42578125" customWidth="1" min="1863" max="1863"/>
    <col width="8.7109375" customWidth="1" min="1864" max="1864"/>
    <col width="8.42578125" customWidth="1" min="1865" max="1865"/>
    <col width="8.7109375" customWidth="1" min="1866" max="1866"/>
    <col width="8.42578125" customWidth="1" min="1867" max="1867"/>
    <col width="8.7109375" customWidth="1" min="1868" max="1868"/>
    <col width="8.42578125" customWidth="1" min="1869" max="1869"/>
    <col width="8.7109375" customWidth="1" min="1870" max="1870"/>
    <col width="8.42578125" customWidth="1" min="1871" max="1871"/>
    <col width="8.7109375" customWidth="1" min="1872" max="1872"/>
    <col width="8.42578125" customWidth="1" min="1873" max="1873"/>
    <col width="8.7109375" customWidth="1" min="1874" max="1874"/>
    <col width="8.42578125" customWidth="1" min="1875" max="1875"/>
    <col width="8.7109375" customWidth="1" min="1876" max="1876"/>
    <col width="8.42578125" customWidth="1" min="1877" max="1877"/>
    <col width="8.7109375" customWidth="1" min="1878" max="1878"/>
    <col width="8.42578125" customWidth="1" min="1879" max="1879"/>
    <col width="8.7109375" customWidth="1" min="1880" max="1880"/>
    <col width="8.42578125" customWidth="1" min="1881" max="1881"/>
    <col width="8.7109375" customWidth="1" min="1882" max="1882"/>
    <col width="8.42578125" customWidth="1" min="1883" max="1883"/>
    <col width="8.7109375" customWidth="1" min="1884" max="1884"/>
    <col width="8.42578125" customWidth="1" min="1885" max="1885"/>
    <col width="8.7109375" customWidth="1" min="1886" max="1886"/>
    <col width="8.42578125" customWidth="1" min="1887" max="1887"/>
    <col width="8.7109375" customWidth="1" min="1888" max="1888"/>
    <col width="8.42578125" customWidth="1" min="1889" max="1889"/>
    <col width="8.7109375" customWidth="1" min="1890" max="1890"/>
    <col width="8.42578125" customWidth="1" min="1891" max="1891"/>
    <col width="8.7109375" customWidth="1" min="1892" max="1892"/>
    <col width="8.42578125" customWidth="1" min="1893" max="1893"/>
    <col width="8.7109375" customWidth="1" min="1894" max="1894"/>
    <col width="8.42578125" customWidth="1" min="1895" max="1895"/>
    <col width="8.7109375" customWidth="1" min="1896" max="1896"/>
    <col width="8.42578125" customWidth="1" min="1897" max="1897"/>
    <col width="8.7109375" customWidth="1" min="1898" max="1898"/>
    <col width="8.42578125" customWidth="1" min="1899" max="1899"/>
    <col width="8.7109375" customWidth="1" min="1900" max="1900"/>
    <col width="8.42578125" customWidth="1" min="1901" max="1901"/>
    <col width="8.7109375" customWidth="1" min="1902" max="1902"/>
    <col width="8.42578125" customWidth="1" min="1903" max="1903"/>
    <col width="8.7109375" customWidth="1" min="1904" max="1904"/>
    <col width="8.42578125" customWidth="1" min="1905" max="1905"/>
    <col width="8.7109375" customWidth="1" min="1906" max="1906"/>
    <col width="8.42578125" customWidth="1" min="1907" max="1907"/>
    <col width="8.7109375" customWidth="1" min="1908" max="1908"/>
    <col width="8.42578125" customWidth="1" min="1909" max="1909"/>
    <col width="8.7109375" customWidth="1" min="1910" max="1910"/>
    <col width="8.42578125" customWidth="1" min="1911" max="1911"/>
    <col width="8.7109375" customWidth="1" min="1912" max="1912"/>
    <col width="8.42578125" customWidth="1" min="1913" max="1913"/>
    <col width="8.7109375" customWidth="1" min="1914" max="1914"/>
    <col width="8.42578125" customWidth="1" min="1915" max="1915"/>
    <col width="8.7109375" customWidth="1" min="1916" max="1916"/>
    <col width="8.42578125" customWidth="1" min="1917" max="1917"/>
    <col width="8.7109375" customWidth="1" min="1918" max="1918"/>
    <col width="8.42578125" customWidth="1" min="1919" max="1919"/>
    <col width="8.7109375" customWidth="1" min="1920" max="1920"/>
    <col width="8.42578125" customWidth="1" min="1921" max="1921"/>
    <col width="8.7109375" customWidth="1" min="1922" max="1922"/>
    <col width="8.42578125" customWidth="1" min="1923" max="1923"/>
    <col width="8.7109375" customWidth="1" min="1924" max="1924"/>
    <col width="8.42578125" customWidth="1" min="1925" max="1925"/>
    <col width="8.7109375" customWidth="1" min="1926" max="1926"/>
    <col width="8.42578125" customWidth="1" min="1927" max="1927"/>
    <col width="8.7109375" customWidth="1" min="1928" max="1928"/>
    <col width="8.42578125" customWidth="1" min="1929" max="1929"/>
    <col width="8.7109375" customWidth="1" min="1930" max="1930"/>
    <col width="8.42578125" customWidth="1" min="1931" max="1931"/>
    <col width="8.7109375" customWidth="1" min="1932" max="1932"/>
    <col width="8.42578125" customWidth="1" min="1933" max="1933"/>
    <col width="8.7109375" customWidth="1" min="1934" max="1934"/>
    <col width="8.42578125" customWidth="1" min="1935" max="1935"/>
    <col width="8.7109375" customWidth="1" min="1936" max="1936"/>
    <col width="8.42578125" customWidth="1" min="1937" max="1937"/>
    <col width="8.7109375" customWidth="1" min="1938" max="1938"/>
    <col width="8.42578125" customWidth="1" min="1939" max="1939"/>
    <col width="8.7109375" customWidth="1" min="1940" max="1940"/>
    <col width="8.42578125" customWidth="1" min="1941" max="1941"/>
    <col width="8.7109375" customWidth="1" min="1942" max="1942"/>
    <col width="8.42578125" customWidth="1" min="1943" max="1943"/>
    <col width="8.7109375" customWidth="1" min="1944" max="1944"/>
    <col width="8.42578125" customWidth="1" min="1945" max="1945"/>
    <col width="8.7109375" customWidth="1" min="1946" max="1946"/>
    <col width="8.42578125" customWidth="1" min="1947" max="1947"/>
    <col width="8.7109375" customWidth="1" min="1948" max="1948"/>
    <col width="8.42578125" customWidth="1" min="1949" max="1949"/>
    <col width="8.7109375" customWidth="1" min="1950" max="1950"/>
    <col width="8.42578125" customWidth="1" min="1951" max="1951"/>
    <col width="8.7109375" customWidth="1" min="1952" max="1952"/>
    <col width="8.42578125" customWidth="1" min="1953" max="1953"/>
    <col width="8.7109375" customWidth="1" min="1954" max="1954"/>
    <col width="8.42578125" customWidth="1" min="1955" max="1955"/>
    <col width="8.7109375" customWidth="1" min="1956" max="1956"/>
    <col width="8.42578125" customWidth="1" min="1957" max="1957"/>
    <col width="8.7109375" customWidth="1" min="1958" max="1958"/>
    <col width="8.42578125" customWidth="1" min="1959" max="1959"/>
    <col width="8.7109375" customWidth="1" min="1960" max="1960"/>
    <col width="8.42578125" customWidth="1" min="1961" max="1961"/>
    <col width="8.7109375" customWidth="1" min="1962" max="1962"/>
    <col width="8.42578125" customWidth="1" min="1963" max="1963"/>
    <col width="8.7109375" customWidth="1" min="1964" max="1964"/>
    <col width="8.42578125" customWidth="1" min="1965" max="1965"/>
    <col width="8.7109375" customWidth="1" min="1966" max="1966"/>
    <col width="8.42578125" customWidth="1" min="1967" max="1967"/>
    <col width="8.7109375" customWidth="1" min="1968" max="1968"/>
    <col width="8.42578125" customWidth="1" min="1969" max="1969"/>
    <col width="8.7109375" customWidth="1" min="1970" max="1970"/>
    <col width="8.42578125" customWidth="1" min="1971" max="1971"/>
    <col width="8.7109375" customWidth="1" min="1972" max="1972"/>
    <col width="8.42578125" customWidth="1" min="1973" max="1973"/>
    <col width="8.7109375" customWidth="1" min="1974" max="1974"/>
    <col width="8.42578125" customWidth="1" min="1975" max="1975"/>
    <col width="8.7109375" customWidth="1" min="1976" max="1976"/>
    <col width="8.42578125" customWidth="1" min="1977" max="1977"/>
    <col width="8.7109375" customWidth="1" min="1978" max="1978"/>
    <col width="8.42578125" customWidth="1" min="1979" max="1979"/>
    <col width="8.7109375" customWidth="1" min="1980" max="1980"/>
    <col width="8.42578125" customWidth="1" min="1981" max="1981"/>
    <col width="8.7109375" customWidth="1" min="1982" max="1982"/>
    <col width="8.42578125" customWidth="1" min="1983" max="1983"/>
    <col width="8.7109375" customWidth="1" min="1984" max="1984"/>
    <col width="8.42578125" customWidth="1" min="1985" max="1985"/>
    <col width="8.7109375" customWidth="1" min="1986" max="1986"/>
    <col width="8.42578125" customWidth="1" min="1987" max="1987"/>
    <col width="8.7109375" customWidth="1" min="1988" max="1988"/>
    <col width="8.42578125" customWidth="1" min="1989" max="1989"/>
    <col width="8.7109375" customWidth="1" min="1990" max="1990"/>
    <col width="8.42578125" customWidth="1" min="1991" max="1991"/>
    <col width="8.7109375" customWidth="1" min="1992" max="1992"/>
    <col width="8.42578125" customWidth="1" min="1993" max="1993"/>
    <col width="8.7109375" customWidth="1" min="1994" max="1994"/>
    <col width="8.42578125" customWidth="1" min="1995" max="1995"/>
    <col width="8.7109375" customWidth="1" min="1996" max="1996"/>
    <col width="8.42578125" customWidth="1" min="1997" max="1997"/>
    <col width="8.7109375" customWidth="1" min="1998" max="1998"/>
    <col width="8.42578125" customWidth="1" min="1999" max="1999"/>
    <col width="8.7109375" customWidth="1" min="2000" max="2000"/>
    <col width="8.42578125" customWidth="1" min="2001" max="2001"/>
    <col width="8.7109375" customWidth="1" min="2002" max="2002"/>
    <col width="8.42578125" customWidth="1" min="2003" max="2003"/>
    <col width="8.7109375" customWidth="1" min="2004" max="2004"/>
    <col width="8.42578125" customWidth="1" min="2005" max="2005"/>
    <col width="8.7109375" customWidth="1" min="2006" max="2006"/>
    <col width="8.42578125" customWidth="1" min="2007" max="2007"/>
    <col width="8.7109375" customWidth="1" min="2008" max="2008"/>
    <col width="8.42578125" customWidth="1" min="2009" max="2009"/>
    <col width="8.7109375" customWidth="1" min="2010" max="2010"/>
    <col width="8.42578125" customWidth="1" min="2011" max="2011"/>
    <col width="8.7109375" customWidth="1" min="2012" max="2012"/>
    <col width="8.42578125" customWidth="1" min="2013" max="2013"/>
    <col width="8.7109375" customWidth="1" min="2014" max="2014"/>
    <col width="8.42578125" customWidth="1" min="2015" max="2015"/>
    <col width="8.7109375" customWidth="1" min="2016" max="2016"/>
    <col width="8.42578125" customWidth="1" min="2017" max="2017"/>
    <col width="8.7109375" customWidth="1" min="2018" max="2018"/>
    <col width="8.42578125" customWidth="1" min="2019" max="2019"/>
    <col width="8.7109375" customWidth="1" min="2020" max="2020"/>
    <col width="8.42578125" customWidth="1" min="2021" max="2021"/>
    <col width="8.7109375" customWidth="1" min="2022" max="2022"/>
    <col width="8.42578125" customWidth="1" min="2023" max="2023"/>
    <col width="8.7109375" customWidth="1" min="2024" max="2024"/>
    <col width="8.42578125" customWidth="1" min="2025" max="2025"/>
    <col width="8.7109375" customWidth="1" min="2026" max="2026"/>
    <col width="8.42578125" customWidth="1" min="2027" max="2027"/>
    <col width="8.7109375" customWidth="1" min="2028" max="2028"/>
    <col width="8.42578125" customWidth="1" min="2029" max="2029"/>
    <col width="8.7109375" customWidth="1" min="2030" max="2030"/>
    <col width="8.42578125" customWidth="1" min="2031" max="2031"/>
    <col width="8.7109375" customWidth="1" min="2032" max="2032"/>
    <col width="8.42578125" customWidth="1" min="2033" max="2033"/>
    <col width="8.7109375" customWidth="1" min="2034" max="2034"/>
    <col width="8.42578125" customWidth="1" min="2035" max="2035"/>
    <col width="8.7109375" customWidth="1" min="2036" max="2036"/>
    <col width="8.42578125" customWidth="1" min="2037" max="2037"/>
    <col width="8.7109375" customWidth="1" min="2038" max="2038"/>
    <col width="8.42578125" customWidth="1" min="2039" max="2039"/>
    <col width="8.7109375" customWidth="1" min="2040" max="2040"/>
    <col width="8.42578125" customWidth="1" min="2041" max="2041"/>
    <col width="8.7109375" customWidth="1" min="2042" max="2042"/>
    <col width="8.42578125" customWidth="1" min="2043" max="2043"/>
    <col width="8.7109375" customWidth="1" min="2044" max="2044"/>
    <col width="8.42578125" customWidth="1" min="2045" max="2045"/>
    <col width="8.7109375" customWidth="1" min="2046" max="2046"/>
    <col width="8.42578125" customWidth="1" min="2047" max="2047"/>
    <col width="8.7109375" customWidth="1" min="2048" max="2048"/>
    <col width="8.42578125" customWidth="1" min="2049" max="2049"/>
    <col width="8.7109375" customWidth="1" min="2050" max="2050"/>
    <col width="8.42578125" customWidth="1" min="2051" max="2051"/>
    <col width="8.7109375" customWidth="1" min="2052" max="2052"/>
    <col width="8.42578125" customWidth="1" min="2053" max="2053"/>
    <col width="8.7109375" customWidth="1" min="2054" max="2054"/>
    <col width="8.42578125" customWidth="1" min="2055" max="2055"/>
    <col width="8.7109375" customWidth="1" min="2056" max="2056"/>
    <col width="8.42578125" customWidth="1" min="2057" max="2057"/>
    <col width="8.7109375" customWidth="1" min="2058" max="2058"/>
    <col width="8.42578125" customWidth="1" min="2059" max="2059"/>
    <col width="8.7109375" customWidth="1" min="2060" max="2060"/>
    <col width="8.42578125" customWidth="1" min="2061" max="2061"/>
    <col width="8.7109375" customWidth="1" min="2062" max="2062"/>
    <col width="8.42578125" customWidth="1" min="2063" max="2063"/>
    <col width="8.7109375" customWidth="1" min="2064" max="2064"/>
    <col width="8.42578125" customWidth="1" min="2065" max="2065"/>
    <col width="8.7109375" customWidth="1" min="2066" max="2066"/>
    <col width="8.42578125" customWidth="1" min="2067" max="2067"/>
    <col width="8.7109375" customWidth="1" min="2068" max="2068"/>
    <col width="8.42578125" customWidth="1" min="2069" max="2069"/>
    <col width="8.7109375" customWidth="1" min="2070" max="2070"/>
    <col width="30.7109375" customWidth="1" min="2071" max="2071"/>
    <col width="8.42578125" customWidth="1" min="2072" max="2072"/>
    <col width="8.7109375" customWidth="1" min="2073" max="2088"/>
    <col width="30.7109375" customWidth="1" min="2089" max="2089"/>
    <col width="8.42578125" customWidth="1" min="2090" max="2090"/>
    <col width="8.7109375" customWidth="1" min="2091" max="2091"/>
    <col width="30.7109375" customWidth="1" min="2092" max="2093"/>
    <col width="8.42578125" customWidth="1" min="2094" max="2094"/>
    <col width="8.7109375" customWidth="1" min="2095" max="2095"/>
    <col width="30.7109375" customWidth="1" min="2096" max="2096"/>
    <col width="8.42578125" customWidth="1" min="2097" max="2097"/>
    <col width="8.7109375" customWidth="1" min="2098" max="2098"/>
    <col width="30.7109375" customWidth="1" min="2099" max="2099"/>
    <col width="8.42578125" customWidth="1" min="2100" max="2100"/>
    <col width="8.7109375" customWidth="1" min="2101" max="2101"/>
    <col width="30.7109375" customWidth="1" min="2102" max="2102"/>
    <col width="8.42578125" customWidth="1" min="2103" max="2103"/>
    <col width="8.7109375" customWidth="1" min="2104" max="2104"/>
    <col width="30.7109375" customWidth="1" min="2105" max="2105"/>
    <col width="8.42578125" customWidth="1" min="2106" max="2106"/>
    <col width="8.7109375" customWidth="1" min="2107" max="2107"/>
    <col width="30.7109375" customWidth="1" min="2108" max="2108"/>
    <col width="8.42578125" customWidth="1" min="2109" max="2109"/>
    <col width="8.7109375" customWidth="1" min="2110" max="2110"/>
    <col width="30.7109375" customWidth="1" min="2111" max="2111"/>
    <col width="8.42578125" customWidth="1" min="2112" max="2112"/>
    <col width="8.7109375" customWidth="1" min="2113" max="2113"/>
    <col width="30.7109375" customWidth="1" min="2114" max="2114"/>
    <col width="8.42578125" customWidth="1" min="2115" max="2115"/>
    <col width="8.7109375" customWidth="1" min="2116" max="2116"/>
    <col width="8.42578125" customWidth="1" min="2117" max="2117"/>
    <col width="8.7109375" customWidth="1" min="2118" max="2118"/>
    <col width="8.42578125" customWidth="1" min="2119" max="2119"/>
    <col width="8.7109375" customWidth="1" min="2120" max="2120"/>
    <col width="8.42578125" customWidth="1" min="2121" max="2121"/>
    <col width="8.7109375" customWidth="1" min="2122" max="2122"/>
    <col width="8.42578125" customWidth="1" min="2123" max="2123"/>
    <col width="8.7109375" customWidth="1" min="2124" max="2124"/>
    <col width="8.42578125" customWidth="1" min="2125" max="2125"/>
    <col width="8.7109375" customWidth="1" min="2126" max="2126"/>
    <col width="8.42578125" customWidth="1" min="2127" max="2127"/>
    <col width="8.7109375" customWidth="1" min="2128" max="2128"/>
    <col width="8.42578125" customWidth="1" min="2129" max="2129"/>
    <col width="8.7109375" customWidth="1" min="2130" max="2130"/>
    <col width="8.42578125" customWidth="1" min="2131" max="2131"/>
    <col width="8.7109375" customWidth="1" min="2132" max="2132"/>
    <col width="8.42578125" customWidth="1" min="2133" max="2133"/>
    <col width="8.7109375" customWidth="1" min="2134" max="2134"/>
    <col width="8.42578125" customWidth="1" min="2135" max="2135"/>
    <col width="8.7109375" customWidth="1" min="2136" max="2136"/>
    <col width="8.42578125" customWidth="1" min="2137" max="2137"/>
    <col width="8.7109375" customWidth="1" min="2138" max="2138"/>
    <col width="8.42578125" customWidth="1" min="2139" max="2139"/>
    <col width="8.7109375" customWidth="1" min="2140" max="2140"/>
    <col width="8.42578125" customWidth="1" min="2141" max="2141"/>
    <col width="8.7109375" customWidth="1" min="2142" max="2142"/>
    <col width="8.42578125" customWidth="1" min="2143" max="2143"/>
    <col width="8.7109375" customWidth="1" min="2144" max="2144"/>
    <col width="8.42578125" customWidth="1" min="2145" max="2145"/>
    <col width="8.7109375" customWidth="1" min="2146" max="2146"/>
    <col width="8.42578125" customWidth="1" min="2147" max="2147"/>
    <col width="8.7109375" customWidth="1" min="2148" max="2148"/>
    <col width="8.42578125" customWidth="1" min="2149" max="2149"/>
    <col width="8.7109375" customWidth="1" min="2150" max="2150"/>
    <col width="8.42578125" customWidth="1" min="2151" max="2151"/>
    <col width="8.7109375" customWidth="1" min="2152" max="2152"/>
    <col width="8.42578125" customWidth="1" min="2153" max="2153"/>
    <col width="8.7109375" customWidth="1" min="2154" max="2154"/>
    <col width="8.42578125" customWidth="1" min="2155" max="2155"/>
    <col width="8.7109375" customWidth="1" min="2156" max="2156"/>
    <col width="8.42578125" customWidth="1" min="2157" max="2157"/>
    <col width="8.7109375" customWidth="1" min="2158" max="2158"/>
    <col width="8.42578125" customWidth="1" min="2159" max="2159"/>
    <col width="8.7109375" customWidth="1" min="2160" max="2160"/>
    <col width="8.42578125" customWidth="1" min="2161" max="2161"/>
    <col width="8.7109375" customWidth="1" min="2162" max="2162"/>
    <col width="8.42578125" customWidth="1" min="2163" max="2163"/>
    <col width="8.7109375" customWidth="1" min="2164" max="2164"/>
    <col width="8.42578125" customWidth="1" min="2165" max="2165"/>
    <col width="8.7109375" customWidth="1" min="2166" max="2166"/>
    <col width="8.42578125" customWidth="1" min="2167" max="2167"/>
    <col width="8.7109375" customWidth="1" min="2168" max="2168"/>
    <col width="8.42578125" customWidth="1" min="2169" max="2169"/>
    <col width="8.7109375" customWidth="1" min="2170" max="2170"/>
    <col width="8.42578125" customWidth="1" min="2171" max="2171"/>
    <col width="8.7109375" customWidth="1" min="2172" max="2172"/>
    <col width="8.42578125" customWidth="1" min="2173" max="2173"/>
    <col width="8.7109375" customWidth="1" min="2174" max="2174"/>
    <col width="8.42578125" customWidth="1" min="2175" max="2175"/>
    <col width="8.7109375" customWidth="1" min="2176" max="2176"/>
    <col width="8.42578125" customWidth="1" min="2177" max="2177"/>
    <col width="8.7109375" customWidth="1" min="2178" max="2178"/>
    <col width="8.42578125" customWidth="1" min="2179" max="2179"/>
    <col width="8.7109375" customWidth="1" min="2180" max="2180"/>
    <col width="8.42578125" customWidth="1" min="2181" max="2181"/>
    <col width="8.7109375" customWidth="1" min="2182" max="2182"/>
    <col width="30.7109375" customWidth="1" min="2183" max="2184"/>
    <col width="8.42578125" customWidth="1" min="2185" max="2185"/>
    <col width="8.7109375" customWidth="1" min="2186" max="2186"/>
    <col width="30.7109375" customWidth="1" min="2187" max="2188"/>
    <col width="8.42578125" customWidth="1" min="2189" max="2189"/>
    <col width="8.7109375" customWidth="1" min="2190" max="2190"/>
    <col width="30.7109375" customWidth="1" min="2191" max="2192"/>
    <col width="8.42578125" customWidth="1" min="2193" max="2193"/>
    <col width="8.7109375" customWidth="1" min="2194" max="2194"/>
    <col width="30.7109375" customWidth="1" min="2195" max="2197"/>
    <col width="8.42578125" customWidth="1" min="2198" max="2198"/>
    <col width="8.7109375" customWidth="1" min="2199" max="2199"/>
    <col width="30.7109375" customWidth="1" min="2200" max="2203"/>
    <col width="8.42578125" customWidth="1" min="2204" max="2204"/>
    <col width="8.7109375" customWidth="1" min="2205" max="2206"/>
    <col width="8.42578125" customWidth="1" min="2207" max="2207"/>
    <col width="8.7109375" customWidth="1" min="2208" max="2209"/>
    <col width="8.42578125" customWidth="1" min="2210" max="2210"/>
    <col width="8.7109375" customWidth="1" min="2211" max="2211"/>
    <col width="8.42578125" customWidth="1" min="2212" max="2212"/>
    <col width="8.7109375" customWidth="1" min="2213" max="2215"/>
    <col width="8.42578125" customWidth="1" min="2216" max="2216"/>
    <col width="8.7109375" customWidth="1" min="2217" max="2221"/>
    <col width="8.42578125" customWidth="1" min="2222" max="2222"/>
    <col width="8.7109375" customWidth="1" min="2223" max="2225"/>
    <col width="8.42578125" customWidth="1" min="2226" max="2226"/>
    <col width="8.7109375" customWidth="1" min="2227" max="2228"/>
    <col width="8.42578125" customWidth="1" min="2229" max="2229"/>
    <col width="8.7109375" customWidth="1" min="2230" max="2231"/>
    <col width="8.42578125" customWidth="1" min="2232" max="2232"/>
    <col width="8.7109375" customWidth="1" min="2233" max="2234"/>
    <col width="8.42578125" customWidth="1" min="2235" max="2235"/>
    <col width="8.7109375" customWidth="1" min="2236" max="2238"/>
    <col width="8.42578125" customWidth="1" min="2239" max="2239"/>
    <col width="8.7109375" customWidth="1" min="2240" max="2240"/>
    <col width="8.42578125" customWidth="1" min="2241" max="2241"/>
    <col width="8.7109375" customWidth="1" min="2242" max="2243"/>
    <col width="8.42578125" customWidth="1" min="2244" max="2244"/>
    <col width="8.7109375" customWidth="1" min="2245" max="2245"/>
    <col width="8.42578125" customWidth="1" min="2246" max="2246"/>
    <col width="8.7109375" customWidth="1" min="2247" max="2247"/>
    <col width="8.42578125" customWidth="1" min="2248" max="2248"/>
    <col width="8.7109375" customWidth="1" min="2249" max="2250"/>
    <col width="8.42578125" customWidth="1" min="2251" max="2251"/>
    <col width="8.7109375" customWidth="1" min="2252" max="2252"/>
    <col width="8.42578125" customWidth="1" min="2253" max="2253"/>
    <col width="8.7109375" customWidth="1" min="2254" max="2254"/>
    <col width="8.42578125" customWidth="1" min="2255" max="2255"/>
    <col width="8.7109375" customWidth="1" min="2256" max="2257"/>
    <col width="8.42578125" customWidth="1" min="2258" max="2258"/>
    <col width="8.7109375" customWidth="1" min="2259" max="2259"/>
    <col width="8.42578125" customWidth="1" min="2260" max="2260"/>
    <col width="8.7109375" customWidth="1" min="2261" max="2262"/>
    <col width="8.42578125" customWidth="1" min="2263" max="2263"/>
    <col width="8.7109375" customWidth="1" min="2264" max="2265"/>
    <col width="8.42578125" customWidth="1" min="2266" max="2266"/>
    <col width="8.7109375" customWidth="1" min="2267" max="2268"/>
    <col width="8.42578125" customWidth="1" min="2269" max="2269"/>
    <col width="8.7109375" customWidth="1" min="2270" max="2272"/>
    <col width="8.42578125" customWidth="1" min="2273" max="2273"/>
    <col width="8.7109375" customWidth="1" min="2274" max="2275"/>
    <col width="8.42578125" customWidth="1" min="2276" max="2276"/>
    <col width="8.7109375" customWidth="1" min="2277" max="2277"/>
    <col width="8.42578125" customWidth="1" min="2278" max="2278"/>
    <col width="8.7109375" customWidth="1" min="2279" max="2279"/>
    <col width="8.42578125" customWidth="1" min="2280" max="2280"/>
    <col width="8.7109375" customWidth="1" min="2281" max="2281"/>
    <col width="8.42578125" customWidth="1" min="2282" max="2282"/>
    <col width="8.7109375" customWidth="1" min="2283" max="2283"/>
    <col width="8.42578125" customWidth="1" min="2284" max="2284"/>
    <col width="8.7109375" customWidth="1" min="2285" max="2285"/>
    <col width="30.7109375" customWidth="1" min="2286" max="2288"/>
    <col width="8.42578125" customWidth="1" min="2289" max="2289"/>
    <col width="8.7109375" customWidth="1" min="2290" max="2290"/>
    <col width="8.42578125" customWidth="1" min="2291" max="2291"/>
    <col width="8.7109375" customWidth="1" min="2292" max="2292"/>
    <col width="8.42578125" customWidth="1" min="2293" max="2293"/>
    <col width="8.7109375" customWidth="1" min="2294" max="2294"/>
    <col width="8.42578125" customWidth="1" min="2295" max="2295"/>
    <col width="8.7109375" customWidth="1" min="2296" max="2296"/>
    <col width="8.42578125" customWidth="1" min="2297" max="2297"/>
    <col width="8.7109375" customWidth="1" min="2298" max="2298"/>
    <col width="8.42578125" customWidth="1" min="2299" max="2299"/>
    <col width="8.7109375" customWidth="1" min="2300" max="2300"/>
    <col width="8.42578125" customWidth="1" min="2301" max="2301"/>
    <col width="8.7109375" customWidth="1" min="2302" max="2302"/>
    <col width="8.42578125" customWidth="1" min="2303" max="2303"/>
    <col width="8.7109375" customWidth="1" min="2304" max="2304"/>
    <col width="8.42578125" customWidth="1" min="2305" max="2305"/>
    <col width="8.7109375" customWidth="1" min="2306" max="2306"/>
    <col width="8.42578125" customWidth="1" min="2307" max="2307"/>
    <col width="8.7109375" customWidth="1" min="2308" max="2308"/>
    <col width="8.42578125" customWidth="1" min="2309" max="2309"/>
    <col width="8.7109375" customWidth="1" min="2310" max="2310"/>
    <col width="8.42578125" customWidth="1" min="2311" max="2311"/>
    <col width="8.7109375" customWidth="1" min="2312" max="2312"/>
    <col width="8.42578125" customWidth="1" min="2313" max="2313"/>
    <col width="8.7109375" customWidth="1" min="2314" max="2314"/>
    <col width="8.42578125" customWidth="1" min="2315" max="2315"/>
    <col width="8.7109375" customWidth="1" min="2316" max="2316"/>
    <col width="8.42578125" customWidth="1" min="2317" max="2317"/>
    <col width="8.7109375" customWidth="1" min="2318" max="2318"/>
    <col width="8.42578125" customWidth="1" min="2319" max="2319"/>
    <col width="8.7109375" customWidth="1" min="2320" max="2320"/>
    <col width="8.42578125" customWidth="1" min="2321" max="2321"/>
    <col width="8.7109375" customWidth="1" min="2322" max="2322"/>
    <col width="8.42578125" customWidth="1" min="2323" max="2323"/>
    <col width="8.7109375" customWidth="1" min="2324" max="2324"/>
    <col width="8.42578125" customWidth="1" min="2325" max="2325"/>
    <col width="8.7109375" customWidth="1" min="2326" max="2326"/>
    <col width="8.42578125" customWidth="1" min="2327" max="2327"/>
    <col width="8.7109375" customWidth="1" min="2328" max="2328"/>
    <col width="8.42578125" customWidth="1" min="2329" max="2329"/>
    <col width="8.7109375" customWidth="1" min="2330" max="2330"/>
    <col width="8.42578125" customWidth="1" min="2331" max="2331"/>
    <col width="8.7109375" customWidth="1" min="2332" max="2332"/>
    <col width="8.42578125" customWidth="1" min="2333" max="2333"/>
    <col width="8.7109375" customWidth="1" min="2334" max="2334"/>
    <col width="30.7109375" customWidth="1" min="2335" max="2336"/>
    <col width="8.42578125" customWidth="1" min="2337" max="2337"/>
    <col width="8.7109375" customWidth="1" min="2338" max="2338"/>
    <col width="30.7109375" customWidth="1" min="2339" max="2340"/>
    <col width="8.42578125" customWidth="1" min="2341" max="2341"/>
    <col width="8.7109375" customWidth="1" min="2342" max="2342"/>
    <col width="30.7109375" customWidth="1" min="2343" max="2344"/>
    <col width="8.42578125" customWidth="1" min="2345" max="2345"/>
    <col width="8.7109375" customWidth="1" min="2346" max="2346"/>
    <col width="30.7109375" customWidth="1" min="2347" max="2348"/>
    <col width="8.42578125" customWidth="1" min="2349" max="2349"/>
    <col width="8.7109375" customWidth="1" min="2350" max="2350"/>
    <col width="30.7109375" customWidth="1" min="2351" max="2352"/>
    <col width="8.42578125" customWidth="1" min="2353" max="2353"/>
    <col width="8.7109375" customWidth="1" min="2354" max="2354"/>
    <col width="30.7109375" customWidth="1" min="2355" max="2356"/>
    <col width="8.42578125" customWidth="1" min="2357" max="2357"/>
    <col width="8.7109375" customWidth="1" min="2358" max="2358"/>
    <col width="30.7109375" customWidth="1" min="2359" max="2360"/>
    <col width="8.42578125" customWidth="1" min="2361" max="2361"/>
    <col width="8.7109375" customWidth="1" min="2362" max="2362"/>
    <col width="30.7109375" customWidth="1" min="2363" max="2364"/>
    <col width="8.42578125" customWidth="1" min="2365" max="2365"/>
    <col width="8.7109375" customWidth="1" min="2366" max="2366"/>
    <col width="30.7109375" customWidth="1" min="2367" max="2368"/>
    <col width="8.42578125" customWidth="1" min="2369" max="2369"/>
    <col width="8.7109375" customWidth="1" min="2370" max="2370"/>
    <col width="30.7109375" customWidth="1" min="2371" max="2372"/>
    <col width="8.42578125" customWidth="1" min="2373" max="2373"/>
    <col width="8.7109375" customWidth="1" min="2374" max="2374"/>
    <col width="30.7109375" customWidth="1" min="2375" max="2375"/>
    <col width="8.42578125" customWidth="1" min="2376" max="2376"/>
    <col width="8.7109375" customWidth="1" min="2377" max="2377"/>
    <col width="30.7109375" customWidth="1" min="2378" max="2378"/>
    <col width="8.42578125" customWidth="1" min="2379" max="2379"/>
    <col width="8.7109375" customWidth="1" min="2380" max="2380"/>
    <col width="30.7109375" customWidth="1" min="2381" max="2381"/>
    <col width="8.42578125" customWidth="1" min="2382" max="2382"/>
    <col width="8.7109375" customWidth="1" min="2383" max="2383"/>
    <col width="8.42578125" customWidth="1" min="2384" max="2384"/>
    <col width="8.7109375" customWidth="1" min="2385" max="2385"/>
    <col width="8.42578125" customWidth="1" min="2386" max="2386"/>
    <col width="8.7109375" customWidth="1" min="2387" max="2387"/>
    <col width="8.42578125" customWidth="1" min="2388" max="2388"/>
    <col width="8.7109375" customWidth="1" min="2389" max="2389"/>
    <col width="8.42578125" customWidth="1" min="2390" max="2390"/>
    <col width="8.7109375" customWidth="1" min="2391" max="2391"/>
    <col width="8.42578125" customWidth="1" min="2392" max="2392"/>
    <col width="8.7109375" customWidth="1" min="2393" max="2393"/>
    <col width="8.42578125" customWidth="1" min="2394" max="2394"/>
    <col width="8.7109375" customWidth="1" min="2395" max="2395"/>
    <col width="8.42578125" customWidth="1" min="2396" max="2396"/>
    <col width="8.7109375" customWidth="1" min="2397" max="2409"/>
    <col width="8.42578125" customWidth="1" min="2410" max="2410"/>
    <col width="8.7109375" customWidth="1" min="2411" max="2411"/>
    <col width="8.42578125" customWidth="1" min="2412" max="2412"/>
    <col width="8.7109375" customWidth="1" min="2413" max="2413"/>
    <col width="8.42578125" customWidth="1" min="2414" max="2414"/>
    <col width="8.7109375" customWidth="1" min="2415" max="2415"/>
    <col width="8.42578125" customWidth="1" min="2416" max="2416"/>
    <col width="8.7109375" customWidth="1" min="2417" max="2417"/>
    <col width="8.42578125" customWidth="1" min="2418" max="2418"/>
    <col width="8.7109375" customWidth="1" min="2419" max="2419"/>
    <col width="8.42578125" customWidth="1" min="2420" max="2420"/>
    <col width="8.7109375" customWidth="1" min="2421" max="2421"/>
    <col width="8.42578125" customWidth="1" min="2422" max="2422"/>
    <col width="8.7109375" customWidth="1" min="2423" max="2423"/>
    <col width="30.7109375" customWidth="1" min="2424" max="2425"/>
    <col width="8.42578125" customWidth="1" min="2426" max="2426"/>
    <col width="8.7109375" customWidth="1" min="2427" max="2427"/>
    <col width="8.42578125" customWidth="1" min="2428" max="2428"/>
    <col width="8.7109375" customWidth="1" min="2429" max="2429"/>
    <col width="8.42578125" customWidth="1" min="2430" max="2430"/>
    <col width="8.7109375" customWidth="1" min="2431" max="2431"/>
    <col width="8.42578125" customWidth="1" min="2432" max="2432"/>
    <col width="8.7109375" customWidth="1" min="2433" max="2433"/>
    <col width="8.42578125" customWidth="1" min="2434" max="2434"/>
    <col width="8.7109375" customWidth="1" min="2435" max="2435"/>
    <col width="8.42578125" customWidth="1" min="2436" max="2436"/>
    <col width="8.7109375" customWidth="1" min="2437" max="2437"/>
    <col width="8.42578125" customWidth="1" min="2438" max="2438"/>
    <col width="8.7109375" customWidth="1" min="2439" max="2439"/>
    <col width="8.42578125" customWidth="1" min="2440" max="2440"/>
    <col width="8.7109375" customWidth="1" min="2441" max="2441"/>
    <col width="8.42578125" customWidth="1" min="2442" max="2442"/>
    <col width="8.7109375" customWidth="1" min="2443" max="2443"/>
    <col width="8.42578125" customWidth="1" min="2444" max="2444"/>
    <col width="8.7109375" customWidth="1" min="2445" max="2445"/>
    <col width="8.42578125" customWidth="1" min="2446" max="2446"/>
    <col width="8.7109375" customWidth="1" min="2447" max="2447"/>
    <col width="8.42578125" customWidth="1" min="2448" max="2448"/>
    <col width="8.7109375" customWidth="1" min="2449" max="2449"/>
    <col width="8.42578125" customWidth="1" min="2450" max="2450"/>
    <col width="8.7109375" customWidth="1" min="2451" max="2451"/>
    <col width="8.42578125" customWidth="1" min="2452" max="2452"/>
    <col width="8.7109375" customWidth="1" min="2453" max="2453"/>
    <col width="8.42578125" customWidth="1" min="2454" max="2454"/>
    <col width="8.7109375" customWidth="1" min="2455" max="2455"/>
    <col width="8.42578125" customWidth="1" min="2456" max="2456"/>
    <col width="8.7109375" customWidth="1" min="2457" max="2457"/>
    <col width="8.42578125" customWidth="1" min="2458" max="2458"/>
    <col width="8.7109375" customWidth="1" min="2459" max="2459"/>
    <col width="8.42578125" customWidth="1" min="2460" max="2460"/>
    <col width="8.7109375" customWidth="1" min="2461" max="2461"/>
    <col width="8.42578125" customWidth="1" min="2462" max="2462"/>
    <col width="8.7109375" customWidth="1" min="2463" max="2463"/>
    <col width="8.42578125" customWidth="1" min="2464" max="2464"/>
    <col width="8.7109375" customWidth="1" min="2465" max="2465"/>
    <col width="8.42578125" customWidth="1" min="2466" max="2466"/>
    <col width="8.7109375" customWidth="1" min="2467" max="2467"/>
    <col width="30.7109375" customWidth="1" min="2468" max="2469"/>
    <col width="8.42578125" customWidth="1" min="2470" max="2470"/>
    <col width="8.7109375" customWidth="1" min="2471" max="2471"/>
    <col width="30.7109375" customWidth="1" min="2472" max="2473"/>
    <col width="8.42578125" customWidth="1" min="2474" max="2474"/>
    <col width="8.7109375" customWidth="1" min="2475" max="2475"/>
    <col width="30.7109375" customWidth="1" min="2476" max="2477"/>
    <col width="8.42578125" customWidth="1" min="2478" max="2478"/>
    <col width="8.7109375" customWidth="1" min="2479" max="2479"/>
    <col width="30.7109375" customWidth="1" min="2480" max="2481"/>
    <col width="8.42578125" customWidth="1" min="2482" max="2482"/>
    <col width="8.7109375" customWidth="1" min="2483" max="2483"/>
    <col width="30.7109375" customWidth="1" min="2484" max="2485"/>
    <col width="8.42578125" customWidth="1" min="2486" max="2486"/>
    <col width="8.7109375" customWidth="1" min="2487" max="2487"/>
    <col width="30.7109375" customWidth="1" min="2488" max="2489"/>
    <col width="8.42578125" customWidth="1" min="2490" max="2490"/>
    <col width="8.7109375" customWidth="1" min="2491" max="2491"/>
    <col width="30.7109375" customWidth="1" min="2492" max="2493"/>
    <col width="8.42578125" customWidth="1" min="2494" max="2494"/>
    <col width="8.7109375" customWidth="1" min="2495" max="2495"/>
    <col width="30.7109375" customWidth="1" min="2496" max="2497"/>
    <col width="8.42578125" customWidth="1" min="2498" max="2498"/>
    <col width="8.7109375" customWidth="1" min="2499" max="2499"/>
    <col width="30.7109375" customWidth="1" min="2500" max="2501"/>
    <col width="8.42578125" customWidth="1" min="2502" max="2502"/>
    <col width="8.7109375" customWidth="1" min="2503" max="2503"/>
    <col width="30.7109375" customWidth="1" min="2504" max="2505"/>
    <col width="8.42578125" customWidth="1" min="2506" max="2506"/>
    <col width="8.7109375" customWidth="1" min="2507" max="2507"/>
    <col width="30.7109375" customWidth="1" min="2508" max="2509"/>
    <col width="8.42578125" customWidth="1" min="2510" max="2510"/>
    <col width="8.7109375" customWidth="1" min="2511" max="2511"/>
    <col width="30.7109375" customWidth="1" min="2512" max="2513"/>
    <col width="8.42578125" customWidth="1" min="2514" max="2514"/>
    <col width="8.7109375" customWidth="1" min="2515" max="2515"/>
    <col width="30.7109375" customWidth="1" min="2516" max="2517"/>
    <col width="8.42578125" customWidth="1" min="2518" max="2518"/>
    <col width="8.7109375" customWidth="1" min="2519" max="2519"/>
    <col width="30.7109375" customWidth="1" min="2520" max="2521"/>
    <col width="8.42578125" customWidth="1" min="2522" max="2522"/>
    <col width="8.7109375" customWidth="1" min="2523" max="2523"/>
    <col width="30.7109375" customWidth="1" min="2524" max="2525"/>
    <col width="8.42578125" customWidth="1" min="2526" max="2526"/>
    <col width="8.7109375" customWidth="1" min="2527" max="2527"/>
    <col width="30.7109375" customWidth="1" min="2528" max="2529"/>
    <col width="8.42578125" customWidth="1" min="2530" max="2530"/>
    <col width="8.7109375" customWidth="1" min="2531" max="2531"/>
    <col width="30.7109375" customWidth="1" min="2532" max="2533"/>
    <col width="8.42578125" customWidth="1" min="2534" max="2534"/>
    <col width="8.7109375" customWidth="1" min="2535" max="2535"/>
    <col width="30.7109375" customWidth="1" min="2536" max="2537"/>
    <col width="8.42578125" customWidth="1" min="2538" max="2538"/>
    <col width="8.7109375" customWidth="1" min="2539" max="2539"/>
    <col width="30.7109375" customWidth="1" min="2540" max="2541"/>
    <col width="8.42578125" customWidth="1" min="2542" max="2542"/>
    <col width="8.7109375" customWidth="1" min="2543" max="2543"/>
    <col width="30.7109375" customWidth="1" min="2544" max="2545"/>
    <col width="8.42578125" customWidth="1" min="2546" max="2546"/>
    <col width="8.7109375" customWidth="1" min="2547" max="2547"/>
    <col width="30.7109375" customWidth="1" min="2548" max="2549"/>
    <col width="8.42578125" customWidth="1" min="2550" max="2550"/>
    <col width="8.7109375" customWidth="1" min="2551" max="2551"/>
    <col width="30.7109375" customWidth="1" min="2552" max="2553"/>
    <col width="8.42578125" customWidth="1" min="2554" max="2554"/>
    <col width="8.7109375" customWidth="1" min="2555" max="2555"/>
    <col width="30.7109375" customWidth="1" min="2556" max="2557"/>
    <col width="8.42578125" customWidth="1" min="2558" max="2558"/>
    <col width="8.7109375" customWidth="1" min="2559" max="2559"/>
    <col width="30.7109375" customWidth="1" min="2560" max="2561"/>
    <col width="8.42578125" customWidth="1" min="2562" max="2562"/>
    <col width="8.7109375" customWidth="1" min="2563" max="2563"/>
    <col width="30.7109375" customWidth="1" min="2564" max="2565"/>
    <col width="8.42578125" customWidth="1" min="2566" max="2566"/>
    <col width="8.7109375" customWidth="1" min="2567" max="2567"/>
    <col width="8.42578125" customWidth="1" min="2568" max="2568"/>
    <col width="8.7109375" customWidth="1" min="2569" max="2569"/>
    <col width="8.42578125" customWidth="1" min="2570" max="2570"/>
    <col width="8.7109375" customWidth="1" min="2571" max="2571"/>
    <col width="8.42578125" customWidth="1" min="2572" max="2572"/>
    <col width="8.7109375" customWidth="1" min="2573" max="2573"/>
    <col width="8.42578125" customWidth="1" min="2574" max="2574"/>
    <col width="8.7109375" customWidth="1" min="2575" max="2575"/>
    <col width="8.42578125" customWidth="1" min="2576" max="2576"/>
    <col width="8.7109375" customWidth="1" min="2577" max="2577"/>
    <col width="8.42578125" customWidth="1" min="2578" max="2578"/>
    <col width="8.7109375" customWidth="1" min="2579" max="2579"/>
    <col width="8.42578125" customWidth="1" min="2580" max="2580"/>
    <col width="8.7109375" customWidth="1" min="2581" max="2581"/>
    <col width="8.42578125" customWidth="1" min="2582" max="2582"/>
    <col width="8.7109375" customWidth="1" min="2583" max="2583"/>
    <col width="30.7109375" customWidth="1" min="2584" max="2584"/>
    <col width="8.42578125" customWidth="1" min="2585" max="2585"/>
    <col width="8.7109375" customWidth="1" min="2586" max="2586"/>
    <col width="30.7109375" customWidth="1" min="2587" max="2587"/>
    <col width="8.42578125" customWidth="1" min="2588" max="2588"/>
    <col width="8.7109375" customWidth="1" min="2589" max="2589"/>
    <col width="30.7109375" customWidth="1" min="2590" max="2590"/>
    <col width="8.42578125" customWidth="1" min="2591" max="2591"/>
    <col width="8.7109375" customWidth="1" min="2592" max="2592"/>
    <col width="30.7109375" customWidth="1" min="2593" max="2593"/>
    <col width="8.42578125" customWidth="1" min="2594" max="2594"/>
    <col width="8.7109375" customWidth="1" min="2595" max="2595"/>
    <col width="30.7109375" customWidth="1" min="2596" max="2596"/>
    <col width="8.42578125" customWidth="1" min="2597" max="2597"/>
    <col width="8.7109375" customWidth="1" min="2598" max="2598"/>
    <col width="30.7109375" customWidth="1" min="2599" max="2599"/>
    <col width="8.42578125" customWidth="1" min="2600" max="2600"/>
    <col width="8.7109375" customWidth="1" min="2601" max="2601"/>
    <col width="30.7109375" customWidth="1" min="2602" max="2602"/>
    <col width="8.42578125" customWidth="1" min="2603" max="2603"/>
    <col width="8.7109375" customWidth="1" min="2604" max="2604"/>
    <col width="30.7109375" customWidth="1" min="2605" max="2605"/>
    <col width="8.42578125" customWidth="1" min="2606" max="2606"/>
    <col width="8.7109375" customWidth="1" min="2607" max="2607"/>
    <col width="30.7109375" customWidth="1" min="2608" max="2608"/>
    <col width="8.42578125" customWidth="1" min="2609" max="2609"/>
    <col width="8.7109375" customWidth="1" min="2610" max="2610"/>
    <col width="30.7109375" customWidth="1" min="2611" max="2611"/>
    <col width="8.42578125" customWidth="1" min="2612" max="2612"/>
    <col width="8.7109375" customWidth="1" min="2613" max="2613"/>
    <col width="30.7109375" customWidth="1" min="2614" max="2614"/>
    <col width="8.42578125" customWidth="1" min="2615" max="2615"/>
    <col width="8.7109375" customWidth="1" min="2616" max="2616"/>
    <col width="30.7109375" customWidth="1" min="2617" max="2617"/>
    <col width="8.42578125" customWidth="1" min="2618" max="2618"/>
    <col width="8.7109375" customWidth="1" min="2619" max="2619"/>
    <col width="30.7109375" customWidth="1" min="2620" max="2620"/>
    <col width="8.42578125" customWidth="1" min="2621" max="2621"/>
    <col width="8.7109375" customWidth="1" min="2622" max="2622"/>
    <col width="30.7109375" customWidth="1" min="2623" max="2623"/>
    <col width="8.42578125" customWidth="1" min="2624" max="2624"/>
    <col width="8.7109375" customWidth="1" min="2625" max="2625"/>
    <col width="30.7109375" customWidth="1" min="2626" max="2626"/>
    <col width="8.42578125" customWidth="1" min="2627" max="2627"/>
    <col width="8.7109375" customWidth="1" min="2628" max="2657"/>
    <col width="8.42578125" customWidth="1" min="2658" max="2658"/>
    <col width="8.7109375" customWidth="1" min="2659" max="2659"/>
    <col width="8.42578125" customWidth="1" min="2660" max="2660"/>
    <col width="8.7109375" customWidth="1" min="2661" max="2661"/>
    <col width="8.42578125" customWidth="1" min="2662" max="2662"/>
    <col width="8.7109375" customWidth="1" min="2663" max="2663"/>
    <col width="8.42578125" customWidth="1" min="2664" max="2664"/>
    <col width="8.7109375" customWidth="1" min="2665" max="2665"/>
    <col width="8.42578125" customWidth="1" min="2666" max="2666"/>
    <col width="8.7109375" customWidth="1" min="2667" max="2683"/>
    <col width="8.42578125" customWidth="1" min="2684" max="2684"/>
    <col width="8.7109375" customWidth="1" min="2685" max="2685"/>
    <col width="8.42578125" customWidth="1" min="2686" max="2686"/>
    <col width="8.7109375" customWidth="1" min="2687" max="2687"/>
    <col width="8.42578125" customWidth="1" min="2688" max="2688"/>
    <col width="8.7109375" customWidth="1" min="2689" max="2689"/>
    <col width="8.42578125" customWidth="1" min="2690" max="2690"/>
    <col width="8.7109375" customWidth="1" min="2691" max="2691"/>
    <col width="8.42578125" customWidth="1" min="2692" max="2692"/>
    <col width="8.7109375" customWidth="1" min="2693" max="2693"/>
    <col width="8.42578125" customWidth="1" min="2694" max="2694"/>
    <col width="8.7109375" customWidth="1" min="2695" max="2695"/>
    <col width="8.42578125" customWidth="1" min="2696" max="2696"/>
    <col width="8.7109375" customWidth="1" min="2697" max="2697"/>
    <col width="8.42578125" customWidth="1" min="2698" max="2698"/>
    <col width="8.7109375" customWidth="1" min="2699" max="2699"/>
    <col width="8.42578125" customWidth="1" min="2700" max="2700"/>
    <col width="8.7109375" customWidth="1" min="2701" max="2701"/>
    <col width="8.42578125" customWidth="1" min="2702" max="2702"/>
    <col width="8.7109375" customWidth="1" min="2703" max="2703"/>
    <col width="8.42578125" customWidth="1" min="2704" max="2704"/>
    <col width="8.7109375" customWidth="1" min="2705" max="2712"/>
    <col width="8.42578125" customWidth="1" min="2713" max="2713"/>
    <col width="8.7109375" customWidth="1" min="2714" max="2719"/>
    <col width="8.42578125" customWidth="1" min="2720" max="2720"/>
    <col width="8.7109375" customWidth="1" min="2721" max="2721"/>
    <col width="8.42578125" customWidth="1" min="2722" max="2722"/>
    <col width="8.7109375" customWidth="1" min="2723" max="2723"/>
    <col width="8.42578125" customWidth="1" min="2724" max="2724"/>
    <col width="8.7109375" customWidth="1" min="2725" max="2725"/>
    <col width="8.42578125" customWidth="1" min="2726" max="2726"/>
    <col width="8.7109375" customWidth="1" min="2727" max="2727"/>
    <col width="8.42578125" customWidth="1" min="2728" max="2728"/>
    <col width="8.7109375" customWidth="1" min="2729" max="2729"/>
    <col width="8.42578125" customWidth="1" min="2730" max="2730"/>
    <col width="8.7109375" customWidth="1" min="2731" max="2731"/>
    <col width="8.42578125" customWidth="1" min="2732" max="2732"/>
    <col width="8.7109375" customWidth="1" min="2733" max="2733"/>
    <col width="8.42578125" customWidth="1" min="2734" max="2734"/>
    <col width="8.7109375" customWidth="1" min="2735" max="2735"/>
    <col width="8.42578125" customWidth="1" min="2736" max="2736"/>
    <col width="8.7109375" customWidth="1" min="2737" max="2737"/>
    <col width="8.42578125" customWidth="1" min="2738" max="2738"/>
    <col width="8.7109375" customWidth="1" min="2739" max="2739"/>
    <col width="8.42578125" customWidth="1" min="2740" max="2740"/>
    <col width="8.7109375" customWidth="1" min="2741" max="2741"/>
    <col width="8.42578125" customWidth="1" min="2742" max="2742"/>
    <col width="8.7109375" customWidth="1" min="2743" max="2743"/>
    <col width="8.42578125" customWidth="1" min="2744" max="2744"/>
    <col width="8.7109375" customWidth="1" min="2745" max="2745"/>
    <col width="8.42578125" customWidth="1" min="2746" max="2746"/>
    <col width="8.7109375" customWidth="1" min="2747" max="2747"/>
    <col width="8.42578125" customWidth="1" min="2748" max="2748"/>
    <col width="8.7109375" customWidth="1" min="2749" max="2749"/>
    <col width="8.42578125" customWidth="1" min="2750" max="2750"/>
    <col width="8.7109375" customWidth="1" min="2751" max="2751"/>
    <col width="6.7109375" bestFit="1" customWidth="1" min="2752" max="2752"/>
    <col width="8.7109375" customWidth="1" min="2753" max="2753"/>
    <col width="6.7109375" bestFit="1" customWidth="1" min="2754" max="2754"/>
    <col width="7.7109375" customWidth="1" min="2755" max="2755"/>
    <col width="6.7109375" bestFit="1" customWidth="1" min="2756" max="2756"/>
    <col width="6.7109375" customWidth="1" min="2757" max="2757"/>
    <col width="9.28515625" bestFit="1" customWidth="1" min="2758" max="2759"/>
    <col width="5" bestFit="1" customWidth="1" min="2760" max="2760"/>
    <col width="9.28515625" bestFit="1" customWidth="1" min="2761" max="2761"/>
    <col width="4.28515625" bestFit="1" customWidth="1" min="2762" max="2762"/>
    <col width="6.7109375" bestFit="1" customWidth="1" min="2763" max="2763"/>
    <col width="4.28515625" bestFit="1" customWidth="1" min="2764" max="2764"/>
    <col width="6.7109375" bestFit="1" customWidth="1" min="2765" max="2765"/>
    <col width="4.28515625" bestFit="1" customWidth="1" min="2766" max="2766"/>
    <col width="6.7109375" bestFit="1" customWidth="1" min="2767" max="2767"/>
    <col width="4.28515625" bestFit="1" customWidth="1" min="2768" max="2768"/>
    <col width="6.7109375" bestFit="1" customWidth="1" min="2769" max="2769"/>
    <col width="4.28515625" bestFit="1" customWidth="1" min="2770" max="2770"/>
    <col width="6.7109375" bestFit="1" customWidth="1" min="2771" max="2771"/>
    <col width="4.28515625" bestFit="1" customWidth="1" min="2772" max="2772"/>
    <col width="6.7109375" bestFit="1" customWidth="1" min="2773" max="2773"/>
    <col width="4.28515625" bestFit="1" customWidth="1" min="2774" max="2774"/>
    <col width="6.7109375" bestFit="1" customWidth="1" min="2775" max="2775"/>
    <col width="4.28515625" bestFit="1" customWidth="1" min="2776" max="2777"/>
    <col width="30.7109375" customWidth="1" min="2778" max="2778"/>
    <col width="6.7109375" bestFit="1" customWidth="1" min="2779" max="2779"/>
    <col width="4.28515625" bestFit="1" customWidth="1" min="2780" max="2781"/>
    <col width="6.7109375" bestFit="1" customWidth="1" min="2782" max="2782"/>
    <col width="4.28515625" bestFit="1" customWidth="1" min="2783" max="2788"/>
    <col width="6.7109375" bestFit="1" customWidth="1" min="2789" max="2789"/>
    <col width="4.28515625" bestFit="1" customWidth="1" min="2790" max="2811"/>
    <col width="6.7109375" bestFit="1" customWidth="1" min="2812" max="2812"/>
    <col width="4.28515625" bestFit="1" customWidth="1" min="2813" max="2813"/>
    <col width="6.7109375" bestFit="1" customWidth="1" min="2814" max="2814"/>
    <col width="4.28515625" bestFit="1" customWidth="1" min="2815" max="2817"/>
    <col width="6.7109375" bestFit="1" customWidth="1" min="2818" max="2818"/>
    <col width="4.28515625" bestFit="1" customWidth="1" min="2819" max="2819"/>
    <col width="6.7109375" bestFit="1" customWidth="1" min="2820" max="2820"/>
    <col width="4.28515625" bestFit="1" customWidth="1" min="2821" max="2821"/>
    <col width="6.7109375" bestFit="1" customWidth="1" min="2822" max="2822"/>
    <col width="4.28515625" bestFit="1" customWidth="1" min="2823" max="2823"/>
    <col width="6.7109375" bestFit="1" customWidth="1" min="2824" max="2824"/>
    <col width="4.28515625" bestFit="1" customWidth="1" min="2825" max="2825"/>
    <col width="6.7109375" bestFit="1" customWidth="1" min="2826" max="2826"/>
    <col width="4.28515625" bestFit="1" customWidth="1" min="2827" max="2827"/>
    <col width="6.7109375" bestFit="1" customWidth="1" min="2828" max="2828"/>
    <col width="4.28515625" bestFit="1" customWidth="1" min="2829" max="2829"/>
    <col width="6.7109375" bestFit="1" customWidth="1" min="2830" max="2830"/>
    <col width="4.28515625" bestFit="1" customWidth="1" min="2831" max="2831"/>
    <col width="6.7109375" bestFit="1" customWidth="1" min="2832" max="2832"/>
    <col width="4.28515625" bestFit="1" customWidth="1" min="2833" max="2833"/>
    <col width="30.7109375" customWidth="1" min="2834" max="2834"/>
    <col width="6.7109375" bestFit="1" customWidth="1" min="2835" max="2835"/>
    <col width="4.28515625" bestFit="1" customWidth="1" min="2836" max="2836"/>
    <col width="30.7109375" customWidth="1" min="2837" max="2837"/>
    <col width="6.7109375" bestFit="1" customWidth="1" min="2838" max="2838"/>
    <col width="4.28515625" bestFit="1" customWidth="1" min="2839" max="2839"/>
    <col width="6.7109375" bestFit="1" customWidth="1" min="2840" max="2840"/>
    <col width="4.28515625" bestFit="1" customWidth="1" min="2841" max="2841"/>
    <col width="30.7109375" customWidth="1" min="2842" max="2842"/>
    <col width="6.7109375" bestFit="1" customWidth="1" min="2843" max="2843"/>
    <col width="4.28515625" bestFit="1" customWidth="1" min="2844" max="2844"/>
    <col width="30.7109375" customWidth="1" min="2845" max="2845"/>
    <col width="6.7109375" bestFit="1" customWidth="1" min="2846" max="2846"/>
    <col width="4.28515625" bestFit="1" customWidth="1" min="2847" max="2847"/>
    <col width="30.7109375" customWidth="1" min="2848" max="2848"/>
    <col width="6.7109375" bestFit="1" customWidth="1" min="2849" max="2849"/>
    <col width="4.28515625" bestFit="1" customWidth="1" min="2850" max="2850"/>
    <col width="30.7109375" customWidth="1" min="2851" max="2851"/>
    <col width="6.7109375" bestFit="1" customWidth="1" min="2852" max="2852"/>
    <col width="4.28515625" bestFit="1" customWidth="1" min="2853" max="2853"/>
    <col width="30.7109375" customWidth="1" min="2854" max="2854"/>
    <col width="6.7109375" bestFit="1" customWidth="1" min="2855" max="2855"/>
    <col width="4.28515625" bestFit="1" customWidth="1" min="2856" max="2856"/>
    <col width="30.7109375" customWidth="1" min="2857" max="2857"/>
    <col width="6.7109375" bestFit="1" customWidth="1" min="2858" max="2858"/>
    <col width="4.28515625" bestFit="1" customWidth="1" min="2859" max="2859"/>
    <col width="30.7109375" customWidth="1" min="2860" max="2860"/>
    <col width="6.7109375" bestFit="1" customWidth="1" min="2861" max="2861"/>
    <col width="4.28515625" bestFit="1" customWidth="1" min="2862" max="2862"/>
    <col width="30.7109375" customWidth="1" min="2863" max="2863"/>
    <col width="6.7109375" bestFit="1" customWidth="1" min="2864" max="2864"/>
    <col width="4.28515625" bestFit="1" customWidth="1" min="2865" max="2865"/>
    <col width="6.7109375" bestFit="1" customWidth="1" min="2866" max="2866"/>
    <col width="4.28515625" bestFit="1" customWidth="1" min="2867" max="2867"/>
    <col width="30.7109375" customWidth="1" min="2868" max="2868"/>
    <col width="6.7109375" bestFit="1" customWidth="1" min="2869" max="2869"/>
    <col width="4.28515625" bestFit="1" customWidth="1" min="2870" max="2870"/>
    <col width="30.7109375" customWidth="1" min="2871" max="2872"/>
    <col width="6.7109375" bestFit="1" customWidth="1" min="2873" max="2873"/>
    <col width="4.28515625" bestFit="1" customWidth="1" min="2874" max="2874"/>
    <col width="30.7109375" customWidth="1" min="2875" max="2875"/>
    <col width="6.7109375" bestFit="1" customWidth="1" min="2876" max="2876"/>
    <col width="4.28515625" bestFit="1" customWidth="1" min="2877" max="2877"/>
    <col width="30.7109375" customWidth="1" min="2878" max="2878"/>
    <col width="6.7109375" bestFit="1" customWidth="1" min="2879" max="2879"/>
    <col width="4.28515625" bestFit="1" customWidth="1" min="2880" max="2880"/>
    <col width="30.7109375" customWidth="1" min="2881" max="2881"/>
    <col width="6.7109375" bestFit="1" customWidth="1" min="2882" max="2882"/>
    <col width="4.28515625" bestFit="1" customWidth="1" min="2883" max="2883"/>
    <col width="30.7109375" customWidth="1" min="2884" max="2884"/>
    <col width="6.7109375" bestFit="1" customWidth="1" min="2885" max="2885"/>
    <col width="4.28515625" bestFit="1" customWidth="1" min="2886" max="2886"/>
    <col width="30.7109375" customWidth="1" min="2887" max="2887"/>
    <col width="6.7109375" bestFit="1" customWidth="1" min="2888" max="2888"/>
    <col width="4.28515625" bestFit="1" customWidth="1" min="2889" max="2889"/>
    <col width="30.7109375" customWidth="1" min="2890" max="2890"/>
    <col width="6.7109375" bestFit="1" customWidth="1" min="2891" max="2891"/>
    <col width="4.28515625" bestFit="1" customWidth="1" min="2892" max="2892"/>
    <col width="30.7109375" customWidth="1" min="2893" max="2893"/>
    <col width="6.7109375" bestFit="1" customWidth="1" min="2894" max="2894"/>
    <col width="4.28515625" bestFit="1" customWidth="1" min="2895" max="2895"/>
    <col width="30.7109375" customWidth="1" min="2896" max="2896"/>
    <col width="6.7109375" bestFit="1" customWidth="1" min="2897" max="2897"/>
    <col width="4.28515625" bestFit="1" customWidth="1" min="2898" max="2898"/>
    <col width="30.7109375" customWidth="1" min="2899" max="2899"/>
    <col width="6.7109375" bestFit="1" customWidth="1" min="2900" max="2900"/>
    <col width="4.28515625" bestFit="1" customWidth="1" min="2901" max="2901"/>
    <col width="30.7109375" customWidth="1" min="2902" max="2902"/>
    <col width="6.7109375" bestFit="1" customWidth="1" min="2903" max="2903"/>
    <col width="4.28515625" bestFit="1" customWidth="1" min="2904" max="2904"/>
    <col width="30.7109375" customWidth="1" min="2905" max="2905"/>
    <col width="6.7109375" bestFit="1" customWidth="1" min="2906" max="2906"/>
    <col width="4.28515625" bestFit="1" customWidth="1" min="2907" max="2907"/>
    <col width="30.7109375" customWidth="1" min="2908" max="2908"/>
    <col width="6.7109375" bestFit="1" customWidth="1" min="2909" max="2909"/>
    <col width="4.28515625" bestFit="1" customWidth="1" min="2910" max="2910"/>
    <col width="30.7109375" customWidth="1" min="2911" max="2911"/>
    <col width="6.7109375" bestFit="1" customWidth="1" min="2912" max="2912"/>
    <col width="4.28515625" bestFit="1" customWidth="1" min="2913" max="2913"/>
    <col width="30.7109375" customWidth="1" min="2914" max="2914"/>
    <col width="6.7109375" bestFit="1" customWidth="1" min="2915" max="2915"/>
    <col width="4.28515625" bestFit="1" customWidth="1" min="2916" max="2916"/>
    <col width="6.7109375" bestFit="1" customWidth="1" min="2917" max="2917"/>
    <col width="4.28515625" bestFit="1" customWidth="1" min="2918" max="2918"/>
    <col width="6.7109375" bestFit="1" customWidth="1" min="2919" max="2919"/>
    <col width="4.28515625" bestFit="1" customWidth="1" min="2920" max="2920"/>
    <col width="6.7109375" bestFit="1" customWidth="1" min="2921" max="2921"/>
    <col width="4.28515625" bestFit="1" customWidth="1" min="2922" max="2922"/>
    <col width="6.7109375" bestFit="1" customWidth="1" min="2923" max="2923"/>
    <col width="4.28515625" bestFit="1" customWidth="1" min="2924" max="2924"/>
    <col width="6.7109375" bestFit="1" customWidth="1" min="2925" max="2925"/>
    <col width="4.28515625" bestFit="1" customWidth="1" min="2926" max="2926"/>
    <col width="6.7109375" bestFit="1" customWidth="1" min="2927" max="2927"/>
    <col width="4.28515625" bestFit="1" customWidth="1" min="2928" max="2928"/>
    <col width="6.7109375" bestFit="1" customWidth="1" min="2929" max="2929"/>
    <col width="4.28515625" bestFit="1" customWidth="1" min="2930" max="2930"/>
    <col width="6.7109375" bestFit="1" customWidth="1" min="2931" max="2931"/>
    <col width="4.28515625" bestFit="1" customWidth="1" min="2932" max="2932"/>
    <col width="6.7109375" bestFit="1" customWidth="1" min="2933" max="2933"/>
    <col width="4.28515625" bestFit="1" customWidth="1" min="2934" max="2934"/>
    <col width="6.7109375" bestFit="1" customWidth="1" min="2935" max="2935"/>
    <col width="4.28515625" bestFit="1" customWidth="1" min="2936" max="2936"/>
    <col width="6.7109375" bestFit="1" customWidth="1" min="2937" max="2937"/>
    <col width="4.28515625" bestFit="1" customWidth="1" min="2938" max="2938"/>
    <col width="6.7109375" bestFit="1" customWidth="1" min="2939" max="2939"/>
    <col width="4.28515625" bestFit="1" customWidth="1" min="2940" max="2940"/>
    <col width="6.7109375" bestFit="1" customWidth="1" min="2941" max="2941"/>
    <col width="4.28515625" bestFit="1" customWidth="1" min="2942" max="2942"/>
    <col width="6.7109375" bestFit="1" customWidth="1" min="2943" max="2943"/>
    <col width="4.28515625" bestFit="1" customWidth="1" min="2944" max="2944"/>
    <col width="6.7109375" bestFit="1" customWidth="1" min="2945" max="2945"/>
    <col width="4.28515625" bestFit="1" customWidth="1" min="2946" max="2946"/>
    <col width="6.7109375" bestFit="1" customWidth="1" min="2947" max="2947"/>
    <col width="4.28515625" bestFit="1" customWidth="1" min="2948" max="2948"/>
    <col width="6.7109375" bestFit="1" customWidth="1" min="2949" max="2949"/>
    <col width="4.28515625" bestFit="1" customWidth="1" min="2950" max="2950"/>
    <col width="6.7109375" bestFit="1" customWidth="1" min="2951" max="2951"/>
    <col width="4.28515625" bestFit="1" customWidth="1" min="2952" max="2952"/>
    <col width="6.7109375" bestFit="1" customWidth="1" min="2953" max="2953"/>
    <col width="4.28515625" bestFit="1" customWidth="1" min="2954" max="2954"/>
    <col width="6.7109375" bestFit="1" customWidth="1" min="2955" max="2955"/>
    <col width="4.28515625" bestFit="1" customWidth="1" min="2956" max="2956"/>
    <col width="6.7109375" bestFit="1" customWidth="1" min="2957" max="2957"/>
    <col width="4.28515625" bestFit="1" customWidth="1" min="2958" max="2958"/>
    <col width="6.7109375" bestFit="1" customWidth="1" min="2959" max="2959"/>
    <col width="4.28515625" bestFit="1" customWidth="1" min="2960" max="2960"/>
    <col width="6.7109375" bestFit="1" customWidth="1" min="2961" max="2961"/>
    <col width="4.28515625" bestFit="1" customWidth="1" min="2962" max="2962"/>
    <col width="6.7109375" bestFit="1" customWidth="1" min="2963" max="2963"/>
    <col width="4.28515625" bestFit="1" customWidth="1" min="2964" max="2964"/>
    <col width="6.7109375" bestFit="1" customWidth="1" min="2965" max="2965"/>
    <col width="4.28515625" bestFit="1" customWidth="1" min="2966" max="2966"/>
    <col width="6.7109375" bestFit="1" customWidth="1" min="2967" max="2967"/>
    <col width="4.28515625" bestFit="1" customWidth="1" min="2968" max="2968"/>
    <col width="6.7109375" bestFit="1" customWidth="1" min="2969" max="2969"/>
    <col width="4.28515625" bestFit="1" customWidth="1" min="2970" max="2970"/>
    <col width="6.7109375" bestFit="1" customWidth="1" min="2971" max="2971"/>
    <col width="4.28515625" bestFit="1" customWidth="1" min="2972" max="2972"/>
    <col width="6.7109375" bestFit="1" customWidth="1" min="2973" max="2973"/>
    <col width="4.28515625" bestFit="1" customWidth="1" min="2974" max="2974"/>
    <col width="6.7109375" bestFit="1" customWidth="1" min="2975" max="2975"/>
    <col width="4.28515625" bestFit="1" customWidth="1" min="2976" max="2976"/>
    <col width="6.7109375" bestFit="1" customWidth="1" min="2977" max="2977"/>
    <col width="4.28515625" bestFit="1" customWidth="1" min="2978" max="2978"/>
    <col width="6.7109375" bestFit="1" customWidth="1" min="2979" max="2979"/>
    <col width="4.28515625" bestFit="1" customWidth="1" min="2980" max="2980"/>
    <col width="6.7109375" bestFit="1" customWidth="1" min="2981" max="2981"/>
    <col width="4.28515625" bestFit="1" customWidth="1" min="2982" max="2982"/>
    <col width="6.7109375" bestFit="1" customWidth="1" min="2983" max="2983"/>
    <col width="4.28515625" bestFit="1" customWidth="1" min="2984" max="2984"/>
    <col width="6.7109375" bestFit="1" customWidth="1" min="2985" max="2985"/>
    <col width="4.28515625" bestFit="1" customWidth="1" min="2986" max="2986"/>
    <col width="6.7109375" bestFit="1" customWidth="1" min="2987" max="2987"/>
    <col width="4.28515625" bestFit="1" customWidth="1" min="2988" max="2988"/>
    <col width="6.7109375" bestFit="1" customWidth="1" min="2989" max="2989"/>
    <col width="4.28515625" bestFit="1" customWidth="1" min="2990" max="2990"/>
    <col width="6.7109375" bestFit="1" customWidth="1" min="2991" max="2991"/>
    <col width="4.28515625" bestFit="1" customWidth="1" min="2992" max="2992"/>
    <col width="6.7109375" bestFit="1" customWidth="1" min="2993" max="2993"/>
    <col width="4.28515625" bestFit="1" customWidth="1" min="2994" max="2994"/>
    <col width="6.7109375" bestFit="1" customWidth="1" min="2995" max="2995"/>
    <col width="4.28515625" bestFit="1" customWidth="1" min="2996" max="2996"/>
    <col width="6.7109375" bestFit="1" customWidth="1" min="2997" max="2997"/>
    <col width="4.28515625" bestFit="1" customWidth="1" min="2998" max="2998"/>
    <col width="6.7109375" bestFit="1" customWidth="1" min="2999" max="2999"/>
    <col width="4.28515625" bestFit="1" customWidth="1" min="3000" max="3000"/>
    <col width="6.7109375" bestFit="1" customWidth="1" min="3001" max="3001"/>
    <col width="4.28515625" bestFit="1" customWidth="1" min="3002" max="3002"/>
    <col width="6.7109375" bestFit="1" customWidth="1" min="3003" max="3003"/>
    <col width="4.28515625" bestFit="1" customWidth="1" min="3004" max="3004"/>
    <col width="6.7109375" bestFit="1" customWidth="1" min="3005" max="3005"/>
    <col width="4.28515625" bestFit="1" customWidth="1" min="3006" max="3006"/>
    <col width="6.7109375" bestFit="1" customWidth="1" min="3007" max="3007"/>
    <col width="4.28515625" bestFit="1" customWidth="1" min="3008" max="3008"/>
    <col width="6.7109375" bestFit="1" customWidth="1" min="3009" max="3009"/>
    <col width="4.28515625" bestFit="1" customWidth="1" min="3010" max="3010"/>
    <col width="6.7109375" bestFit="1" customWidth="1" min="3011" max="3011"/>
    <col width="4.28515625" bestFit="1" customWidth="1" min="3012" max="3012"/>
    <col width="6.7109375" bestFit="1" customWidth="1" min="3013" max="3013"/>
    <col width="4.28515625" bestFit="1" customWidth="1" min="3014" max="3014"/>
    <col width="6.7109375" bestFit="1" customWidth="1" min="3015" max="3015"/>
    <col width="4.28515625" bestFit="1" customWidth="1" min="3016" max="3016"/>
    <col width="6.7109375" bestFit="1" customWidth="1" min="3017" max="3017"/>
    <col width="4.28515625" bestFit="1" customWidth="1" min="3018" max="3018"/>
    <col width="6.7109375" bestFit="1" customWidth="1" min="3019" max="3019"/>
    <col width="4.28515625" bestFit="1" customWidth="1" min="3020" max="3020"/>
    <col width="6.7109375" bestFit="1" customWidth="1" min="3021" max="3021"/>
    <col width="4.28515625" bestFit="1" customWidth="1" min="3022" max="3022"/>
    <col width="6.7109375" bestFit="1" customWidth="1" min="3023" max="3023"/>
    <col width="4.28515625" bestFit="1" customWidth="1" min="3024" max="3024"/>
    <col width="6.7109375" bestFit="1" customWidth="1" min="3025" max="3025"/>
    <col width="4.28515625" bestFit="1" customWidth="1" min="3026" max="3026"/>
    <col width="6.7109375" bestFit="1" customWidth="1" min="3027" max="3027"/>
    <col width="4.28515625" bestFit="1" customWidth="1" min="3028" max="3028"/>
    <col width="6.7109375" bestFit="1" customWidth="1" min="3029" max="3029"/>
    <col width="4.28515625" bestFit="1" customWidth="1" min="3030" max="3030"/>
    <col width="6.7109375" bestFit="1" customWidth="1" min="3031" max="3031"/>
    <col width="4.28515625" bestFit="1" customWidth="1" min="3032" max="3032"/>
    <col width="6.7109375" bestFit="1" customWidth="1" min="3033" max="3033"/>
    <col width="4.28515625" bestFit="1" customWidth="1" min="3034" max="3034"/>
    <col width="6.7109375" bestFit="1" customWidth="1" min="3035" max="3035"/>
    <col width="4.28515625" bestFit="1" customWidth="1" min="3036" max="3036"/>
    <col width="6.7109375" bestFit="1" customWidth="1" min="3037" max="3037"/>
    <col width="4.28515625" bestFit="1" customWidth="1" min="3038" max="3038"/>
    <col width="6.7109375" bestFit="1" customWidth="1" min="3039" max="3039"/>
    <col width="4.28515625" bestFit="1" customWidth="1" min="3040" max="3040"/>
    <col width="6.7109375" bestFit="1" customWidth="1" min="3041" max="3041"/>
    <col width="4.28515625" bestFit="1" customWidth="1" min="3042" max="3042"/>
    <col width="6.7109375" bestFit="1" customWidth="1" min="3043" max="3043"/>
    <col width="4.28515625" bestFit="1" customWidth="1" min="3044" max="3044"/>
    <col width="6.7109375" bestFit="1" customWidth="1" min="3045" max="3045"/>
    <col width="4.28515625" bestFit="1" customWidth="1" min="3046" max="3046"/>
    <col width="6.7109375" bestFit="1" customWidth="1" min="3047" max="3047"/>
    <col width="4.28515625" bestFit="1" customWidth="1" min="3048" max="3048"/>
    <col width="6.7109375" bestFit="1" customWidth="1" min="3049" max="3049"/>
    <col width="4.28515625" bestFit="1" customWidth="1" min="3050" max="3050"/>
    <col width="6.7109375" bestFit="1" customWidth="1" min="3051" max="3051"/>
    <col width="4.28515625" bestFit="1" customWidth="1" min="3052" max="3052"/>
    <col width="6.7109375" bestFit="1" customWidth="1" min="3053" max="3053"/>
    <col width="4.28515625" bestFit="1" customWidth="1" min="3054" max="3054"/>
    <col width="6.7109375" bestFit="1" customWidth="1" min="3055" max="3055"/>
    <col width="4.28515625" bestFit="1" customWidth="1" min="3056" max="3056"/>
    <col width="6.7109375" bestFit="1" customWidth="1" min="3057" max="3057"/>
    <col width="4.28515625" bestFit="1" customWidth="1" min="3058" max="3058"/>
    <col width="6.7109375" bestFit="1" customWidth="1" min="3059" max="3059"/>
    <col width="4.28515625" bestFit="1" customWidth="1" min="3060" max="3060"/>
    <col width="6.7109375" bestFit="1" customWidth="1" min="3061" max="3061"/>
    <col width="4.28515625" bestFit="1" customWidth="1" min="3062" max="3062"/>
    <col width="6.7109375" bestFit="1" customWidth="1" min="3063" max="3063"/>
    <col width="4.28515625" bestFit="1" customWidth="1" min="3064" max="3064"/>
    <col width="6.7109375" bestFit="1" customWidth="1" min="3065" max="3065"/>
    <col width="4.28515625" bestFit="1" customWidth="1" min="3066" max="3066"/>
    <col width="6.7109375" bestFit="1" customWidth="1" min="3067" max="3067"/>
    <col width="4.28515625" bestFit="1" customWidth="1" min="3068" max="3068"/>
    <col width="6.7109375" bestFit="1" customWidth="1" min="3069" max="3069"/>
    <col width="4.28515625" bestFit="1" customWidth="1" min="3070" max="3070"/>
    <col width="6.7109375" bestFit="1" customWidth="1" min="3071" max="3071"/>
    <col width="4.28515625" bestFit="1" customWidth="1" min="3072" max="3072"/>
    <col width="6.7109375" bestFit="1" customWidth="1" min="3073" max="3073"/>
    <col width="4.28515625" bestFit="1" customWidth="1" min="3074" max="3074"/>
    <col width="6.7109375" bestFit="1" customWidth="1" min="3075" max="3075"/>
    <col width="4.28515625" bestFit="1" customWidth="1" min="3076" max="3076"/>
    <col width="6.7109375" bestFit="1" customWidth="1" min="3077" max="3077"/>
    <col width="4.28515625" bestFit="1" customWidth="1" min="3078" max="3078"/>
    <col width="6.7109375" bestFit="1" customWidth="1" min="3079" max="3079"/>
    <col width="4.28515625" bestFit="1" customWidth="1" min="3080" max="3080"/>
    <col width="6.7109375" bestFit="1" customWidth="1" min="3081" max="3081"/>
    <col width="4.28515625" bestFit="1" customWidth="1" min="3082" max="3082"/>
    <col width="6.7109375" bestFit="1" customWidth="1" min="3083" max="3083"/>
    <col width="4.28515625" bestFit="1" customWidth="1" min="3084" max="3084"/>
    <col width="6.7109375" bestFit="1" customWidth="1" min="3085" max="3085"/>
    <col width="4.28515625" bestFit="1" customWidth="1" min="3086" max="3086"/>
    <col width="6.7109375" bestFit="1" customWidth="1" min="3087" max="3087"/>
    <col width="4.28515625" bestFit="1" customWidth="1" min="3088" max="3088"/>
    <col width="6.7109375" bestFit="1" customWidth="1" min="3089" max="3089"/>
    <col width="4.28515625" bestFit="1" customWidth="1" min="3090" max="3090"/>
    <col width="6.7109375" bestFit="1" customWidth="1" min="3091" max="3091"/>
    <col width="4.28515625" bestFit="1" customWidth="1" min="3092" max="3092"/>
    <col width="6.7109375" bestFit="1" customWidth="1" min="3093" max="3093"/>
    <col width="4.28515625" bestFit="1" customWidth="1" min="3094" max="3094"/>
    <col width="6.7109375" bestFit="1" customWidth="1" min="3095" max="3095"/>
    <col width="4.28515625" bestFit="1" customWidth="1" min="3096" max="3096"/>
    <col width="6.7109375" bestFit="1" customWidth="1" min="3097" max="3097"/>
    <col width="4.28515625" bestFit="1" customWidth="1" min="3098" max="3098"/>
    <col width="6.7109375" bestFit="1" customWidth="1" min="3099" max="3099"/>
    <col width="4.28515625" bestFit="1" customWidth="1" min="3100" max="3100"/>
    <col width="6.7109375" bestFit="1" customWidth="1" min="3101" max="3101"/>
    <col width="4.28515625" bestFit="1" customWidth="1" min="3102" max="3102"/>
    <col width="6.7109375" bestFit="1" customWidth="1" min="3103" max="3103"/>
    <col width="4.28515625" bestFit="1" customWidth="1" min="3104" max="3104"/>
    <col width="6.7109375" bestFit="1" customWidth="1" min="3105" max="3105"/>
    <col width="4.28515625" bestFit="1" customWidth="1" min="3106" max="3106"/>
    <col width="6.7109375" bestFit="1" customWidth="1" min="3107" max="3107"/>
    <col width="4.28515625" bestFit="1" customWidth="1" min="3108" max="3108"/>
    <col width="6.7109375" bestFit="1" customWidth="1" min="3109" max="3109"/>
    <col width="4.28515625" bestFit="1" customWidth="1" min="3110" max="3110"/>
    <col width="6.7109375" bestFit="1" customWidth="1" min="3111" max="3111"/>
    <col width="4.28515625" bestFit="1" customWidth="1" min="3112" max="3112"/>
    <col width="6.7109375" bestFit="1" customWidth="1" min="3113" max="3113"/>
    <col width="4.28515625" bestFit="1" customWidth="1" min="3114" max="3114"/>
    <col width="6.7109375" bestFit="1" customWidth="1" min="3115" max="3115"/>
    <col width="4.28515625" bestFit="1" customWidth="1" min="3116" max="3116"/>
    <col width="6.7109375" bestFit="1" customWidth="1" min="3117" max="3117"/>
    <col width="4.28515625" bestFit="1" customWidth="1" min="3118" max="3118"/>
    <col width="6.7109375" bestFit="1" customWidth="1" min="3119" max="3119"/>
    <col width="4.28515625" bestFit="1" customWidth="1" min="3120" max="3120"/>
    <col width="6.7109375" bestFit="1" customWidth="1" min="3121" max="3121"/>
    <col width="4.28515625" bestFit="1" customWidth="1" min="3122" max="3122"/>
    <col width="6.7109375" bestFit="1" customWidth="1" min="3123" max="3123"/>
    <col width="4.28515625" bestFit="1" customWidth="1" min="3124" max="3124"/>
    <col width="6.7109375" bestFit="1" customWidth="1" min="3125" max="3125"/>
    <col width="4.28515625" bestFit="1" customWidth="1" min="3126" max="3126"/>
    <col width="6.7109375" bestFit="1" customWidth="1" min="3127" max="3127"/>
    <col width="4.28515625" bestFit="1" customWidth="1" min="3128" max="3128"/>
    <col width="6.7109375" bestFit="1" customWidth="1" min="3129" max="3129"/>
    <col width="4.28515625" bestFit="1" customWidth="1" min="3130" max="3130"/>
    <col width="6.7109375" bestFit="1" customWidth="1" min="3131" max="3131"/>
    <col width="4.28515625" bestFit="1" customWidth="1" min="3132" max="3132"/>
    <col width="6.7109375" bestFit="1" customWidth="1" min="3133" max="3133"/>
    <col width="4.28515625" bestFit="1" customWidth="1" min="3134" max="3134"/>
    <col width="6.7109375" bestFit="1" customWidth="1" min="3135" max="3135"/>
    <col width="4.28515625" bestFit="1" customWidth="1" min="3136" max="3136"/>
    <col width="6.7109375" bestFit="1" customWidth="1" min="3137" max="3137"/>
    <col width="4.28515625" bestFit="1" customWidth="1" min="3138" max="3138"/>
    <col width="6.7109375" bestFit="1" customWidth="1" min="3139" max="3139"/>
    <col width="4.28515625" bestFit="1" customWidth="1" min="3140" max="3140"/>
    <col width="6.7109375" bestFit="1" customWidth="1" min="3141" max="3141"/>
    <col width="4.28515625" bestFit="1" customWidth="1" min="3142" max="3142"/>
    <col width="6.7109375" bestFit="1" customWidth="1" min="3143" max="3143"/>
    <col width="4.28515625" bestFit="1" customWidth="1" min="3144" max="3144"/>
    <col width="6.7109375" bestFit="1" customWidth="1" min="3145" max="3145"/>
    <col width="4.28515625" bestFit="1" customWidth="1" min="3146" max="3146"/>
    <col width="6.7109375" bestFit="1" customWidth="1" min="3147" max="3147"/>
    <col width="4.28515625" bestFit="1" customWidth="1" min="3148" max="3148"/>
    <col width="6.7109375" bestFit="1" customWidth="1" min="3149" max="3149"/>
    <col width="4.28515625" bestFit="1" customWidth="1" min="3150" max="3150"/>
    <col width="6.7109375" bestFit="1" customWidth="1" min="3151" max="3151"/>
    <col width="4.28515625" bestFit="1" customWidth="1" min="3152" max="3152"/>
    <col width="6.7109375" bestFit="1" customWidth="1" min="3153" max="3153"/>
    <col width="4.28515625" bestFit="1" customWidth="1" min="3154" max="3154"/>
    <col width="6.7109375" bestFit="1" customWidth="1" min="3155" max="3155"/>
    <col width="4.28515625" bestFit="1" customWidth="1" min="3156" max="3156"/>
    <col width="6.7109375" bestFit="1" customWidth="1" min="3157" max="3157"/>
    <col width="4.28515625" bestFit="1" customWidth="1" min="3158" max="3158"/>
    <col width="6.7109375" bestFit="1" customWidth="1" min="3159" max="3159"/>
    <col width="4.28515625" bestFit="1" customWidth="1" min="3160" max="3160"/>
    <col width="6.7109375" bestFit="1" customWidth="1" min="3161" max="3161"/>
    <col width="4.28515625" bestFit="1" customWidth="1" min="3162" max="3162"/>
    <col width="6.7109375" bestFit="1" customWidth="1" min="3163" max="3163"/>
    <col width="4.28515625" bestFit="1" customWidth="1" min="3164" max="3164"/>
    <col width="6.7109375" bestFit="1" customWidth="1" min="3165" max="3165"/>
    <col width="4.28515625" bestFit="1" customWidth="1" min="3166" max="3166"/>
    <col width="6.7109375" bestFit="1" customWidth="1" min="3167" max="3167"/>
    <col width="4.28515625" bestFit="1" customWidth="1" min="3168" max="3168"/>
    <col width="6.7109375" bestFit="1" customWidth="1" min="3169" max="3169"/>
    <col width="4.28515625" bestFit="1" customWidth="1" min="3170" max="3170"/>
  </cols>
  <sheetData>
    <row r="1" ht="50.25" customHeight="1" thickBot="1">
      <c r="A1" s="294" t="inlineStr">
        <is>
          <t>TOTAL PERSON-MONTHS</t>
        </is>
      </c>
      <c r="B1" s="329" t="n"/>
      <c r="C1" s="329" t="n"/>
      <c r="D1" s="329" t="n"/>
      <c r="E1" s="329" t="n"/>
      <c r="F1" s="329" t="n"/>
      <c r="G1" s="329" t="n"/>
      <c r="H1" s="329" t="n"/>
      <c r="I1" s="329" t="n"/>
      <c r="J1" s="329" t="n"/>
    </row>
    <row r="2" ht="51" customHeight="1">
      <c r="A2" s="162" t="inlineStr">
        <is>
          <t>BENEFICIARIES \ WORK PACKAGES</t>
        </is>
      </c>
      <c r="B2" s="269" t="inlineStr">
        <is>
          <t>WP1_x000D_
Management, IP and Innovation Management</t>
        </is>
      </c>
      <c r="C2" s="269" t="inlineStr">
        <is>
          <t>WP2_x000D_
Site Characterisation and Demonstrator Engineering</t>
        </is>
      </c>
      <c r="D2" s="269" t="inlineStr">
        <is>
          <t>WP3_x000D_
Integrated Design Verification and Monitoring Specification</t>
        </is>
      </c>
      <c r="E2" s="269" t="inlineStr">
        <is>
          <t>WP4_x000D_
Performance, Durability and Model Validation</t>
        </is>
      </c>
      <c r="F2" s="269" t="inlineStr">
        <is>
          <t>WP5_x000D_
Manufacturing, Instrumentation and Factory Acceptance</t>
        </is>
      </c>
      <c r="G2" s="269" t="inlineStr">
        <is>
          <t>WP6_x000D_
Deployment, Operation and Validation Campaign</t>
        </is>
      </c>
      <c r="H2" s="269" t="inlineStr">
        <is>
          <t>WP7_x000D_
Market Validation, Exploitation and Investment Readiness</t>
        </is>
      </c>
      <c r="I2" s="331" t="inlineStr">
        <is>
          <t>Total</t>
        </is>
      </c>
      <c r="J2" s="164" t="inlineStr">
        <is>
          <t>Pct %</t>
        </is>
      </c>
    </row>
    <row r="3" ht="15" customHeight="1">
      <c r="A3" s="267" t="inlineStr">
        <is>
          <t>BE1: SINTEF AS</t>
        </is>
      </c>
      <c r="B3" s="336">
        <f>SUM('BE1'!B9:B16)</f>
        <v/>
      </c>
      <c r="C3" s="336">
        <f>SUM('BE1'!B50:B57)</f>
        <v/>
      </c>
      <c r="D3" s="336">
        <f>SUM('BE1'!B91:B98)</f>
        <v/>
      </c>
      <c r="E3" s="336">
        <f>SUM('BE1'!B132:B139)</f>
        <v/>
      </c>
      <c r="F3" s="336">
        <f>SUM('BE1'!B173:B180)</f>
        <v/>
      </c>
      <c r="G3" s="336">
        <f>SUM('BE1'!B214:B221)</f>
        <v/>
      </c>
      <c r="H3" s="336">
        <f>SUM('BE1'!B255:B262)</f>
        <v/>
      </c>
      <c r="I3" s="333">
        <f>SUM(B3:H3)</f>
        <v/>
      </c>
      <c r="J3" s="144">
        <f>IF(I$7&gt;0,I3/I$7," ")</f>
        <v/>
      </c>
    </row>
    <row r="4" ht="15" customHeight="1">
      <c r="A4" s="267" t="inlineStr">
        <is>
          <t>BE2: Sunlit Sea AS</t>
        </is>
      </c>
      <c r="B4" s="336">
        <f>SUM('BE2'!B9:B16)</f>
        <v/>
      </c>
      <c r="C4" s="336">
        <f>SUM('BE2'!B50:B57)</f>
        <v/>
      </c>
      <c r="D4" s="336">
        <f>SUM('BE2'!B91:B98)</f>
        <v/>
      </c>
      <c r="E4" s="336">
        <f>SUM('BE2'!B132:B139)</f>
        <v/>
      </c>
      <c r="F4" s="336">
        <f>SUM('BE2'!B173:B180)</f>
        <v/>
      </c>
      <c r="G4" s="336">
        <f>SUM('BE2'!B214:B221)</f>
        <v/>
      </c>
      <c r="H4" s="336">
        <f>SUM('BE2'!B255:B262)</f>
        <v/>
      </c>
      <c r="I4" s="333">
        <f>SUM(B4:H4)</f>
        <v/>
      </c>
      <c r="J4" s="144">
        <f>IF(I$7&gt;0,I4/I$7," ")</f>
        <v/>
      </c>
    </row>
    <row r="5" ht="15" customHeight="1">
      <c r="A5" s="267" t="inlineStr">
        <is>
          <t>BE3: Clement Gmbh</t>
        </is>
      </c>
      <c r="B5" s="336">
        <f>SUM('BE3'!B9:B16)</f>
        <v/>
      </c>
      <c r="C5" s="336">
        <f>SUM('BE3'!B50:B57)</f>
        <v/>
      </c>
      <c r="D5" s="336">
        <f>SUM('BE3'!B91:B98)</f>
        <v/>
      </c>
      <c r="E5" s="336">
        <f>SUM('BE3'!B132:B139)</f>
        <v/>
      </c>
      <c r="F5" s="336">
        <f>SUM('BE3'!B173:B180)</f>
        <v/>
      </c>
      <c r="G5" s="336">
        <f>SUM('BE3'!B214:B221)</f>
        <v/>
      </c>
      <c r="H5" s="336">
        <f>SUM('BE3'!B255:B262)</f>
        <v/>
      </c>
      <c r="I5" s="333">
        <f>SUM(B5:H5)</f>
        <v/>
      </c>
      <c r="J5" s="144">
        <f>IF(I$7&gt;0,I5/I$7," ")</f>
        <v/>
      </c>
    </row>
    <row r="6" ht="15" customHeight="1">
      <c r="A6" s="267" t="inlineStr">
        <is>
          <t>BE4: EDP</t>
        </is>
      </c>
      <c r="B6" s="336">
        <f>SUM('BE4'!B9:B16)</f>
        <v/>
      </c>
      <c r="C6" s="336">
        <f>SUM('BE4'!B50:B57)</f>
        <v/>
      </c>
      <c r="D6" s="336">
        <f>SUM('BE4'!B91:B98)</f>
        <v/>
      </c>
      <c r="E6" s="336">
        <f>SUM('BE4'!B132:B139)</f>
        <v/>
      </c>
      <c r="F6" s="336">
        <f>SUM('BE4'!B173:B180)</f>
        <v/>
      </c>
      <c r="G6" s="336">
        <f>SUM('BE4'!B214:B221)</f>
        <v/>
      </c>
      <c r="H6" s="336">
        <f>SUM('BE4'!B255:B262)</f>
        <v/>
      </c>
      <c r="I6" s="333">
        <f>SUM(B6:H6)</f>
        <v/>
      </c>
      <c r="J6" s="144">
        <f>IF(I$7&gt;0,I6/I$7," ")</f>
        <v/>
      </c>
    </row>
    <row r="7" ht="15" customHeight="1">
      <c r="A7" s="96" t="inlineStr">
        <is>
          <t xml:space="preserve">Total: </t>
        </is>
      </c>
      <c r="B7" s="334">
        <f>SUM(B3:B6)</f>
        <v/>
      </c>
      <c r="C7" s="334">
        <f>SUM(C3:C6)</f>
        <v/>
      </c>
      <c r="D7" s="334">
        <f>SUM(D3:D6)</f>
        <v/>
      </c>
      <c r="E7" s="334">
        <f>SUM(E3:E6)</f>
        <v/>
      </c>
      <c r="F7" s="334">
        <f>SUM(F3:F6)</f>
        <v/>
      </c>
      <c r="G7" s="334">
        <f>SUM(G3:G6)</f>
        <v/>
      </c>
      <c r="H7" s="334">
        <f>SUM(H3:H6)</f>
        <v/>
      </c>
      <c r="I7" s="335">
        <f>SUM(B3:H6)</f>
        <v/>
      </c>
      <c r="J7" s="144">
        <f>IF(I$7&gt;0,I7/I$7," ")</f>
        <v/>
      </c>
    </row>
    <row r="8" ht="15" customHeight="1">
      <c r="A8" s="72" t="inlineStr">
        <is>
          <t xml:space="preserve">Percentage: </t>
        </is>
      </c>
      <c r="B8" s="144">
        <f>IF($I7&gt;0,B7/$I7," ")</f>
        <v/>
      </c>
      <c r="C8" s="144">
        <f>IF($I7&gt;0,C7/$I7," ")</f>
        <v/>
      </c>
      <c r="D8" s="144">
        <f>IF($I7&gt;0,D7/$I7," ")</f>
        <v/>
      </c>
      <c r="E8" s="144">
        <f>IF($I7&gt;0,E7/$I7," ")</f>
        <v/>
      </c>
      <c r="F8" s="144">
        <f>IF($I7&gt;0,F7/$I7," ")</f>
        <v/>
      </c>
      <c r="G8" s="144">
        <f>IF($I7&gt;0,G7/$I7," ")</f>
        <v/>
      </c>
      <c r="H8" s="144">
        <f>IF($I7&gt;0,H7/$I7," ")</f>
        <v/>
      </c>
      <c r="I8" s="144">
        <f>IF($I7&gt;0,I7/$I7," ")</f>
        <v/>
      </c>
      <c r="J8" s="97" t="n"/>
    </row>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9.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15" customHeight="1"/>
    <row r="14615" ht="15" customHeight="1"/>
    <row r="14616" ht="15" customHeight="1"/>
    <row r="14617" ht="15" customHeight="1"/>
    <row r="14618" ht="15" customHeight="1"/>
    <row r="14619" ht="15" customHeight="1"/>
    <row r="14620" ht="9.7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row r="15723" ht="15" customHeight="1"/>
    <row r="15724" ht="15" customHeight="1"/>
    <row r="15725" ht="15" customHeight="1"/>
    <row r="15726" ht="15" customHeight="1"/>
    <row r="15727" ht="15" customHeight="1"/>
    <row r="15728" ht="15" customHeight="1"/>
  </sheetData>
  <sheetProtection selectLockedCells="1" selectUnlockedCells="1" algorithmName="SHA-512" sheet="1" objects="1" insertRows="1" insertHyperlinks="1" autoFilter="1" scenarios="1" formatColumns="1" deleteColumns="1" insertColumns="1" pivotTables="1" deleteRows="1" formatCells="1" saltValue="wLAXP0YxLifVBr7Dd9CXqw==" formatRows="1" sort="1" spinCount="100000" hashValue="URwGh4UiKh8JC3OcqVNNj/XPPyqaSmv95yg+WqY2WdgCfmR8+n/gR3Kj/h3vg4x7+0FBjTRU5D/aXU9PcF0tMA=="/>
  <mergeCells count="1">
    <mergeCell ref="A1:J1"/>
  </mergeCells>
  <pageMargins left="0.25" right="0.25" top="0.75" bottom="0.75" header="0.3" footer="0.3"/>
  <pageSetup orientation="landscape" paperSize="9" scale="75" fitToHeight="0"/>
</worksheet>
</file>

<file path=xl/worksheets/sheet8.xml><?xml version="1.0" encoding="utf-8"?>
<worksheet xmlns="http://schemas.openxmlformats.org/spreadsheetml/2006/main">
  <sheetPr codeName="Sheet107">
    <tabColor theme="4" tint="0.7999816888943144"/>
    <outlinePr summaryBelow="1" summaryRight="1"/>
    <pageSetUpPr fitToPage="1"/>
  </sheetPr>
  <dimension ref="A1:P86"/>
  <sheetViews>
    <sheetView zoomScale="80" zoomScaleNormal="80" workbookViewId="0">
      <pane ySplit="3" topLeftCell="A57" activePane="bottomLeft" state="frozenSplit"/>
      <selection pane="bottomLeft" activeCell="A77" sqref="A77"/>
      <selection activeCell="A1" sqref="A1:D1"/>
    </sheetView>
  </sheetViews>
  <sheetFormatPr baseColWidth="8" defaultColWidth="9.28515625" defaultRowHeight="14.45"/>
  <cols>
    <col width="100.7109375" customWidth="1" style="8" min="1" max="1"/>
    <col width="10.28515625" customWidth="1" style="20" min="2" max="2"/>
    <col width="4.5703125" customWidth="1" style="20" min="3" max="3"/>
    <col width="19.5703125" customWidth="1" style="20" min="4" max="4"/>
    <col width="10.28515625" customWidth="1" style="20" min="5" max="5"/>
    <col width="3" customWidth="1" style="20" min="6" max="6"/>
    <col width="15.7109375" customWidth="1" style="20" min="7" max="7"/>
    <col width="1.7109375" customWidth="1" style="20" min="8" max="8"/>
    <col width="18" customWidth="1" style="20" min="9" max="9"/>
    <col width="15.7109375" customWidth="1" style="20" min="10" max="11"/>
    <col width="20.7109375" customWidth="1" style="20" min="12" max="12"/>
    <col width="1.7109375" customWidth="1" style="8" min="13" max="13"/>
    <col width="20.7109375" customWidth="1" style="8" min="14" max="14"/>
    <col width="9.28515625" customWidth="1" style="8" min="15" max="16384"/>
  </cols>
  <sheetData>
    <row r="1" ht="23.45" customHeight="1">
      <c r="A1" s="337" t="inlineStr">
        <is>
          <t>SUM OF ALL BENEFICIARIES (including AFFILIATED ENTITIES) FOR ALL THE WORK PACKAGES</t>
        </is>
      </c>
      <c r="B1" s="338" t="n"/>
      <c r="C1" s="338" t="n"/>
      <c r="D1" s="338" t="n"/>
      <c r="E1" s="338" t="n"/>
      <c r="F1" s="338" t="n"/>
      <c r="G1" s="338" t="n"/>
      <c r="H1" s="338" t="n"/>
      <c r="I1" s="338" t="n"/>
      <c r="J1" s="338" t="n"/>
      <c r="K1" s="338" t="n"/>
      <c r="L1" s="338" t="n"/>
      <c r="M1" s="338" t="n"/>
      <c r="N1" s="339" t="n"/>
    </row>
    <row r="2" ht="30.4" customFormat="1" customHeight="1" s="23">
      <c r="B2" s="299" t="inlineStr">
        <is>
          <t>ALL BENEFICIARIES 
(without affiliated entities)</t>
        </is>
      </c>
      <c r="C2" s="338" t="n"/>
      <c r="D2" s="339" t="n"/>
      <c r="E2" s="299" t="inlineStr">
        <is>
          <t>ALL AFFILIATED ENTITIES</t>
        </is>
      </c>
      <c r="F2" s="338" t="n"/>
      <c r="G2" s="339" t="n"/>
      <c r="H2" s="88" t="n"/>
      <c r="I2" s="299" t="n"/>
      <c r="J2" s="301" t="inlineStr">
        <is>
          <t>ALL BENEFICIARIES 
(with affiliated entities)</t>
        </is>
      </c>
      <c r="K2" s="339" t="n"/>
      <c r="L2" s="21" t="n"/>
      <c r="M2" s="88" t="n"/>
      <c r="N2" s="18" t="n"/>
    </row>
    <row r="3" ht="108" customFormat="1" customHeight="1" s="23">
      <c r="A3" s="19" t="inlineStr">
        <is>
          <t xml:space="preserve"> COST CATEGORY</t>
        </is>
      </c>
      <c r="B3" s="21" t="inlineStr">
        <is>
          <t>ITEMS</t>
        </is>
      </c>
      <c r="C3" s="299" t="inlineStr">
        <is>
          <t>COST PER ITEM</t>
        </is>
      </c>
      <c r="D3" s="21" t="inlineStr">
        <is>
          <t>BE TOTAL COSTS</t>
        </is>
      </c>
      <c r="E3" s="22" t="inlineStr">
        <is>
          <t>ITEMS</t>
        </is>
      </c>
      <c r="F3" s="25" t="inlineStr">
        <is>
          <t>COST PER ITEM</t>
        </is>
      </c>
      <c r="G3" s="22" t="inlineStr">
        <is>
          <t>AE TOTAL COSTS</t>
        </is>
      </c>
      <c r="H3" s="88" t="n"/>
      <c r="I3" s="22" t="n"/>
      <c r="J3" s="299" t="inlineStr">
        <is>
          <t>ITEMS
(TOTAL)</t>
        </is>
      </c>
      <c r="K3" s="299" t="inlineStr">
        <is>
          <t>AVERAGE COST PER ITEM</t>
        </is>
      </c>
      <c r="L3" s="299" t="inlineStr">
        <is>
          <t>BE+TP TOTAL COSTS</t>
        </is>
      </c>
      <c r="M3" s="88" t="n"/>
      <c r="N3" s="18" t="inlineStr">
        <is>
          <t>TOTAL COSTS</t>
        </is>
      </c>
    </row>
    <row r="4">
      <c r="A4" s="209" t="n"/>
      <c r="B4" s="207" t="n"/>
      <c r="C4" s="209" t="n"/>
      <c r="D4" s="208" t="n"/>
      <c r="E4" s="207" t="n"/>
      <c r="F4" s="209" t="n"/>
      <c r="G4" s="208" t="n"/>
      <c r="H4" s="208" t="n"/>
      <c r="I4" s="208" t="n"/>
      <c r="J4" s="208" t="n"/>
      <c r="K4" s="208" t="n"/>
      <c r="L4" s="208" t="n"/>
      <c r="M4" s="209" t="n"/>
      <c r="N4" s="210" t="n"/>
    </row>
    <row r="5" ht="21" customHeight="1">
      <c r="A5" s="300" t="n"/>
      <c r="B5" s="338" t="n"/>
      <c r="C5" s="338" t="n"/>
      <c r="D5" s="338" t="n"/>
      <c r="E5" s="338" t="n"/>
      <c r="F5" s="338" t="n"/>
      <c r="G5" s="338" t="n"/>
      <c r="H5" s="338" t="n"/>
      <c r="I5" s="338" t="n"/>
      <c r="J5" s="338" t="n"/>
      <c r="K5" s="338" t="n"/>
      <c r="L5" s="338" t="n"/>
      <c r="M5" s="338" t="n"/>
      <c r="N5" s="339" t="n"/>
    </row>
    <row r="6" ht="6.95" customHeight="1">
      <c r="B6" s="8" t="n"/>
      <c r="C6" s="8" t="n"/>
      <c r="D6" s="8" t="n"/>
      <c r="E6" s="8" t="n"/>
      <c r="F6" s="8" t="n"/>
      <c r="G6" s="8" t="n"/>
      <c r="H6" s="8" t="n"/>
      <c r="I6" s="8" t="n"/>
      <c r="J6" s="8" t="n"/>
      <c r="K6" s="8" t="n"/>
      <c r="L6" s="8" t="n"/>
    </row>
    <row r="7">
      <c r="A7" s="11" t="inlineStr">
        <is>
          <t>A. DIRECT PERSONNEL COSTS</t>
        </is>
      </c>
      <c r="B7" s="4" t="n"/>
      <c r="C7" s="340" t="n"/>
      <c r="D7" s="341" t="n"/>
      <c r="E7" s="4" t="n"/>
      <c r="F7" s="340" t="n"/>
      <c r="G7" s="341" t="n"/>
      <c r="H7" s="8" t="n"/>
      <c r="I7" s="341" t="n"/>
      <c r="J7" s="341" t="n"/>
      <c r="K7" s="341" t="n"/>
      <c r="L7" s="341" t="n"/>
      <c r="N7" s="341" t="n"/>
    </row>
    <row r="8">
      <c r="A8" s="7" t="inlineStr">
        <is>
          <t>A.1 Employees (or equivalent)</t>
        </is>
      </c>
      <c r="B8" s="89" t="n"/>
      <c r="C8" s="89" t="n"/>
      <c r="D8" s="89" t="n"/>
      <c r="E8" s="89" t="n"/>
      <c r="F8" s="89" t="n"/>
      <c r="G8" s="89" t="n"/>
      <c r="H8" s="8" t="n"/>
      <c r="I8" s="89" t="n"/>
      <c r="J8" s="89" t="n"/>
      <c r="K8" s="89" t="n"/>
      <c r="L8" s="89" t="n"/>
      <c r="N8" s="89" t="n"/>
    </row>
    <row r="9">
      <c r="A9" s="36" t="inlineStr">
        <is>
          <t>SENIOR SCIENTISTS (or equivalent in the private sector)</t>
        </is>
      </c>
      <c r="B9" s="342">
        <f>#REF!+#REF!+#REF!+#REF!+#REF!+#REF!+#REF!+#REF!+#REF!+#REF!</f>
        <v/>
      </c>
      <c r="C9" s="228" t="n"/>
      <c r="D9" s="229">
        <f>#REF!+#REF!+#REF!+#REF!+#REF!+#REF!+#REF!+#REF!+#REF!+#REF!</f>
        <v/>
      </c>
      <c r="E9" s="343">
        <f>#REF!+#REF!+#REF!+#REF!+#REF!+#REF!+#REF!+#REF!+#REF!+#REF!</f>
        <v/>
      </c>
      <c r="F9" s="226" t="n"/>
      <c r="G9" s="225">
        <f>#REF!+#REF!+#REF!+#REF!+#REF!+#REF!+#REF!+#REF!+#REF!+#REF!</f>
        <v/>
      </c>
      <c r="H9" s="8" t="n"/>
      <c r="I9" s="344">
        <f>D9+G9</f>
        <v/>
      </c>
      <c r="J9" s="343">
        <f>E9+B9</f>
        <v/>
      </c>
      <c r="K9" s="225">
        <f>IF(J9&gt;0,L9/J9," ")</f>
        <v/>
      </c>
      <c r="L9" s="225">
        <f>G9+D9</f>
        <v/>
      </c>
      <c r="N9" s="222">
        <f>D9+G9</f>
        <v/>
      </c>
      <c r="P9" s="10" t="n"/>
    </row>
    <row r="10">
      <c r="A10" s="36" t="inlineStr">
        <is>
          <t>JUNIOR SCIENTISTS (or equivalent in the private sector)</t>
        </is>
      </c>
      <c r="B10" s="342">
        <f>#REF!+#REF!+#REF!+#REF!+#REF!+#REF!+#REF!+#REF!+#REF!+#REF!</f>
        <v/>
      </c>
      <c r="C10" s="228" t="n"/>
      <c r="D10" s="229">
        <f>#REF!+#REF!+#REF!+#REF!+#REF!+#REF!+#REF!+#REF!+#REF!+#REF!</f>
        <v/>
      </c>
      <c r="E10" s="343">
        <f>#REF!+#REF!+#REF!+#REF!+#REF!+#REF!+#REF!+#REF!+#REF!+#REF!</f>
        <v/>
      </c>
      <c r="F10" s="226" t="n"/>
      <c r="G10" s="225">
        <f>#REF!+#REF!+#REF!+#REF!+#REF!+#REF!+#REF!+#REF!+#REF!+#REF!</f>
        <v/>
      </c>
      <c r="H10" s="8" t="n"/>
      <c r="I10" s="344">
        <f>D10+G10</f>
        <v/>
      </c>
      <c r="J10" s="343">
        <f>E10+B10</f>
        <v/>
      </c>
      <c r="K10" s="225">
        <f>IF(J10&gt;0,L10/J10," ")</f>
        <v/>
      </c>
      <c r="L10" s="225">
        <f>G10+D10</f>
        <v/>
      </c>
      <c r="N10" s="222">
        <f>D10+G10</f>
        <v/>
      </c>
    </row>
    <row r="11">
      <c r="A11" s="36" t="inlineStr">
        <is>
          <t>TECHNICAL PERSONNEL (or equivalent in the private sector)</t>
        </is>
      </c>
      <c r="B11" s="342">
        <f>#REF!+#REF!+#REF!+#REF!+#REF!+#REF!+#REF!+#REF!+#REF!+#REF!</f>
        <v/>
      </c>
      <c r="C11" s="228" t="n"/>
      <c r="D11" s="229">
        <f>#REF!+#REF!+#REF!+#REF!+#REF!+#REF!+#REF!+#REF!+#REF!+#REF!</f>
        <v/>
      </c>
      <c r="E11" s="343">
        <f>#REF!+#REF!+#REF!+#REF!+#REF!+#REF!+#REF!+#REF!+#REF!+#REF!</f>
        <v/>
      </c>
      <c r="F11" s="226" t="n"/>
      <c r="G11" s="225">
        <f>#REF!+#REF!+#REF!+#REF!+#REF!+#REF!+#REF!+#REF!+#REF!+#REF!</f>
        <v/>
      </c>
      <c r="H11" s="8" t="n"/>
      <c r="I11" s="344">
        <f>D11+G11</f>
        <v/>
      </c>
      <c r="J11" s="343">
        <f>E11+B11</f>
        <v/>
      </c>
      <c r="K11" s="225">
        <f>IF(J11&gt;0,L11/J11," ")</f>
        <v/>
      </c>
      <c r="L11" s="225">
        <f>G11+D11</f>
        <v/>
      </c>
      <c r="N11" s="222">
        <f>D11+G11</f>
        <v/>
      </c>
    </row>
    <row r="12">
      <c r="A12" s="36" t="inlineStr">
        <is>
          <t>ADMINISTRATIVE PERSONNEL (or equivalent in the private sector)</t>
        </is>
      </c>
      <c r="B12" s="342">
        <f>#REF!+#REF!+#REF!+#REF!+#REF!+#REF!+#REF!+#REF!+#REF!+#REF!</f>
        <v/>
      </c>
      <c r="C12" s="228" t="n"/>
      <c r="D12" s="229">
        <f>#REF!+#REF!+#REF!+#REF!+#REF!+#REF!+#REF!+#REF!+#REF!+#REF!</f>
        <v/>
      </c>
      <c r="E12" s="343">
        <f>#REF!+#REF!+#REF!+#REF!+#REF!+#REF!+#REF!+#REF!+#REF!+#REF!</f>
        <v/>
      </c>
      <c r="F12" s="226" t="n"/>
      <c r="G12" s="225">
        <f>#REF!+#REF!+#REF!+#REF!+#REF!+#REF!+#REF!+#REF!+#REF!+#REF!</f>
        <v/>
      </c>
      <c r="H12" s="8" t="n"/>
      <c r="I12" s="344">
        <f>D12+G12</f>
        <v/>
      </c>
      <c r="J12" s="343">
        <f>E12+B12</f>
        <v/>
      </c>
      <c r="K12" s="225">
        <f>IF(J12&gt;0,L12/J12," ")</f>
        <v/>
      </c>
      <c r="L12" s="225">
        <f>G12+D12</f>
        <v/>
      </c>
      <c r="N12" s="222">
        <f>D12+G12</f>
        <v/>
      </c>
    </row>
    <row r="13">
      <c r="A13" s="36" t="inlineStr">
        <is>
          <t>OTHERS</t>
        </is>
      </c>
      <c r="B13" s="342">
        <f>#REF!+#REF!+#REF!+#REF!+#REF!+#REF!+#REF!+#REF!+#REF!+#REF!</f>
        <v/>
      </c>
      <c r="C13" s="228" t="n"/>
      <c r="D13" s="229">
        <f>#REF!+#REF!+#REF!+#REF!+#REF!+#REF!+#REF!+#REF!+#REF!+#REF!</f>
        <v/>
      </c>
      <c r="E13" s="343">
        <f>#REF!+#REF!+#REF!+#REF!+#REF!+#REF!+#REF!+#REF!+#REF!+#REF!</f>
        <v/>
      </c>
      <c r="F13" s="226" t="n"/>
      <c r="G13" s="225">
        <f>#REF!+#REF!+#REF!+#REF!+#REF!+#REF!+#REF!+#REF!+#REF!+#REF!</f>
        <v/>
      </c>
      <c r="H13" s="8" t="n"/>
      <c r="I13" s="344">
        <f>D13+G13</f>
        <v/>
      </c>
      <c r="J13" s="343">
        <f>E13+B13</f>
        <v/>
      </c>
      <c r="K13" s="225">
        <f>IF(J13&gt;0,L13/J13," ")</f>
        <v/>
      </c>
      <c r="L13" s="225">
        <f>G13+D13</f>
        <v/>
      </c>
      <c r="N13" s="222">
        <f>D13+G13</f>
        <v/>
      </c>
    </row>
    <row r="14">
      <c r="A14" s="7" t="inlineStr">
        <is>
          <t>A.2 Natural Persons under direct contract</t>
        </is>
      </c>
      <c r="B14" s="342">
        <f>#REF!+#REF!+#REF!+#REF!+#REF!+#REF!+#REF!+#REF!+#REF!+#REF!</f>
        <v/>
      </c>
      <c r="C14" s="228" t="n"/>
      <c r="D14" s="229">
        <f>#REF!+#REF!+#REF!+#REF!+#REF!+#REF!+#REF!+#REF!+#REF!+#REF!</f>
        <v/>
      </c>
      <c r="E14" s="343">
        <f>#REF!+#REF!+#REF!+#REF!+#REF!+#REF!+#REF!+#REF!+#REF!+#REF!</f>
        <v/>
      </c>
      <c r="F14" s="226" t="n"/>
      <c r="G14" s="225">
        <f>#REF!+#REF!+#REF!+#REF!+#REF!+#REF!+#REF!+#REF!+#REF!+#REF!</f>
        <v/>
      </c>
      <c r="H14" s="8" t="n"/>
      <c r="I14" s="344">
        <f>D14+G14</f>
        <v/>
      </c>
      <c r="J14" s="343">
        <f>E14+B14</f>
        <v/>
      </c>
      <c r="K14" s="225">
        <f>IF(J14&gt;0,L14/J14," ")</f>
        <v/>
      </c>
      <c r="L14" s="225">
        <f>G14+D14</f>
        <v/>
      </c>
      <c r="N14" s="222">
        <f>D14+G14</f>
        <v/>
      </c>
    </row>
    <row r="15">
      <c r="A15" s="7" t="inlineStr">
        <is>
          <t>A.3 Seconded Persons</t>
        </is>
      </c>
      <c r="B15" s="342">
        <f>#REF!+#REF!+#REF!+#REF!+#REF!+#REF!+#REF!+#REF!+#REF!+#REF!</f>
        <v/>
      </c>
      <c r="C15" s="228" t="n"/>
      <c r="D15" s="229">
        <f>#REF!+#REF!+#REF!+#REF!+#REF!+#REF!+#REF!+#REF!+#REF!+#REF!</f>
        <v/>
      </c>
      <c r="E15" s="343">
        <f>#REF!+#REF!+#REF!+#REF!+#REF!+#REF!+#REF!+#REF!+#REF!+#REF!</f>
        <v/>
      </c>
      <c r="F15" s="226" t="n"/>
      <c r="G15" s="225">
        <f>#REF!+#REF!+#REF!+#REF!+#REF!+#REF!+#REF!+#REF!+#REF!+#REF!</f>
        <v/>
      </c>
      <c r="H15" s="8" t="n"/>
      <c r="I15" s="344">
        <f>D15+G15</f>
        <v/>
      </c>
      <c r="J15" s="343">
        <f>E15+B15</f>
        <v/>
      </c>
      <c r="K15" s="225">
        <f>IF(J15&gt;0,L15/J15," ")</f>
        <v/>
      </c>
      <c r="L15" s="225">
        <f>G15+D15</f>
        <v/>
      </c>
      <c r="N15" s="222">
        <f>D15+G15</f>
        <v/>
      </c>
    </row>
    <row r="16">
      <c r="A16" s="7" t="inlineStr">
        <is>
          <t>A.4 SME owners and natural person beneficiaries</t>
        </is>
      </c>
      <c r="B16" s="342">
        <f>#REF!+#REF!+#REF!+#REF!+#REF!+#REF!+#REF!+#REF!+#REF!+#REF!</f>
        <v/>
      </c>
      <c r="C16" s="228" t="n"/>
      <c r="D16" s="229">
        <f>#REF!+#REF!+#REF!+#REF!+#REF!+#REF!+#REF!+#REF!+#REF!+#REF!</f>
        <v/>
      </c>
      <c r="E16" s="343">
        <f>#REF!+#REF!+#REF!+#REF!+#REF!+#REF!+#REF!+#REF!+#REF!+#REF!</f>
        <v/>
      </c>
      <c r="F16" s="226" t="n"/>
      <c r="G16" s="225">
        <f>#REF!+#REF!+#REF!+#REF!+#REF!+#REF!+#REF!+#REF!+#REF!+#REF!</f>
        <v/>
      </c>
      <c r="H16" s="8" t="n"/>
      <c r="I16" s="344">
        <f>D16+G16</f>
        <v/>
      </c>
      <c r="J16" s="343">
        <f>E16+B16</f>
        <v/>
      </c>
      <c r="K16" s="225">
        <f>IF(J16&gt;0,L16/J16," ")</f>
        <v/>
      </c>
      <c r="L16" s="225">
        <f>G16+D16</f>
        <v/>
      </c>
      <c r="N16" s="222">
        <f>D16+G16</f>
        <v/>
      </c>
    </row>
    <row r="17">
      <c r="A17" s="11" t="inlineStr">
        <is>
          <t>B. DIRECT SUBCONTRACTING COSTS</t>
        </is>
      </c>
      <c r="B17" s="345" t="n"/>
      <c r="C17" s="227" t="n"/>
      <c r="D17" s="223" t="n"/>
      <c r="E17" s="345" t="n"/>
      <c r="F17" s="227" t="n"/>
      <c r="G17" s="223" t="n"/>
      <c r="H17" s="8" t="n"/>
      <c r="I17" s="341" t="n"/>
      <c r="J17" s="346" t="n"/>
      <c r="K17" s="223" t="n"/>
      <c r="L17" s="223" t="n"/>
      <c r="N17" s="223" t="n"/>
    </row>
    <row r="18">
      <c r="A18" s="9" t="n"/>
      <c r="B18" s="342">
        <f>#REF!+#REF!+#REF!+#REF!+#REF!+#REF!+#REF!+#REF!+#REF!+#REF!</f>
        <v/>
      </c>
      <c r="C18" s="228" t="n"/>
      <c r="D18" s="229">
        <f>#REF!+#REF!+#REF!+#REF!+#REF!+#REF!+#REF!+#REF!+#REF!+#REF!</f>
        <v/>
      </c>
      <c r="E18" s="343">
        <f>#REF!+#REF!+#REF!+#REF!+#REF!+#REF!+#REF!+#REF!+#REF!+#REF!</f>
        <v/>
      </c>
      <c r="F18" s="226" t="n"/>
      <c r="G18" s="225">
        <f>#REF!+#REF!+#REF!+#REF!+#REF!+#REF!+#REF!+#REF!+#REF!+#REF!</f>
        <v/>
      </c>
      <c r="H18" s="8" t="n"/>
      <c r="I18" s="344">
        <f>D18+G18</f>
        <v/>
      </c>
      <c r="J18" s="343">
        <f>E18+B18</f>
        <v/>
      </c>
      <c r="K18" s="225">
        <f>IF(J18&gt;0,L18/J18," ")</f>
        <v/>
      </c>
      <c r="L18" s="225">
        <f>G18+D18</f>
        <v/>
      </c>
      <c r="N18" s="222">
        <f>D18+G18</f>
        <v/>
      </c>
    </row>
    <row r="19">
      <c r="A19" s="11" t="inlineStr">
        <is>
          <t>C. DIRECT PURCHASE COSTS</t>
        </is>
      </c>
      <c r="B19" s="345" t="n"/>
      <c r="C19" s="227" t="n"/>
      <c r="D19" s="223" t="n"/>
      <c r="E19" s="345" t="n"/>
      <c r="F19" s="227" t="n"/>
      <c r="G19" s="223" t="n"/>
      <c r="H19" s="8" t="n"/>
      <c r="I19" s="341" t="n"/>
      <c r="J19" s="346" t="n"/>
      <c r="K19" s="223" t="n"/>
      <c r="L19" s="223" t="n"/>
      <c r="N19" s="223" t="n"/>
    </row>
    <row r="20">
      <c r="A20" s="39" t="inlineStr">
        <is>
          <t>C.1 Travel and subsistence</t>
        </is>
      </c>
      <c r="B20" s="342">
        <f>#REF!+#REF!+#REF!+#REF!+#REF!+#REF!+#REF!+#REF!+#REF!+#REF!</f>
        <v/>
      </c>
      <c r="C20" s="228" t="n"/>
      <c r="D20" s="229">
        <f>#REF!+#REF!+#REF!+#REF!+#REF!+#REF!+#REF!+#REF!+#REF!+#REF!</f>
        <v/>
      </c>
      <c r="E20" s="343">
        <f>#REF!+#REF!+#REF!+#REF!+#REF!+#REF!+#REF!+#REF!+#REF!+#REF!</f>
        <v/>
      </c>
      <c r="F20" s="226" t="n"/>
      <c r="G20" s="225">
        <f>#REF!+#REF!+#REF!+#REF!+#REF!+#REF!+#REF!+#REF!+#REF!+#REF!</f>
        <v/>
      </c>
      <c r="H20" s="8" t="n"/>
      <c r="I20" s="344">
        <f>D20+G20</f>
        <v/>
      </c>
      <c r="J20" s="343">
        <f>E20+B20</f>
        <v/>
      </c>
      <c r="K20" s="225">
        <f>IF(J20&gt;0,L20/J20," ")</f>
        <v/>
      </c>
      <c r="L20" s="225">
        <f>G20+D20</f>
        <v/>
      </c>
      <c r="N20" s="222">
        <f>D20+G20</f>
        <v/>
      </c>
    </row>
    <row r="21">
      <c r="A21" s="7" t="inlineStr">
        <is>
          <t>C.2 Equipment (complete 'Depreciation cost' sheet)</t>
        </is>
      </c>
      <c r="B21" s="347" t="n"/>
      <c r="C21" s="160" t="n"/>
      <c r="D21" s="160" t="n"/>
      <c r="E21" s="347" t="n"/>
      <c r="F21" s="160" t="n"/>
      <c r="G21" s="160" t="n"/>
      <c r="H21" s="8" t="n"/>
      <c r="I21" s="89" t="n"/>
      <c r="J21" s="347" t="n"/>
      <c r="K21" s="160" t="n"/>
      <c r="L21" s="160" t="n"/>
      <c r="N21" s="160" t="n"/>
    </row>
    <row r="22">
      <c r="A22" s="37" t="inlineStr">
        <is>
          <t>Equipment</t>
        </is>
      </c>
      <c r="B22" s="342">
        <f>#REF!+#REF!+#REF!+#REF!+#REF!+#REF!+#REF!+#REF!+#REF!+#REF!</f>
        <v/>
      </c>
      <c r="C22" s="228" t="n"/>
      <c r="D22" s="229">
        <f>#REF!+#REF!+#REF!+#REF!+#REF!+#REF!+#REF!+#REF!+#REF!+#REF!</f>
        <v/>
      </c>
      <c r="E22" s="343">
        <f>#REF!+#REF!+#REF!+#REF!+#REF!+#REF!+#REF!+#REF!+#REF!+#REF!</f>
        <v/>
      </c>
      <c r="F22" s="226" t="n"/>
      <c r="G22" s="225">
        <f>#REF!+#REF!+#REF!+#REF!+#REF!+#REF!+#REF!+#REF!+#REF!+#REF!</f>
        <v/>
      </c>
      <c r="H22" s="8" t="n"/>
      <c r="I22" s="344">
        <f>D22+G22</f>
        <v/>
      </c>
      <c r="J22" s="343">
        <f>E22+B22</f>
        <v/>
      </c>
      <c r="K22" s="225">
        <f>IF(J22&gt;0,L22/J22," ")</f>
        <v/>
      </c>
      <c r="L22" s="225">
        <f>G22+D22</f>
        <v/>
      </c>
      <c r="N22" s="222">
        <f>D22+G22</f>
        <v/>
      </c>
    </row>
    <row r="23">
      <c r="A23" s="37" t="inlineStr">
        <is>
          <t>Infrastructure</t>
        </is>
      </c>
      <c r="B23" s="342">
        <f>#REF!+#REF!+#REF!+#REF!+#REF!+#REF!+#REF!+#REF!+#REF!+#REF!</f>
        <v/>
      </c>
      <c r="C23" s="228" t="n"/>
      <c r="D23" s="229">
        <f>#REF!+#REF!+#REF!+#REF!+#REF!+#REF!+#REF!+#REF!+#REF!+#REF!</f>
        <v/>
      </c>
      <c r="E23" s="343">
        <f>#REF!+#REF!+#REF!+#REF!+#REF!+#REF!+#REF!+#REF!+#REF!+#REF!</f>
        <v/>
      </c>
      <c r="F23" s="226" t="n"/>
      <c r="G23" s="225">
        <f>#REF!+#REF!+#REF!+#REF!+#REF!+#REF!+#REF!+#REF!+#REF!+#REF!</f>
        <v/>
      </c>
      <c r="H23" s="8" t="n"/>
      <c r="I23" s="344">
        <f>D23+G23</f>
        <v/>
      </c>
      <c r="J23" s="343">
        <f>E23+B23</f>
        <v/>
      </c>
      <c r="K23" s="225">
        <f>IF(J23&gt;0,L23/J23," ")</f>
        <v/>
      </c>
      <c r="L23" s="225">
        <f>G23+D23</f>
        <v/>
      </c>
      <c r="N23" s="222">
        <f>D23+G23</f>
        <v/>
      </c>
    </row>
    <row r="24">
      <c r="A24" s="37" t="inlineStr">
        <is>
          <t>Other assets</t>
        </is>
      </c>
      <c r="B24" s="342">
        <f>#REF!+#REF!+#REF!+#REF!+#REF!+#REF!+#REF!+#REF!+#REF!+#REF!</f>
        <v/>
      </c>
      <c r="C24" s="228" t="n"/>
      <c r="D24" s="229">
        <f>#REF!+#REF!+#REF!+#REF!+#REF!+#REF!+#REF!+#REF!+#REF!+#REF!</f>
        <v/>
      </c>
      <c r="E24" s="343">
        <f>#REF!+#REF!+#REF!+#REF!+#REF!+#REF!+#REF!+#REF!+#REF!+#REF!</f>
        <v/>
      </c>
      <c r="F24" s="226" t="n"/>
      <c r="G24" s="225">
        <f>#REF!+#REF!+#REF!+#REF!+#REF!+#REF!+#REF!+#REF!+#REF!+#REF!</f>
        <v/>
      </c>
      <c r="H24" s="8" t="n"/>
      <c r="I24" s="344">
        <f>D24+G24</f>
        <v/>
      </c>
      <c r="J24" s="343">
        <f>E24+B24</f>
        <v/>
      </c>
      <c r="K24" s="225">
        <f>IF(J24&gt;0,L24/J24," ")</f>
        <v/>
      </c>
      <c r="L24" s="225">
        <f>G24+D24</f>
        <v/>
      </c>
      <c r="N24" s="222">
        <f>D24+G24</f>
        <v/>
      </c>
    </row>
    <row r="25">
      <c r="A25" s="7" t="inlineStr">
        <is>
          <t>C.3 Other goods, works and services</t>
        </is>
      </c>
      <c r="B25" s="347" t="n"/>
      <c r="C25" s="160" t="n"/>
      <c r="D25" s="160" t="n"/>
      <c r="E25" s="347" t="n"/>
      <c r="F25" s="160" t="n"/>
      <c r="G25" s="160" t="n"/>
      <c r="H25" s="8" t="n"/>
      <c r="I25" s="89" t="n"/>
      <c r="J25" s="347" t="n"/>
      <c r="K25" s="160" t="n"/>
      <c r="L25" s="160" t="n"/>
      <c r="N25" s="160" t="n"/>
    </row>
    <row r="26">
      <c r="A26" s="37" t="inlineStr">
        <is>
          <t>Consumables</t>
        </is>
      </c>
      <c r="B26" s="342">
        <f>#REF!+#REF!+#REF!+#REF!+#REF!+#REF!+#REF!+#REF!+#REF!+#REF!</f>
        <v/>
      </c>
      <c r="C26" s="228" t="n"/>
      <c r="D26" s="229">
        <f>#REF!+#REF!+#REF!+#REF!+#REF!+#REF!+#REF!+#REF!+#REF!+#REF!</f>
        <v/>
      </c>
      <c r="E26" s="343">
        <f>#REF!+#REF!+#REF!+#REF!+#REF!+#REF!+#REF!+#REF!+#REF!+#REF!</f>
        <v/>
      </c>
      <c r="F26" s="226" t="n"/>
      <c r="G26" s="225">
        <f>#REF!+#REF!+#REF!+#REF!+#REF!+#REF!+#REF!+#REF!+#REF!+#REF!</f>
        <v/>
      </c>
      <c r="H26" s="8" t="n"/>
      <c r="I26" s="344">
        <f>D26+G26</f>
        <v/>
      </c>
      <c r="J26" s="343">
        <f>E26+B26</f>
        <v/>
      </c>
      <c r="K26" s="225">
        <f>IF(J26&gt;0,L26/J26," ")</f>
        <v/>
      </c>
      <c r="L26" s="225">
        <f>G26+D26</f>
        <v/>
      </c>
      <c r="N26" s="222">
        <f>D26+G26</f>
        <v/>
      </c>
    </row>
    <row r="27">
      <c r="A27" s="37" t="inlineStr">
        <is>
          <t>Services for meetings, seminars</t>
        </is>
      </c>
      <c r="B27" s="342">
        <f>#REF!+#REF!+#REF!+#REF!+#REF!+#REF!+#REF!+#REF!+#REF!+#REF!</f>
        <v/>
      </c>
      <c r="C27" s="228" t="n"/>
      <c r="D27" s="229">
        <f>#REF!+#REF!+#REF!+#REF!+#REF!+#REF!+#REF!+#REF!+#REF!+#REF!</f>
        <v/>
      </c>
      <c r="E27" s="343">
        <f>#REF!+#REF!+#REF!+#REF!+#REF!+#REF!+#REF!+#REF!+#REF!+#REF!</f>
        <v/>
      </c>
      <c r="F27" s="226" t="n"/>
      <c r="G27" s="225">
        <f>#REF!+#REF!+#REF!+#REF!+#REF!+#REF!+#REF!+#REF!+#REF!+#REF!</f>
        <v/>
      </c>
      <c r="H27" s="8" t="n"/>
      <c r="I27" s="344">
        <f>D27+G27</f>
        <v/>
      </c>
      <c r="J27" s="343">
        <f>E27+B27</f>
        <v/>
      </c>
      <c r="K27" s="225">
        <f>IF(J27&gt;0,L27/J27," ")</f>
        <v/>
      </c>
      <c r="L27" s="225">
        <f>G27+D27</f>
        <v/>
      </c>
      <c r="N27" s="222">
        <f>D27+G27</f>
        <v/>
      </c>
    </row>
    <row r="28">
      <c r="A28" s="37" t="inlineStr">
        <is>
          <t>Services for dissemination activities (including website)</t>
        </is>
      </c>
      <c r="B28" s="342">
        <f>#REF!+#REF!+#REF!+#REF!+#REF!+#REF!+#REF!+#REF!+#REF!+#REF!</f>
        <v/>
      </c>
      <c r="C28" s="228" t="n"/>
      <c r="D28" s="229">
        <f>#REF!+#REF!+#REF!+#REF!+#REF!+#REF!+#REF!+#REF!+#REF!+#REF!</f>
        <v/>
      </c>
      <c r="E28" s="343">
        <f>#REF!+#REF!+#REF!+#REF!+#REF!+#REF!+#REF!+#REF!+#REF!+#REF!</f>
        <v/>
      </c>
      <c r="F28" s="226" t="n"/>
      <c r="G28" s="225">
        <f>#REF!+#REF!+#REF!+#REF!+#REF!+#REF!+#REF!+#REF!+#REF!+#REF!</f>
        <v/>
      </c>
      <c r="H28" s="8" t="n"/>
      <c r="I28" s="344">
        <f>D28+G28</f>
        <v/>
      </c>
      <c r="J28" s="343">
        <f>E28+B28</f>
        <v/>
      </c>
      <c r="K28" s="225">
        <f>IF(J28&gt;0,L28/J28," ")</f>
        <v/>
      </c>
      <c r="L28" s="225">
        <f>G28+D28</f>
        <v/>
      </c>
      <c r="N28" s="222">
        <f>D28+G28</f>
        <v/>
      </c>
    </row>
    <row r="29">
      <c r="A29" s="37" t="inlineStr">
        <is>
          <t>Publication fees</t>
        </is>
      </c>
      <c r="B29" s="342">
        <f>#REF!+#REF!+#REF!+#REF!+#REF!+#REF!+#REF!+#REF!+#REF!+#REF!</f>
        <v/>
      </c>
      <c r="C29" s="228" t="n"/>
      <c r="D29" s="229">
        <f>#REF!+#REF!+#REF!+#REF!+#REF!+#REF!+#REF!+#REF!+#REF!+#REF!</f>
        <v/>
      </c>
      <c r="E29" s="343">
        <f>#REF!+#REF!+#REF!+#REF!+#REF!+#REF!+#REF!+#REF!+#REF!+#REF!</f>
        <v/>
      </c>
      <c r="F29" s="226" t="n"/>
      <c r="G29" s="225">
        <f>#REF!+#REF!+#REF!+#REF!+#REF!+#REF!+#REF!+#REF!+#REF!+#REF!</f>
        <v/>
      </c>
      <c r="H29" s="8" t="n"/>
      <c r="I29" s="344">
        <f>D29+G29</f>
        <v/>
      </c>
      <c r="J29" s="343">
        <f>E29+B29</f>
        <v/>
      </c>
      <c r="K29" s="225">
        <f>IF(J29&gt;0,L29/J29," ")</f>
        <v/>
      </c>
      <c r="L29" s="225">
        <f>G29+D29</f>
        <v/>
      </c>
      <c r="N29" s="222">
        <f>D29+G29</f>
        <v/>
      </c>
    </row>
    <row r="30">
      <c r="A30" s="37" t="inlineStr">
        <is>
          <t>Other (shipment,insurance, translation, etc.)</t>
        </is>
      </c>
      <c r="B30" s="342">
        <f>#REF!+#REF!+#REF!+#REF!+#REF!+#REF!+#REF!+#REF!+#REF!+#REF!</f>
        <v/>
      </c>
      <c r="C30" s="228" t="n"/>
      <c r="D30" s="229">
        <f>#REF!+#REF!+#REF!+#REF!+#REF!+#REF!+#REF!+#REF!+#REF!+#REF!</f>
        <v/>
      </c>
      <c r="E30" s="343">
        <f>#REF!+#REF!+#REF!+#REF!+#REF!+#REF!+#REF!+#REF!+#REF!+#REF!</f>
        <v/>
      </c>
      <c r="F30" s="226" t="n"/>
      <c r="G30" s="225">
        <f>#REF!+#REF!+#REF!+#REF!+#REF!+#REF!+#REF!+#REF!+#REF!+#REF!</f>
        <v/>
      </c>
      <c r="H30" s="8" t="n"/>
      <c r="I30" s="344">
        <f>D30+G30</f>
        <v/>
      </c>
      <c r="J30" s="343">
        <f>E30+B30</f>
        <v/>
      </c>
      <c r="K30" s="225">
        <f>IF(J30&gt;0,L30/J30," ")</f>
        <v/>
      </c>
      <c r="L30" s="225">
        <f>G30+D30</f>
        <v/>
      </c>
      <c r="N30" s="222">
        <f>D30+G30</f>
        <v/>
      </c>
    </row>
    <row r="31">
      <c r="A31" s="6" t="inlineStr">
        <is>
          <t>D. OTHER COST CATEGORIES</t>
        </is>
      </c>
      <c r="B31" s="345" t="n"/>
      <c r="C31" s="227" t="n"/>
      <c r="D31" s="223" t="n"/>
      <c r="E31" s="345" t="n"/>
      <c r="F31" s="227" t="n"/>
      <c r="G31" s="223" t="n"/>
      <c r="H31" s="8" t="n"/>
      <c r="I31" s="341" t="n"/>
      <c r="J31" s="346" t="n"/>
      <c r="K31" s="223" t="n"/>
      <c r="L31" s="223" t="n"/>
      <c r="N31" s="223" t="n"/>
    </row>
    <row r="32">
      <c r="A32" s="40" t="inlineStr">
        <is>
          <t>D.1 Financial support to third parties (if applicable in the topic specific conditions)</t>
        </is>
      </c>
      <c r="B32" s="342">
        <f>#REF!+#REF!+#REF!+#REF!+#REF!+#REF!+#REF!+#REF!+#REF!+#REF!</f>
        <v/>
      </c>
      <c r="C32" s="228" t="n"/>
      <c r="D32" s="229">
        <f>#REF!+#REF!+#REF!+#REF!+#REF!+#REF!+#REF!+#REF!+#REF!+#REF!</f>
        <v/>
      </c>
      <c r="E32" s="343">
        <f>#REF!+#REF!+#REF!+#REF!+#REF!+#REF!+#REF!+#REF!+#REF!+#REF!</f>
        <v/>
      </c>
      <c r="F32" s="226" t="n"/>
      <c r="G32" s="225">
        <f>#REF!+#REF!+#REF!+#REF!+#REF!+#REF!+#REF!+#REF!+#REF!+#REF!</f>
        <v/>
      </c>
      <c r="H32" s="8" t="n"/>
      <c r="I32" s="344">
        <f>D32+G32</f>
        <v/>
      </c>
      <c r="J32" s="343">
        <f>E32+B32</f>
        <v/>
      </c>
      <c r="K32" s="225">
        <f>IF(J32&gt;0,L32/J32," ")</f>
        <v/>
      </c>
      <c r="L32" s="225">
        <f>G32+D32</f>
        <v/>
      </c>
      <c r="N32" s="222">
        <f>D32+G32</f>
        <v/>
      </c>
    </row>
    <row r="33">
      <c r="A33" s="39" t="inlineStr">
        <is>
          <t>D.2 Internally invoiced goods and services</t>
        </is>
      </c>
      <c r="B33" s="342">
        <f>#REF!+#REF!+#REF!+#REF!+#REF!+#REF!+#REF!+#REF!+#REF!+#REF!</f>
        <v/>
      </c>
      <c r="C33" s="228" t="n"/>
      <c r="D33" s="229">
        <f>#REF!+#REF!+#REF!+#REF!+#REF!+#REF!+#REF!+#REF!+#REF!+#REF!</f>
        <v/>
      </c>
      <c r="E33" s="343">
        <f>#REF!+#REF!+#REF!+#REF!+#REF!+#REF!+#REF!+#REF!+#REF!+#REF!</f>
        <v/>
      </c>
      <c r="F33" s="226" t="n"/>
      <c r="G33" s="225">
        <f>#REF!+#REF!+#REF!+#REF!+#REF!+#REF!+#REF!+#REF!+#REF!+#REF!</f>
        <v/>
      </c>
      <c r="H33" s="8" t="n"/>
      <c r="I33" s="344">
        <f>D33+G33</f>
        <v/>
      </c>
      <c r="J33" s="343">
        <f>E33+B33</f>
        <v/>
      </c>
      <c r="K33" s="225">
        <f>IF(J33&gt;0,L33/J33," ")</f>
        <v/>
      </c>
      <c r="L33" s="225">
        <f>G33+D33</f>
        <v/>
      </c>
      <c r="N33" s="222">
        <f>D33+G33</f>
        <v/>
      </c>
    </row>
    <row r="34">
      <c r="A34" s="39" t="inlineStr">
        <is>
          <t>D.3 Transnational access to research infrastructure unit costs (if required in the topic specific conditions)</t>
        </is>
      </c>
      <c r="B34" s="342">
        <f>#REF!+#REF!+#REF!+#REF!+#REF!+#REF!+#REF!+#REF!+#REF!+#REF!</f>
        <v/>
      </c>
      <c r="C34" s="228" t="n"/>
      <c r="D34" s="229">
        <f>#REF!+#REF!+#REF!+#REF!+#REF!+#REF!+#REF!+#REF!+#REF!+#REF!</f>
        <v/>
      </c>
      <c r="E34" s="343">
        <f>#REF!+#REF!+#REF!+#REF!+#REF!+#REF!+#REF!+#REF!+#REF!+#REF!</f>
        <v/>
      </c>
      <c r="F34" s="226" t="n"/>
      <c r="G34" s="225">
        <f>#REF!+#REF!+#REF!+#REF!+#REF!+#REF!+#REF!+#REF!+#REF!+#REF!</f>
        <v/>
      </c>
      <c r="H34" s="8" t="n"/>
      <c r="I34" s="344">
        <f>D34+G34</f>
        <v/>
      </c>
      <c r="J34" s="343">
        <f>E34+B34</f>
        <v/>
      </c>
      <c r="K34" s="225">
        <f>IF(J34&gt;0,L34/J34," ")</f>
        <v/>
      </c>
      <c r="L34" s="225">
        <f>G34+D34</f>
        <v/>
      </c>
      <c r="N34" s="222">
        <f>D34+G34</f>
        <v/>
      </c>
    </row>
    <row r="35">
      <c r="A35" s="39" t="inlineStr">
        <is>
          <t>D.4 Virtual access to research infrastructure unit costs (if required in the topic specific conditions)</t>
        </is>
      </c>
      <c r="B35" s="342">
        <f>#REF!+#REF!+#REF!+#REF!+#REF!+#REF!+#REF!+#REF!+#REF!+#REF!</f>
        <v/>
      </c>
      <c r="C35" s="228" t="n"/>
      <c r="D35" s="229">
        <f>#REF!+#REF!+#REF!+#REF!+#REF!+#REF!+#REF!+#REF!+#REF!+#REF!</f>
        <v/>
      </c>
      <c r="E35" s="343">
        <f>#REF!+#REF!+#REF!+#REF!+#REF!+#REF!+#REF!+#REF!+#REF!+#REF!</f>
        <v/>
      </c>
      <c r="F35" s="226" t="n"/>
      <c r="G35" s="225">
        <f>#REF!+#REF!+#REF!+#REF!+#REF!+#REF!+#REF!+#REF!+#REF!+#REF!</f>
        <v/>
      </c>
      <c r="H35" s="8" t="n"/>
      <c r="I35" s="344">
        <f>D35+G35</f>
        <v/>
      </c>
      <c r="J35" s="343">
        <f>E35+B35</f>
        <v/>
      </c>
      <c r="K35" s="225">
        <f>IF(J35&gt;0,L35/J35," ")</f>
        <v/>
      </c>
      <c r="L35" s="225">
        <f>G35+D35</f>
        <v/>
      </c>
      <c r="N35" s="222">
        <f>D35+G35</f>
        <v/>
      </c>
    </row>
    <row r="36">
      <c r="A36" s="39" t="inlineStr">
        <is>
          <t>D.5 PCP/PPI procurement costs (if mentioned as eligible in the topic specific conditions)</t>
        </is>
      </c>
      <c r="B36" s="342">
        <f>#REF!+#REF!+#REF!+#REF!+#REF!+#REF!+#REF!+#REF!+#REF!+#REF!</f>
        <v/>
      </c>
      <c r="C36" s="228" t="n"/>
      <c r="D36" s="229">
        <f>#REF!+#REF!+#REF!+#REF!+#REF!+#REF!+#REF!+#REF!+#REF!+#REF!</f>
        <v/>
      </c>
      <c r="E36" s="343">
        <f>#REF!+#REF!+#REF!+#REF!+#REF!+#REF!+#REF!+#REF!+#REF!+#REF!</f>
        <v/>
      </c>
      <c r="F36" s="226" t="n"/>
      <c r="G36" s="225">
        <f>#REF!+#REF!+#REF!+#REF!+#REF!+#REF!+#REF!+#REF!+#REF!+#REF!</f>
        <v/>
      </c>
      <c r="H36" s="8" t="n"/>
      <c r="I36" s="344">
        <f>D36+G36</f>
        <v/>
      </c>
      <c r="J36" s="343">
        <f>E36+B36</f>
        <v/>
      </c>
      <c r="K36" s="225">
        <f>IF(J36&gt;0,L36/J36," ")</f>
        <v/>
      </c>
      <c r="L36" s="225">
        <f>G36+D36</f>
        <v/>
      </c>
      <c r="N36" s="222">
        <f>D36+G36</f>
        <v/>
      </c>
    </row>
    <row r="37">
      <c r="A37" s="26" t="n"/>
      <c r="B37" s="347" t="n"/>
      <c r="C37" s="160" t="n"/>
      <c r="D37" s="160" t="n"/>
      <c r="E37" s="347" t="n"/>
      <c r="F37" s="160" t="n"/>
      <c r="G37" s="160" t="n"/>
      <c r="H37" s="8" t="n"/>
      <c r="I37" s="89" t="n"/>
      <c r="J37" s="347" t="n"/>
      <c r="K37" s="160" t="n"/>
      <c r="L37" s="160" t="n"/>
      <c r="N37" s="160" t="n"/>
    </row>
    <row r="38">
      <c r="A38" s="41" t="inlineStr">
        <is>
          <t>TOTAL DIRECT PERSONNEL COSTS AND PURCHASE COSTS (A+C)</t>
        </is>
      </c>
      <c r="B38" s="348" t="n"/>
      <c r="C38" s="224" t="n"/>
      <c r="D38" s="224">
        <f>SUM(D9:D16,D20:D30)</f>
        <v/>
      </c>
      <c r="E38" s="348" t="n"/>
      <c r="F38" s="224" t="n"/>
      <c r="G38" s="224">
        <f>SUM(G9:G16,G20:G30)</f>
        <v/>
      </c>
      <c r="H38" s="8" t="n"/>
      <c r="I38" s="349">
        <f>SUM(I9:I16,I20:I30)</f>
        <v/>
      </c>
      <c r="J38" s="348" t="n"/>
      <c r="K38" s="224" t="n"/>
      <c r="L38" s="224">
        <f>SUM(L9:L16,L20:L30)</f>
        <v/>
      </c>
      <c r="N38" s="224">
        <f>SUM(N9:N16,N20:N30)</f>
        <v/>
      </c>
    </row>
    <row r="39">
      <c r="A39" s="41" t="inlineStr">
        <is>
          <t>TOTAL DIRECT COSTS  (A+B+C+D)</t>
        </is>
      </c>
      <c r="B39" s="348" t="n"/>
      <c r="C39" s="224" t="n"/>
      <c r="D39" s="224">
        <f>SUM(D9:D36)</f>
        <v/>
      </c>
      <c r="E39" s="348" t="n"/>
      <c r="F39" s="224" t="n"/>
      <c r="G39" s="224">
        <f>SUM(G9:G36)</f>
        <v/>
      </c>
      <c r="H39" s="8" t="n"/>
      <c r="I39" s="349">
        <f>SUM(I9:I36)</f>
        <v/>
      </c>
      <c r="J39" s="348" t="n"/>
      <c r="K39" s="224" t="n"/>
      <c r="L39" s="224">
        <f>SUM(L9:L36)</f>
        <v/>
      </c>
      <c r="N39" s="224">
        <f>SUM(N9:N36)</f>
        <v/>
      </c>
    </row>
    <row r="40" ht="6.95" customHeight="1">
      <c r="B40" s="350" t="n"/>
      <c r="C40" s="134" t="n"/>
      <c r="D40" s="134" t="n"/>
      <c r="E40" s="350" t="n"/>
      <c r="F40" s="134" t="n"/>
      <c r="G40" s="134" t="n"/>
      <c r="H40" s="8" t="n"/>
      <c r="I40" s="8" t="n"/>
      <c r="J40" s="350" t="n"/>
      <c r="K40" s="134" t="n"/>
      <c r="L40" s="134" t="n"/>
      <c r="N40" s="134" t="n"/>
    </row>
    <row r="41">
      <c r="A41" s="11" t="inlineStr">
        <is>
          <t>E. INDIRECT COSTS (25% * (A+C))</t>
        </is>
      </c>
      <c r="B41" s="348" t="n"/>
      <c r="C41" s="224" t="n"/>
      <c r="D41" s="224">
        <f>+D38*0.25</f>
        <v/>
      </c>
      <c r="E41" s="348" t="n"/>
      <c r="F41" s="224" t="n"/>
      <c r="G41" s="224">
        <f>+G38*0.25</f>
        <v/>
      </c>
      <c r="H41" s="8" t="n"/>
      <c r="I41" s="349">
        <f>+I38*0.25</f>
        <v/>
      </c>
      <c r="J41" s="348" t="n"/>
      <c r="K41" s="224" t="n"/>
      <c r="L41" s="224">
        <f>+L38*0.25</f>
        <v/>
      </c>
      <c r="N41" s="224">
        <f>+N38*0.25</f>
        <v/>
      </c>
    </row>
    <row r="42" ht="6.95" customHeight="1">
      <c r="B42" s="350" t="n"/>
      <c r="C42" s="134" t="n"/>
      <c r="D42" s="134" t="n"/>
      <c r="E42" s="350" t="n"/>
      <c r="F42" s="134" t="n"/>
      <c r="G42" s="134" t="n"/>
      <c r="H42" s="8" t="n"/>
      <c r="I42" s="8" t="n"/>
      <c r="J42" s="350" t="n"/>
      <c r="K42" s="134" t="n"/>
      <c r="L42" s="134" t="n"/>
      <c r="N42" s="134" t="n"/>
    </row>
    <row r="43">
      <c r="A43" s="11" t="inlineStr">
        <is>
          <t>F. TOTAL COSTS (A+B+C+D+E)</t>
        </is>
      </c>
      <c r="B43" s="348" t="n"/>
      <c r="C43" s="224" t="n"/>
      <c r="D43" s="224">
        <f>D39+D41</f>
        <v/>
      </c>
      <c r="E43" s="348" t="n"/>
      <c r="F43" s="224" t="n"/>
      <c r="G43" s="224">
        <f>G39+G41</f>
        <v/>
      </c>
      <c r="H43" s="8" t="n"/>
      <c r="I43" s="349">
        <f>I39+I41</f>
        <v/>
      </c>
      <c r="J43" s="348" t="n"/>
      <c r="K43" s="224" t="n"/>
      <c r="L43" s="224">
        <f>L39+L41</f>
        <v/>
      </c>
      <c r="N43" s="224">
        <f>N39+N41</f>
        <v/>
      </c>
    </row>
    <row r="44" ht="6.95" customHeight="1">
      <c r="B44" s="8" t="n"/>
      <c r="C44" s="8" t="n"/>
      <c r="D44" s="8" t="n"/>
      <c r="E44" s="8" t="n"/>
      <c r="F44" s="8" t="n"/>
      <c r="G44" s="8" t="n"/>
      <c r="H44" s="8" t="n"/>
      <c r="I44" s="8" t="n"/>
      <c r="J44" s="8" t="n"/>
      <c r="K44" s="8" t="n"/>
      <c r="L44" s="8" t="n"/>
    </row>
    <row r="45">
      <c r="A45" s="209" t="n"/>
      <c r="B45" s="207" t="n"/>
      <c r="C45" s="209" t="n"/>
      <c r="D45" s="208" t="n"/>
      <c r="E45" s="207" t="n"/>
      <c r="F45" s="209" t="n"/>
      <c r="G45" s="208" t="n"/>
      <c r="H45" s="208" t="n"/>
      <c r="I45" s="208" t="n"/>
      <c r="J45" s="208" t="n"/>
      <c r="K45" s="208" t="n"/>
      <c r="L45" s="208" t="n"/>
      <c r="M45" s="209" t="n"/>
      <c r="N45" s="210" t="n"/>
    </row>
    <row r="46" ht="21" customHeight="1">
      <c r="A46" s="300" t="inlineStr">
        <is>
          <t>SUM OF ALL WORK PACKAGES FOR ALL BENEFICIARIES</t>
        </is>
      </c>
      <c r="B46" s="338" t="n"/>
      <c r="C46" s="338" t="n"/>
      <c r="D46" s="338" t="n"/>
      <c r="E46" s="338" t="n"/>
      <c r="F46" s="338" t="n"/>
      <c r="G46" s="338" t="n"/>
      <c r="H46" s="338" t="n"/>
      <c r="I46" s="338" t="n"/>
      <c r="J46" s="338" t="n"/>
      <c r="K46" s="338" t="n"/>
      <c r="L46" s="338" t="n"/>
      <c r="M46" s="338" t="n"/>
      <c r="N46" s="339" t="n"/>
    </row>
    <row r="47" ht="6.95" customHeight="1">
      <c r="B47" s="8" t="n"/>
      <c r="C47" s="8" t="n"/>
      <c r="D47" s="8" t="n"/>
      <c r="E47" s="8" t="n"/>
      <c r="F47" s="8" t="n"/>
      <c r="G47" s="8" t="n"/>
      <c r="H47" s="8" t="n"/>
      <c r="I47" s="8" t="n"/>
      <c r="J47" s="8" t="n"/>
      <c r="K47" s="8" t="n"/>
      <c r="L47" s="8" t="n"/>
    </row>
    <row r="48">
      <c r="A48" s="11" t="inlineStr">
        <is>
          <t>A. DIRECT PERSONNEL COSTS</t>
        </is>
      </c>
      <c r="B48" s="4" t="n"/>
      <c r="C48" s="340" t="n"/>
      <c r="D48" s="341" t="n"/>
      <c r="E48" s="4" t="n"/>
      <c r="F48" s="340" t="n"/>
      <c r="G48" s="341" t="n"/>
      <c r="H48" s="8" t="n"/>
      <c r="I48" s="341" t="n"/>
      <c r="J48" s="341" t="n"/>
      <c r="K48" s="341" t="n"/>
      <c r="L48" s="341" t="n"/>
      <c r="N48" s="341" t="n"/>
    </row>
    <row r="49">
      <c r="A49" s="7" t="inlineStr">
        <is>
          <t>A.1 Employees (or equivalent)</t>
        </is>
      </c>
      <c r="B49" s="89" t="n"/>
      <c r="C49" s="89" t="n"/>
      <c r="D49" s="89" t="n"/>
      <c r="E49" s="89" t="n"/>
      <c r="F49" s="89" t="n"/>
      <c r="G49" s="89" t="n"/>
      <c r="H49" s="8" t="n"/>
      <c r="I49" s="89" t="n"/>
      <c r="J49" s="89" t="n"/>
      <c r="K49" s="89" t="n"/>
      <c r="L49" s="89" t="n"/>
      <c r="N49" s="89" t="n"/>
    </row>
    <row r="50">
      <c r="A50" s="36" t="inlineStr">
        <is>
          <t>SENIOR SCIENTISTS (or equivalent in the private sector)</t>
        </is>
      </c>
      <c r="B50" s="342">
        <f>#REF!+#REF!+#REF!+#REF!+#REF!+#REF!+#REF!+#REF!+#REF!+#REF!</f>
        <v/>
      </c>
      <c r="C50" s="351" t="n"/>
      <c r="D50" s="352">
        <f>#REF!+#REF!+#REF!+#REF!+#REF!+#REF!+#REF!+#REF!+#REF!+#REF!</f>
        <v/>
      </c>
      <c r="E50" s="343">
        <f>#REF!+#REF!+#REF!+#REF!+#REF!+#REF!+#REF!+#REF!+#REF!+#REF!</f>
        <v/>
      </c>
      <c r="F50" s="353" t="n"/>
      <c r="G50" s="354">
        <f>#REF!+#REF!+#REF!+#REF!+#REF!+#REF!+#REF!+#REF!+#REF!+#REF!</f>
        <v/>
      </c>
      <c r="H50" s="8" t="n"/>
      <c r="I50" s="344">
        <f>D50+G50</f>
        <v/>
      </c>
      <c r="J50" s="343">
        <f>E50+B50</f>
        <v/>
      </c>
      <c r="K50" s="354">
        <f>IF(J50&gt;0,L50/J50," ")</f>
        <v/>
      </c>
      <c r="L50" s="354">
        <f>G50+D50</f>
        <v/>
      </c>
      <c r="N50" s="344">
        <f>D50+G50</f>
        <v/>
      </c>
      <c r="P50" s="10" t="n"/>
    </row>
    <row r="51">
      <c r="A51" s="36" t="inlineStr">
        <is>
          <t>JUNIOR SCIENTISTS (or equivalent in the private sector)</t>
        </is>
      </c>
      <c r="B51" s="342">
        <f>#REF!+#REF!+#REF!+#REF!+#REF!+#REF!+#REF!+#REF!+#REF!+#REF!</f>
        <v/>
      </c>
      <c r="C51" s="351" t="n"/>
      <c r="D51" s="352">
        <f>#REF!+#REF!+#REF!+#REF!+#REF!+#REF!+#REF!+#REF!+#REF!+#REF!</f>
        <v/>
      </c>
      <c r="E51" s="343">
        <f>#REF!+#REF!+#REF!+#REF!+#REF!+#REF!+#REF!+#REF!+#REF!+#REF!</f>
        <v/>
      </c>
      <c r="F51" s="353" t="n"/>
      <c r="G51" s="354">
        <f>#REF!+#REF!+#REF!+#REF!+#REF!+#REF!+#REF!+#REF!+#REF!+#REF!</f>
        <v/>
      </c>
      <c r="H51" s="8" t="n"/>
      <c r="I51" s="344">
        <f>D51+G51</f>
        <v/>
      </c>
      <c r="J51" s="343">
        <f>E51+B51</f>
        <v/>
      </c>
      <c r="K51" s="354">
        <f>IF(J51&gt;0,L51/J51," ")</f>
        <v/>
      </c>
      <c r="L51" s="354">
        <f>G51+D51</f>
        <v/>
      </c>
      <c r="N51" s="344">
        <f>D51+G51</f>
        <v/>
      </c>
    </row>
    <row r="52">
      <c r="A52" s="36" t="inlineStr">
        <is>
          <t>TECHNICAL PERSONNEL (or equivalent in the private sector)</t>
        </is>
      </c>
      <c r="B52" s="342">
        <f>#REF!+#REF!+#REF!+#REF!+#REF!+#REF!+#REF!+#REF!+#REF!+#REF!</f>
        <v/>
      </c>
      <c r="C52" s="351" t="n"/>
      <c r="D52" s="352">
        <f>#REF!+#REF!+#REF!+#REF!+#REF!+#REF!+#REF!+#REF!+#REF!+#REF!</f>
        <v/>
      </c>
      <c r="E52" s="343">
        <f>#REF!+#REF!+#REF!+#REF!+#REF!+#REF!+#REF!+#REF!+#REF!+#REF!</f>
        <v/>
      </c>
      <c r="F52" s="353" t="n"/>
      <c r="G52" s="354">
        <f>#REF!+#REF!+#REF!+#REF!+#REF!+#REF!+#REF!+#REF!+#REF!+#REF!</f>
        <v/>
      </c>
      <c r="H52" s="8" t="n"/>
      <c r="I52" s="344">
        <f>D52+G52</f>
        <v/>
      </c>
      <c r="J52" s="343">
        <f>E52+B52</f>
        <v/>
      </c>
      <c r="K52" s="354">
        <f>IF(J52&gt;0,L52/J52," ")</f>
        <v/>
      </c>
      <c r="L52" s="354">
        <f>G52+D52</f>
        <v/>
      </c>
      <c r="N52" s="344">
        <f>D52+G52</f>
        <v/>
      </c>
    </row>
    <row r="53">
      <c r="A53" s="36" t="inlineStr">
        <is>
          <t>ADMINISTRATIVE PERSONNEL (or equivalent in the private sector)</t>
        </is>
      </c>
      <c r="B53" s="342">
        <f>#REF!+#REF!+#REF!+#REF!+#REF!+#REF!+#REF!+#REF!+#REF!+#REF!</f>
        <v/>
      </c>
      <c r="C53" s="351" t="n"/>
      <c r="D53" s="352">
        <f>#REF!+#REF!+#REF!+#REF!+#REF!+#REF!+#REF!+#REF!+#REF!+#REF!</f>
        <v/>
      </c>
      <c r="E53" s="343">
        <f>#REF!+#REF!+#REF!+#REF!+#REF!+#REF!+#REF!+#REF!+#REF!+#REF!</f>
        <v/>
      </c>
      <c r="F53" s="353" t="n"/>
      <c r="G53" s="354">
        <f>#REF!+#REF!+#REF!+#REF!+#REF!+#REF!+#REF!+#REF!+#REF!+#REF!</f>
        <v/>
      </c>
      <c r="H53" s="8" t="n"/>
      <c r="I53" s="344">
        <f>D53+G53</f>
        <v/>
      </c>
      <c r="J53" s="343">
        <f>E53+B53</f>
        <v/>
      </c>
      <c r="K53" s="354">
        <f>IF(J53&gt;0,L53/J53," ")</f>
        <v/>
      </c>
      <c r="L53" s="354">
        <f>G53+D53</f>
        <v/>
      </c>
      <c r="N53" s="344">
        <f>D53+G53</f>
        <v/>
      </c>
    </row>
    <row r="54">
      <c r="A54" s="36" t="inlineStr">
        <is>
          <t>OTHERS</t>
        </is>
      </c>
      <c r="B54" s="342">
        <f>#REF!+#REF!+#REF!+#REF!+#REF!+#REF!+#REF!+#REF!+#REF!+#REF!</f>
        <v/>
      </c>
      <c r="C54" s="351" t="n"/>
      <c r="D54" s="352">
        <f>#REF!+#REF!+#REF!+#REF!+#REF!+#REF!+#REF!+#REF!+#REF!+#REF!</f>
        <v/>
      </c>
      <c r="E54" s="343">
        <f>#REF!+#REF!+#REF!+#REF!+#REF!+#REF!+#REF!+#REF!+#REF!+#REF!</f>
        <v/>
      </c>
      <c r="F54" s="353" t="n"/>
      <c r="G54" s="354">
        <f>#REF!+#REF!+#REF!+#REF!+#REF!+#REF!+#REF!+#REF!+#REF!+#REF!</f>
        <v/>
      </c>
      <c r="H54" s="8" t="n"/>
      <c r="I54" s="344">
        <f>D54+G54</f>
        <v/>
      </c>
      <c r="J54" s="343">
        <f>E54+B54</f>
        <v/>
      </c>
      <c r="K54" s="354">
        <f>IF(J54&gt;0,L54/J54," ")</f>
        <v/>
      </c>
      <c r="L54" s="354">
        <f>G54+D54</f>
        <v/>
      </c>
      <c r="N54" s="344">
        <f>D54+G54</f>
        <v/>
      </c>
    </row>
    <row r="55">
      <c r="A55" s="7" t="inlineStr">
        <is>
          <t>A.2 Natural Persons under direct contract</t>
        </is>
      </c>
      <c r="B55" s="342">
        <f>#REF!+#REF!+#REF!+#REF!+#REF!+#REF!+#REF!+#REF!+#REF!+#REF!</f>
        <v/>
      </c>
      <c r="C55" s="351" t="n"/>
      <c r="D55" s="352">
        <f>#REF!+#REF!+#REF!+#REF!+#REF!+#REF!+#REF!+#REF!+#REF!+#REF!</f>
        <v/>
      </c>
      <c r="E55" s="343">
        <f>#REF!+#REF!+#REF!+#REF!+#REF!+#REF!+#REF!+#REF!+#REF!+#REF!</f>
        <v/>
      </c>
      <c r="F55" s="353" t="n"/>
      <c r="G55" s="354">
        <f>#REF!+#REF!+#REF!+#REF!+#REF!+#REF!+#REF!+#REF!+#REF!+#REF!</f>
        <v/>
      </c>
      <c r="H55" s="8" t="n"/>
      <c r="I55" s="344">
        <f>D55+G55</f>
        <v/>
      </c>
      <c r="J55" s="343">
        <f>E55+B55</f>
        <v/>
      </c>
      <c r="K55" s="354">
        <f>IF(J55&gt;0,L55/J55," ")</f>
        <v/>
      </c>
      <c r="L55" s="354">
        <f>G55+D55</f>
        <v/>
      </c>
      <c r="N55" s="344">
        <f>D55+G55</f>
        <v/>
      </c>
    </row>
    <row r="56">
      <c r="A56" s="7" t="inlineStr">
        <is>
          <t>A.3 Seconded Persons</t>
        </is>
      </c>
      <c r="B56" s="342">
        <f>#REF!+#REF!+#REF!+#REF!+#REF!+#REF!+#REF!+#REF!+#REF!+#REF!</f>
        <v/>
      </c>
      <c r="C56" s="351" t="n"/>
      <c r="D56" s="352">
        <f>#REF!+#REF!+#REF!+#REF!+#REF!+#REF!+#REF!+#REF!+#REF!+#REF!</f>
        <v/>
      </c>
      <c r="E56" s="343">
        <f>#REF!+#REF!+#REF!+#REF!+#REF!+#REF!+#REF!+#REF!+#REF!+#REF!</f>
        <v/>
      </c>
      <c r="F56" s="353" t="n"/>
      <c r="G56" s="354">
        <f>#REF!+#REF!+#REF!+#REF!+#REF!+#REF!+#REF!+#REF!+#REF!+#REF!</f>
        <v/>
      </c>
      <c r="H56" s="8" t="n"/>
      <c r="I56" s="344">
        <f>D56+G56</f>
        <v/>
      </c>
      <c r="J56" s="343">
        <f>E56+B56</f>
        <v/>
      </c>
      <c r="K56" s="354">
        <f>IF(J56&gt;0,L56/J56," ")</f>
        <v/>
      </c>
      <c r="L56" s="354">
        <f>G56+D56</f>
        <v/>
      </c>
      <c r="N56" s="344">
        <f>D56+G56</f>
        <v/>
      </c>
    </row>
    <row r="57">
      <c r="A57" s="7" t="inlineStr">
        <is>
          <t>A.4 SME owners and natural person beneficiaries</t>
        </is>
      </c>
      <c r="B57" s="342">
        <f>#REF!+#REF!+#REF!+#REF!+#REF!+#REF!+#REF!+#REF!+#REF!+#REF!</f>
        <v/>
      </c>
      <c r="C57" s="351" t="n"/>
      <c r="D57" s="352">
        <f>#REF!+#REF!+#REF!+#REF!+#REF!+#REF!+#REF!+#REF!+#REF!+#REF!</f>
        <v/>
      </c>
      <c r="E57" s="343">
        <f>#REF!+#REF!+#REF!+#REF!+#REF!+#REF!+#REF!+#REF!+#REF!+#REF!</f>
        <v/>
      </c>
      <c r="F57" s="353" t="n"/>
      <c r="G57" s="354">
        <f>#REF!+#REF!+#REF!+#REF!+#REF!+#REF!+#REF!+#REF!+#REF!+#REF!</f>
        <v/>
      </c>
      <c r="H57" s="8" t="n"/>
      <c r="I57" s="344">
        <f>D57+G57</f>
        <v/>
      </c>
      <c r="J57" s="343">
        <f>E57+B57</f>
        <v/>
      </c>
      <c r="K57" s="354">
        <f>IF(J57&gt;0,L57/J57," ")</f>
        <v/>
      </c>
      <c r="L57" s="354">
        <f>G57+D57</f>
        <v/>
      </c>
      <c r="N57" s="344">
        <f>D57+G57</f>
        <v/>
      </c>
    </row>
    <row r="58">
      <c r="A58" s="11" t="inlineStr">
        <is>
          <t>B. DIRECT SUBCONTRACTING COSTS</t>
        </is>
      </c>
      <c r="B58" s="345" t="n"/>
      <c r="C58" s="340" t="n"/>
      <c r="D58" s="341" t="n"/>
      <c r="E58" s="345" t="n"/>
      <c r="F58" s="340" t="n"/>
      <c r="G58" s="341" t="n"/>
      <c r="H58" s="8" t="n"/>
      <c r="I58" s="341" t="n"/>
      <c r="J58" s="346" t="n"/>
      <c r="K58" s="341" t="n"/>
      <c r="L58" s="341" t="n"/>
      <c r="N58" s="341" t="n"/>
    </row>
    <row r="59">
      <c r="A59" s="9" t="n"/>
      <c r="B59" s="342">
        <f>#REF!+#REF!+#REF!+#REF!+#REF!+#REF!+#REF!+#REF!+#REF!+#REF!</f>
        <v/>
      </c>
      <c r="C59" s="351" t="n"/>
      <c r="D59" s="352">
        <f>#REF!+#REF!+#REF!+#REF!+#REF!+#REF!+#REF!+#REF!+#REF!+#REF!</f>
        <v/>
      </c>
      <c r="E59" s="343">
        <f>#REF!+#REF!+#REF!+#REF!+#REF!+#REF!+#REF!+#REF!+#REF!+#REF!</f>
        <v/>
      </c>
      <c r="F59" s="353" t="n"/>
      <c r="G59" s="354">
        <f>#REF!+#REF!+#REF!+#REF!+#REF!+#REF!+#REF!+#REF!+#REF!+#REF!</f>
        <v/>
      </c>
      <c r="H59" s="8" t="n"/>
      <c r="I59" s="344">
        <f>D59+G59</f>
        <v/>
      </c>
      <c r="J59" s="343">
        <f>E59+B59</f>
        <v/>
      </c>
      <c r="K59" s="354">
        <f>IF(J59&gt;0,L59/J59," ")</f>
        <v/>
      </c>
      <c r="L59" s="354">
        <f>G59+D59</f>
        <v/>
      </c>
      <c r="N59" s="344">
        <f>D59+G59</f>
        <v/>
      </c>
    </row>
    <row r="60">
      <c r="A60" s="11" t="inlineStr">
        <is>
          <t>C. DIRECT PURCHASE COSTS</t>
        </is>
      </c>
      <c r="B60" s="345" t="n"/>
      <c r="C60" s="340" t="n"/>
      <c r="D60" s="341" t="n"/>
      <c r="E60" s="345" t="n"/>
      <c r="F60" s="340" t="n"/>
      <c r="G60" s="341" t="n"/>
      <c r="H60" s="8" t="n"/>
      <c r="I60" s="341" t="n"/>
      <c r="J60" s="346" t="n"/>
      <c r="K60" s="341" t="n"/>
      <c r="L60" s="341" t="n"/>
      <c r="N60" s="341" t="n"/>
    </row>
    <row r="61">
      <c r="A61" s="39" t="inlineStr">
        <is>
          <t>C.1 Travel and subsistence</t>
        </is>
      </c>
      <c r="B61" s="342">
        <f>#REF!+#REF!+#REF!+#REF!+#REF!+#REF!+#REF!+#REF!+#REF!+#REF!</f>
        <v/>
      </c>
      <c r="C61" s="351" t="n"/>
      <c r="D61" s="352">
        <f>#REF!+#REF!+#REF!+#REF!+#REF!+#REF!+#REF!+#REF!+#REF!+#REF!</f>
        <v/>
      </c>
      <c r="E61" s="343">
        <f>#REF!+#REF!+#REF!+#REF!+#REF!+#REF!+#REF!+#REF!+#REF!+#REF!</f>
        <v/>
      </c>
      <c r="F61" s="353" t="n"/>
      <c r="G61" s="354">
        <f>#REF!+#REF!+#REF!+#REF!+#REF!+#REF!+#REF!+#REF!+#REF!+#REF!</f>
        <v/>
      </c>
      <c r="H61" s="8" t="n"/>
      <c r="I61" s="344">
        <f>D61+G61</f>
        <v/>
      </c>
      <c r="J61" s="343">
        <f>E61+B61</f>
        <v/>
      </c>
      <c r="K61" s="354">
        <f>IF(J61&gt;0,L61/J61," ")</f>
        <v/>
      </c>
      <c r="L61" s="354">
        <f>G61+D61</f>
        <v/>
      </c>
      <c r="N61" s="344">
        <f>D61+G61</f>
        <v/>
      </c>
    </row>
    <row r="62">
      <c r="A62" s="7" t="inlineStr">
        <is>
          <t>C.2 Equipment (complete 'Depreciation cost' sheet)</t>
        </is>
      </c>
      <c r="B62" s="347" t="n"/>
      <c r="C62" s="89" t="n"/>
      <c r="D62" s="89" t="n"/>
      <c r="E62" s="347" t="n"/>
      <c r="F62" s="89" t="n"/>
      <c r="G62" s="89" t="n"/>
      <c r="H62" s="8" t="n"/>
      <c r="I62" s="89" t="n"/>
      <c r="J62" s="347" t="n"/>
      <c r="K62" s="89" t="n"/>
      <c r="L62" s="89" t="n"/>
      <c r="N62" s="89" t="n"/>
    </row>
    <row r="63">
      <c r="A63" s="37" t="inlineStr">
        <is>
          <t>Equipment</t>
        </is>
      </c>
      <c r="B63" s="342">
        <f>#REF!+#REF!+#REF!+#REF!+#REF!+#REF!+#REF!+#REF!+#REF!+#REF!</f>
        <v/>
      </c>
      <c r="C63" s="351" t="n"/>
      <c r="D63" s="352">
        <f>#REF!+#REF!+#REF!+#REF!+#REF!+#REF!+#REF!+#REF!+#REF!+#REF!</f>
        <v/>
      </c>
      <c r="E63" s="343">
        <f>#REF!+#REF!+#REF!+#REF!+#REF!+#REF!+#REF!+#REF!+#REF!+#REF!</f>
        <v/>
      </c>
      <c r="F63" s="353" t="n"/>
      <c r="G63" s="354">
        <f>#REF!+#REF!+#REF!+#REF!+#REF!+#REF!+#REF!+#REF!+#REF!+#REF!</f>
        <v/>
      </c>
      <c r="H63" s="8" t="n"/>
      <c r="I63" s="344">
        <f>D63+G63</f>
        <v/>
      </c>
      <c r="J63" s="343">
        <f>E63+B63</f>
        <v/>
      </c>
      <c r="K63" s="354">
        <f>IF(J63&gt;0,L63/J63," ")</f>
        <v/>
      </c>
      <c r="L63" s="354">
        <f>G63+D63</f>
        <v/>
      </c>
      <c r="N63" s="344">
        <f>D63+G63</f>
        <v/>
      </c>
    </row>
    <row r="64">
      <c r="A64" s="37" t="inlineStr">
        <is>
          <t>Infrastructure</t>
        </is>
      </c>
      <c r="B64" s="342">
        <f>#REF!+#REF!+#REF!+#REF!+#REF!+#REF!+#REF!+#REF!+#REF!+#REF!</f>
        <v/>
      </c>
      <c r="C64" s="351" t="n"/>
      <c r="D64" s="352">
        <f>#REF!+#REF!+#REF!+#REF!+#REF!+#REF!+#REF!+#REF!+#REF!+#REF!</f>
        <v/>
      </c>
      <c r="E64" s="343">
        <f>#REF!+#REF!+#REF!+#REF!+#REF!+#REF!+#REF!+#REF!+#REF!+#REF!</f>
        <v/>
      </c>
      <c r="F64" s="353" t="n"/>
      <c r="G64" s="354">
        <f>#REF!+#REF!+#REF!+#REF!+#REF!+#REF!+#REF!+#REF!+#REF!+#REF!</f>
        <v/>
      </c>
      <c r="H64" s="8" t="n"/>
      <c r="I64" s="344">
        <f>D64+G64</f>
        <v/>
      </c>
      <c r="J64" s="343">
        <f>E64+B64</f>
        <v/>
      </c>
      <c r="K64" s="354">
        <f>IF(J64&gt;0,L64/J64," ")</f>
        <v/>
      </c>
      <c r="L64" s="354">
        <f>G64+D64</f>
        <v/>
      </c>
      <c r="N64" s="344">
        <f>D64+G64</f>
        <v/>
      </c>
    </row>
    <row r="65">
      <c r="A65" s="37" t="inlineStr">
        <is>
          <t>Other assets</t>
        </is>
      </c>
      <c r="B65" s="342">
        <f>#REF!+#REF!+#REF!+#REF!+#REF!+#REF!+#REF!+#REF!+#REF!+#REF!</f>
        <v/>
      </c>
      <c r="C65" s="351" t="n"/>
      <c r="D65" s="352">
        <f>#REF!+#REF!+#REF!+#REF!+#REF!+#REF!+#REF!+#REF!+#REF!+#REF!</f>
        <v/>
      </c>
      <c r="E65" s="343">
        <f>#REF!+#REF!+#REF!+#REF!+#REF!+#REF!+#REF!+#REF!+#REF!+#REF!</f>
        <v/>
      </c>
      <c r="F65" s="353" t="n"/>
      <c r="G65" s="354">
        <f>#REF!+#REF!+#REF!+#REF!+#REF!+#REF!+#REF!+#REF!+#REF!+#REF!</f>
        <v/>
      </c>
      <c r="H65" s="8" t="n"/>
      <c r="I65" s="344">
        <f>D65+G65</f>
        <v/>
      </c>
      <c r="J65" s="343">
        <f>E65+B65</f>
        <v/>
      </c>
      <c r="K65" s="354">
        <f>IF(J65&gt;0,L65/J65," ")</f>
        <v/>
      </c>
      <c r="L65" s="354">
        <f>G65+D65</f>
        <v/>
      </c>
      <c r="N65" s="344">
        <f>D65+G65</f>
        <v/>
      </c>
    </row>
    <row r="66">
      <c r="A66" s="7" t="inlineStr">
        <is>
          <t>C.3 Other goods, works and services</t>
        </is>
      </c>
      <c r="B66" s="347" t="n"/>
      <c r="C66" s="89" t="n"/>
      <c r="D66" s="89" t="n"/>
      <c r="E66" s="347" t="n"/>
      <c r="F66" s="89" t="n"/>
      <c r="G66" s="89" t="n"/>
      <c r="H66" s="8" t="n"/>
      <c r="I66" s="89" t="n"/>
      <c r="J66" s="347" t="n"/>
      <c r="K66" s="89" t="n"/>
      <c r="L66" s="89" t="n"/>
      <c r="N66" s="89" t="n"/>
    </row>
    <row r="67">
      <c r="A67" s="37" t="inlineStr">
        <is>
          <t>Consumables</t>
        </is>
      </c>
      <c r="B67" s="342">
        <f>#REF!+#REF!+#REF!+#REF!+#REF!+#REF!+#REF!+#REF!+#REF!+#REF!</f>
        <v/>
      </c>
      <c r="C67" s="351" t="n"/>
      <c r="D67" s="352">
        <f>#REF!+#REF!+#REF!+#REF!+#REF!+#REF!+#REF!+#REF!+#REF!+#REF!</f>
        <v/>
      </c>
      <c r="E67" s="343">
        <f>#REF!+#REF!+#REF!+#REF!+#REF!+#REF!+#REF!+#REF!+#REF!+#REF!</f>
        <v/>
      </c>
      <c r="F67" s="353" t="n"/>
      <c r="G67" s="354">
        <f>#REF!+#REF!+#REF!+#REF!+#REF!+#REF!+#REF!+#REF!+#REF!+#REF!</f>
        <v/>
      </c>
      <c r="H67" s="8" t="n"/>
      <c r="I67" s="344">
        <f>D67+G67</f>
        <v/>
      </c>
      <c r="J67" s="343">
        <f>E67+B67</f>
        <v/>
      </c>
      <c r="K67" s="354">
        <f>IF(J67&gt;0,L67/J67," ")</f>
        <v/>
      </c>
      <c r="L67" s="354">
        <f>G67+D67</f>
        <v/>
      </c>
      <c r="N67" s="344">
        <f>D67+G67</f>
        <v/>
      </c>
    </row>
    <row r="68">
      <c r="A68" s="37" t="inlineStr">
        <is>
          <t>Services for meetings, seminars</t>
        </is>
      </c>
      <c r="B68" s="342">
        <f>#REF!+#REF!+#REF!+#REF!+#REF!+#REF!+#REF!+#REF!+#REF!+#REF!</f>
        <v/>
      </c>
      <c r="C68" s="351" t="n"/>
      <c r="D68" s="352">
        <f>#REF!+#REF!+#REF!+#REF!+#REF!+#REF!+#REF!+#REF!+#REF!+#REF!</f>
        <v/>
      </c>
      <c r="E68" s="343">
        <f>#REF!+#REF!+#REF!+#REF!+#REF!+#REF!+#REF!+#REF!+#REF!+#REF!</f>
        <v/>
      </c>
      <c r="F68" s="353" t="n"/>
      <c r="G68" s="354">
        <f>#REF!+#REF!+#REF!+#REF!+#REF!+#REF!+#REF!+#REF!+#REF!+#REF!</f>
        <v/>
      </c>
      <c r="H68" s="8" t="n"/>
      <c r="I68" s="344">
        <f>D68+G68</f>
        <v/>
      </c>
      <c r="J68" s="343">
        <f>E68+B68</f>
        <v/>
      </c>
      <c r="K68" s="354">
        <f>IF(J68&gt;0,L68/J68," ")</f>
        <v/>
      </c>
      <c r="L68" s="354">
        <f>G68+D68</f>
        <v/>
      </c>
      <c r="N68" s="344">
        <f>D68+G68</f>
        <v/>
      </c>
    </row>
    <row r="69">
      <c r="A69" s="37" t="inlineStr">
        <is>
          <t>Services for dissemination activities (including website)</t>
        </is>
      </c>
      <c r="B69" s="342">
        <f>#REF!+#REF!+#REF!+#REF!+#REF!+#REF!+#REF!+#REF!+#REF!+#REF!</f>
        <v/>
      </c>
      <c r="C69" s="351" t="n"/>
      <c r="D69" s="352">
        <f>#REF!+#REF!+#REF!+#REF!+#REF!+#REF!+#REF!+#REF!+#REF!+#REF!</f>
        <v/>
      </c>
      <c r="E69" s="343">
        <f>#REF!+#REF!+#REF!+#REF!+#REF!+#REF!+#REF!+#REF!+#REF!+#REF!</f>
        <v/>
      </c>
      <c r="F69" s="353" t="n"/>
      <c r="G69" s="354">
        <f>#REF!+#REF!+#REF!+#REF!+#REF!+#REF!+#REF!+#REF!+#REF!+#REF!</f>
        <v/>
      </c>
      <c r="H69" s="8" t="n"/>
      <c r="I69" s="344">
        <f>D69+G69</f>
        <v/>
      </c>
      <c r="J69" s="343">
        <f>E69+B69</f>
        <v/>
      </c>
      <c r="K69" s="354">
        <f>IF(J69&gt;0,L69/J69," ")</f>
        <v/>
      </c>
      <c r="L69" s="354">
        <f>G69+D69</f>
        <v/>
      </c>
      <c r="N69" s="344">
        <f>D69+G69</f>
        <v/>
      </c>
    </row>
    <row r="70">
      <c r="A70" s="37" t="inlineStr">
        <is>
          <t>Publication fees</t>
        </is>
      </c>
      <c r="B70" s="342">
        <f>#REF!+#REF!+#REF!+#REF!+#REF!+#REF!+#REF!+#REF!+#REF!+#REF!</f>
        <v/>
      </c>
      <c r="C70" s="351" t="n"/>
      <c r="D70" s="352">
        <f>#REF!+#REF!+#REF!+#REF!+#REF!+#REF!+#REF!+#REF!+#REF!+#REF!</f>
        <v/>
      </c>
      <c r="E70" s="343">
        <f>#REF!+#REF!+#REF!+#REF!+#REF!+#REF!+#REF!+#REF!+#REF!+#REF!</f>
        <v/>
      </c>
      <c r="F70" s="353" t="n"/>
      <c r="G70" s="354">
        <f>#REF!+#REF!+#REF!+#REF!+#REF!+#REF!+#REF!+#REF!+#REF!+#REF!</f>
        <v/>
      </c>
      <c r="H70" s="8" t="n"/>
      <c r="I70" s="344">
        <f>D70+G70</f>
        <v/>
      </c>
      <c r="J70" s="343">
        <f>E70+B70</f>
        <v/>
      </c>
      <c r="K70" s="354">
        <f>IF(J70&gt;0,L70/J70," ")</f>
        <v/>
      </c>
      <c r="L70" s="354">
        <f>G70+D70</f>
        <v/>
      </c>
      <c r="N70" s="344">
        <f>D70+G70</f>
        <v/>
      </c>
    </row>
    <row r="71">
      <c r="A71" s="37" t="inlineStr">
        <is>
          <t>Other (shipment,insurance, translation, etc.)</t>
        </is>
      </c>
      <c r="B71" s="342">
        <f>#REF!+#REF!+#REF!+#REF!+#REF!+#REF!+#REF!+#REF!+#REF!+#REF!</f>
        <v/>
      </c>
      <c r="C71" s="351" t="n"/>
      <c r="D71" s="352">
        <f>#REF!+#REF!+#REF!+#REF!+#REF!+#REF!+#REF!+#REF!+#REF!+#REF!</f>
        <v/>
      </c>
      <c r="E71" s="343">
        <f>#REF!+#REF!+#REF!+#REF!+#REF!+#REF!+#REF!+#REF!+#REF!+#REF!</f>
        <v/>
      </c>
      <c r="F71" s="353" t="n"/>
      <c r="G71" s="354">
        <f>#REF!+#REF!+#REF!+#REF!+#REF!+#REF!+#REF!+#REF!+#REF!+#REF!</f>
        <v/>
      </c>
      <c r="H71" s="8" t="n"/>
      <c r="I71" s="344">
        <f>D71+G71</f>
        <v/>
      </c>
      <c r="J71" s="343">
        <f>E71+B71</f>
        <v/>
      </c>
      <c r="K71" s="354">
        <f>IF(J71&gt;0,L71/J71," ")</f>
        <v/>
      </c>
      <c r="L71" s="354">
        <f>G71+D71</f>
        <v/>
      </c>
      <c r="N71" s="344">
        <f>D71+G71</f>
        <v/>
      </c>
    </row>
    <row r="72">
      <c r="A72" s="6" t="inlineStr">
        <is>
          <t>D. OTHER COST CATEGORIES</t>
        </is>
      </c>
      <c r="B72" s="345" t="n"/>
      <c r="C72" s="340" t="n"/>
      <c r="D72" s="341" t="n"/>
      <c r="E72" s="345" t="n"/>
      <c r="F72" s="340" t="n"/>
      <c r="G72" s="341" t="n"/>
      <c r="H72" s="8" t="n"/>
      <c r="I72" s="341" t="n"/>
      <c r="J72" s="346" t="n"/>
      <c r="K72" s="341" t="n"/>
      <c r="L72" s="341" t="n"/>
      <c r="N72" s="341" t="n"/>
    </row>
    <row r="73">
      <c r="A73" s="40" t="inlineStr">
        <is>
          <t>D.1 Financial support to third parties (if applicable in the topic specific conditions)</t>
        </is>
      </c>
      <c r="B73" s="342">
        <f>#REF!+#REF!+#REF!+#REF!+#REF!+#REF!+#REF!+#REF!+#REF!+#REF!</f>
        <v/>
      </c>
      <c r="C73" s="351" t="n"/>
      <c r="D73" s="352">
        <f>#REF!+#REF!+#REF!+#REF!+#REF!+#REF!+#REF!+#REF!+#REF!+#REF!</f>
        <v/>
      </c>
      <c r="E73" s="343">
        <f>#REF!+#REF!+#REF!+#REF!+#REF!+#REF!+#REF!+#REF!+#REF!+#REF!</f>
        <v/>
      </c>
      <c r="F73" s="353" t="n"/>
      <c r="G73" s="354">
        <f>#REF!+#REF!+#REF!+#REF!+#REF!+#REF!+#REF!+#REF!+#REF!+#REF!</f>
        <v/>
      </c>
      <c r="H73" s="8" t="n"/>
      <c r="I73" s="344">
        <f>D73+G73</f>
        <v/>
      </c>
      <c r="J73" s="343">
        <f>E73+B73</f>
        <v/>
      </c>
      <c r="K73" s="354">
        <f>IF(J73&gt;0,L73/J73," ")</f>
        <v/>
      </c>
      <c r="L73" s="354">
        <f>G73+D73</f>
        <v/>
      </c>
      <c r="N73" s="344">
        <f>D73+G73</f>
        <v/>
      </c>
    </row>
    <row r="74">
      <c r="A74" s="39" t="inlineStr">
        <is>
          <t>D.2 Internally invoiced goods and services</t>
        </is>
      </c>
      <c r="B74" s="342">
        <f>#REF!+#REF!+#REF!+#REF!+#REF!+#REF!+#REF!+#REF!+#REF!+#REF!</f>
        <v/>
      </c>
      <c r="C74" s="351" t="n"/>
      <c r="D74" s="352">
        <f>#REF!+#REF!+#REF!+#REF!+#REF!+#REF!+#REF!+#REF!+#REF!+#REF!</f>
        <v/>
      </c>
      <c r="E74" s="343">
        <f>#REF!+#REF!+#REF!+#REF!+#REF!+#REF!+#REF!+#REF!+#REF!+#REF!</f>
        <v/>
      </c>
      <c r="F74" s="353" t="n"/>
      <c r="G74" s="354">
        <f>#REF!+#REF!+#REF!+#REF!+#REF!+#REF!+#REF!+#REF!+#REF!+#REF!</f>
        <v/>
      </c>
      <c r="H74" s="8" t="n"/>
      <c r="I74" s="344">
        <f>D74+G74</f>
        <v/>
      </c>
      <c r="J74" s="343">
        <f>E74+B74</f>
        <v/>
      </c>
      <c r="K74" s="354">
        <f>IF(J74&gt;0,L74/J74," ")</f>
        <v/>
      </c>
      <c r="L74" s="354">
        <f>G74+D74</f>
        <v/>
      </c>
      <c r="N74" s="344">
        <f>D74+G74</f>
        <v/>
      </c>
    </row>
    <row r="75">
      <c r="A75" s="39" t="inlineStr">
        <is>
          <t>D.3 Transnational access to research infrastructure unit costs (if required in the topic specific conditions)</t>
        </is>
      </c>
      <c r="B75" s="342">
        <f>#REF!+#REF!+#REF!+#REF!+#REF!+#REF!+#REF!+#REF!+#REF!+#REF!</f>
        <v/>
      </c>
      <c r="C75" s="351" t="n"/>
      <c r="D75" s="352">
        <f>#REF!+#REF!+#REF!+#REF!+#REF!+#REF!+#REF!+#REF!+#REF!+#REF!</f>
        <v/>
      </c>
      <c r="E75" s="343">
        <f>#REF!+#REF!+#REF!+#REF!+#REF!+#REF!+#REF!+#REF!+#REF!+#REF!</f>
        <v/>
      </c>
      <c r="F75" s="353" t="n"/>
      <c r="G75" s="354">
        <f>#REF!+#REF!+#REF!+#REF!+#REF!+#REF!+#REF!+#REF!+#REF!+#REF!</f>
        <v/>
      </c>
      <c r="H75" s="8" t="n"/>
      <c r="I75" s="344">
        <f>D75+G75</f>
        <v/>
      </c>
      <c r="J75" s="343">
        <f>E75+B75</f>
        <v/>
      </c>
      <c r="K75" s="354">
        <f>IF(J75&gt;0,L75/J75," ")</f>
        <v/>
      </c>
      <c r="L75" s="354">
        <f>G75+D75</f>
        <v/>
      </c>
      <c r="N75" s="344">
        <f>D75+G75</f>
        <v/>
      </c>
    </row>
    <row r="76">
      <c r="A76" s="39" t="inlineStr">
        <is>
          <t>D.4 Virtual access to research infrastructure unit costs (if required in the topic specific conditions)</t>
        </is>
      </c>
      <c r="B76" s="342">
        <f>#REF!+#REF!+#REF!+#REF!+#REF!+#REF!+#REF!+#REF!+#REF!+#REF!</f>
        <v/>
      </c>
      <c r="C76" s="351" t="n"/>
      <c r="D76" s="352">
        <f>#REF!+#REF!+#REF!+#REF!+#REF!+#REF!+#REF!+#REF!+#REF!+#REF!</f>
        <v/>
      </c>
      <c r="E76" s="343">
        <f>#REF!+#REF!+#REF!+#REF!+#REF!+#REF!+#REF!+#REF!+#REF!+#REF!</f>
        <v/>
      </c>
      <c r="F76" s="353" t="n"/>
      <c r="G76" s="354">
        <f>#REF!+#REF!+#REF!+#REF!+#REF!+#REF!+#REF!+#REF!+#REF!+#REF!</f>
        <v/>
      </c>
      <c r="H76" s="8" t="n"/>
      <c r="I76" s="344">
        <f>D76+G76</f>
        <v/>
      </c>
      <c r="J76" s="343">
        <f>E76+B76</f>
        <v/>
      </c>
      <c r="K76" s="354">
        <f>IF(J76&gt;0,L76/J76," ")</f>
        <v/>
      </c>
      <c r="L76" s="354">
        <f>G76+D76</f>
        <v/>
      </c>
      <c r="N76" s="344">
        <f>D76+G76</f>
        <v/>
      </c>
    </row>
    <row r="77">
      <c r="A77" s="39" t="inlineStr">
        <is>
          <t>D.5 PCP/PPI procurement costs (if mentioned as eligible in the topic specific conditions)</t>
        </is>
      </c>
      <c r="B77" s="342">
        <f>#REF!+#REF!+#REF!+#REF!+#REF!+#REF!+#REF!+#REF!+#REF!+#REF!</f>
        <v/>
      </c>
      <c r="C77" s="351" t="n"/>
      <c r="D77" s="352">
        <f>#REF!+#REF!+#REF!+#REF!+#REF!+#REF!+#REF!+#REF!+#REF!+#REF!</f>
        <v/>
      </c>
      <c r="E77" s="343">
        <f>#REF!+#REF!+#REF!+#REF!+#REF!+#REF!+#REF!+#REF!+#REF!+#REF!</f>
        <v/>
      </c>
      <c r="F77" s="353" t="n"/>
      <c r="G77" s="354">
        <f>#REF!+#REF!+#REF!+#REF!+#REF!+#REF!+#REF!+#REF!+#REF!+#REF!</f>
        <v/>
      </c>
      <c r="H77" s="8" t="n"/>
      <c r="I77" s="344">
        <f>D77+G77</f>
        <v/>
      </c>
      <c r="J77" s="343">
        <f>E77+B77</f>
        <v/>
      </c>
      <c r="K77" s="354">
        <f>IF(J77&gt;0,L77/J77," ")</f>
        <v/>
      </c>
      <c r="L77" s="354">
        <f>G77+D77</f>
        <v/>
      </c>
      <c r="N77" s="344">
        <f>D77+G77</f>
        <v/>
      </c>
    </row>
    <row r="78">
      <c r="A78" s="16" t="n"/>
      <c r="B78" s="347" t="n"/>
      <c r="C78" s="89" t="n"/>
      <c r="D78" s="89" t="n"/>
      <c r="E78" s="347" t="n"/>
      <c r="F78" s="89" t="n"/>
      <c r="G78" s="89" t="n"/>
      <c r="H78" s="8" t="n"/>
      <c r="I78" s="89" t="n"/>
      <c r="J78" s="347" t="n"/>
      <c r="K78" s="89" t="n"/>
      <c r="L78" s="89" t="n"/>
      <c r="N78" s="89" t="n"/>
    </row>
    <row r="79">
      <c r="A79" s="41" t="inlineStr">
        <is>
          <t>TOTAL DIRECT PERSONNEL COSTS AND PURCHASE COSTS (A+C)</t>
        </is>
      </c>
      <c r="B79" s="348" t="n"/>
      <c r="C79" s="214" t="n"/>
      <c r="D79" s="349">
        <f>SUM(D50:D57,D61:D71)</f>
        <v/>
      </c>
      <c r="E79" s="348" t="n"/>
      <c r="F79" s="214" t="n"/>
      <c r="G79" s="349">
        <f>SUM(G50:G57,G61:G71)</f>
        <v/>
      </c>
      <c r="H79" s="8" t="n"/>
      <c r="I79" s="349">
        <f>SUM(I50:I57,I61:I71)</f>
        <v/>
      </c>
      <c r="J79" s="348" t="n"/>
      <c r="K79" s="349" t="n"/>
      <c r="L79" s="349">
        <f>SUM(L50:L57,L61:L71)</f>
        <v/>
      </c>
      <c r="N79" s="349">
        <f>SUM(N50:N57,N61:N71)</f>
        <v/>
      </c>
    </row>
    <row r="80">
      <c r="A80" s="41" t="inlineStr">
        <is>
          <t>TOTAL DIRECT COSTS  (A+B+C+D)</t>
        </is>
      </c>
      <c r="B80" s="348" t="n"/>
      <c r="C80" s="214" t="n"/>
      <c r="D80" s="349">
        <f>SUM(D50:D77)</f>
        <v/>
      </c>
      <c r="E80" s="348" t="n"/>
      <c r="F80" s="214" t="n"/>
      <c r="G80" s="349">
        <f>SUM(G50:G77)</f>
        <v/>
      </c>
      <c r="H80" s="8" t="n"/>
      <c r="I80" s="349">
        <f>SUM(I50:I77)</f>
        <v/>
      </c>
      <c r="J80" s="348" t="n"/>
      <c r="K80" s="349" t="n"/>
      <c r="L80" s="349">
        <f>SUM(L50:L77)</f>
        <v/>
      </c>
      <c r="N80" s="349">
        <f>SUM(N50:N77)</f>
        <v/>
      </c>
    </row>
    <row r="81" ht="6.95" customHeight="1">
      <c r="B81" s="350" t="n"/>
      <c r="C81" s="8" t="n"/>
      <c r="D81" s="8" t="n"/>
      <c r="E81" s="350" t="n"/>
      <c r="F81" s="8" t="n"/>
      <c r="G81" s="8" t="n"/>
      <c r="H81" s="8" t="n"/>
      <c r="I81" s="8" t="n"/>
      <c r="J81" s="350" t="n"/>
      <c r="K81" s="8" t="n"/>
      <c r="L81" s="8" t="n"/>
    </row>
    <row r="82">
      <c r="A82" s="11" t="inlineStr">
        <is>
          <t>E. INDIRECT COSTS (25% * (A+C))</t>
        </is>
      </c>
      <c r="B82" s="348" t="n"/>
      <c r="C82" s="214" t="n"/>
      <c r="D82" s="349">
        <f>+D79*0.25</f>
        <v/>
      </c>
      <c r="E82" s="348" t="n"/>
      <c r="F82" s="214" t="n"/>
      <c r="G82" s="349">
        <f>+G79*0.25</f>
        <v/>
      </c>
      <c r="H82" s="8" t="n"/>
      <c r="I82" s="349">
        <f>+I79*0.25</f>
        <v/>
      </c>
      <c r="J82" s="348" t="n"/>
      <c r="K82" s="349" t="n"/>
      <c r="L82" s="349">
        <f>+L79*0.25</f>
        <v/>
      </c>
      <c r="N82" s="349">
        <f>+N79*0.25</f>
        <v/>
      </c>
    </row>
    <row r="83" ht="6.95" customHeight="1">
      <c r="B83" s="350" t="n"/>
      <c r="C83" s="8" t="n"/>
      <c r="D83" s="8" t="n"/>
      <c r="E83" s="350" t="n"/>
      <c r="F83" s="8" t="n"/>
      <c r="G83" s="8" t="n"/>
      <c r="H83" s="8" t="n"/>
      <c r="I83" s="8" t="n"/>
      <c r="J83" s="350" t="n"/>
      <c r="K83" s="8" t="n"/>
      <c r="L83" s="8" t="n"/>
    </row>
    <row r="84">
      <c r="A84" s="11" t="inlineStr">
        <is>
          <t>F. TOTAL COSTS (A+B+C+D+E)</t>
        </is>
      </c>
      <c r="B84" s="348" t="n"/>
      <c r="C84" s="214" t="n"/>
      <c r="D84" s="349">
        <f>D80+D82</f>
        <v/>
      </c>
      <c r="E84" s="348" t="n"/>
      <c r="F84" s="214" t="n"/>
      <c r="G84" s="349">
        <f>G80+G82</f>
        <v/>
      </c>
      <c r="H84" s="8" t="n"/>
      <c r="I84" s="349">
        <f>I80+I82</f>
        <v/>
      </c>
      <c r="J84" s="348" t="n"/>
      <c r="K84" s="349" t="n"/>
      <c r="L84" s="349">
        <f>L80+L82</f>
        <v/>
      </c>
      <c r="N84" s="349">
        <f>N80+N82</f>
        <v/>
      </c>
    </row>
    <row r="85" ht="6.95" customHeight="1">
      <c r="B85" s="8" t="n"/>
      <c r="C85" s="8" t="n"/>
      <c r="D85" s="8" t="n"/>
      <c r="E85" s="8" t="n"/>
      <c r="F85" s="8" t="n"/>
      <c r="G85" s="8" t="n"/>
      <c r="H85" s="8" t="n"/>
      <c r="I85" s="8" t="n"/>
      <c r="J85" s="8" t="n"/>
      <c r="K85" s="8" t="n"/>
      <c r="L85" s="8" t="n"/>
    </row>
    <row r="86">
      <c r="A86" s="209" t="n"/>
      <c r="B86" s="207" t="n"/>
      <c r="C86" s="209" t="n"/>
      <c r="D86" s="208" t="n"/>
      <c r="E86" s="207" t="n"/>
      <c r="F86" s="209" t="n"/>
      <c r="G86" s="208" t="n"/>
      <c r="H86" s="208" t="n"/>
      <c r="I86" s="208" t="n"/>
      <c r="J86" s="208" t="n"/>
      <c r="K86" s="208" t="n"/>
      <c r="L86" s="208" t="n"/>
      <c r="M86" s="209" t="n"/>
      <c r="N86" s="210" t="n"/>
    </row>
  </sheetData>
  <sheetProtection selectLockedCells="0" selectUnlockedCells="0" algorithmName="SHA-512" sheet="1" objects="1" insertRows="1" insertHyperlinks="1" autoFilter="1" scenarios="1" formatColumns="1" deleteColumns="1" insertColumns="1" pivotTables="1" deleteRows="1" formatCells="1" saltValue="5RFCF8Z4EY/WE+Ide5vlZQ==" formatRows="1" sort="1" spinCount="100000" hashValue="iYIuvrPe8hBrXrQ4biJO50Y9a2qClUKgzdDwmS3gMYk7alMJkFpohjhjdVWMBLiicke6Tk1s+Oq0H3mDIdOOTA=="/>
  <mergeCells count="6">
    <mergeCell ref="E2:G2"/>
    <mergeCell ref="J2:K2"/>
    <mergeCell ref="A5:N5"/>
    <mergeCell ref="A46:N46"/>
    <mergeCell ref="B2:D2"/>
    <mergeCell ref="A1:N1"/>
  </mergeCells>
  <pageMargins left="0.2362204724409449" right="0.2362204724409449" top="0.7480314960629921" bottom="0.7480314960629921" header="0.3149606299212598" footer="0.3149606299212598"/>
  <pageSetup orientation="landscape" paperSize="8" scale="79" fitToHeight="0"/>
</worksheet>
</file>

<file path=xl/worksheets/sheet9.xml><?xml version="1.0" encoding="utf-8"?>
<worksheet xmlns="http://schemas.openxmlformats.org/spreadsheetml/2006/main">
  <sheetPr codeName="Sheet108">
    <tabColor theme="3" tint="0.7999816888943144"/>
    <outlinePr summaryBelow="1" summaryRight="1"/>
    <pageSetUpPr fitToPage="1"/>
  </sheetPr>
  <dimension ref="A1:N331"/>
  <sheetViews>
    <sheetView zoomScale="80" zoomScaleNormal="80" workbookViewId="0">
      <pane xSplit="1" ySplit="3" topLeftCell="J4" activePane="bottomRight" state="frozenSplit"/>
      <selection pane="bottomRight" activeCell="A1" sqref="A1:N1"/>
      <selection pane="bottomLeft" activeCell="A4" sqref="A4"/>
      <selection pane="topRight" activeCell="B7" sqref="B7"/>
    </sheetView>
  </sheetViews>
  <sheetFormatPr baseColWidth="8" defaultColWidth="8.7109375" defaultRowHeight="14.45"/>
  <cols>
    <col width="100.7109375" customWidth="1" min="1" max="1"/>
    <col hidden="1" width="10.28515625" customWidth="1" min="2" max="2"/>
    <col hidden="1" width="4.5703125" customWidth="1" min="3" max="3"/>
    <col hidden="1" width="19.5703125" customWidth="1" min="4" max="4"/>
    <col hidden="1" width="10.28515625" customWidth="1" min="5" max="5"/>
    <col hidden="1" width="3" customWidth="1" min="6" max="6"/>
    <col hidden="1" width="15.7109375" customWidth="1" min="7" max="7"/>
    <col hidden="1" width="1.7109375" customWidth="1" min="8" max="8"/>
    <col hidden="1" width="18" customWidth="1" min="9" max="9"/>
    <col width="15.7109375" customWidth="1" min="10" max="11"/>
    <col hidden="1" width="20.7109375" customWidth="1" min="12" max="12"/>
    <col width="1.7109375" customWidth="1" min="13" max="13"/>
    <col width="20.7109375" customWidth="1" min="14" max="14"/>
  </cols>
  <sheetData>
    <row r="1" ht="23.45" customHeight="1">
      <c r="A1" s="337" t="inlineStr">
        <is>
          <t>SUM OF ALL BENEFICIARIES (including AFFILIATED ENTITIES) FOR ALL THE WORK PACKAGES</t>
        </is>
      </c>
      <c r="B1" s="338" t="n"/>
      <c r="C1" s="338" t="n"/>
      <c r="D1" s="338" t="n"/>
      <c r="E1" s="338" t="n"/>
      <c r="F1" s="338" t="n"/>
      <c r="G1" s="338" t="n"/>
      <c r="H1" s="338" t="n"/>
      <c r="I1" s="338" t="n"/>
      <c r="J1" s="338" t="n"/>
      <c r="K1" s="338" t="n"/>
      <c r="L1" s="338" t="n"/>
      <c r="M1" s="338" t="n"/>
      <c r="N1" s="339" t="n"/>
    </row>
    <row r="2" ht="30.4" customHeight="1">
      <c r="A2" s="23" t="n"/>
      <c r="B2" s="299" t="inlineStr">
        <is>
          <t>ALL BENEFICIARIES 
(without affiliated entities)</t>
        </is>
      </c>
      <c r="C2" s="338" t="n"/>
      <c r="D2" s="339" t="n"/>
      <c r="E2" s="299" t="inlineStr">
        <is>
          <t>ALL AFFILIATED ENTITIES</t>
        </is>
      </c>
      <c r="F2" s="338" t="n"/>
      <c r="G2" s="339" t="n"/>
      <c r="H2" s="88" t="n"/>
      <c r="I2" s="299" t="n"/>
      <c r="J2" s="301" t="inlineStr">
        <is>
          <t>ALL BENEFICIARIES 
(with affiliated entities)</t>
        </is>
      </c>
      <c r="K2" s="339" t="n"/>
      <c r="L2" s="21" t="n"/>
      <c r="M2" s="88" t="n"/>
      <c r="N2" s="18" t="n"/>
    </row>
    <row r="3" ht="108" customHeight="1">
      <c r="A3" s="19" t="inlineStr">
        <is>
          <t xml:space="preserve"> COST CATEGORY</t>
        </is>
      </c>
      <c r="B3" s="21" t="inlineStr">
        <is>
          <t>ITEMS</t>
        </is>
      </c>
      <c r="C3" s="299" t="inlineStr">
        <is>
          <t>COST PER ITEM</t>
        </is>
      </c>
      <c r="D3" s="21" t="inlineStr">
        <is>
          <t>BE TOTAL COSTS</t>
        </is>
      </c>
      <c r="E3" s="22" t="inlineStr">
        <is>
          <t>ITEMS</t>
        </is>
      </c>
      <c r="F3" s="25" t="inlineStr">
        <is>
          <t>COST PER ITEM</t>
        </is>
      </c>
      <c r="G3" s="22" t="inlineStr">
        <is>
          <t>AE TOTAL COSTS</t>
        </is>
      </c>
      <c r="H3" s="88" t="n"/>
      <c r="I3" s="22" t="n"/>
      <c r="J3" s="299" t="inlineStr">
        <is>
          <t>ITEMS
(TOTAL)</t>
        </is>
      </c>
      <c r="K3" s="299" t="inlineStr">
        <is>
          <t>AVERAGE COST PER ITEM</t>
        </is>
      </c>
      <c r="L3" s="299" t="inlineStr">
        <is>
          <t>BE+TP TOTAL COSTS</t>
        </is>
      </c>
      <c r="M3" s="88" t="n"/>
      <c r="N3" s="18" t="inlineStr">
        <is>
          <t>TOTAL COSTS</t>
        </is>
      </c>
    </row>
    <row r="4" ht="14.45" customHeight="1">
      <c r="A4" s="209" t="n"/>
      <c r="B4" s="207" t="n"/>
      <c r="C4" s="209" t="n"/>
      <c r="D4" s="208" t="n"/>
      <c r="E4" s="207" t="n"/>
      <c r="F4" s="209" t="n"/>
      <c r="G4" s="208" t="n"/>
      <c r="H4" s="208" t="n"/>
      <c r="I4" s="208" t="n"/>
      <c r="J4" s="208" t="n"/>
      <c r="K4" s="208" t="n"/>
      <c r="L4" s="208" t="n"/>
      <c r="M4" s="209" t="n"/>
      <c r="N4" s="210" t="n"/>
    </row>
    <row r="5" ht="21" customHeight="1">
      <c r="A5" s="300" t="inlineStr">
        <is>
          <t>COSTS WORK PACKAGE 1: Management, IP and Innovation Management</t>
        </is>
      </c>
      <c r="B5" s="338" t="n"/>
      <c r="C5" s="338" t="n"/>
      <c r="D5" s="338" t="n"/>
      <c r="E5" s="338" t="n"/>
      <c r="F5" s="338" t="n"/>
      <c r="G5" s="338" t="n"/>
      <c r="H5" s="338" t="n"/>
      <c r="I5" s="338" t="n"/>
      <c r="J5" s="338" t="n"/>
      <c r="K5" s="338" t="n"/>
      <c r="L5" s="338" t="n"/>
      <c r="M5" s="338" t="n"/>
      <c r="N5" s="339" t="n"/>
    </row>
    <row r="6" ht="6.95" customHeight="1">
      <c r="A6" s="8" t="n"/>
      <c r="B6" s="8" t="n"/>
      <c r="C6" s="8" t="n"/>
      <c r="D6" s="8" t="n"/>
      <c r="E6" s="8" t="n"/>
      <c r="F6" s="8" t="n"/>
      <c r="G6" s="8" t="n"/>
      <c r="H6" s="8" t="n"/>
      <c r="I6" s="8" t="n"/>
      <c r="J6" s="8" t="n"/>
      <c r="K6" s="8" t="n"/>
      <c r="L6" s="8" t="n"/>
      <c r="M6" s="8" t="n"/>
      <c r="N6" s="8" t="n"/>
    </row>
    <row r="7" ht="14.45" customHeight="1">
      <c r="A7" s="11" t="inlineStr">
        <is>
          <t>A. DIRECT PERSONNEL COSTS</t>
        </is>
      </c>
      <c r="B7" s="4" t="n"/>
      <c r="C7" s="340" t="n"/>
      <c r="D7" s="341" t="n"/>
      <c r="E7" s="4" t="n"/>
      <c r="F7" s="340" t="n"/>
      <c r="G7" s="341" t="n"/>
      <c r="H7" s="8" t="n"/>
      <c r="I7" s="341" t="n"/>
      <c r="J7" s="341" t="n"/>
      <c r="K7" s="341" t="n"/>
      <c r="L7" s="341" t="n"/>
      <c r="M7" s="8" t="n"/>
      <c r="N7" s="341" t="n"/>
    </row>
    <row r="8" ht="14.45" customHeight="1">
      <c r="A8" s="7" t="inlineStr">
        <is>
          <t>A.1 Employees (or equivalent)</t>
        </is>
      </c>
      <c r="B8" s="89" t="n"/>
      <c r="C8" s="89" t="n"/>
      <c r="D8" s="89" t="n"/>
      <c r="E8" s="89" t="n"/>
      <c r="F8" s="89" t="n"/>
      <c r="G8" s="89" t="n"/>
      <c r="H8" s="8" t="n"/>
      <c r="I8" s="89" t="n"/>
      <c r="J8" s="89" t="n"/>
      <c r="K8" s="89" t="n"/>
      <c r="L8" s="89" t="n"/>
      <c r="M8" s="8" t="n"/>
      <c r="N8" s="89" t="n"/>
    </row>
    <row r="9" ht="14.45" customHeight="1">
      <c r="A9" s="36" t="inlineStr">
        <is>
          <t>SENIOR SCIENTISTS (or equivalent in the private sector)</t>
        </is>
      </c>
      <c r="B9" s="342">
        <f>'BE1'!B9+'BE2'!B9+'BE3'!B9+'BE4'!B9</f>
        <v/>
      </c>
      <c r="C9" s="228" t="n"/>
      <c r="D9" s="229">
        <f>'BE1'!D9+'BE2'!D9+'BE3'!D9+'BE4'!D9</f>
        <v/>
      </c>
      <c r="E9" s="343" t="n"/>
      <c r="F9" s="226" t="n"/>
      <c r="G9" s="225" t="n"/>
      <c r="H9" s="8" t="n"/>
      <c r="I9" s="344">
        <f>D9+G9</f>
        <v/>
      </c>
      <c r="J9" s="343">
        <f>E9+B9</f>
        <v/>
      </c>
      <c r="K9" s="225">
        <f>IF(J9&gt;0,L9/J9," ")</f>
        <v/>
      </c>
      <c r="L9" s="225">
        <f>G9+D9</f>
        <v/>
      </c>
      <c r="M9" s="8" t="n"/>
      <c r="N9" s="222">
        <f>D9+G9</f>
        <v/>
      </c>
    </row>
    <row r="10" ht="14.45" customHeight="1">
      <c r="A10" s="36" t="inlineStr">
        <is>
          <t>JUNIOR SCIENTISTS (or equivalent in the private sector)</t>
        </is>
      </c>
      <c r="B10" s="342">
        <f>'BE1'!B10+'BE2'!B10+'BE3'!B10+'BE4'!B10</f>
        <v/>
      </c>
      <c r="C10" s="228" t="n"/>
      <c r="D10" s="229">
        <f>'BE1'!D10+'BE2'!D10+'BE3'!D10+'BE4'!D10</f>
        <v/>
      </c>
      <c r="E10" s="343" t="n"/>
      <c r="F10" s="226" t="n"/>
      <c r="G10" s="225" t="n"/>
      <c r="H10" s="8" t="n"/>
      <c r="I10" s="344">
        <f>D10+G10</f>
        <v/>
      </c>
      <c r="J10" s="343">
        <f>E10+B10</f>
        <v/>
      </c>
      <c r="K10" s="225">
        <f>IF(J10&gt;0,L10/J10," ")</f>
        <v/>
      </c>
      <c r="L10" s="225">
        <f>G10+D10</f>
        <v/>
      </c>
      <c r="M10" s="8" t="n"/>
      <c r="N10" s="222">
        <f>D10+G10</f>
        <v/>
      </c>
    </row>
    <row r="11" ht="14.45" customHeight="1">
      <c r="A11" s="36" t="inlineStr">
        <is>
          <t>TECHNICAL PERSONNEL (or equivalent in the private sector)</t>
        </is>
      </c>
      <c r="B11" s="342">
        <f>'BE1'!B11+'BE2'!B11+'BE3'!B11+'BE4'!B11</f>
        <v/>
      </c>
      <c r="C11" s="228" t="n"/>
      <c r="D11" s="229">
        <f>'BE1'!D11+'BE2'!D11+'BE3'!D11+'BE4'!D11</f>
        <v/>
      </c>
      <c r="E11" s="343" t="n"/>
      <c r="F11" s="226" t="n"/>
      <c r="G11" s="225" t="n"/>
      <c r="H11" s="8" t="n"/>
      <c r="I11" s="344">
        <f>D11+G11</f>
        <v/>
      </c>
      <c r="J11" s="343">
        <f>E11+B11</f>
        <v/>
      </c>
      <c r="K11" s="225">
        <f>IF(J11&gt;0,L11/J11," ")</f>
        <v/>
      </c>
      <c r="L11" s="225">
        <f>G11+D11</f>
        <v/>
      </c>
      <c r="M11" s="8" t="n"/>
      <c r="N11" s="222">
        <f>D11+G11</f>
        <v/>
      </c>
    </row>
    <row r="12" ht="14.45" customHeight="1">
      <c r="A12" s="36" t="inlineStr">
        <is>
          <t>ADMINISTRATIVE PERSONNEL (or equivalent in the private sector)</t>
        </is>
      </c>
      <c r="B12" s="342">
        <f>'BE1'!B12+'BE2'!B12+'BE3'!B12+'BE4'!B12</f>
        <v/>
      </c>
      <c r="C12" s="228" t="n"/>
      <c r="D12" s="229">
        <f>'BE1'!D12+'BE2'!D12+'BE3'!D12+'BE4'!D12</f>
        <v/>
      </c>
      <c r="E12" s="343" t="n"/>
      <c r="F12" s="226" t="n"/>
      <c r="G12" s="225" t="n"/>
      <c r="H12" s="8" t="n"/>
      <c r="I12" s="344">
        <f>D12+G12</f>
        <v/>
      </c>
      <c r="J12" s="343">
        <f>E12+B12</f>
        <v/>
      </c>
      <c r="K12" s="225">
        <f>IF(J12&gt;0,L12/J12," ")</f>
        <v/>
      </c>
      <c r="L12" s="225">
        <f>G12+D12</f>
        <v/>
      </c>
      <c r="M12" s="8" t="n"/>
      <c r="N12" s="222">
        <f>D12+G12</f>
        <v/>
      </c>
    </row>
    <row r="13" ht="14.45" customHeight="1">
      <c r="A13" s="36" t="inlineStr">
        <is>
          <t>OTHERS</t>
        </is>
      </c>
      <c r="B13" s="342">
        <f>'BE1'!B13+'BE2'!B13+'BE3'!B13+'BE4'!B13</f>
        <v/>
      </c>
      <c r="C13" s="228" t="n"/>
      <c r="D13" s="229">
        <f>'BE1'!D13+'BE2'!D13+'BE3'!D13+'BE4'!D13</f>
        <v/>
      </c>
      <c r="E13" s="343" t="n"/>
      <c r="F13" s="226" t="n"/>
      <c r="G13" s="225" t="n"/>
      <c r="H13" s="8" t="n"/>
      <c r="I13" s="344">
        <f>D13+G13</f>
        <v/>
      </c>
      <c r="J13" s="343">
        <f>E13+B13</f>
        <v/>
      </c>
      <c r="K13" s="225">
        <f>IF(J13&gt;0,L13/J13," ")</f>
        <v/>
      </c>
      <c r="L13" s="225">
        <f>G13+D13</f>
        <v/>
      </c>
      <c r="M13" s="8" t="n"/>
      <c r="N13" s="222">
        <f>D13+G13</f>
        <v/>
      </c>
    </row>
    <row r="14" ht="14.45" customHeight="1">
      <c r="A14" s="7" t="inlineStr">
        <is>
          <t>A.2 Natural Persons under direct contract</t>
        </is>
      </c>
      <c r="B14" s="342">
        <f>'BE1'!B14+'BE2'!B14+'BE3'!B14+'BE4'!B14</f>
        <v/>
      </c>
      <c r="C14" s="228" t="n"/>
      <c r="D14" s="229">
        <f>'BE1'!D14+'BE2'!D14+'BE3'!D14+'BE4'!D14</f>
        <v/>
      </c>
      <c r="E14" s="343" t="n"/>
      <c r="F14" s="226" t="n"/>
      <c r="G14" s="225" t="n"/>
      <c r="H14" s="8" t="n"/>
      <c r="I14" s="344">
        <f>D14+G14</f>
        <v/>
      </c>
      <c r="J14" s="343">
        <f>E14+B14</f>
        <v/>
      </c>
      <c r="K14" s="225">
        <f>IF(J14&gt;0,L14/J14," ")</f>
        <v/>
      </c>
      <c r="L14" s="225">
        <f>G14+D14</f>
        <v/>
      </c>
      <c r="M14" s="8" t="n"/>
      <c r="N14" s="222">
        <f>D14+G14</f>
        <v/>
      </c>
    </row>
    <row r="15" ht="14.45" customHeight="1">
      <c r="A15" s="7" t="inlineStr">
        <is>
          <t>A.3 Seconded Persons</t>
        </is>
      </c>
      <c r="B15" s="342">
        <f>'BE1'!B15+'BE2'!B15+'BE3'!B15+'BE4'!B15</f>
        <v/>
      </c>
      <c r="C15" s="228" t="n"/>
      <c r="D15" s="229">
        <f>'BE1'!D15+'BE2'!D15+'BE3'!D15+'BE4'!D15</f>
        <v/>
      </c>
      <c r="E15" s="343" t="n"/>
      <c r="F15" s="226" t="n"/>
      <c r="G15" s="225" t="n"/>
      <c r="H15" s="8" t="n"/>
      <c r="I15" s="344">
        <f>D15+G15</f>
        <v/>
      </c>
      <c r="J15" s="343">
        <f>E15+B15</f>
        <v/>
      </c>
      <c r="K15" s="225">
        <f>IF(J15&gt;0,L15/J15," ")</f>
        <v/>
      </c>
      <c r="L15" s="225">
        <f>G15+D15</f>
        <v/>
      </c>
      <c r="M15" s="8" t="n"/>
      <c r="N15" s="222">
        <f>D15+G15</f>
        <v/>
      </c>
    </row>
    <row r="16" ht="14.45" customHeight="1">
      <c r="A16" s="7" t="inlineStr">
        <is>
          <t>A.4 SME owners and natural person beneficiaries</t>
        </is>
      </c>
      <c r="B16" s="342">
        <f>'BE1'!B16+'BE2'!B16+'BE3'!B16+'BE4'!B16</f>
        <v/>
      </c>
      <c r="C16" s="228" t="n"/>
      <c r="D16" s="229">
        <f>'BE1'!D16+'BE2'!D16+'BE3'!D16+'BE4'!D16</f>
        <v/>
      </c>
      <c r="E16" s="343" t="n"/>
      <c r="F16" s="226" t="n"/>
      <c r="G16" s="225" t="n"/>
      <c r="H16" s="8" t="n"/>
      <c r="I16" s="344">
        <f>D16+G16</f>
        <v/>
      </c>
      <c r="J16" s="343">
        <f>E16+B16</f>
        <v/>
      </c>
      <c r="K16" s="225">
        <f>IF(J16&gt;0,L16/J16," ")</f>
        <v/>
      </c>
      <c r="L16" s="225">
        <f>G16+D16</f>
        <v/>
      </c>
      <c r="M16" s="8" t="n"/>
      <c r="N16" s="222">
        <f>D16+G16</f>
        <v/>
      </c>
    </row>
    <row r="17" ht="14.45" customHeight="1">
      <c r="A17" s="11" t="inlineStr">
        <is>
          <t>B. DIRECT SUBCONTRACTING COSTS</t>
        </is>
      </c>
      <c r="B17" s="345" t="n"/>
      <c r="C17" s="227" t="n"/>
      <c r="D17" s="223" t="n"/>
      <c r="E17" s="345" t="n"/>
      <c r="F17" s="227" t="n"/>
      <c r="G17" s="223" t="n"/>
      <c r="H17" s="8" t="n"/>
      <c r="I17" s="341" t="n"/>
      <c r="J17" s="346" t="n"/>
      <c r="K17" s="223" t="n"/>
      <c r="L17" s="223" t="n"/>
      <c r="M17" s="8" t="n"/>
      <c r="N17" s="223" t="n"/>
    </row>
    <row r="18" ht="14.45" customHeight="1">
      <c r="A18" s="9" t="n"/>
      <c r="B18" s="342">
        <f>'BE1'!B18+'BE2'!B18+'BE3'!B18+'BE4'!B18</f>
        <v/>
      </c>
      <c r="C18" s="228" t="n"/>
      <c r="D18" s="229">
        <f>'BE1'!D18+'BE2'!D18+'BE3'!D18+'BE4'!D18</f>
        <v/>
      </c>
      <c r="E18" s="343" t="n"/>
      <c r="F18" s="226" t="n"/>
      <c r="G18" s="225" t="n"/>
      <c r="H18" s="8" t="n"/>
      <c r="I18" s="344">
        <f>D18+G18</f>
        <v/>
      </c>
      <c r="J18" s="343">
        <f>E18+B18</f>
        <v/>
      </c>
      <c r="K18" s="225">
        <f>IF(J18&gt;0,L18/J18," ")</f>
        <v/>
      </c>
      <c r="L18" s="225">
        <f>G18+D18</f>
        <v/>
      </c>
      <c r="M18" s="8" t="n"/>
      <c r="N18" s="222">
        <f>D18+G18</f>
        <v/>
      </c>
    </row>
    <row r="19" ht="14.45" customHeight="1">
      <c r="A19" s="11" t="inlineStr">
        <is>
          <t>C. DIRECT PURCHASE COSTS</t>
        </is>
      </c>
      <c r="B19" s="345" t="n"/>
      <c r="C19" s="227" t="n"/>
      <c r="D19" s="223" t="n"/>
      <c r="E19" s="345" t="n"/>
      <c r="F19" s="227" t="n"/>
      <c r="G19" s="223" t="n"/>
      <c r="H19" s="8" t="n"/>
      <c r="I19" s="341" t="n"/>
      <c r="J19" s="346" t="n"/>
      <c r="K19" s="223" t="n"/>
      <c r="L19" s="223" t="n"/>
      <c r="M19" s="8" t="n"/>
      <c r="N19" s="223" t="n"/>
    </row>
    <row r="20" ht="14.45" customHeight="1">
      <c r="A20" s="39" t="inlineStr">
        <is>
          <t>C.1 Travel and subsistence</t>
        </is>
      </c>
      <c r="B20" s="342">
        <f>'BE1'!B20+'BE2'!B20+'BE3'!B20+'BE4'!B20</f>
        <v/>
      </c>
      <c r="C20" s="228" t="n"/>
      <c r="D20" s="229">
        <f>'BE1'!D20+'BE2'!D20+'BE3'!D20+'BE4'!D20</f>
        <v/>
      </c>
      <c r="E20" s="343" t="n"/>
      <c r="F20" s="226" t="n"/>
      <c r="G20" s="225" t="n"/>
      <c r="H20" s="8" t="n"/>
      <c r="I20" s="344">
        <f>D20+G20</f>
        <v/>
      </c>
      <c r="J20" s="343">
        <f>E20+B20</f>
        <v/>
      </c>
      <c r="K20" s="225">
        <f>IF(J20&gt;0,L20/J20," ")</f>
        <v/>
      </c>
      <c r="L20" s="225">
        <f>G20+D20</f>
        <v/>
      </c>
      <c r="M20" s="8" t="n"/>
      <c r="N20" s="222">
        <f>D20+G20</f>
        <v/>
      </c>
    </row>
    <row r="21" ht="14.45" customHeight="1">
      <c r="A21" s="7" t="inlineStr">
        <is>
          <t>C.2 Equipment (complete 'Depreciation cost' sheet)</t>
        </is>
      </c>
      <c r="B21" s="347" t="n"/>
      <c r="C21" s="160" t="n"/>
      <c r="D21" s="160" t="n"/>
      <c r="E21" s="347" t="n"/>
      <c r="F21" s="160" t="n"/>
      <c r="G21" s="160" t="n"/>
      <c r="H21" s="8" t="n"/>
      <c r="I21" s="89" t="n"/>
      <c r="J21" s="347" t="n"/>
      <c r="K21" s="160" t="n"/>
      <c r="L21" s="160" t="n"/>
      <c r="M21" s="8" t="n"/>
      <c r="N21" s="160" t="n"/>
    </row>
    <row r="22" ht="14.45" customHeight="1">
      <c r="A22" s="37" t="inlineStr">
        <is>
          <t>Equipment</t>
        </is>
      </c>
      <c r="B22" s="342">
        <f>'BE1'!B22+'BE2'!B22+'BE3'!B22+'BE4'!B22</f>
        <v/>
      </c>
      <c r="C22" s="228" t="n"/>
      <c r="D22" s="229">
        <f>'BE1'!D22+'BE2'!D22+'BE3'!D22+'BE4'!D22</f>
        <v/>
      </c>
      <c r="E22" s="343" t="n"/>
      <c r="F22" s="226" t="n"/>
      <c r="G22" s="225" t="n"/>
      <c r="H22" s="8" t="n"/>
      <c r="I22" s="344">
        <f>D22+G22</f>
        <v/>
      </c>
      <c r="J22" s="343">
        <f>E22+B22</f>
        <v/>
      </c>
      <c r="K22" s="225">
        <f>IF(J22&gt;0,L22/J22," ")</f>
        <v/>
      </c>
      <c r="L22" s="225">
        <f>G22+D22</f>
        <v/>
      </c>
      <c r="M22" s="8" t="n"/>
      <c r="N22" s="222">
        <f>D22+G22</f>
        <v/>
      </c>
    </row>
    <row r="23" ht="14.45" customHeight="1">
      <c r="A23" s="37" t="inlineStr">
        <is>
          <t>Infrastructure</t>
        </is>
      </c>
      <c r="B23" s="342">
        <f>'BE1'!B23+'BE2'!B23+'BE3'!B23+'BE4'!B23</f>
        <v/>
      </c>
      <c r="C23" s="228" t="n"/>
      <c r="D23" s="229">
        <f>'BE1'!D23+'BE2'!D23+'BE3'!D23+'BE4'!D23</f>
        <v/>
      </c>
      <c r="E23" s="343" t="n"/>
      <c r="F23" s="226" t="n"/>
      <c r="G23" s="225" t="n"/>
      <c r="H23" s="8" t="n"/>
      <c r="I23" s="344">
        <f>D23+G23</f>
        <v/>
      </c>
      <c r="J23" s="343">
        <f>E23+B23</f>
        <v/>
      </c>
      <c r="K23" s="225">
        <f>IF(J23&gt;0,L23/J23," ")</f>
        <v/>
      </c>
      <c r="L23" s="225">
        <f>G23+D23</f>
        <v/>
      </c>
      <c r="M23" s="8" t="n"/>
      <c r="N23" s="222">
        <f>D23+G23</f>
        <v/>
      </c>
    </row>
    <row r="24" ht="14.45" customHeight="1">
      <c r="A24" s="37" t="inlineStr">
        <is>
          <t>Other assets</t>
        </is>
      </c>
      <c r="B24" s="342">
        <f>'BE1'!B24+'BE2'!B24+'BE3'!B24+'BE4'!B24</f>
        <v/>
      </c>
      <c r="C24" s="228" t="n"/>
      <c r="D24" s="229">
        <f>'BE1'!D24+'BE2'!D24+'BE3'!D24+'BE4'!D24</f>
        <v/>
      </c>
      <c r="E24" s="343" t="n"/>
      <c r="F24" s="226" t="n"/>
      <c r="G24" s="225" t="n"/>
      <c r="H24" s="8" t="n"/>
      <c r="I24" s="344">
        <f>D24+G24</f>
        <v/>
      </c>
      <c r="J24" s="343">
        <f>E24+B24</f>
        <v/>
      </c>
      <c r="K24" s="225">
        <f>IF(J24&gt;0,L24/J24," ")</f>
        <v/>
      </c>
      <c r="L24" s="225">
        <f>G24+D24</f>
        <v/>
      </c>
      <c r="M24" s="8" t="n"/>
      <c r="N24" s="222">
        <f>D24+G24</f>
        <v/>
      </c>
    </row>
    <row r="25" ht="14.45" customHeight="1">
      <c r="A25" s="7" t="inlineStr">
        <is>
          <t>C.3 Other goods, works and services</t>
        </is>
      </c>
      <c r="B25" s="347" t="n"/>
      <c r="C25" s="160" t="n"/>
      <c r="D25" s="160" t="n"/>
      <c r="E25" s="347" t="n"/>
      <c r="F25" s="160" t="n"/>
      <c r="G25" s="160" t="n"/>
      <c r="H25" s="8" t="n"/>
      <c r="I25" s="89" t="n"/>
      <c r="J25" s="347" t="n"/>
      <c r="K25" s="160" t="n"/>
      <c r="L25" s="160" t="n"/>
      <c r="M25" s="8" t="n"/>
      <c r="N25" s="160" t="n"/>
    </row>
    <row r="26" ht="14.45" customHeight="1">
      <c r="A26" s="37" t="inlineStr">
        <is>
          <t>Consumables</t>
        </is>
      </c>
      <c r="B26" s="342">
        <f>'BE1'!B26+'BE2'!B26+'BE3'!B26+'BE4'!B26</f>
        <v/>
      </c>
      <c r="C26" s="228" t="n"/>
      <c r="D26" s="229">
        <f>'BE1'!D26+'BE2'!D26+'BE3'!D26+'BE4'!D26</f>
        <v/>
      </c>
      <c r="E26" s="343" t="n"/>
      <c r="F26" s="226" t="n"/>
      <c r="G26" s="225" t="n"/>
      <c r="H26" s="8" t="n"/>
      <c r="I26" s="344">
        <f>D26+G26</f>
        <v/>
      </c>
      <c r="J26" s="343">
        <f>E26+B26</f>
        <v/>
      </c>
      <c r="K26" s="225">
        <f>IF(J26&gt;0,L26/J26," ")</f>
        <v/>
      </c>
      <c r="L26" s="225">
        <f>G26+D26</f>
        <v/>
      </c>
      <c r="M26" s="8" t="n"/>
      <c r="N26" s="222">
        <f>D26+G26</f>
        <v/>
      </c>
    </row>
    <row r="27" ht="14.45" customHeight="1">
      <c r="A27" s="37" t="inlineStr">
        <is>
          <t>Services for meetings, seminars</t>
        </is>
      </c>
      <c r="B27" s="342">
        <f>'BE1'!B27+'BE2'!B27+'BE3'!B27+'BE4'!B27</f>
        <v/>
      </c>
      <c r="C27" s="228" t="n"/>
      <c r="D27" s="229">
        <f>'BE1'!D27+'BE2'!D27+'BE3'!D27+'BE4'!D27</f>
        <v/>
      </c>
      <c r="E27" s="343" t="n"/>
      <c r="F27" s="226" t="n"/>
      <c r="G27" s="225" t="n"/>
      <c r="H27" s="8" t="n"/>
      <c r="I27" s="344">
        <f>D27+G27</f>
        <v/>
      </c>
      <c r="J27" s="343">
        <f>E27+B27</f>
        <v/>
      </c>
      <c r="K27" s="225">
        <f>IF(J27&gt;0,L27/J27," ")</f>
        <v/>
      </c>
      <c r="L27" s="225">
        <f>G27+D27</f>
        <v/>
      </c>
      <c r="M27" s="8" t="n"/>
      <c r="N27" s="222">
        <f>D27+G27</f>
        <v/>
      </c>
    </row>
    <row r="28" ht="14.45" customHeight="1">
      <c r="A28" s="37" t="inlineStr">
        <is>
          <t>Services for dissemination activities (including website)</t>
        </is>
      </c>
      <c r="B28" s="342">
        <f>'BE1'!B28+'BE2'!B28+'BE3'!B28+'BE4'!B28</f>
        <v/>
      </c>
      <c r="C28" s="228" t="n"/>
      <c r="D28" s="229">
        <f>'BE1'!D28+'BE2'!D28+'BE3'!D28+'BE4'!D28</f>
        <v/>
      </c>
      <c r="E28" s="343" t="n"/>
      <c r="F28" s="226" t="n"/>
      <c r="G28" s="225" t="n"/>
      <c r="H28" s="8" t="n"/>
      <c r="I28" s="344">
        <f>D28+G28</f>
        <v/>
      </c>
      <c r="J28" s="343">
        <f>E28+B28</f>
        <v/>
      </c>
      <c r="K28" s="225">
        <f>IF(J28&gt;0,L28/J28," ")</f>
        <v/>
      </c>
      <c r="L28" s="225">
        <f>G28+D28</f>
        <v/>
      </c>
      <c r="M28" s="8" t="n"/>
      <c r="N28" s="222">
        <f>D28+G28</f>
        <v/>
      </c>
    </row>
    <row r="29" ht="14.45" customHeight="1">
      <c r="A29" s="37" t="inlineStr">
        <is>
          <t>Publication fees</t>
        </is>
      </c>
      <c r="B29" s="342">
        <f>'BE1'!B29+'BE2'!B29+'BE3'!B29+'BE4'!B29</f>
        <v/>
      </c>
      <c r="C29" s="228" t="n"/>
      <c r="D29" s="229">
        <f>'BE1'!D29+'BE2'!D29+'BE3'!D29+'BE4'!D29</f>
        <v/>
      </c>
      <c r="E29" s="343" t="n"/>
      <c r="F29" s="226" t="n"/>
      <c r="G29" s="225" t="n"/>
      <c r="H29" s="8" t="n"/>
      <c r="I29" s="344">
        <f>D29+G29</f>
        <v/>
      </c>
      <c r="J29" s="343">
        <f>E29+B29</f>
        <v/>
      </c>
      <c r="K29" s="225">
        <f>IF(J29&gt;0,L29/J29," ")</f>
        <v/>
      </c>
      <c r="L29" s="225">
        <f>G29+D29</f>
        <v/>
      </c>
      <c r="M29" s="8" t="n"/>
      <c r="N29" s="222">
        <f>D29+G29</f>
        <v/>
      </c>
    </row>
    <row r="30" ht="14.45" customHeight="1">
      <c r="A30" s="37" t="inlineStr">
        <is>
          <t>Other (shipment,insurance, translation, etc.)</t>
        </is>
      </c>
      <c r="B30" s="342">
        <f>'BE1'!B30+'BE2'!B30+'BE3'!B30+'BE4'!B30</f>
        <v/>
      </c>
      <c r="C30" s="228" t="n"/>
      <c r="D30" s="229">
        <f>'BE1'!D30+'BE2'!D30+'BE3'!D30+'BE4'!D30</f>
        <v/>
      </c>
      <c r="E30" s="343" t="n"/>
      <c r="F30" s="226" t="n"/>
      <c r="G30" s="225" t="n"/>
      <c r="H30" s="8" t="n"/>
      <c r="I30" s="344">
        <f>D30+G30</f>
        <v/>
      </c>
      <c r="J30" s="343">
        <f>E30+B30</f>
        <v/>
      </c>
      <c r="K30" s="225">
        <f>IF(J30&gt;0,L30/J30," ")</f>
        <v/>
      </c>
      <c r="L30" s="225">
        <f>G30+D30</f>
        <v/>
      </c>
      <c r="M30" s="8" t="n"/>
      <c r="N30" s="222">
        <f>D30+G30</f>
        <v/>
      </c>
    </row>
    <row r="31" ht="14.45" customHeight="1">
      <c r="A31" s="6" t="inlineStr">
        <is>
          <t>D. OTHER COST CATEGORIES</t>
        </is>
      </c>
      <c r="B31" s="345" t="n"/>
      <c r="C31" s="227" t="n"/>
      <c r="D31" s="223" t="n"/>
      <c r="E31" s="345" t="n"/>
      <c r="F31" s="227" t="n"/>
      <c r="G31" s="223" t="n"/>
      <c r="H31" s="8" t="n"/>
      <c r="I31" s="341" t="n"/>
      <c r="J31" s="346" t="n"/>
      <c r="K31" s="223" t="n"/>
      <c r="L31" s="223" t="n"/>
      <c r="M31" s="8" t="n"/>
      <c r="N31" s="223" t="n"/>
    </row>
    <row r="32" ht="14.45" customHeight="1">
      <c r="A32" s="40" t="inlineStr">
        <is>
          <t>D.1 Financial support to third parties (if applicable in the topic specific conditions)</t>
        </is>
      </c>
      <c r="B32" s="342">
        <f>'BE1'!B32+'BE2'!B32+'BE3'!B32+'BE4'!B32</f>
        <v/>
      </c>
      <c r="C32" s="228" t="n"/>
      <c r="D32" s="229">
        <f>'BE1'!D32+'BE2'!D32+'BE3'!D32+'BE4'!D32</f>
        <v/>
      </c>
      <c r="E32" s="343" t="n"/>
      <c r="F32" s="226" t="n"/>
      <c r="G32" s="225" t="n"/>
      <c r="H32" s="8" t="n"/>
      <c r="I32" s="344">
        <f>D32+G32</f>
        <v/>
      </c>
      <c r="J32" s="343">
        <f>E32+B32</f>
        <v/>
      </c>
      <c r="K32" s="225">
        <f>IF(J32&gt;0,L32/J32," ")</f>
        <v/>
      </c>
      <c r="L32" s="225">
        <f>G32+D32</f>
        <v/>
      </c>
      <c r="M32" s="8" t="n"/>
      <c r="N32" s="222">
        <f>D32+G32</f>
        <v/>
      </c>
    </row>
    <row r="33" ht="14.45" customHeight="1">
      <c r="A33" s="39" t="inlineStr">
        <is>
          <t>D.2 Internally invoiced goods and services</t>
        </is>
      </c>
      <c r="B33" s="342">
        <f>'BE1'!B33+'BE2'!B33+'BE3'!B33+'BE4'!B33</f>
        <v/>
      </c>
      <c r="C33" s="228" t="n"/>
      <c r="D33" s="229">
        <f>'BE1'!D33+'BE2'!D33+'BE3'!D33+'BE4'!D33</f>
        <v/>
      </c>
      <c r="E33" s="343" t="n"/>
      <c r="F33" s="226" t="n"/>
      <c r="G33" s="225" t="n"/>
      <c r="H33" s="8" t="n"/>
      <c r="I33" s="344">
        <f>D33+G33</f>
        <v/>
      </c>
      <c r="J33" s="343">
        <f>E33+B33</f>
        <v/>
      </c>
      <c r="K33" s="225">
        <f>IF(J33&gt;0,L33/J33," ")</f>
        <v/>
      </c>
      <c r="L33" s="225">
        <f>G33+D33</f>
        <v/>
      </c>
      <c r="M33" s="8" t="n"/>
      <c r="N33" s="222">
        <f>D33+G33</f>
        <v/>
      </c>
    </row>
    <row r="34" ht="14.45" customHeight="1">
      <c r="A34" s="39" t="inlineStr">
        <is>
          <t>D.3 Transnational access to research infrastructure unit costs (if required in the topic specific conditions)</t>
        </is>
      </c>
      <c r="B34" s="342">
        <f>'BE1'!B34+'BE2'!B34+'BE3'!B34+'BE4'!B34</f>
        <v/>
      </c>
      <c r="C34" s="228" t="n"/>
      <c r="D34" s="229">
        <f>'BE1'!D34+'BE2'!D34+'BE3'!D34+'BE4'!D34</f>
        <v/>
      </c>
      <c r="E34" s="343" t="n"/>
      <c r="F34" s="226" t="n"/>
      <c r="G34" s="225" t="n"/>
      <c r="H34" s="8" t="n"/>
      <c r="I34" s="344">
        <f>D34+G34</f>
        <v/>
      </c>
      <c r="J34" s="343">
        <f>E34+B34</f>
        <v/>
      </c>
      <c r="K34" s="225">
        <f>IF(J34&gt;0,L34/J34," ")</f>
        <v/>
      </c>
      <c r="L34" s="225">
        <f>G34+D34</f>
        <v/>
      </c>
      <c r="M34" s="8" t="n"/>
      <c r="N34" s="222">
        <f>D34+G34</f>
        <v/>
      </c>
    </row>
    <row r="35" ht="14.45" customHeight="1">
      <c r="A35" s="39" t="inlineStr">
        <is>
          <t>D.4 Virtual access to research infrastructure unit costs (if required in the topic specific conditions)</t>
        </is>
      </c>
      <c r="B35" s="342">
        <f>'BE1'!B35+'BE2'!B35+'BE3'!B35+'BE4'!B35</f>
        <v/>
      </c>
      <c r="C35" s="228" t="n"/>
      <c r="D35" s="229">
        <f>'BE1'!D35+'BE2'!D35+'BE3'!D35+'BE4'!D35</f>
        <v/>
      </c>
      <c r="E35" s="343" t="n"/>
      <c r="F35" s="226" t="n"/>
      <c r="G35" s="225" t="n"/>
      <c r="H35" s="8" t="n"/>
      <c r="I35" s="344">
        <f>D35+G35</f>
        <v/>
      </c>
      <c r="J35" s="343">
        <f>E35+B35</f>
        <v/>
      </c>
      <c r="K35" s="225">
        <f>IF(J35&gt;0,L35/J35," ")</f>
        <v/>
      </c>
      <c r="L35" s="225">
        <f>G35+D35</f>
        <v/>
      </c>
      <c r="M35" s="8" t="n"/>
      <c r="N35" s="222">
        <f>D35+G35</f>
        <v/>
      </c>
    </row>
    <row r="36" ht="14.45" customHeight="1">
      <c r="A36" s="39" t="inlineStr">
        <is>
          <t>D.5 PCP/PPI procurement costs (if mentioned as eligible in the topic specific conditions)</t>
        </is>
      </c>
      <c r="B36" s="342">
        <f>'BE1'!B36+'BE2'!B36+'BE3'!B36+'BE4'!B36</f>
        <v/>
      </c>
      <c r="C36" s="228" t="n"/>
      <c r="D36" s="229">
        <f>'BE1'!D36+'BE2'!D36+'BE3'!D36+'BE4'!D36</f>
        <v/>
      </c>
      <c r="E36" s="343" t="n"/>
      <c r="F36" s="226" t="n"/>
      <c r="G36" s="225" t="n"/>
      <c r="H36" s="8" t="n"/>
      <c r="I36" s="344">
        <f>D36+G36</f>
        <v/>
      </c>
      <c r="J36" s="343">
        <f>E36+B36</f>
        <v/>
      </c>
      <c r="K36" s="225">
        <f>IF(J36&gt;0,L36/J36," ")</f>
        <v/>
      </c>
      <c r="L36" s="225">
        <f>G36+D36</f>
        <v/>
      </c>
      <c r="M36" s="8" t="n"/>
      <c r="N36" s="222">
        <f>D36+G36</f>
        <v/>
      </c>
    </row>
    <row r="37" ht="14.45" customHeight="1">
      <c r="A37" s="26" t="n"/>
      <c r="B37" s="347" t="n"/>
      <c r="C37" s="160" t="n"/>
      <c r="D37" s="160" t="n"/>
      <c r="E37" s="347" t="n"/>
      <c r="F37" s="160" t="n"/>
      <c r="G37" s="160" t="n"/>
      <c r="H37" s="8" t="n"/>
      <c r="I37" s="89" t="n"/>
      <c r="J37" s="347" t="n"/>
      <c r="K37" s="160" t="n"/>
      <c r="L37" s="160" t="n"/>
      <c r="M37" s="8" t="n"/>
      <c r="N37" s="160" t="n"/>
    </row>
    <row r="38" ht="14.45" customHeight="1">
      <c r="A38" s="41" t="inlineStr">
        <is>
          <t>TOTAL DIRECT PERSONNEL COSTS AND PURCHASE COSTS (A+C)</t>
        </is>
      </c>
      <c r="B38" s="348" t="n"/>
      <c r="C38" s="224" t="n"/>
      <c r="D38" s="224">
        <f>'BE1'!D38+'BE2'!D38+'BE3'!D38+'BE4'!D38</f>
        <v/>
      </c>
      <c r="E38" s="348" t="n"/>
      <c r="F38" s="224" t="n"/>
      <c r="G38" s="224" t="n"/>
      <c r="H38" s="8" t="n"/>
      <c r="I38" s="349">
        <f>SUM(I9:I16,I20:I30)</f>
        <v/>
      </c>
      <c r="J38" s="348" t="n"/>
      <c r="K38" s="224" t="n"/>
      <c r="L38" s="224">
        <f>SUM(L9:L16,L20:L30)</f>
        <v/>
      </c>
      <c r="M38" s="8" t="n"/>
      <c r="N38" s="224">
        <f>SUM(N9:N16,N20:N30)</f>
        <v/>
      </c>
    </row>
    <row r="39" ht="14.45" customHeight="1">
      <c r="A39" s="41" t="inlineStr">
        <is>
          <t>TOTAL DIRECT COSTS  (A+B+C+D)</t>
        </is>
      </c>
      <c r="B39" s="348" t="n"/>
      <c r="C39" s="224" t="n"/>
      <c r="D39" s="224">
        <f>'BE1'!D39+'BE2'!D39+'BE3'!D39+'BE4'!D39</f>
        <v/>
      </c>
      <c r="E39" s="348" t="n"/>
      <c r="F39" s="224" t="n"/>
      <c r="G39" s="224" t="n"/>
      <c r="H39" s="8" t="n"/>
      <c r="I39" s="349">
        <f>SUM(I9:I36)</f>
        <v/>
      </c>
      <c r="J39" s="348" t="n"/>
      <c r="K39" s="224" t="n"/>
      <c r="L39" s="224">
        <f>SUM(L9:L36)</f>
        <v/>
      </c>
      <c r="M39" s="8" t="n"/>
      <c r="N39" s="224">
        <f>SUM(N9:N36)</f>
        <v/>
      </c>
    </row>
    <row r="40" ht="6.95" customHeight="1">
      <c r="A40" s="8" t="n"/>
      <c r="B40" s="350" t="n"/>
      <c r="C40" s="134" t="n"/>
      <c r="D40" s="134" t="n"/>
      <c r="E40" s="350" t="n"/>
      <c r="F40" s="134" t="n"/>
      <c r="G40" s="134" t="n"/>
      <c r="H40" s="8" t="n"/>
      <c r="I40" s="8" t="n"/>
      <c r="J40" s="350" t="n"/>
      <c r="K40" s="134" t="n"/>
      <c r="L40" s="134" t="n"/>
      <c r="M40" s="8" t="n"/>
      <c r="N40" s="134" t="n"/>
    </row>
    <row r="41" ht="14.45" customHeight="1">
      <c r="A41" s="11" t="inlineStr">
        <is>
          <t>E. INDIRECT COSTS (25% * (A+C))</t>
        </is>
      </c>
      <c r="B41" s="348" t="n"/>
      <c r="C41" s="224" t="n"/>
      <c r="D41" s="224">
        <f>'BE1'!D41+'BE2'!D41+'BE3'!D41+'BE4'!D41</f>
        <v/>
      </c>
      <c r="E41" s="348" t="n"/>
      <c r="F41" s="224" t="n"/>
      <c r="G41" s="224" t="n"/>
      <c r="H41" s="8" t="n"/>
      <c r="I41" s="349">
        <f>+I38*0.25</f>
        <v/>
      </c>
      <c r="J41" s="348" t="n"/>
      <c r="K41" s="224" t="n"/>
      <c r="L41" s="224">
        <f>+L38*0.25</f>
        <v/>
      </c>
      <c r="M41" s="8" t="n"/>
      <c r="N41" s="224">
        <f>+N38*0.25</f>
        <v/>
      </c>
    </row>
    <row r="42" ht="6.95" customHeight="1">
      <c r="A42" s="8" t="n"/>
      <c r="B42" s="350" t="n"/>
      <c r="C42" s="134" t="n"/>
      <c r="D42" s="134" t="n"/>
      <c r="E42" s="350" t="n"/>
      <c r="F42" s="134" t="n"/>
      <c r="G42" s="134" t="n"/>
      <c r="H42" s="8" t="n"/>
      <c r="I42" s="8" t="n"/>
      <c r="J42" s="350" t="n"/>
      <c r="K42" s="134" t="n"/>
      <c r="L42" s="134" t="n"/>
      <c r="M42" s="8" t="n"/>
      <c r="N42" s="134" t="n"/>
    </row>
    <row r="43" ht="14.45" customHeight="1">
      <c r="A43" s="11" t="inlineStr">
        <is>
          <t>F. TOTAL COSTS (A+B+C+D+E)</t>
        </is>
      </c>
      <c r="B43" s="348" t="n"/>
      <c r="C43" s="224" t="n"/>
      <c r="D43" s="224">
        <f>'BE1'!D43+'BE2'!D43+'BE3'!D43+'BE4'!D43</f>
        <v/>
      </c>
      <c r="E43" s="348" t="n"/>
      <c r="F43" s="224" t="n"/>
      <c r="G43" s="224" t="n"/>
      <c r="H43" s="8" t="n"/>
      <c r="I43" s="349">
        <f>I39+I41</f>
        <v/>
      </c>
      <c r="J43" s="348" t="n"/>
      <c r="K43" s="224" t="n"/>
      <c r="L43" s="224">
        <f>L39+L41</f>
        <v/>
      </c>
      <c r="M43" s="8" t="n"/>
      <c r="N43" s="224">
        <f>N39+N41</f>
        <v/>
      </c>
    </row>
    <row r="44" ht="6.95" customHeight="1">
      <c r="A44" s="8" t="n"/>
      <c r="B44" s="8" t="n"/>
      <c r="C44" s="8" t="n"/>
      <c r="D44" s="8" t="n"/>
      <c r="E44" s="8" t="n"/>
      <c r="F44" s="8" t="n"/>
      <c r="G44" s="8" t="n"/>
      <c r="H44" s="8" t="n"/>
      <c r="I44" s="8" t="n"/>
      <c r="J44" s="8" t="n"/>
      <c r="K44" s="8" t="n"/>
      <c r="L44" s="8" t="n"/>
      <c r="M44" s="8" t="n"/>
      <c r="N44" s="8" t="n"/>
    </row>
    <row r="45" ht="14.45" customHeight="1">
      <c r="A45" s="209" t="n"/>
      <c r="B45" s="207" t="n"/>
      <c r="C45" s="209" t="n"/>
      <c r="D45" s="208" t="n"/>
      <c r="E45" s="207" t="n"/>
      <c r="F45" s="209" t="n"/>
      <c r="G45" s="208" t="n"/>
      <c r="H45" s="208" t="n"/>
      <c r="I45" s="208" t="n"/>
      <c r="J45" s="208" t="n"/>
      <c r="K45" s="208" t="n"/>
      <c r="L45" s="208" t="n"/>
      <c r="M45" s="209" t="n"/>
      <c r="N45" s="210" t="n"/>
    </row>
    <row r="46" ht="21" customHeight="1">
      <c r="A46" s="300" t="inlineStr">
        <is>
          <t>COSTS WORK PACKAGE 2: Site Characterisation and Demonstrator Engineering</t>
        </is>
      </c>
      <c r="B46" s="338" t="n"/>
      <c r="C46" s="338" t="n"/>
      <c r="D46" s="338" t="n"/>
      <c r="E46" s="338" t="n"/>
      <c r="F46" s="338" t="n"/>
      <c r="G46" s="338" t="n"/>
      <c r="H46" s="338" t="n"/>
      <c r="I46" s="338" t="n"/>
      <c r="J46" s="338" t="n"/>
      <c r="K46" s="338" t="n"/>
      <c r="L46" s="338" t="n"/>
      <c r="M46" s="338" t="n"/>
      <c r="N46" s="339" t="n"/>
    </row>
    <row r="47" ht="6.95" customHeight="1">
      <c r="A47" s="8" t="n"/>
      <c r="B47" s="8" t="n"/>
      <c r="C47" s="8" t="n"/>
      <c r="D47" s="8" t="n"/>
      <c r="E47" s="8" t="n"/>
      <c r="F47" s="8" t="n"/>
      <c r="G47" s="8" t="n"/>
      <c r="H47" s="8" t="n"/>
      <c r="I47" s="8" t="n"/>
      <c r="J47" s="8" t="n"/>
      <c r="K47" s="8" t="n"/>
      <c r="L47" s="8" t="n"/>
      <c r="M47" s="8" t="n"/>
      <c r="N47" s="8" t="n"/>
    </row>
    <row r="48" ht="14.45" customHeight="1">
      <c r="A48" s="11" t="inlineStr">
        <is>
          <t>A. DIRECT PERSONNEL COSTS</t>
        </is>
      </c>
      <c r="B48" s="4" t="n"/>
      <c r="C48" s="340" t="n"/>
      <c r="D48" s="341" t="n"/>
      <c r="E48" s="4" t="n"/>
      <c r="F48" s="340" t="n"/>
      <c r="G48" s="341" t="n"/>
      <c r="H48" s="8" t="n"/>
      <c r="I48" s="341" t="n"/>
      <c r="J48" s="341" t="n"/>
      <c r="K48" s="341" t="n"/>
      <c r="L48" s="341" t="n"/>
      <c r="M48" s="8" t="n"/>
      <c r="N48" s="341" t="n"/>
    </row>
    <row r="49" ht="14.45" customHeight="1">
      <c r="A49" s="7" t="inlineStr">
        <is>
          <t>A.1 Employees (or equivalent)</t>
        </is>
      </c>
      <c r="B49" s="89" t="n"/>
      <c r="C49" s="89" t="n"/>
      <c r="D49" s="89" t="n"/>
      <c r="E49" s="89" t="n"/>
      <c r="F49" s="89" t="n"/>
      <c r="G49" s="89" t="n"/>
      <c r="H49" s="8" t="n"/>
      <c r="I49" s="89" t="n"/>
      <c r="J49" s="89" t="n"/>
      <c r="K49" s="89" t="n"/>
      <c r="L49" s="89" t="n"/>
      <c r="M49" s="8" t="n"/>
      <c r="N49" s="89" t="n"/>
    </row>
    <row r="50" ht="14.45" customHeight="1">
      <c r="A50" s="36" t="inlineStr">
        <is>
          <t>SENIOR SCIENTISTS (or equivalent in the private sector)</t>
        </is>
      </c>
      <c r="B50" s="342">
        <f>'BE1'!B50+'BE2'!B50+'BE3'!B50+'BE4'!B50</f>
        <v/>
      </c>
      <c r="C50" s="228" t="n"/>
      <c r="D50" s="229">
        <f>'BE1'!D50+'BE2'!D50+'BE3'!D50+'BE4'!D50</f>
        <v/>
      </c>
      <c r="E50" s="343" t="n"/>
      <c r="F50" s="226" t="n"/>
      <c r="G50" s="225" t="n"/>
      <c r="H50" s="8" t="n"/>
      <c r="I50" s="344">
        <f>D50+G50</f>
        <v/>
      </c>
      <c r="J50" s="343">
        <f>E50+B50</f>
        <v/>
      </c>
      <c r="K50" s="225">
        <f>IF(J50&gt;0,L50/J50," ")</f>
        <v/>
      </c>
      <c r="L50" s="225">
        <f>G50+D50</f>
        <v/>
      </c>
      <c r="M50" s="8" t="n"/>
      <c r="N50" s="222">
        <f>D50+G50</f>
        <v/>
      </c>
    </row>
    <row r="51" ht="14.45" customHeight="1">
      <c r="A51" s="36" t="inlineStr">
        <is>
          <t>JUNIOR SCIENTISTS (or equivalent in the private sector)</t>
        </is>
      </c>
      <c r="B51" s="342">
        <f>'BE1'!B51+'BE2'!B51+'BE3'!B51+'BE4'!B51</f>
        <v/>
      </c>
      <c r="C51" s="228" t="n"/>
      <c r="D51" s="229">
        <f>'BE1'!D51+'BE2'!D51+'BE3'!D51+'BE4'!D51</f>
        <v/>
      </c>
      <c r="E51" s="343" t="n"/>
      <c r="F51" s="226" t="n"/>
      <c r="G51" s="225" t="n"/>
      <c r="H51" s="8" t="n"/>
      <c r="I51" s="344">
        <f>D51+G51</f>
        <v/>
      </c>
      <c r="J51" s="343">
        <f>E51+B51</f>
        <v/>
      </c>
      <c r="K51" s="225">
        <f>IF(J51&gt;0,L51/J51," ")</f>
        <v/>
      </c>
      <c r="L51" s="225">
        <f>G51+D51</f>
        <v/>
      </c>
      <c r="M51" s="8" t="n"/>
      <c r="N51" s="222">
        <f>D51+G51</f>
        <v/>
      </c>
    </row>
    <row r="52" ht="14.45" customHeight="1">
      <c r="A52" s="36" t="inlineStr">
        <is>
          <t>TECHNICAL PERSONNEL (or equivalent in the private sector)</t>
        </is>
      </c>
      <c r="B52" s="342">
        <f>'BE1'!B52+'BE2'!B52+'BE3'!B52+'BE4'!B52</f>
        <v/>
      </c>
      <c r="C52" s="228" t="n"/>
      <c r="D52" s="229">
        <f>'BE1'!D52+'BE2'!D52+'BE3'!D52+'BE4'!D52</f>
        <v/>
      </c>
      <c r="E52" s="343" t="n"/>
      <c r="F52" s="226" t="n"/>
      <c r="G52" s="225" t="n"/>
      <c r="H52" s="8" t="n"/>
      <c r="I52" s="344">
        <f>D52+G52</f>
        <v/>
      </c>
      <c r="J52" s="343">
        <f>E52+B52</f>
        <v/>
      </c>
      <c r="K52" s="225">
        <f>IF(J52&gt;0,L52/J52," ")</f>
        <v/>
      </c>
      <c r="L52" s="225">
        <f>G52+D52</f>
        <v/>
      </c>
      <c r="M52" s="8" t="n"/>
      <c r="N52" s="222">
        <f>D52+G52</f>
        <v/>
      </c>
    </row>
    <row r="53" ht="14.45" customHeight="1">
      <c r="A53" s="36" t="inlineStr">
        <is>
          <t>ADMINISTRATIVE PERSONNEL (or equivalent in the private sector)</t>
        </is>
      </c>
      <c r="B53" s="342">
        <f>'BE1'!B53+'BE2'!B53+'BE3'!B53+'BE4'!B53</f>
        <v/>
      </c>
      <c r="C53" s="228" t="n"/>
      <c r="D53" s="229">
        <f>'BE1'!D53+'BE2'!D53+'BE3'!D53+'BE4'!D53</f>
        <v/>
      </c>
      <c r="E53" s="343" t="n"/>
      <c r="F53" s="226" t="n"/>
      <c r="G53" s="225" t="n"/>
      <c r="H53" s="8" t="n"/>
      <c r="I53" s="344">
        <f>D53+G53</f>
        <v/>
      </c>
      <c r="J53" s="343">
        <f>E53+B53</f>
        <v/>
      </c>
      <c r="K53" s="225">
        <f>IF(J53&gt;0,L53/J53," ")</f>
        <v/>
      </c>
      <c r="L53" s="225">
        <f>G53+D53</f>
        <v/>
      </c>
      <c r="M53" s="8" t="n"/>
      <c r="N53" s="222">
        <f>D53+G53</f>
        <v/>
      </c>
    </row>
    <row r="54" ht="14.45" customHeight="1">
      <c r="A54" s="36" t="inlineStr">
        <is>
          <t>OTHERS</t>
        </is>
      </c>
      <c r="B54" s="342">
        <f>'BE1'!B54+'BE2'!B54+'BE3'!B54+'BE4'!B54</f>
        <v/>
      </c>
      <c r="C54" s="228" t="n"/>
      <c r="D54" s="229">
        <f>'BE1'!D54+'BE2'!D54+'BE3'!D54+'BE4'!D54</f>
        <v/>
      </c>
      <c r="E54" s="343" t="n"/>
      <c r="F54" s="226" t="n"/>
      <c r="G54" s="225" t="n"/>
      <c r="H54" s="8" t="n"/>
      <c r="I54" s="344">
        <f>D54+G54</f>
        <v/>
      </c>
      <c r="J54" s="343">
        <f>E54+B54</f>
        <v/>
      </c>
      <c r="K54" s="225">
        <f>IF(J54&gt;0,L54/J54," ")</f>
        <v/>
      </c>
      <c r="L54" s="225">
        <f>G54+D54</f>
        <v/>
      </c>
      <c r="M54" s="8" t="n"/>
      <c r="N54" s="222">
        <f>D54+G54</f>
        <v/>
      </c>
    </row>
    <row r="55" ht="14.45" customHeight="1">
      <c r="A55" s="7" t="inlineStr">
        <is>
          <t>A.2 Natural Persons under direct contract</t>
        </is>
      </c>
      <c r="B55" s="342">
        <f>'BE1'!B55+'BE2'!B55+'BE3'!B55+'BE4'!B55</f>
        <v/>
      </c>
      <c r="C55" s="228" t="n"/>
      <c r="D55" s="229">
        <f>'BE1'!D55+'BE2'!D55+'BE3'!D55+'BE4'!D55</f>
        <v/>
      </c>
      <c r="E55" s="343" t="n"/>
      <c r="F55" s="226" t="n"/>
      <c r="G55" s="225" t="n"/>
      <c r="H55" s="8" t="n"/>
      <c r="I55" s="344">
        <f>D55+G55</f>
        <v/>
      </c>
      <c r="J55" s="343">
        <f>E55+B55</f>
        <v/>
      </c>
      <c r="K55" s="225">
        <f>IF(J55&gt;0,L55/J55," ")</f>
        <v/>
      </c>
      <c r="L55" s="225">
        <f>G55+D55</f>
        <v/>
      </c>
      <c r="M55" s="8" t="n"/>
      <c r="N55" s="222">
        <f>D55+G55</f>
        <v/>
      </c>
    </row>
    <row r="56" ht="14.45" customHeight="1">
      <c r="A56" s="7" t="inlineStr">
        <is>
          <t>A.3 Seconded Persons</t>
        </is>
      </c>
      <c r="B56" s="342">
        <f>'BE1'!B56+'BE2'!B56+'BE3'!B56+'BE4'!B56</f>
        <v/>
      </c>
      <c r="C56" s="228" t="n"/>
      <c r="D56" s="229">
        <f>'BE1'!D56+'BE2'!D56+'BE3'!D56+'BE4'!D56</f>
        <v/>
      </c>
      <c r="E56" s="343" t="n"/>
      <c r="F56" s="226" t="n"/>
      <c r="G56" s="225" t="n"/>
      <c r="H56" s="8" t="n"/>
      <c r="I56" s="344">
        <f>D56+G56</f>
        <v/>
      </c>
      <c r="J56" s="343">
        <f>E56+B56</f>
        <v/>
      </c>
      <c r="K56" s="225">
        <f>IF(J56&gt;0,L56/J56," ")</f>
        <v/>
      </c>
      <c r="L56" s="225">
        <f>G56+D56</f>
        <v/>
      </c>
      <c r="M56" s="8" t="n"/>
      <c r="N56" s="222">
        <f>D56+G56</f>
        <v/>
      </c>
    </row>
    <row r="57" ht="14.45" customHeight="1">
      <c r="A57" s="7" t="inlineStr">
        <is>
          <t>A.4 SME owners and natural person beneficiaries</t>
        </is>
      </c>
      <c r="B57" s="342">
        <f>'BE1'!B57+'BE2'!B57+'BE3'!B57+'BE4'!B57</f>
        <v/>
      </c>
      <c r="C57" s="228" t="n"/>
      <c r="D57" s="229">
        <f>'BE1'!D57+'BE2'!D57+'BE3'!D57+'BE4'!D57</f>
        <v/>
      </c>
      <c r="E57" s="343" t="n"/>
      <c r="F57" s="226" t="n"/>
      <c r="G57" s="225" t="n"/>
      <c r="H57" s="8" t="n"/>
      <c r="I57" s="344">
        <f>D57+G57</f>
        <v/>
      </c>
      <c r="J57" s="343">
        <f>E57+B57</f>
        <v/>
      </c>
      <c r="K57" s="225">
        <f>IF(J57&gt;0,L57/J57," ")</f>
        <v/>
      </c>
      <c r="L57" s="225">
        <f>G57+D57</f>
        <v/>
      </c>
      <c r="M57" s="8" t="n"/>
      <c r="N57" s="222">
        <f>D57+G57</f>
        <v/>
      </c>
    </row>
    <row r="58" ht="14.45" customHeight="1">
      <c r="A58" s="11" t="inlineStr">
        <is>
          <t>B. DIRECT SUBCONTRACTING COSTS</t>
        </is>
      </c>
      <c r="B58" s="345" t="n"/>
      <c r="C58" s="227" t="n"/>
      <c r="D58" s="223" t="n"/>
      <c r="E58" s="345" t="n"/>
      <c r="F58" s="227" t="n"/>
      <c r="G58" s="223" t="n"/>
      <c r="H58" s="8" t="n"/>
      <c r="I58" s="341" t="n"/>
      <c r="J58" s="346" t="n"/>
      <c r="K58" s="223" t="n"/>
      <c r="L58" s="223" t="n"/>
      <c r="M58" s="8" t="n"/>
      <c r="N58" s="223" t="n"/>
    </row>
    <row r="59" ht="14.45" customHeight="1">
      <c r="A59" s="9" t="n"/>
      <c r="B59" s="342">
        <f>'BE1'!B59+'BE2'!B59+'BE3'!B59+'BE4'!B59</f>
        <v/>
      </c>
      <c r="C59" s="228" t="n"/>
      <c r="D59" s="229">
        <f>'BE1'!D59+'BE2'!D59+'BE3'!D59+'BE4'!D59</f>
        <v/>
      </c>
      <c r="E59" s="343" t="n"/>
      <c r="F59" s="226" t="n"/>
      <c r="G59" s="225" t="n"/>
      <c r="H59" s="8" t="n"/>
      <c r="I59" s="344">
        <f>D59+G59</f>
        <v/>
      </c>
      <c r="J59" s="343">
        <f>E59+B59</f>
        <v/>
      </c>
      <c r="K59" s="225">
        <f>IF(J59&gt;0,L59/J59," ")</f>
        <v/>
      </c>
      <c r="L59" s="225">
        <f>G59+D59</f>
        <v/>
      </c>
      <c r="M59" s="8" t="n"/>
      <c r="N59" s="222">
        <f>D59+G59</f>
        <v/>
      </c>
    </row>
    <row r="60" ht="14.45" customHeight="1">
      <c r="A60" s="11" t="inlineStr">
        <is>
          <t>C. DIRECT PURCHASE COSTS</t>
        </is>
      </c>
      <c r="B60" s="345" t="n"/>
      <c r="C60" s="227" t="n"/>
      <c r="D60" s="223" t="n"/>
      <c r="E60" s="345" t="n"/>
      <c r="F60" s="227" t="n"/>
      <c r="G60" s="223" t="n"/>
      <c r="H60" s="8" t="n"/>
      <c r="I60" s="341" t="n"/>
      <c r="J60" s="346" t="n"/>
      <c r="K60" s="223" t="n"/>
      <c r="L60" s="223" t="n"/>
      <c r="M60" s="8" t="n"/>
      <c r="N60" s="223" t="n"/>
    </row>
    <row r="61" ht="14.45" customHeight="1">
      <c r="A61" s="39" t="inlineStr">
        <is>
          <t>C.1 Travel and subsistence</t>
        </is>
      </c>
      <c r="B61" s="342">
        <f>'BE1'!B61+'BE2'!B61+'BE3'!B61+'BE4'!B61</f>
        <v/>
      </c>
      <c r="C61" s="228" t="n"/>
      <c r="D61" s="229">
        <f>'BE1'!D61+'BE2'!D61+'BE3'!D61+'BE4'!D61</f>
        <v/>
      </c>
      <c r="E61" s="343" t="n"/>
      <c r="F61" s="226" t="n"/>
      <c r="G61" s="225" t="n"/>
      <c r="H61" s="8" t="n"/>
      <c r="I61" s="344">
        <f>D61+G61</f>
        <v/>
      </c>
      <c r="J61" s="343">
        <f>E61+B61</f>
        <v/>
      </c>
      <c r="K61" s="225">
        <f>IF(J61&gt;0,L61/J61," ")</f>
        <v/>
      </c>
      <c r="L61" s="225">
        <f>G61+D61</f>
        <v/>
      </c>
      <c r="M61" s="8" t="n"/>
      <c r="N61" s="222">
        <f>D61+G61</f>
        <v/>
      </c>
    </row>
    <row r="62" ht="14.45" customHeight="1">
      <c r="A62" s="7" t="inlineStr">
        <is>
          <t>C.2 Equipment (complete 'Depreciation cost' sheet)</t>
        </is>
      </c>
      <c r="B62" s="347" t="n"/>
      <c r="C62" s="160" t="n"/>
      <c r="D62" s="160" t="n"/>
      <c r="E62" s="347" t="n"/>
      <c r="F62" s="160" t="n"/>
      <c r="G62" s="160" t="n"/>
      <c r="H62" s="8" t="n"/>
      <c r="I62" s="89" t="n"/>
      <c r="J62" s="347" t="n"/>
      <c r="K62" s="160" t="n"/>
      <c r="L62" s="160" t="n"/>
      <c r="M62" s="8" t="n"/>
      <c r="N62" s="160" t="n"/>
    </row>
    <row r="63" ht="14.45" customHeight="1">
      <c r="A63" s="37" t="inlineStr">
        <is>
          <t>Equipment</t>
        </is>
      </c>
      <c r="B63" s="342">
        <f>'BE1'!B63+'BE2'!B63+'BE3'!B63+'BE4'!B63</f>
        <v/>
      </c>
      <c r="C63" s="228" t="n"/>
      <c r="D63" s="229">
        <f>'BE1'!D63+'BE2'!D63+'BE3'!D63+'BE4'!D63</f>
        <v/>
      </c>
      <c r="E63" s="343" t="n"/>
      <c r="F63" s="226" t="n"/>
      <c r="G63" s="225" t="n"/>
      <c r="H63" s="8" t="n"/>
      <c r="I63" s="344">
        <f>D63+G63</f>
        <v/>
      </c>
      <c r="J63" s="343">
        <f>E63+B63</f>
        <v/>
      </c>
      <c r="K63" s="225">
        <f>IF(J63&gt;0,L63/J63," ")</f>
        <v/>
      </c>
      <c r="L63" s="225">
        <f>G63+D63</f>
        <v/>
      </c>
      <c r="M63" s="8" t="n"/>
      <c r="N63" s="222">
        <f>D63+G63</f>
        <v/>
      </c>
    </row>
    <row r="64" ht="14.45" customHeight="1">
      <c r="A64" s="37" t="inlineStr">
        <is>
          <t>Infrastructure</t>
        </is>
      </c>
      <c r="B64" s="342">
        <f>'BE1'!B64+'BE2'!B64+'BE3'!B64+'BE4'!B64</f>
        <v/>
      </c>
      <c r="C64" s="228" t="n"/>
      <c r="D64" s="229">
        <f>'BE1'!D64+'BE2'!D64+'BE3'!D64+'BE4'!D64</f>
        <v/>
      </c>
      <c r="E64" s="343" t="n"/>
      <c r="F64" s="226" t="n"/>
      <c r="G64" s="225" t="n"/>
      <c r="H64" s="8" t="n"/>
      <c r="I64" s="344">
        <f>D64+G64</f>
        <v/>
      </c>
      <c r="J64" s="343">
        <f>E64+B64</f>
        <v/>
      </c>
      <c r="K64" s="225">
        <f>IF(J64&gt;0,L64/J64," ")</f>
        <v/>
      </c>
      <c r="L64" s="225">
        <f>G64+D64</f>
        <v/>
      </c>
      <c r="M64" s="8" t="n"/>
      <c r="N64" s="222">
        <f>D64+G64</f>
        <v/>
      </c>
    </row>
    <row r="65" ht="14.45" customHeight="1">
      <c r="A65" s="37" t="inlineStr">
        <is>
          <t>Other assets</t>
        </is>
      </c>
      <c r="B65" s="342">
        <f>'BE1'!B65+'BE2'!B65+'BE3'!B65+'BE4'!B65</f>
        <v/>
      </c>
      <c r="C65" s="228" t="n"/>
      <c r="D65" s="229">
        <f>'BE1'!D65+'BE2'!D65+'BE3'!D65+'BE4'!D65</f>
        <v/>
      </c>
      <c r="E65" s="343" t="n"/>
      <c r="F65" s="226" t="n"/>
      <c r="G65" s="225" t="n"/>
      <c r="H65" s="8" t="n"/>
      <c r="I65" s="344">
        <f>D65+G65</f>
        <v/>
      </c>
      <c r="J65" s="343">
        <f>E65+B65</f>
        <v/>
      </c>
      <c r="K65" s="225">
        <f>IF(J65&gt;0,L65/J65," ")</f>
        <v/>
      </c>
      <c r="L65" s="225">
        <f>G65+D65</f>
        <v/>
      </c>
      <c r="M65" s="8" t="n"/>
      <c r="N65" s="222">
        <f>D65+G65</f>
        <v/>
      </c>
    </row>
    <row r="66" ht="14.45" customHeight="1">
      <c r="A66" s="7" t="inlineStr">
        <is>
          <t>C.3 Other goods, works and services</t>
        </is>
      </c>
      <c r="B66" s="347" t="n"/>
      <c r="C66" s="160" t="n"/>
      <c r="D66" s="160" t="n"/>
      <c r="E66" s="347" t="n"/>
      <c r="F66" s="160" t="n"/>
      <c r="G66" s="160" t="n"/>
      <c r="H66" s="8" t="n"/>
      <c r="I66" s="89" t="n"/>
      <c r="J66" s="347" t="n"/>
      <c r="K66" s="160" t="n"/>
      <c r="L66" s="160" t="n"/>
      <c r="M66" s="8" t="n"/>
      <c r="N66" s="160" t="n"/>
    </row>
    <row r="67" ht="14.45" customHeight="1">
      <c r="A67" s="37" t="inlineStr">
        <is>
          <t>Consumables</t>
        </is>
      </c>
      <c r="B67" s="342">
        <f>'BE1'!B67+'BE2'!B67+'BE3'!B67+'BE4'!B67</f>
        <v/>
      </c>
      <c r="C67" s="228" t="n"/>
      <c r="D67" s="229">
        <f>'BE1'!D67+'BE2'!D67+'BE3'!D67+'BE4'!D67</f>
        <v/>
      </c>
      <c r="E67" s="343" t="n"/>
      <c r="F67" s="226" t="n"/>
      <c r="G67" s="225" t="n"/>
      <c r="H67" s="8" t="n"/>
      <c r="I67" s="344">
        <f>D67+G67</f>
        <v/>
      </c>
      <c r="J67" s="343">
        <f>E67+B67</f>
        <v/>
      </c>
      <c r="K67" s="225">
        <f>IF(J67&gt;0,L67/J67," ")</f>
        <v/>
      </c>
      <c r="L67" s="225">
        <f>G67+D67</f>
        <v/>
      </c>
      <c r="M67" s="8" t="n"/>
      <c r="N67" s="222">
        <f>D67+G67</f>
        <v/>
      </c>
    </row>
    <row r="68" ht="14.45" customHeight="1">
      <c r="A68" s="37" t="inlineStr">
        <is>
          <t>Services for meetings, seminars</t>
        </is>
      </c>
      <c r="B68" s="342">
        <f>'BE1'!B68+'BE2'!B68+'BE3'!B68+'BE4'!B68</f>
        <v/>
      </c>
      <c r="C68" s="228" t="n"/>
      <c r="D68" s="229">
        <f>'BE1'!D68+'BE2'!D68+'BE3'!D68+'BE4'!D68</f>
        <v/>
      </c>
      <c r="E68" s="343" t="n"/>
      <c r="F68" s="226" t="n"/>
      <c r="G68" s="225" t="n"/>
      <c r="H68" s="8" t="n"/>
      <c r="I68" s="344">
        <f>D68+G68</f>
        <v/>
      </c>
      <c r="J68" s="343">
        <f>E68+B68</f>
        <v/>
      </c>
      <c r="K68" s="225">
        <f>IF(J68&gt;0,L68/J68," ")</f>
        <v/>
      </c>
      <c r="L68" s="225">
        <f>G68+D68</f>
        <v/>
      </c>
      <c r="M68" s="8" t="n"/>
      <c r="N68" s="222">
        <f>D68+G68</f>
        <v/>
      </c>
    </row>
    <row r="69" ht="14.45" customHeight="1">
      <c r="A69" s="37" t="inlineStr">
        <is>
          <t>Services for dissemination activities (including website)</t>
        </is>
      </c>
      <c r="B69" s="342">
        <f>'BE1'!B69+'BE2'!B69+'BE3'!B69+'BE4'!B69</f>
        <v/>
      </c>
      <c r="C69" s="228" t="n"/>
      <c r="D69" s="229">
        <f>'BE1'!D69+'BE2'!D69+'BE3'!D69+'BE4'!D69</f>
        <v/>
      </c>
      <c r="E69" s="343" t="n"/>
      <c r="F69" s="226" t="n"/>
      <c r="G69" s="225" t="n"/>
      <c r="H69" s="8" t="n"/>
      <c r="I69" s="344">
        <f>D69+G69</f>
        <v/>
      </c>
      <c r="J69" s="343">
        <f>E69+B69</f>
        <v/>
      </c>
      <c r="K69" s="225">
        <f>IF(J69&gt;0,L69/J69," ")</f>
        <v/>
      </c>
      <c r="L69" s="225">
        <f>G69+D69</f>
        <v/>
      </c>
      <c r="M69" s="8" t="n"/>
      <c r="N69" s="222">
        <f>D69+G69</f>
        <v/>
      </c>
    </row>
    <row r="70" ht="14.45" customHeight="1">
      <c r="A70" s="37" t="inlineStr">
        <is>
          <t>Publication fees</t>
        </is>
      </c>
      <c r="B70" s="342">
        <f>'BE1'!B70+'BE2'!B70+'BE3'!B70+'BE4'!B70</f>
        <v/>
      </c>
      <c r="C70" s="228" t="n"/>
      <c r="D70" s="229">
        <f>'BE1'!D70+'BE2'!D70+'BE3'!D70+'BE4'!D70</f>
        <v/>
      </c>
      <c r="E70" s="343" t="n"/>
      <c r="F70" s="226" t="n"/>
      <c r="G70" s="225" t="n"/>
      <c r="H70" s="8" t="n"/>
      <c r="I70" s="344">
        <f>D70+G70</f>
        <v/>
      </c>
      <c r="J70" s="343">
        <f>E70+B70</f>
        <v/>
      </c>
      <c r="K70" s="225">
        <f>IF(J70&gt;0,L70/J70," ")</f>
        <v/>
      </c>
      <c r="L70" s="225">
        <f>G70+D70</f>
        <v/>
      </c>
      <c r="M70" s="8" t="n"/>
      <c r="N70" s="222">
        <f>D70+G70</f>
        <v/>
      </c>
    </row>
    <row r="71" ht="14.45" customHeight="1">
      <c r="A71" s="37" t="inlineStr">
        <is>
          <t>Other (shipment,insurance, translation, etc.)</t>
        </is>
      </c>
      <c r="B71" s="342">
        <f>'BE1'!B71+'BE2'!B71+'BE3'!B71+'BE4'!B71</f>
        <v/>
      </c>
      <c r="C71" s="228" t="n"/>
      <c r="D71" s="229">
        <f>'BE1'!D71+'BE2'!D71+'BE3'!D71+'BE4'!D71</f>
        <v/>
      </c>
      <c r="E71" s="343" t="n"/>
      <c r="F71" s="226" t="n"/>
      <c r="G71" s="225" t="n"/>
      <c r="H71" s="8" t="n"/>
      <c r="I71" s="344">
        <f>D71+G71</f>
        <v/>
      </c>
      <c r="J71" s="343">
        <f>E71+B71</f>
        <v/>
      </c>
      <c r="K71" s="225">
        <f>IF(J71&gt;0,L71/J71," ")</f>
        <v/>
      </c>
      <c r="L71" s="225">
        <f>G71+D71</f>
        <v/>
      </c>
      <c r="M71" s="8" t="n"/>
      <c r="N71" s="222">
        <f>D71+G71</f>
        <v/>
      </c>
    </row>
    <row r="72" ht="14.45" customHeight="1">
      <c r="A72" s="6" t="inlineStr">
        <is>
          <t>D. OTHER COST CATEGORIES</t>
        </is>
      </c>
      <c r="B72" s="345" t="n"/>
      <c r="C72" s="227" t="n"/>
      <c r="D72" s="223" t="n"/>
      <c r="E72" s="345" t="n"/>
      <c r="F72" s="227" t="n"/>
      <c r="G72" s="223" t="n"/>
      <c r="H72" s="8" t="n"/>
      <c r="I72" s="341" t="n"/>
      <c r="J72" s="346" t="n"/>
      <c r="K72" s="223" t="n"/>
      <c r="L72" s="223" t="n"/>
      <c r="M72" s="8" t="n"/>
      <c r="N72" s="223" t="n"/>
    </row>
    <row r="73" ht="14.45" customHeight="1">
      <c r="A73" s="40" t="inlineStr">
        <is>
          <t>D.1 Financial support to third parties (if applicable in the topic specific conditions)</t>
        </is>
      </c>
      <c r="B73" s="342">
        <f>'BE1'!B73+'BE2'!B73+'BE3'!B73+'BE4'!B73</f>
        <v/>
      </c>
      <c r="C73" s="228" t="n"/>
      <c r="D73" s="229">
        <f>'BE1'!D73+'BE2'!D73+'BE3'!D73+'BE4'!D73</f>
        <v/>
      </c>
      <c r="E73" s="343" t="n"/>
      <c r="F73" s="226" t="n"/>
      <c r="G73" s="225" t="n"/>
      <c r="H73" s="8" t="n"/>
      <c r="I73" s="344">
        <f>D73+G73</f>
        <v/>
      </c>
      <c r="J73" s="343">
        <f>E73+B73</f>
        <v/>
      </c>
      <c r="K73" s="225">
        <f>IF(J73&gt;0,L73/J73," ")</f>
        <v/>
      </c>
      <c r="L73" s="225">
        <f>G73+D73</f>
        <v/>
      </c>
      <c r="M73" s="8" t="n"/>
      <c r="N73" s="222">
        <f>D73+G73</f>
        <v/>
      </c>
    </row>
    <row r="74" ht="14.45" customHeight="1">
      <c r="A74" s="39" t="inlineStr">
        <is>
          <t>D.2 Internally invoiced goods and services</t>
        </is>
      </c>
      <c r="B74" s="342">
        <f>'BE1'!B74+'BE2'!B74+'BE3'!B74+'BE4'!B74</f>
        <v/>
      </c>
      <c r="C74" s="228" t="n"/>
      <c r="D74" s="229">
        <f>'BE1'!D74+'BE2'!D74+'BE3'!D74+'BE4'!D74</f>
        <v/>
      </c>
      <c r="E74" s="343" t="n"/>
      <c r="F74" s="226" t="n"/>
      <c r="G74" s="225" t="n"/>
      <c r="H74" s="8" t="n"/>
      <c r="I74" s="344">
        <f>D74+G74</f>
        <v/>
      </c>
      <c r="J74" s="343">
        <f>E74+B74</f>
        <v/>
      </c>
      <c r="K74" s="225">
        <f>IF(J74&gt;0,L74/J74," ")</f>
        <v/>
      </c>
      <c r="L74" s="225">
        <f>G74+D74</f>
        <v/>
      </c>
      <c r="M74" s="8" t="n"/>
      <c r="N74" s="222">
        <f>D74+G74</f>
        <v/>
      </c>
    </row>
    <row r="75" ht="14.45" customHeight="1">
      <c r="A75" s="39" t="inlineStr">
        <is>
          <t>D.3 Transnational access to research infrastructure unit costs (if required in the topic specific conditions)</t>
        </is>
      </c>
      <c r="B75" s="342">
        <f>'BE1'!B75+'BE2'!B75+'BE3'!B75+'BE4'!B75</f>
        <v/>
      </c>
      <c r="C75" s="228" t="n"/>
      <c r="D75" s="229">
        <f>'BE1'!D75+'BE2'!D75+'BE3'!D75+'BE4'!D75</f>
        <v/>
      </c>
      <c r="E75" s="343" t="n"/>
      <c r="F75" s="226" t="n"/>
      <c r="G75" s="225" t="n"/>
      <c r="H75" s="8" t="n"/>
      <c r="I75" s="344">
        <f>D75+G75</f>
        <v/>
      </c>
      <c r="J75" s="343">
        <f>E75+B75</f>
        <v/>
      </c>
      <c r="K75" s="225">
        <f>IF(J75&gt;0,L75/J75," ")</f>
        <v/>
      </c>
      <c r="L75" s="225">
        <f>G75+D75</f>
        <v/>
      </c>
      <c r="M75" s="8" t="n"/>
      <c r="N75" s="222">
        <f>D75+G75</f>
        <v/>
      </c>
    </row>
    <row r="76" ht="14.45" customHeight="1">
      <c r="A76" s="39" t="inlineStr">
        <is>
          <t>D.4 Virtual access to research infrastructure unit costs (if required in the topic specific conditions)</t>
        </is>
      </c>
      <c r="B76" s="342">
        <f>'BE1'!B76+'BE2'!B76+'BE3'!B76+'BE4'!B76</f>
        <v/>
      </c>
      <c r="C76" s="228" t="n"/>
      <c r="D76" s="229">
        <f>'BE1'!D76+'BE2'!D76+'BE3'!D76+'BE4'!D76</f>
        <v/>
      </c>
      <c r="E76" s="343" t="n"/>
      <c r="F76" s="226" t="n"/>
      <c r="G76" s="225" t="n"/>
      <c r="H76" s="8" t="n"/>
      <c r="I76" s="344">
        <f>D76+G76</f>
        <v/>
      </c>
      <c r="J76" s="343">
        <f>E76+B76</f>
        <v/>
      </c>
      <c r="K76" s="225">
        <f>IF(J76&gt;0,L76/J76," ")</f>
        <v/>
      </c>
      <c r="L76" s="225">
        <f>G76+D76</f>
        <v/>
      </c>
      <c r="M76" s="8" t="n"/>
      <c r="N76" s="222">
        <f>D76+G76</f>
        <v/>
      </c>
    </row>
    <row r="77" ht="14.45" customHeight="1">
      <c r="A77" s="39" t="inlineStr">
        <is>
          <t>D.5 PCP/PPI procurement costs (if mentioned as eligible in the topic specific conditions)</t>
        </is>
      </c>
      <c r="B77" s="342">
        <f>'BE1'!B77+'BE2'!B77+'BE3'!B77+'BE4'!B77</f>
        <v/>
      </c>
      <c r="C77" s="228" t="n"/>
      <c r="D77" s="229">
        <f>'BE1'!D77+'BE2'!D77+'BE3'!D77+'BE4'!D77</f>
        <v/>
      </c>
      <c r="E77" s="343" t="n"/>
      <c r="F77" s="226" t="n"/>
      <c r="G77" s="225" t="n"/>
      <c r="H77" s="8" t="n"/>
      <c r="I77" s="344">
        <f>D77+G77</f>
        <v/>
      </c>
      <c r="J77" s="343">
        <f>E77+B77</f>
        <v/>
      </c>
      <c r="K77" s="225">
        <f>IF(J77&gt;0,L77/J77," ")</f>
        <v/>
      </c>
      <c r="L77" s="225">
        <f>G77+D77</f>
        <v/>
      </c>
      <c r="M77" s="8" t="n"/>
      <c r="N77" s="222">
        <f>D77+G77</f>
        <v/>
      </c>
    </row>
    <row r="78" ht="14.45" customHeight="1">
      <c r="A78" s="26" t="n"/>
      <c r="B78" s="347" t="n"/>
      <c r="C78" s="160" t="n"/>
      <c r="D78" s="160" t="n"/>
      <c r="E78" s="347" t="n"/>
      <c r="F78" s="160" t="n"/>
      <c r="G78" s="160" t="n"/>
      <c r="H78" s="8" t="n"/>
      <c r="I78" s="89" t="n"/>
      <c r="J78" s="347" t="n"/>
      <c r="K78" s="160" t="n"/>
      <c r="L78" s="160" t="n"/>
      <c r="M78" s="8" t="n"/>
      <c r="N78" s="160" t="n"/>
    </row>
    <row r="79" ht="14.45" customHeight="1">
      <c r="A79" s="41" t="inlineStr">
        <is>
          <t>TOTAL DIRECT PERSONNEL COSTS AND PURCHASE COSTS (A+C)</t>
        </is>
      </c>
      <c r="B79" s="348" t="n"/>
      <c r="C79" s="224" t="n"/>
      <c r="D79" s="224">
        <f>'BE1'!D79+'BE2'!D79+'BE3'!D79+'BE4'!D79</f>
        <v/>
      </c>
      <c r="E79" s="348" t="n"/>
      <c r="F79" s="224" t="n"/>
      <c r="G79" s="224" t="n"/>
      <c r="H79" s="8" t="n"/>
      <c r="I79" s="349">
        <f>SUM(I50:I57,I61:I71)</f>
        <v/>
      </c>
      <c r="J79" s="348" t="n"/>
      <c r="K79" s="224" t="n"/>
      <c r="L79" s="224">
        <f>SUM(L50:L57,L61:L71)</f>
        <v/>
      </c>
      <c r="M79" s="8" t="n"/>
      <c r="N79" s="224">
        <f>SUM(N50:N57,N61:N71)</f>
        <v/>
      </c>
    </row>
    <row r="80" ht="14.45" customHeight="1">
      <c r="A80" s="41" t="inlineStr">
        <is>
          <t>TOTAL DIRECT COSTS  (A+B+C+D)</t>
        </is>
      </c>
      <c r="B80" s="348" t="n"/>
      <c r="C80" s="224" t="n"/>
      <c r="D80" s="224">
        <f>'BE1'!D80+'BE2'!D80+'BE3'!D80+'BE4'!D80</f>
        <v/>
      </c>
      <c r="E80" s="348" t="n"/>
      <c r="F80" s="224" t="n"/>
      <c r="G80" s="224" t="n"/>
      <c r="H80" s="8" t="n"/>
      <c r="I80" s="349">
        <f>SUM(I50:I77)</f>
        <v/>
      </c>
      <c r="J80" s="348" t="n"/>
      <c r="K80" s="224" t="n"/>
      <c r="L80" s="224">
        <f>SUM(L50:L77)</f>
        <v/>
      </c>
      <c r="M80" s="8" t="n"/>
      <c r="N80" s="224">
        <f>SUM(N50:N77)</f>
        <v/>
      </c>
    </row>
    <row r="81" ht="6.95" customHeight="1">
      <c r="A81" s="8" t="n"/>
      <c r="B81" s="350" t="n"/>
      <c r="C81" s="134" t="n"/>
      <c r="D81" s="134" t="n"/>
      <c r="E81" s="350" t="n"/>
      <c r="F81" s="134" t="n"/>
      <c r="G81" s="134" t="n"/>
      <c r="H81" s="8" t="n"/>
      <c r="I81" s="8" t="n"/>
      <c r="J81" s="350" t="n"/>
      <c r="K81" s="134" t="n"/>
      <c r="L81" s="134" t="n"/>
      <c r="M81" s="8" t="n"/>
      <c r="N81" s="134" t="n"/>
    </row>
    <row r="82" ht="14.45" customHeight="1">
      <c r="A82" s="11" t="inlineStr">
        <is>
          <t>E. INDIRECT COSTS (25% * (A+C))</t>
        </is>
      </c>
      <c r="B82" s="348" t="n"/>
      <c r="C82" s="224" t="n"/>
      <c r="D82" s="224">
        <f>'BE1'!D82+'BE2'!D82+'BE3'!D82+'BE4'!D82</f>
        <v/>
      </c>
      <c r="E82" s="348" t="n"/>
      <c r="F82" s="224" t="n"/>
      <c r="G82" s="224" t="n"/>
      <c r="H82" s="8" t="n"/>
      <c r="I82" s="349">
        <f>+I79*0.25</f>
        <v/>
      </c>
      <c r="J82" s="348" t="n"/>
      <c r="K82" s="224" t="n"/>
      <c r="L82" s="224">
        <f>+L79*0.25</f>
        <v/>
      </c>
      <c r="M82" s="8" t="n"/>
      <c r="N82" s="224">
        <f>+N79*0.25</f>
        <v/>
      </c>
    </row>
    <row r="83" ht="6.95" customHeight="1">
      <c r="A83" s="8" t="n"/>
      <c r="B83" s="350" t="n"/>
      <c r="C83" s="134" t="n"/>
      <c r="D83" s="134" t="n"/>
      <c r="E83" s="350" t="n"/>
      <c r="F83" s="134" t="n"/>
      <c r="G83" s="134" t="n"/>
      <c r="H83" s="8" t="n"/>
      <c r="I83" s="8" t="n"/>
      <c r="J83" s="350" t="n"/>
      <c r="K83" s="134" t="n"/>
      <c r="L83" s="134" t="n"/>
      <c r="M83" s="8" t="n"/>
      <c r="N83" s="134" t="n"/>
    </row>
    <row r="84" ht="14.45" customHeight="1">
      <c r="A84" s="11" t="inlineStr">
        <is>
          <t>F. TOTAL COSTS (A+B+C+D+E)</t>
        </is>
      </c>
      <c r="B84" s="348" t="n"/>
      <c r="C84" s="224" t="n"/>
      <c r="D84" s="224">
        <f>'BE1'!D84+'BE2'!D84+'BE3'!D84+'BE4'!D84</f>
        <v/>
      </c>
      <c r="E84" s="348" t="n"/>
      <c r="F84" s="224" t="n"/>
      <c r="G84" s="224" t="n"/>
      <c r="H84" s="8" t="n"/>
      <c r="I84" s="349">
        <f>I80+I82</f>
        <v/>
      </c>
      <c r="J84" s="348" t="n"/>
      <c r="K84" s="224" t="n"/>
      <c r="L84" s="224">
        <f>L80+L82</f>
        <v/>
      </c>
      <c r="M84" s="8" t="n"/>
      <c r="N84" s="224">
        <f>N80+N82</f>
        <v/>
      </c>
    </row>
    <row r="85" ht="6.95" customHeight="1">
      <c r="A85" s="8" t="n"/>
      <c r="B85" s="8" t="n"/>
      <c r="C85" s="8" t="n"/>
      <c r="D85" s="8" t="n"/>
      <c r="E85" s="8" t="n"/>
      <c r="F85" s="8" t="n"/>
      <c r="G85" s="8" t="n"/>
      <c r="H85" s="8" t="n"/>
      <c r="I85" s="8" t="n"/>
      <c r="J85" s="8" t="n"/>
      <c r="K85" s="8" t="n"/>
      <c r="L85" s="8" t="n"/>
      <c r="M85" s="8" t="n"/>
      <c r="N85" s="8" t="n"/>
    </row>
    <row r="86" ht="14.45" customHeight="1">
      <c r="A86" s="209" t="n"/>
      <c r="B86" s="207" t="n"/>
      <c r="C86" s="209" t="n"/>
      <c r="D86" s="208" t="n"/>
      <c r="E86" s="207" t="n"/>
      <c r="F86" s="209" t="n"/>
      <c r="G86" s="208" t="n"/>
      <c r="H86" s="208" t="n"/>
      <c r="I86" s="208" t="n"/>
      <c r="J86" s="208" t="n"/>
      <c r="K86" s="208" t="n"/>
      <c r="L86" s="208" t="n"/>
      <c r="M86" s="209" t="n"/>
      <c r="N86" s="210" t="n"/>
    </row>
    <row r="87" ht="21" customHeight="1">
      <c r="A87" s="300" t="inlineStr">
        <is>
          <t>COSTS WORK PACKAGE 3: Integrated Design Verification and Monitoring Specification</t>
        </is>
      </c>
      <c r="B87" s="338" t="n"/>
      <c r="C87" s="338" t="n"/>
      <c r="D87" s="338" t="n"/>
      <c r="E87" s="338" t="n"/>
      <c r="F87" s="338" t="n"/>
      <c r="G87" s="338" t="n"/>
      <c r="H87" s="338" t="n"/>
      <c r="I87" s="338" t="n"/>
      <c r="J87" s="338" t="n"/>
      <c r="K87" s="338" t="n"/>
      <c r="L87" s="338" t="n"/>
      <c r="M87" s="338" t="n"/>
      <c r="N87" s="339" t="n"/>
    </row>
    <row r="88" ht="6.95" customHeight="1">
      <c r="A88" s="8" t="n"/>
      <c r="B88" s="8" t="n"/>
      <c r="C88" s="8" t="n"/>
      <c r="D88" s="8" t="n"/>
      <c r="E88" s="8" t="n"/>
      <c r="F88" s="8" t="n"/>
      <c r="G88" s="8" t="n"/>
      <c r="H88" s="8" t="n"/>
      <c r="I88" s="8" t="n"/>
      <c r="J88" s="8" t="n"/>
      <c r="K88" s="8" t="n"/>
      <c r="L88" s="8" t="n"/>
      <c r="M88" s="8" t="n"/>
      <c r="N88" s="8" t="n"/>
    </row>
    <row r="89" ht="14.45" customHeight="1">
      <c r="A89" s="11" t="inlineStr">
        <is>
          <t>A. DIRECT PERSONNEL COSTS</t>
        </is>
      </c>
      <c r="B89" s="4" t="n"/>
      <c r="C89" s="340" t="n"/>
      <c r="D89" s="341" t="n"/>
      <c r="E89" s="4" t="n"/>
      <c r="F89" s="340" t="n"/>
      <c r="G89" s="341" t="n"/>
      <c r="H89" s="8" t="n"/>
      <c r="I89" s="341" t="n"/>
      <c r="J89" s="341" t="n"/>
      <c r="K89" s="341" t="n"/>
      <c r="L89" s="341" t="n"/>
      <c r="M89" s="8" t="n"/>
      <c r="N89" s="341" t="n"/>
    </row>
    <row r="90" ht="14.45" customHeight="1">
      <c r="A90" s="7" t="inlineStr">
        <is>
          <t>A.1 Employees (or equivalent)</t>
        </is>
      </c>
      <c r="B90" s="89" t="n"/>
      <c r="C90" s="89" t="n"/>
      <c r="D90" s="89" t="n"/>
      <c r="E90" s="89" t="n"/>
      <c r="F90" s="89" t="n"/>
      <c r="G90" s="89" t="n"/>
      <c r="H90" s="8" t="n"/>
      <c r="I90" s="89" t="n"/>
      <c r="J90" s="89" t="n"/>
      <c r="K90" s="89" t="n"/>
      <c r="L90" s="89" t="n"/>
      <c r="M90" s="8" t="n"/>
      <c r="N90" s="89" t="n"/>
    </row>
    <row r="91" ht="14.45" customHeight="1">
      <c r="A91" s="36" t="inlineStr">
        <is>
          <t>SENIOR SCIENTISTS (or equivalent in the private sector)</t>
        </is>
      </c>
      <c r="B91" s="342">
        <f>'BE1'!B91+'BE2'!B91+'BE3'!B91+'BE4'!B91</f>
        <v/>
      </c>
      <c r="C91" s="228" t="n"/>
      <c r="D91" s="229">
        <f>'BE1'!D91+'BE2'!D91+'BE3'!D91+'BE4'!D91</f>
        <v/>
      </c>
      <c r="E91" s="343" t="n"/>
      <c r="F91" s="226" t="n"/>
      <c r="G91" s="225" t="n"/>
      <c r="H91" s="8" t="n"/>
      <c r="I91" s="344">
        <f>D91+G91</f>
        <v/>
      </c>
      <c r="J91" s="343">
        <f>E91+B91</f>
        <v/>
      </c>
      <c r="K91" s="225">
        <f>IF(J91&gt;0,L91/J91," ")</f>
        <v/>
      </c>
      <c r="L91" s="225">
        <f>G91+D91</f>
        <v/>
      </c>
      <c r="M91" s="8" t="n"/>
      <c r="N91" s="222">
        <f>D91+G91</f>
        <v/>
      </c>
    </row>
    <row r="92" ht="14.45" customHeight="1">
      <c r="A92" s="36" t="inlineStr">
        <is>
          <t>JUNIOR SCIENTISTS (or equivalent in the private sector)</t>
        </is>
      </c>
      <c r="B92" s="342">
        <f>'BE1'!B92+'BE2'!B92+'BE3'!B92+'BE4'!B92</f>
        <v/>
      </c>
      <c r="C92" s="228" t="n"/>
      <c r="D92" s="229">
        <f>'BE1'!D92+'BE2'!D92+'BE3'!D92+'BE4'!D92</f>
        <v/>
      </c>
      <c r="E92" s="343" t="n"/>
      <c r="F92" s="226" t="n"/>
      <c r="G92" s="225" t="n"/>
      <c r="H92" s="8" t="n"/>
      <c r="I92" s="344">
        <f>D92+G92</f>
        <v/>
      </c>
      <c r="J92" s="343">
        <f>E92+B92</f>
        <v/>
      </c>
      <c r="K92" s="225">
        <f>IF(J92&gt;0,L92/J92," ")</f>
        <v/>
      </c>
      <c r="L92" s="225">
        <f>G92+D92</f>
        <v/>
      </c>
      <c r="M92" s="8" t="n"/>
      <c r="N92" s="222">
        <f>D92+G92</f>
        <v/>
      </c>
    </row>
    <row r="93" ht="14.45" customHeight="1">
      <c r="A93" s="36" t="inlineStr">
        <is>
          <t>TECHNICAL PERSONNEL (or equivalent in the private sector)</t>
        </is>
      </c>
      <c r="B93" s="342">
        <f>'BE1'!B93+'BE2'!B93+'BE3'!B93+'BE4'!B93</f>
        <v/>
      </c>
      <c r="C93" s="228" t="n"/>
      <c r="D93" s="229">
        <f>'BE1'!D93+'BE2'!D93+'BE3'!D93+'BE4'!D93</f>
        <v/>
      </c>
      <c r="E93" s="343" t="n"/>
      <c r="F93" s="226" t="n"/>
      <c r="G93" s="225" t="n"/>
      <c r="H93" s="8" t="n"/>
      <c r="I93" s="344">
        <f>D93+G93</f>
        <v/>
      </c>
      <c r="J93" s="343">
        <f>E93+B93</f>
        <v/>
      </c>
      <c r="K93" s="225">
        <f>IF(J93&gt;0,L93/J93," ")</f>
        <v/>
      </c>
      <c r="L93" s="225">
        <f>G93+D93</f>
        <v/>
      </c>
      <c r="M93" s="8" t="n"/>
      <c r="N93" s="222">
        <f>D93+G93</f>
        <v/>
      </c>
    </row>
    <row r="94" ht="14.45" customHeight="1">
      <c r="A94" s="36" t="inlineStr">
        <is>
          <t>ADMINISTRATIVE PERSONNEL (or equivalent in the private sector)</t>
        </is>
      </c>
      <c r="B94" s="342">
        <f>'BE1'!B94+'BE2'!B94+'BE3'!B94+'BE4'!B94</f>
        <v/>
      </c>
      <c r="C94" s="228" t="n"/>
      <c r="D94" s="229">
        <f>'BE1'!D94+'BE2'!D94+'BE3'!D94+'BE4'!D94</f>
        <v/>
      </c>
      <c r="E94" s="343" t="n"/>
      <c r="F94" s="226" t="n"/>
      <c r="G94" s="225" t="n"/>
      <c r="H94" s="8" t="n"/>
      <c r="I94" s="344">
        <f>D94+G94</f>
        <v/>
      </c>
      <c r="J94" s="343">
        <f>E94+B94</f>
        <v/>
      </c>
      <c r="K94" s="225">
        <f>IF(J94&gt;0,L94/J94," ")</f>
        <v/>
      </c>
      <c r="L94" s="225">
        <f>G94+D94</f>
        <v/>
      </c>
      <c r="M94" s="8" t="n"/>
      <c r="N94" s="222">
        <f>D94+G94</f>
        <v/>
      </c>
    </row>
    <row r="95" ht="14.45" customHeight="1">
      <c r="A95" s="36" t="inlineStr">
        <is>
          <t>OTHERS</t>
        </is>
      </c>
      <c r="B95" s="342">
        <f>'BE1'!B95+'BE2'!B95+'BE3'!B95+'BE4'!B95</f>
        <v/>
      </c>
      <c r="C95" s="228" t="n"/>
      <c r="D95" s="229">
        <f>'BE1'!D95+'BE2'!D95+'BE3'!D95+'BE4'!D95</f>
        <v/>
      </c>
      <c r="E95" s="343" t="n"/>
      <c r="F95" s="226" t="n"/>
      <c r="G95" s="225" t="n"/>
      <c r="H95" s="8" t="n"/>
      <c r="I95" s="344">
        <f>D95+G95</f>
        <v/>
      </c>
      <c r="J95" s="343">
        <f>E95+B95</f>
        <v/>
      </c>
      <c r="K95" s="225">
        <f>IF(J95&gt;0,L95/J95," ")</f>
        <v/>
      </c>
      <c r="L95" s="225">
        <f>G95+D95</f>
        <v/>
      </c>
      <c r="M95" s="8" t="n"/>
      <c r="N95" s="222">
        <f>D95+G95</f>
        <v/>
      </c>
    </row>
    <row r="96" ht="14.45" customHeight="1">
      <c r="A96" s="7" t="inlineStr">
        <is>
          <t>A.2 Natural Persons under direct contract</t>
        </is>
      </c>
      <c r="B96" s="342">
        <f>'BE1'!B96+'BE2'!B96+'BE3'!B96+'BE4'!B96</f>
        <v/>
      </c>
      <c r="C96" s="228" t="n"/>
      <c r="D96" s="229">
        <f>'BE1'!D96+'BE2'!D96+'BE3'!D96+'BE4'!D96</f>
        <v/>
      </c>
      <c r="E96" s="343" t="n"/>
      <c r="F96" s="226" t="n"/>
      <c r="G96" s="225" t="n"/>
      <c r="H96" s="8" t="n"/>
      <c r="I96" s="344">
        <f>D96+G96</f>
        <v/>
      </c>
      <c r="J96" s="343">
        <f>E96+B96</f>
        <v/>
      </c>
      <c r="K96" s="225">
        <f>IF(J96&gt;0,L96/J96," ")</f>
        <v/>
      </c>
      <c r="L96" s="225">
        <f>G96+D96</f>
        <v/>
      </c>
      <c r="M96" s="8" t="n"/>
      <c r="N96" s="222">
        <f>D96+G96</f>
        <v/>
      </c>
    </row>
    <row r="97" ht="14.45" customHeight="1">
      <c r="A97" s="7" t="inlineStr">
        <is>
          <t>A.3 Seconded Persons</t>
        </is>
      </c>
      <c r="B97" s="342">
        <f>'BE1'!B97+'BE2'!B97+'BE3'!B97+'BE4'!B97</f>
        <v/>
      </c>
      <c r="C97" s="228" t="n"/>
      <c r="D97" s="229">
        <f>'BE1'!D97+'BE2'!D97+'BE3'!D97+'BE4'!D97</f>
        <v/>
      </c>
      <c r="E97" s="343" t="n"/>
      <c r="F97" s="226" t="n"/>
      <c r="G97" s="225" t="n"/>
      <c r="H97" s="8" t="n"/>
      <c r="I97" s="344">
        <f>D97+G97</f>
        <v/>
      </c>
      <c r="J97" s="343">
        <f>E97+B97</f>
        <v/>
      </c>
      <c r="K97" s="225">
        <f>IF(J97&gt;0,L97/J97," ")</f>
        <v/>
      </c>
      <c r="L97" s="225">
        <f>G97+D97</f>
        <v/>
      </c>
      <c r="M97" s="8" t="n"/>
      <c r="N97" s="222">
        <f>D97+G97</f>
        <v/>
      </c>
    </row>
    <row r="98" ht="14.45" customHeight="1">
      <c r="A98" s="7" t="inlineStr">
        <is>
          <t>A.4 SME owners and natural person beneficiaries</t>
        </is>
      </c>
      <c r="B98" s="342">
        <f>'BE1'!B98+'BE2'!B98+'BE3'!B98+'BE4'!B98</f>
        <v/>
      </c>
      <c r="C98" s="228" t="n"/>
      <c r="D98" s="229">
        <f>'BE1'!D98+'BE2'!D98+'BE3'!D98+'BE4'!D98</f>
        <v/>
      </c>
      <c r="E98" s="343" t="n"/>
      <c r="F98" s="226" t="n"/>
      <c r="G98" s="225" t="n"/>
      <c r="H98" s="8" t="n"/>
      <c r="I98" s="344">
        <f>D98+G98</f>
        <v/>
      </c>
      <c r="J98" s="343">
        <f>E98+B98</f>
        <v/>
      </c>
      <c r="K98" s="225">
        <f>IF(J98&gt;0,L98/J98," ")</f>
        <v/>
      </c>
      <c r="L98" s="225">
        <f>G98+D98</f>
        <v/>
      </c>
      <c r="M98" s="8" t="n"/>
      <c r="N98" s="222">
        <f>D98+G98</f>
        <v/>
      </c>
    </row>
    <row r="99" ht="14.45" customHeight="1">
      <c r="A99" s="11" t="inlineStr">
        <is>
          <t>B. DIRECT SUBCONTRACTING COSTS</t>
        </is>
      </c>
      <c r="B99" s="345" t="n"/>
      <c r="C99" s="227" t="n"/>
      <c r="D99" s="223" t="n"/>
      <c r="E99" s="345" t="n"/>
      <c r="F99" s="227" t="n"/>
      <c r="G99" s="223" t="n"/>
      <c r="H99" s="8" t="n"/>
      <c r="I99" s="341" t="n"/>
      <c r="J99" s="346" t="n"/>
      <c r="K99" s="223" t="n"/>
      <c r="L99" s="223" t="n"/>
      <c r="M99" s="8" t="n"/>
      <c r="N99" s="223" t="n"/>
    </row>
    <row r="100" ht="14.45" customHeight="1">
      <c r="A100" s="9" t="n"/>
      <c r="B100" s="342">
        <f>'BE1'!B100+'BE2'!B100+'BE3'!B100+'BE4'!B100</f>
        <v/>
      </c>
      <c r="C100" s="228" t="n"/>
      <c r="D100" s="229">
        <f>'BE1'!D100+'BE2'!D100+'BE3'!D100+'BE4'!D100</f>
        <v/>
      </c>
      <c r="E100" s="343" t="n"/>
      <c r="F100" s="226" t="n"/>
      <c r="G100" s="225" t="n"/>
      <c r="H100" s="8" t="n"/>
      <c r="I100" s="344">
        <f>D100+G100</f>
        <v/>
      </c>
      <c r="J100" s="343">
        <f>E100+B100</f>
        <v/>
      </c>
      <c r="K100" s="225">
        <f>IF(J100&gt;0,L100/J100," ")</f>
        <v/>
      </c>
      <c r="L100" s="225">
        <f>G100+D100</f>
        <v/>
      </c>
      <c r="M100" s="8" t="n"/>
      <c r="N100" s="222">
        <f>D100+G100</f>
        <v/>
      </c>
    </row>
    <row r="101" ht="14.45" customHeight="1">
      <c r="A101" s="11" t="inlineStr">
        <is>
          <t>C. DIRECT PURCHASE COSTS</t>
        </is>
      </c>
      <c r="B101" s="345" t="n"/>
      <c r="C101" s="227" t="n"/>
      <c r="D101" s="223" t="n"/>
      <c r="E101" s="345" t="n"/>
      <c r="F101" s="227" t="n"/>
      <c r="G101" s="223" t="n"/>
      <c r="H101" s="8" t="n"/>
      <c r="I101" s="341" t="n"/>
      <c r="J101" s="346" t="n"/>
      <c r="K101" s="223" t="n"/>
      <c r="L101" s="223" t="n"/>
      <c r="M101" s="8" t="n"/>
      <c r="N101" s="223" t="n"/>
    </row>
    <row r="102" ht="14.45" customHeight="1">
      <c r="A102" s="39" t="inlineStr">
        <is>
          <t>C.1 Travel and subsistence</t>
        </is>
      </c>
      <c r="B102" s="342">
        <f>'BE1'!B102+'BE2'!B102+'BE3'!B102+'BE4'!B102</f>
        <v/>
      </c>
      <c r="C102" s="228" t="n"/>
      <c r="D102" s="229">
        <f>'BE1'!D102+'BE2'!D102+'BE3'!D102+'BE4'!D102</f>
        <v/>
      </c>
      <c r="E102" s="343" t="n"/>
      <c r="F102" s="226" t="n"/>
      <c r="G102" s="225" t="n"/>
      <c r="H102" s="8" t="n"/>
      <c r="I102" s="344">
        <f>D102+G102</f>
        <v/>
      </c>
      <c r="J102" s="343">
        <f>E102+B102</f>
        <v/>
      </c>
      <c r="K102" s="225">
        <f>IF(J102&gt;0,L102/J102," ")</f>
        <v/>
      </c>
      <c r="L102" s="225">
        <f>G102+D102</f>
        <v/>
      </c>
      <c r="M102" s="8" t="n"/>
      <c r="N102" s="222">
        <f>D102+G102</f>
        <v/>
      </c>
    </row>
    <row r="103" ht="14.45" customHeight="1">
      <c r="A103" s="7" t="inlineStr">
        <is>
          <t>C.2 Equipment (complete 'Depreciation cost' sheet)</t>
        </is>
      </c>
      <c r="B103" s="347" t="n"/>
      <c r="C103" s="160" t="n"/>
      <c r="D103" s="160" t="n"/>
      <c r="E103" s="347" t="n"/>
      <c r="F103" s="160" t="n"/>
      <c r="G103" s="160" t="n"/>
      <c r="H103" s="8" t="n"/>
      <c r="I103" s="89" t="n"/>
      <c r="J103" s="347" t="n"/>
      <c r="K103" s="160" t="n"/>
      <c r="L103" s="160" t="n"/>
      <c r="M103" s="8" t="n"/>
      <c r="N103" s="160" t="n"/>
    </row>
    <row r="104" ht="14.45" customHeight="1">
      <c r="A104" s="37" t="inlineStr">
        <is>
          <t>Equipment</t>
        </is>
      </c>
      <c r="B104" s="342">
        <f>'BE1'!B104+'BE2'!B104+'BE3'!B104+'BE4'!B104</f>
        <v/>
      </c>
      <c r="C104" s="228" t="n"/>
      <c r="D104" s="229">
        <f>'BE1'!D104+'BE2'!D104+'BE3'!D104+'BE4'!D104</f>
        <v/>
      </c>
      <c r="E104" s="343" t="n"/>
      <c r="F104" s="226" t="n"/>
      <c r="G104" s="225" t="n"/>
      <c r="H104" s="8" t="n"/>
      <c r="I104" s="344">
        <f>D104+G104</f>
        <v/>
      </c>
      <c r="J104" s="343">
        <f>E104+B104</f>
        <v/>
      </c>
      <c r="K104" s="225">
        <f>IF(J104&gt;0,L104/J104," ")</f>
        <v/>
      </c>
      <c r="L104" s="225">
        <f>G104+D104</f>
        <v/>
      </c>
      <c r="M104" s="8" t="n"/>
      <c r="N104" s="222">
        <f>D104+G104</f>
        <v/>
      </c>
    </row>
    <row r="105" ht="14.45" customHeight="1">
      <c r="A105" s="37" t="inlineStr">
        <is>
          <t>Infrastructure</t>
        </is>
      </c>
      <c r="B105" s="342">
        <f>'BE1'!B105+'BE2'!B105+'BE3'!B105+'BE4'!B105</f>
        <v/>
      </c>
      <c r="C105" s="228" t="n"/>
      <c r="D105" s="229">
        <f>'BE1'!D105+'BE2'!D105+'BE3'!D105+'BE4'!D105</f>
        <v/>
      </c>
      <c r="E105" s="343" t="n"/>
      <c r="F105" s="226" t="n"/>
      <c r="G105" s="225" t="n"/>
      <c r="H105" s="8" t="n"/>
      <c r="I105" s="344">
        <f>D105+G105</f>
        <v/>
      </c>
      <c r="J105" s="343">
        <f>E105+B105</f>
        <v/>
      </c>
      <c r="K105" s="225">
        <f>IF(J105&gt;0,L105/J105," ")</f>
        <v/>
      </c>
      <c r="L105" s="225">
        <f>G105+D105</f>
        <v/>
      </c>
      <c r="M105" s="8" t="n"/>
      <c r="N105" s="222">
        <f>D105+G105</f>
        <v/>
      </c>
    </row>
    <row r="106" ht="14.45" customHeight="1">
      <c r="A106" s="37" t="inlineStr">
        <is>
          <t>Other assets</t>
        </is>
      </c>
      <c r="B106" s="342">
        <f>'BE1'!B106+'BE2'!B106+'BE3'!B106+'BE4'!B106</f>
        <v/>
      </c>
      <c r="C106" s="228" t="n"/>
      <c r="D106" s="229">
        <f>'BE1'!D106+'BE2'!D106+'BE3'!D106+'BE4'!D106</f>
        <v/>
      </c>
      <c r="E106" s="343" t="n"/>
      <c r="F106" s="226" t="n"/>
      <c r="G106" s="225" t="n"/>
      <c r="H106" s="8" t="n"/>
      <c r="I106" s="344">
        <f>D106+G106</f>
        <v/>
      </c>
      <c r="J106" s="343">
        <f>E106+B106</f>
        <v/>
      </c>
      <c r="K106" s="225">
        <f>IF(J106&gt;0,L106/J106," ")</f>
        <v/>
      </c>
      <c r="L106" s="225">
        <f>G106+D106</f>
        <v/>
      </c>
      <c r="M106" s="8" t="n"/>
      <c r="N106" s="222">
        <f>D106+G106</f>
        <v/>
      </c>
    </row>
    <row r="107" ht="14.45" customHeight="1">
      <c r="A107" s="7" t="inlineStr">
        <is>
          <t>C.3 Other goods, works and services</t>
        </is>
      </c>
      <c r="B107" s="347" t="n"/>
      <c r="C107" s="160" t="n"/>
      <c r="D107" s="160" t="n"/>
      <c r="E107" s="347" t="n"/>
      <c r="F107" s="160" t="n"/>
      <c r="G107" s="160" t="n"/>
      <c r="H107" s="8" t="n"/>
      <c r="I107" s="89" t="n"/>
      <c r="J107" s="347" t="n"/>
      <c r="K107" s="160" t="n"/>
      <c r="L107" s="160" t="n"/>
      <c r="M107" s="8" t="n"/>
      <c r="N107" s="160" t="n"/>
    </row>
    <row r="108" ht="14.45" customHeight="1">
      <c r="A108" s="37" t="inlineStr">
        <is>
          <t>Consumables</t>
        </is>
      </c>
      <c r="B108" s="342">
        <f>'BE1'!B108+'BE2'!B108+'BE3'!B108+'BE4'!B108</f>
        <v/>
      </c>
      <c r="C108" s="228" t="n"/>
      <c r="D108" s="229">
        <f>'BE1'!D108+'BE2'!D108+'BE3'!D108+'BE4'!D108</f>
        <v/>
      </c>
      <c r="E108" s="343" t="n"/>
      <c r="F108" s="226" t="n"/>
      <c r="G108" s="225" t="n"/>
      <c r="H108" s="8" t="n"/>
      <c r="I108" s="344">
        <f>D108+G108</f>
        <v/>
      </c>
      <c r="J108" s="343">
        <f>E108+B108</f>
        <v/>
      </c>
      <c r="K108" s="225">
        <f>IF(J108&gt;0,L108/J108," ")</f>
        <v/>
      </c>
      <c r="L108" s="225">
        <f>G108+D108</f>
        <v/>
      </c>
      <c r="M108" s="8" t="n"/>
      <c r="N108" s="222">
        <f>D108+G108</f>
        <v/>
      </c>
    </row>
    <row r="109" ht="14.45" customHeight="1">
      <c r="A109" s="37" t="inlineStr">
        <is>
          <t>Services for meetings, seminars</t>
        </is>
      </c>
      <c r="B109" s="342">
        <f>'BE1'!B109+'BE2'!B109+'BE3'!B109+'BE4'!B109</f>
        <v/>
      </c>
      <c r="C109" s="228" t="n"/>
      <c r="D109" s="229">
        <f>'BE1'!D109+'BE2'!D109+'BE3'!D109+'BE4'!D109</f>
        <v/>
      </c>
      <c r="E109" s="343" t="n"/>
      <c r="F109" s="226" t="n"/>
      <c r="G109" s="225" t="n"/>
      <c r="H109" s="8" t="n"/>
      <c r="I109" s="344">
        <f>D109+G109</f>
        <v/>
      </c>
      <c r="J109" s="343">
        <f>E109+B109</f>
        <v/>
      </c>
      <c r="K109" s="225">
        <f>IF(J109&gt;0,L109/J109," ")</f>
        <v/>
      </c>
      <c r="L109" s="225">
        <f>G109+D109</f>
        <v/>
      </c>
      <c r="M109" s="8" t="n"/>
      <c r="N109" s="222">
        <f>D109+G109</f>
        <v/>
      </c>
    </row>
    <row r="110" ht="14.45" customHeight="1">
      <c r="A110" s="37" t="inlineStr">
        <is>
          <t>Services for dissemination activities (including website)</t>
        </is>
      </c>
      <c r="B110" s="342">
        <f>'BE1'!B110+'BE2'!B110+'BE3'!B110+'BE4'!B110</f>
        <v/>
      </c>
      <c r="C110" s="228" t="n"/>
      <c r="D110" s="229">
        <f>'BE1'!D110+'BE2'!D110+'BE3'!D110+'BE4'!D110</f>
        <v/>
      </c>
      <c r="E110" s="343" t="n"/>
      <c r="F110" s="226" t="n"/>
      <c r="G110" s="225" t="n"/>
      <c r="H110" s="8" t="n"/>
      <c r="I110" s="344">
        <f>D110+G110</f>
        <v/>
      </c>
      <c r="J110" s="343">
        <f>E110+B110</f>
        <v/>
      </c>
      <c r="K110" s="225">
        <f>IF(J110&gt;0,L110/J110," ")</f>
        <v/>
      </c>
      <c r="L110" s="225">
        <f>G110+D110</f>
        <v/>
      </c>
      <c r="M110" s="8" t="n"/>
      <c r="N110" s="222">
        <f>D110+G110</f>
        <v/>
      </c>
    </row>
    <row r="111" ht="14.45" customHeight="1">
      <c r="A111" s="37" t="inlineStr">
        <is>
          <t>Publication fees</t>
        </is>
      </c>
      <c r="B111" s="342">
        <f>'BE1'!B111+'BE2'!B111+'BE3'!B111+'BE4'!B111</f>
        <v/>
      </c>
      <c r="C111" s="228" t="n"/>
      <c r="D111" s="229">
        <f>'BE1'!D111+'BE2'!D111+'BE3'!D111+'BE4'!D111</f>
        <v/>
      </c>
      <c r="E111" s="343" t="n"/>
      <c r="F111" s="226" t="n"/>
      <c r="G111" s="225" t="n"/>
      <c r="H111" s="8" t="n"/>
      <c r="I111" s="344">
        <f>D111+G111</f>
        <v/>
      </c>
      <c r="J111" s="343">
        <f>E111+B111</f>
        <v/>
      </c>
      <c r="K111" s="225">
        <f>IF(J111&gt;0,L111/J111," ")</f>
        <v/>
      </c>
      <c r="L111" s="225">
        <f>G111+D111</f>
        <v/>
      </c>
      <c r="M111" s="8" t="n"/>
      <c r="N111" s="222">
        <f>D111+G111</f>
        <v/>
      </c>
    </row>
    <row r="112" ht="14.45" customHeight="1">
      <c r="A112" s="37" t="inlineStr">
        <is>
          <t>Other (shipment,insurance, translation, etc.)</t>
        </is>
      </c>
      <c r="B112" s="342">
        <f>'BE1'!B112+'BE2'!B112+'BE3'!B112+'BE4'!B112</f>
        <v/>
      </c>
      <c r="C112" s="228" t="n"/>
      <c r="D112" s="229">
        <f>'BE1'!D112+'BE2'!D112+'BE3'!D112+'BE4'!D112</f>
        <v/>
      </c>
      <c r="E112" s="343" t="n"/>
      <c r="F112" s="226" t="n"/>
      <c r="G112" s="225" t="n"/>
      <c r="H112" s="8" t="n"/>
      <c r="I112" s="344">
        <f>D112+G112</f>
        <v/>
      </c>
      <c r="J112" s="343">
        <f>E112+B112</f>
        <v/>
      </c>
      <c r="K112" s="225">
        <f>IF(J112&gt;0,L112/J112," ")</f>
        <v/>
      </c>
      <c r="L112" s="225">
        <f>G112+D112</f>
        <v/>
      </c>
      <c r="M112" s="8" t="n"/>
      <c r="N112" s="222">
        <f>D112+G112</f>
        <v/>
      </c>
    </row>
    <row r="113" ht="14.45" customHeight="1">
      <c r="A113" s="6" t="inlineStr">
        <is>
          <t>D. OTHER COST CATEGORIES</t>
        </is>
      </c>
      <c r="B113" s="345" t="n"/>
      <c r="C113" s="227" t="n"/>
      <c r="D113" s="223" t="n"/>
      <c r="E113" s="345" t="n"/>
      <c r="F113" s="227" t="n"/>
      <c r="G113" s="223" t="n"/>
      <c r="H113" s="8" t="n"/>
      <c r="I113" s="341" t="n"/>
      <c r="J113" s="346" t="n"/>
      <c r="K113" s="223" t="n"/>
      <c r="L113" s="223" t="n"/>
      <c r="M113" s="8" t="n"/>
      <c r="N113" s="223" t="n"/>
    </row>
    <row r="114" ht="14.45" customHeight="1">
      <c r="A114" s="40" t="inlineStr">
        <is>
          <t>D.1 Financial support to third parties (if applicable in the topic specific conditions)</t>
        </is>
      </c>
      <c r="B114" s="342">
        <f>'BE1'!B114+'BE2'!B114+'BE3'!B114+'BE4'!B114</f>
        <v/>
      </c>
      <c r="C114" s="228" t="n"/>
      <c r="D114" s="229">
        <f>'BE1'!D114+'BE2'!D114+'BE3'!D114+'BE4'!D114</f>
        <v/>
      </c>
      <c r="E114" s="343" t="n"/>
      <c r="F114" s="226" t="n"/>
      <c r="G114" s="225" t="n"/>
      <c r="H114" s="8" t="n"/>
      <c r="I114" s="344">
        <f>D114+G114</f>
        <v/>
      </c>
      <c r="J114" s="343">
        <f>E114+B114</f>
        <v/>
      </c>
      <c r="K114" s="225">
        <f>IF(J114&gt;0,L114/J114," ")</f>
        <v/>
      </c>
      <c r="L114" s="225">
        <f>G114+D114</f>
        <v/>
      </c>
      <c r="M114" s="8" t="n"/>
      <c r="N114" s="222">
        <f>D114+G114</f>
        <v/>
      </c>
    </row>
    <row r="115" ht="14.45" customHeight="1">
      <c r="A115" s="39" t="inlineStr">
        <is>
          <t>D.2 Internally invoiced goods and services</t>
        </is>
      </c>
      <c r="B115" s="342">
        <f>'BE1'!B115+'BE2'!B115+'BE3'!B115+'BE4'!B115</f>
        <v/>
      </c>
      <c r="C115" s="228" t="n"/>
      <c r="D115" s="229">
        <f>'BE1'!D115+'BE2'!D115+'BE3'!D115+'BE4'!D115</f>
        <v/>
      </c>
      <c r="E115" s="343" t="n"/>
      <c r="F115" s="226" t="n"/>
      <c r="G115" s="225" t="n"/>
      <c r="H115" s="8" t="n"/>
      <c r="I115" s="344">
        <f>D115+G115</f>
        <v/>
      </c>
      <c r="J115" s="343">
        <f>E115+B115</f>
        <v/>
      </c>
      <c r="K115" s="225">
        <f>IF(J115&gt;0,L115/J115," ")</f>
        <v/>
      </c>
      <c r="L115" s="225">
        <f>G115+D115</f>
        <v/>
      </c>
      <c r="M115" s="8" t="n"/>
      <c r="N115" s="222">
        <f>D115+G115</f>
        <v/>
      </c>
    </row>
    <row r="116" ht="14.45" customHeight="1">
      <c r="A116" s="39" t="inlineStr">
        <is>
          <t>D.3 Transnational access to research infrastructure unit costs (if required in the topic specific conditions)</t>
        </is>
      </c>
      <c r="B116" s="342">
        <f>'BE1'!B116+'BE2'!B116+'BE3'!B116+'BE4'!B116</f>
        <v/>
      </c>
      <c r="C116" s="228" t="n"/>
      <c r="D116" s="229">
        <f>'BE1'!D116+'BE2'!D116+'BE3'!D116+'BE4'!D116</f>
        <v/>
      </c>
      <c r="E116" s="343" t="n"/>
      <c r="F116" s="226" t="n"/>
      <c r="G116" s="225" t="n"/>
      <c r="H116" s="8" t="n"/>
      <c r="I116" s="344">
        <f>D116+G116</f>
        <v/>
      </c>
      <c r="J116" s="343">
        <f>E116+B116</f>
        <v/>
      </c>
      <c r="K116" s="225">
        <f>IF(J116&gt;0,L116/J116," ")</f>
        <v/>
      </c>
      <c r="L116" s="225">
        <f>G116+D116</f>
        <v/>
      </c>
      <c r="M116" s="8" t="n"/>
      <c r="N116" s="222">
        <f>D116+G116</f>
        <v/>
      </c>
    </row>
    <row r="117" ht="14.45" customHeight="1">
      <c r="A117" s="39" t="inlineStr">
        <is>
          <t>D.4 Virtual access to research infrastructure unit costs (if required in the topic specific conditions)</t>
        </is>
      </c>
      <c r="B117" s="342">
        <f>'BE1'!B117+'BE2'!B117+'BE3'!B117+'BE4'!B117</f>
        <v/>
      </c>
      <c r="C117" s="228" t="n"/>
      <c r="D117" s="229">
        <f>'BE1'!D117+'BE2'!D117+'BE3'!D117+'BE4'!D117</f>
        <v/>
      </c>
      <c r="E117" s="343" t="n"/>
      <c r="F117" s="226" t="n"/>
      <c r="G117" s="225" t="n"/>
      <c r="H117" s="8" t="n"/>
      <c r="I117" s="344">
        <f>D117+G117</f>
        <v/>
      </c>
      <c r="J117" s="343">
        <f>E117+B117</f>
        <v/>
      </c>
      <c r="K117" s="225">
        <f>IF(J117&gt;0,L117/J117," ")</f>
        <v/>
      </c>
      <c r="L117" s="225">
        <f>G117+D117</f>
        <v/>
      </c>
      <c r="M117" s="8" t="n"/>
      <c r="N117" s="222">
        <f>D117+G117</f>
        <v/>
      </c>
    </row>
    <row r="118" ht="14.45" customHeight="1">
      <c r="A118" s="39" t="inlineStr">
        <is>
          <t>D.5 PCP/PPI procurement costs (if mentioned as eligible in the topic specific conditions)</t>
        </is>
      </c>
      <c r="B118" s="342">
        <f>'BE1'!B118+'BE2'!B118+'BE3'!B118+'BE4'!B118</f>
        <v/>
      </c>
      <c r="C118" s="228" t="n"/>
      <c r="D118" s="229">
        <f>'BE1'!D118+'BE2'!D118+'BE3'!D118+'BE4'!D118</f>
        <v/>
      </c>
      <c r="E118" s="343" t="n"/>
      <c r="F118" s="226" t="n"/>
      <c r="G118" s="225" t="n"/>
      <c r="H118" s="8" t="n"/>
      <c r="I118" s="344">
        <f>D118+G118</f>
        <v/>
      </c>
      <c r="J118" s="343">
        <f>E118+B118</f>
        <v/>
      </c>
      <c r="K118" s="225">
        <f>IF(J118&gt;0,L118/J118," ")</f>
        <v/>
      </c>
      <c r="L118" s="225">
        <f>G118+D118</f>
        <v/>
      </c>
      <c r="M118" s="8" t="n"/>
      <c r="N118" s="222">
        <f>D118+G118</f>
        <v/>
      </c>
    </row>
    <row r="119" ht="14.45" customHeight="1">
      <c r="A119" s="26" t="n"/>
      <c r="B119" s="347" t="n"/>
      <c r="C119" s="160" t="n"/>
      <c r="D119" s="160" t="n"/>
      <c r="E119" s="347" t="n"/>
      <c r="F119" s="160" t="n"/>
      <c r="G119" s="160" t="n"/>
      <c r="H119" s="8" t="n"/>
      <c r="I119" s="89" t="n"/>
      <c r="J119" s="347" t="n"/>
      <c r="K119" s="160" t="n"/>
      <c r="L119" s="160" t="n"/>
      <c r="M119" s="8" t="n"/>
      <c r="N119" s="160" t="n"/>
    </row>
    <row r="120" ht="14.45" customHeight="1">
      <c r="A120" s="41" t="inlineStr">
        <is>
          <t>TOTAL DIRECT PERSONNEL COSTS AND PURCHASE COSTS (A+C)</t>
        </is>
      </c>
      <c r="B120" s="348" t="n"/>
      <c r="C120" s="224" t="n"/>
      <c r="D120" s="224">
        <f>'BE1'!D120+'BE2'!D120+'BE3'!D120+'BE4'!D120</f>
        <v/>
      </c>
      <c r="E120" s="348" t="n"/>
      <c r="F120" s="224" t="n"/>
      <c r="G120" s="224" t="n"/>
      <c r="H120" s="8" t="n"/>
      <c r="I120" s="349">
        <f>SUM(I91:I98,I102:I112)</f>
        <v/>
      </c>
      <c r="J120" s="348" t="n"/>
      <c r="K120" s="224" t="n"/>
      <c r="L120" s="224">
        <f>SUM(L91:L98,L102:L112)</f>
        <v/>
      </c>
      <c r="M120" s="8" t="n"/>
      <c r="N120" s="224">
        <f>SUM(N91:N98,N102:N112)</f>
        <v/>
      </c>
    </row>
    <row r="121" ht="14.45" customHeight="1">
      <c r="A121" s="41" t="inlineStr">
        <is>
          <t>TOTAL DIRECT COSTS  (A+B+C+D)</t>
        </is>
      </c>
      <c r="B121" s="348" t="n"/>
      <c r="C121" s="224" t="n"/>
      <c r="D121" s="224">
        <f>'BE1'!D121+'BE2'!D121+'BE3'!D121+'BE4'!D121</f>
        <v/>
      </c>
      <c r="E121" s="348" t="n"/>
      <c r="F121" s="224" t="n"/>
      <c r="G121" s="224" t="n"/>
      <c r="H121" s="8" t="n"/>
      <c r="I121" s="349">
        <f>SUM(I91:I118)</f>
        <v/>
      </c>
      <c r="J121" s="348" t="n"/>
      <c r="K121" s="224" t="n"/>
      <c r="L121" s="224">
        <f>SUM(L91:L118)</f>
        <v/>
      </c>
      <c r="M121" s="8" t="n"/>
      <c r="N121" s="224">
        <f>SUM(N91:N118)</f>
        <v/>
      </c>
    </row>
    <row r="122" ht="6.95" customHeight="1">
      <c r="A122" s="8" t="n"/>
      <c r="B122" s="350" t="n"/>
      <c r="C122" s="134" t="n"/>
      <c r="D122" s="134" t="n"/>
      <c r="E122" s="350" t="n"/>
      <c r="F122" s="134" t="n"/>
      <c r="G122" s="134" t="n"/>
      <c r="H122" s="8" t="n"/>
      <c r="I122" s="8" t="n"/>
      <c r="J122" s="350" t="n"/>
      <c r="K122" s="134" t="n"/>
      <c r="L122" s="134" t="n"/>
      <c r="M122" s="8" t="n"/>
      <c r="N122" s="134" t="n"/>
    </row>
    <row r="123" ht="14.45" customHeight="1">
      <c r="A123" s="11" t="inlineStr">
        <is>
          <t>E. INDIRECT COSTS (25% * (A+C))</t>
        </is>
      </c>
      <c r="B123" s="348" t="n"/>
      <c r="C123" s="224" t="n"/>
      <c r="D123" s="224">
        <f>'BE1'!D123+'BE2'!D123+'BE3'!D123+'BE4'!D123</f>
        <v/>
      </c>
      <c r="E123" s="348" t="n"/>
      <c r="F123" s="224" t="n"/>
      <c r="G123" s="224" t="n"/>
      <c r="H123" s="8" t="n"/>
      <c r="I123" s="349">
        <f>+I120*0.25</f>
        <v/>
      </c>
      <c r="J123" s="348" t="n"/>
      <c r="K123" s="224" t="n"/>
      <c r="L123" s="224">
        <f>+L120*0.25</f>
        <v/>
      </c>
      <c r="M123" s="8" t="n"/>
      <c r="N123" s="224">
        <f>+N120*0.25</f>
        <v/>
      </c>
    </row>
    <row r="124" ht="6.95" customHeight="1">
      <c r="A124" s="8" t="n"/>
      <c r="B124" s="350" t="n"/>
      <c r="C124" s="134" t="n"/>
      <c r="D124" s="134" t="n"/>
      <c r="E124" s="350" t="n"/>
      <c r="F124" s="134" t="n"/>
      <c r="G124" s="134" t="n"/>
      <c r="H124" s="8" t="n"/>
      <c r="I124" s="8" t="n"/>
      <c r="J124" s="350" t="n"/>
      <c r="K124" s="134" t="n"/>
      <c r="L124" s="134" t="n"/>
      <c r="M124" s="8" t="n"/>
      <c r="N124" s="134" t="n"/>
    </row>
    <row r="125" ht="14.45" customHeight="1">
      <c r="A125" s="11" t="inlineStr">
        <is>
          <t>F. TOTAL COSTS (A+B+C+D+E)</t>
        </is>
      </c>
      <c r="B125" s="348" t="n"/>
      <c r="C125" s="224" t="n"/>
      <c r="D125" s="224">
        <f>'BE1'!D125+'BE2'!D125+'BE3'!D125+'BE4'!D125</f>
        <v/>
      </c>
      <c r="E125" s="348" t="n"/>
      <c r="F125" s="224" t="n"/>
      <c r="G125" s="224" t="n"/>
      <c r="H125" s="8" t="n"/>
      <c r="I125" s="349">
        <f>I121+I123</f>
        <v/>
      </c>
      <c r="J125" s="348" t="n"/>
      <c r="K125" s="224" t="n"/>
      <c r="L125" s="224">
        <f>L121+L123</f>
        <v/>
      </c>
      <c r="M125" s="8" t="n"/>
      <c r="N125" s="224">
        <f>N121+N123</f>
        <v/>
      </c>
    </row>
    <row r="126" ht="6.95" customHeight="1">
      <c r="A126" s="8" t="n"/>
      <c r="B126" s="8" t="n"/>
      <c r="C126" s="8" t="n"/>
      <c r="D126" s="8" t="n"/>
      <c r="E126" s="8" t="n"/>
      <c r="F126" s="8" t="n"/>
      <c r="G126" s="8" t="n"/>
      <c r="H126" s="8" t="n"/>
      <c r="I126" s="8" t="n"/>
      <c r="J126" s="8" t="n"/>
      <c r="K126" s="8" t="n"/>
      <c r="L126" s="8" t="n"/>
      <c r="M126" s="8" t="n"/>
      <c r="N126" s="8" t="n"/>
    </row>
    <row r="127" ht="14.45" customHeight="1">
      <c r="A127" s="209" t="n"/>
      <c r="B127" s="207" t="n"/>
      <c r="C127" s="209" t="n"/>
      <c r="D127" s="208" t="n"/>
      <c r="E127" s="207" t="n"/>
      <c r="F127" s="209" t="n"/>
      <c r="G127" s="208" t="n"/>
      <c r="H127" s="208" t="n"/>
      <c r="I127" s="208" t="n"/>
      <c r="J127" s="208" t="n"/>
      <c r="K127" s="208" t="n"/>
      <c r="L127" s="208" t="n"/>
      <c r="M127" s="209" t="n"/>
      <c r="N127" s="210" t="n"/>
    </row>
    <row r="128" ht="21" customHeight="1">
      <c r="A128" s="300" t="inlineStr">
        <is>
          <t>COSTS WORK PACKAGE 4: Performance, Durability and Model Validation</t>
        </is>
      </c>
      <c r="B128" s="338" t="n"/>
      <c r="C128" s="338" t="n"/>
      <c r="D128" s="338" t="n"/>
      <c r="E128" s="338" t="n"/>
      <c r="F128" s="338" t="n"/>
      <c r="G128" s="338" t="n"/>
      <c r="H128" s="338" t="n"/>
      <c r="I128" s="338" t="n"/>
      <c r="J128" s="338" t="n"/>
      <c r="K128" s="338" t="n"/>
      <c r="L128" s="338" t="n"/>
      <c r="M128" s="338" t="n"/>
      <c r="N128" s="339" t="n"/>
    </row>
    <row r="129" ht="6.95" customHeight="1">
      <c r="A129" s="8" t="n"/>
      <c r="B129" s="8" t="n"/>
      <c r="C129" s="8" t="n"/>
      <c r="D129" s="8" t="n"/>
      <c r="E129" s="8" t="n"/>
      <c r="F129" s="8" t="n"/>
      <c r="G129" s="8" t="n"/>
      <c r="H129" s="8" t="n"/>
      <c r="I129" s="8" t="n"/>
      <c r="J129" s="8" t="n"/>
      <c r="K129" s="8" t="n"/>
      <c r="L129" s="8" t="n"/>
      <c r="M129" s="8" t="n"/>
      <c r="N129" s="8" t="n"/>
    </row>
    <row r="130" ht="14.45" customHeight="1">
      <c r="A130" s="11" t="inlineStr">
        <is>
          <t>A. DIRECT PERSONNEL COSTS</t>
        </is>
      </c>
      <c r="B130" s="4" t="n"/>
      <c r="C130" s="340" t="n"/>
      <c r="D130" s="341" t="n"/>
      <c r="E130" s="4" t="n"/>
      <c r="F130" s="340" t="n"/>
      <c r="G130" s="341" t="n"/>
      <c r="H130" s="8" t="n"/>
      <c r="I130" s="341" t="n"/>
      <c r="J130" s="341" t="n"/>
      <c r="K130" s="341" t="n"/>
      <c r="L130" s="341" t="n"/>
      <c r="M130" s="8" t="n"/>
      <c r="N130" s="341" t="n"/>
    </row>
    <row r="131" ht="14.45" customHeight="1">
      <c r="A131" s="7" t="inlineStr">
        <is>
          <t>A.1 Employees (or equivalent)</t>
        </is>
      </c>
      <c r="B131" s="89" t="n"/>
      <c r="C131" s="89" t="n"/>
      <c r="D131" s="89" t="n"/>
      <c r="E131" s="89" t="n"/>
      <c r="F131" s="89" t="n"/>
      <c r="G131" s="89" t="n"/>
      <c r="H131" s="8" t="n"/>
      <c r="I131" s="89" t="n"/>
      <c r="J131" s="89" t="n"/>
      <c r="K131" s="89" t="n"/>
      <c r="L131" s="89" t="n"/>
      <c r="M131" s="8" t="n"/>
      <c r="N131" s="89" t="n"/>
    </row>
    <row r="132" ht="14.45" customHeight="1">
      <c r="A132" s="36" t="inlineStr">
        <is>
          <t>SENIOR SCIENTISTS (or equivalent in the private sector)</t>
        </is>
      </c>
      <c r="B132" s="342">
        <f>'BE1'!B132+'BE2'!B132+'BE3'!B132+'BE4'!B132</f>
        <v/>
      </c>
      <c r="C132" s="228" t="n"/>
      <c r="D132" s="229">
        <f>'BE1'!D132+'BE2'!D132+'BE3'!D132+'BE4'!D132</f>
        <v/>
      </c>
      <c r="E132" s="343" t="n"/>
      <c r="F132" s="226" t="n"/>
      <c r="G132" s="225" t="n"/>
      <c r="H132" s="8" t="n"/>
      <c r="I132" s="344">
        <f>D132+G132</f>
        <v/>
      </c>
      <c r="J132" s="343">
        <f>E132+B132</f>
        <v/>
      </c>
      <c r="K132" s="225">
        <f>IF(J132&gt;0,L132/J132," ")</f>
        <v/>
      </c>
      <c r="L132" s="225">
        <f>G132+D132</f>
        <v/>
      </c>
      <c r="M132" s="8" t="n"/>
      <c r="N132" s="222">
        <f>D132+G132</f>
        <v/>
      </c>
    </row>
    <row r="133" ht="14.45" customHeight="1">
      <c r="A133" s="36" t="inlineStr">
        <is>
          <t>JUNIOR SCIENTISTS (or equivalent in the private sector)</t>
        </is>
      </c>
      <c r="B133" s="342">
        <f>'BE1'!B133+'BE2'!B133+'BE3'!B133+'BE4'!B133</f>
        <v/>
      </c>
      <c r="C133" s="228" t="n"/>
      <c r="D133" s="229">
        <f>'BE1'!D133+'BE2'!D133+'BE3'!D133+'BE4'!D133</f>
        <v/>
      </c>
      <c r="E133" s="343" t="n"/>
      <c r="F133" s="226" t="n"/>
      <c r="G133" s="225" t="n"/>
      <c r="H133" s="8" t="n"/>
      <c r="I133" s="344">
        <f>D133+G133</f>
        <v/>
      </c>
      <c r="J133" s="343">
        <f>E133+B133</f>
        <v/>
      </c>
      <c r="K133" s="225">
        <f>IF(J133&gt;0,L133/J133," ")</f>
        <v/>
      </c>
      <c r="L133" s="225">
        <f>G133+D133</f>
        <v/>
      </c>
      <c r="M133" s="8" t="n"/>
      <c r="N133" s="222">
        <f>D133+G133</f>
        <v/>
      </c>
    </row>
    <row r="134" ht="14.45" customHeight="1">
      <c r="A134" s="36" t="inlineStr">
        <is>
          <t>TECHNICAL PERSONNEL (or equivalent in the private sector)</t>
        </is>
      </c>
      <c r="B134" s="342">
        <f>'BE1'!B134+'BE2'!B134+'BE3'!B134+'BE4'!B134</f>
        <v/>
      </c>
      <c r="C134" s="228" t="n"/>
      <c r="D134" s="229">
        <f>'BE1'!D134+'BE2'!D134+'BE3'!D134+'BE4'!D134</f>
        <v/>
      </c>
      <c r="E134" s="343" t="n"/>
      <c r="F134" s="226" t="n"/>
      <c r="G134" s="225" t="n"/>
      <c r="H134" s="8" t="n"/>
      <c r="I134" s="344">
        <f>D134+G134</f>
        <v/>
      </c>
      <c r="J134" s="343">
        <f>E134+B134</f>
        <v/>
      </c>
      <c r="K134" s="225">
        <f>IF(J134&gt;0,L134/J134," ")</f>
        <v/>
      </c>
      <c r="L134" s="225">
        <f>G134+D134</f>
        <v/>
      </c>
      <c r="M134" s="8" t="n"/>
      <c r="N134" s="222">
        <f>D134+G134</f>
        <v/>
      </c>
    </row>
    <row r="135" ht="14.45" customHeight="1">
      <c r="A135" s="36" t="inlineStr">
        <is>
          <t>ADMINISTRATIVE PERSONNEL (or equivalent in the private sector)</t>
        </is>
      </c>
      <c r="B135" s="342">
        <f>'BE1'!B135+'BE2'!B135+'BE3'!B135+'BE4'!B135</f>
        <v/>
      </c>
      <c r="C135" s="228" t="n"/>
      <c r="D135" s="229">
        <f>'BE1'!D135+'BE2'!D135+'BE3'!D135+'BE4'!D135</f>
        <v/>
      </c>
      <c r="E135" s="343" t="n"/>
      <c r="F135" s="226" t="n"/>
      <c r="G135" s="225" t="n"/>
      <c r="H135" s="8" t="n"/>
      <c r="I135" s="344">
        <f>D135+G135</f>
        <v/>
      </c>
      <c r="J135" s="343">
        <f>E135+B135</f>
        <v/>
      </c>
      <c r="K135" s="225">
        <f>IF(J135&gt;0,L135/J135," ")</f>
        <v/>
      </c>
      <c r="L135" s="225">
        <f>G135+D135</f>
        <v/>
      </c>
      <c r="M135" s="8" t="n"/>
      <c r="N135" s="222">
        <f>D135+G135</f>
        <v/>
      </c>
    </row>
    <row r="136" ht="14.45" customHeight="1">
      <c r="A136" s="36" t="inlineStr">
        <is>
          <t>OTHERS</t>
        </is>
      </c>
      <c r="B136" s="342">
        <f>'BE1'!B136+'BE2'!B136+'BE3'!B136+'BE4'!B136</f>
        <v/>
      </c>
      <c r="C136" s="228" t="n"/>
      <c r="D136" s="229">
        <f>'BE1'!D136+'BE2'!D136+'BE3'!D136+'BE4'!D136</f>
        <v/>
      </c>
      <c r="E136" s="343" t="n"/>
      <c r="F136" s="226" t="n"/>
      <c r="G136" s="225" t="n"/>
      <c r="H136" s="8" t="n"/>
      <c r="I136" s="344">
        <f>D136+G136</f>
        <v/>
      </c>
      <c r="J136" s="343">
        <f>E136+B136</f>
        <v/>
      </c>
      <c r="K136" s="225">
        <f>IF(J136&gt;0,L136/J136," ")</f>
        <v/>
      </c>
      <c r="L136" s="225">
        <f>G136+D136</f>
        <v/>
      </c>
      <c r="M136" s="8" t="n"/>
      <c r="N136" s="222">
        <f>D136+G136</f>
        <v/>
      </c>
    </row>
    <row r="137" ht="14.45" customHeight="1">
      <c r="A137" s="7" t="inlineStr">
        <is>
          <t>A.2 Natural Persons under direct contract</t>
        </is>
      </c>
      <c r="B137" s="342">
        <f>'BE1'!B137+'BE2'!B137+'BE3'!B137+'BE4'!B137</f>
        <v/>
      </c>
      <c r="C137" s="228" t="n"/>
      <c r="D137" s="229">
        <f>'BE1'!D137+'BE2'!D137+'BE3'!D137+'BE4'!D137</f>
        <v/>
      </c>
      <c r="E137" s="343" t="n"/>
      <c r="F137" s="226" t="n"/>
      <c r="G137" s="225" t="n"/>
      <c r="H137" s="8" t="n"/>
      <c r="I137" s="344">
        <f>D137+G137</f>
        <v/>
      </c>
      <c r="J137" s="343">
        <f>E137+B137</f>
        <v/>
      </c>
      <c r="K137" s="225">
        <f>IF(J137&gt;0,L137/J137," ")</f>
        <v/>
      </c>
      <c r="L137" s="225">
        <f>G137+D137</f>
        <v/>
      </c>
      <c r="M137" s="8" t="n"/>
      <c r="N137" s="222">
        <f>D137+G137</f>
        <v/>
      </c>
    </row>
    <row r="138" ht="14.45" customHeight="1">
      <c r="A138" s="7" t="inlineStr">
        <is>
          <t>A.3 Seconded Persons</t>
        </is>
      </c>
      <c r="B138" s="342">
        <f>'BE1'!B138+'BE2'!B138+'BE3'!B138+'BE4'!B138</f>
        <v/>
      </c>
      <c r="C138" s="228" t="n"/>
      <c r="D138" s="229">
        <f>'BE1'!D138+'BE2'!D138+'BE3'!D138+'BE4'!D138</f>
        <v/>
      </c>
      <c r="E138" s="343" t="n"/>
      <c r="F138" s="226" t="n"/>
      <c r="G138" s="225" t="n"/>
      <c r="H138" s="8" t="n"/>
      <c r="I138" s="344">
        <f>D138+G138</f>
        <v/>
      </c>
      <c r="J138" s="343">
        <f>E138+B138</f>
        <v/>
      </c>
      <c r="K138" s="225">
        <f>IF(J138&gt;0,L138/J138," ")</f>
        <v/>
      </c>
      <c r="L138" s="225">
        <f>G138+D138</f>
        <v/>
      </c>
      <c r="M138" s="8" t="n"/>
      <c r="N138" s="222">
        <f>D138+G138</f>
        <v/>
      </c>
    </row>
    <row r="139" ht="14.45" customHeight="1">
      <c r="A139" s="7" t="inlineStr">
        <is>
          <t>A.4 SME owners and natural person beneficiaries</t>
        </is>
      </c>
      <c r="B139" s="342">
        <f>'BE1'!B139+'BE2'!B139+'BE3'!B139+'BE4'!B139</f>
        <v/>
      </c>
      <c r="C139" s="228" t="n"/>
      <c r="D139" s="229">
        <f>'BE1'!D139+'BE2'!D139+'BE3'!D139+'BE4'!D139</f>
        <v/>
      </c>
      <c r="E139" s="343" t="n"/>
      <c r="F139" s="226" t="n"/>
      <c r="G139" s="225" t="n"/>
      <c r="H139" s="8" t="n"/>
      <c r="I139" s="344">
        <f>D139+G139</f>
        <v/>
      </c>
      <c r="J139" s="343">
        <f>E139+B139</f>
        <v/>
      </c>
      <c r="K139" s="225">
        <f>IF(J139&gt;0,L139/J139," ")</f>
        <v/>
      </c>
      <c r="L139" s="225">
        <f>G139+D139</f>
        <v/>
      </c>
      <c r="M139" s="8" t="n"/>
      <c r="N139" s="222">
        <f>D139+G139</f>
        <v/>
      </c>
    </row>
    <row r="140" ht="14.45" customHeight="1">
      <c r="A140" s="11" t="inlineStr">
        <is>
          <t>B. DIRECT SUBCONTRACTING COSTS</t>
        </is>
      </c>
      <c r="B140" s="345" t="n"/>
      <c r="C140" s="227" t="n"/>
      <c r="D140" s="223" t="n"/>
      <c r="E140" s="345" t="n"/>
      <c r="F140" s="227" t="n"/>
      <c r="G140" s="223" t="n"/>
      <c r="H140" s="8" t="n"/>
      <c r="I140" s="341" t="n"/>
      <c r="J140" s="346" t="n"/>
      <c r="K140" s="223" t="n"/>
      <c r="L140" s="223" t="n"/>
      <c r="M140" s="8" t="n"/>
      <c r="N140" s="223" t="n"/>
    </row>
    <row r="141" ht="14.45" customHeight="1">
      <c r="A141" s="9" t="n"/>
      <c r="B141" s="342">
        <f>'BE1'!B141+'BE2'!B141+'BE3'!B141+'BE4'!B141</f>
        <v/>
      </c>
      <c r="C141" s="228" t="n"/>
      <c r="D141" s="229">
        <f>'BE1'!D141+'BE2'!D141+'BE3'!D141+'BE4'!D141</f>
        <v/>
      </c>
      <c r="E141" s="343" t="n"/>
      <c r="F141" s="226" t="n"/>
      <c r="G141" s="225" t="n"/>
      <c r="H141" s="8" t="n"/>
      <c r="I141" s="344">
        <f>D141+G141</f>
        <v/>
      </c>
      <c r="J141" s="343">
        <f>E141+B141</f>
        <v/>
      </c>
      <c r="K141" s="225">
        <f>IF(J141&gt;0,L141/J141," ")</f>
        <v/>
      </c>
      <c r="L141" s="225">
        <f>G141+D141</f>
        <v/>
      </c>
      <c r="M141" s="8" t="n"/>
      <c r="N141" s="222">
        <f>D141+G141</f>
        <v/>
      </c>
    </row>
    <row r="142" ht="14.45" customHeight="1">
      <c r="A142" s="11" t="inlineStr">
        <is>
          <t>C. DIRECT PURCHASE COSTS</t>
        </is>
      </c>
      <c r="B142" s="345" t="n"/>
      <c r="C142" s="227" t="n"/>
      <c r="D142" s="223" t="n"/>
      <c r="E142" s="345" t="n"/>
      <c r="F142" s="227" t="n"/>
      <c r="G142" s="223" t="n"/>
      <c r="H142" s="8" t="n"/>
      <c r="I142" s="341" t="n"/>
      <c r="J142" s="346" t="n"/>
      <c r="K142" s="223" t="n"/>
      <c r="L142" s="223" t="n"/>
      <c r="M142" s="8" t="n"/>
      <c r="N142" s="223" t="n"/>
    </row>
    <row r="143" ht="14.45" customHeight="1">
      <c r="A143" s="39" t="inlineStr">
        <is>
          <t>C.1 Travel and subsistence</t>
        </is>
      </c>
      <c r="B143" s="342">
        <f>'BE1'!B143+'BE2'!B143+'BE3'!B143+'BE4'!B143</f>
        <v/>
      </c>
      <c r="C143" s="228" t="n"/>
      <c r="D143" s="229">
        <f>'BE1'!D143+'BE2'!D143+'BE3'!D143+'BE4'!D143</f>
        <v/>
      </c>
      <c r="E143" s="343" t="n"/>
      <c r="F143" s="226" t="n"/>
      <c r="G143" s="225" t="n"/>
      <c r="H143" s="8" t="n"/>
      <c r="I143" s="344">
        <f>D143+G143</f>
        <v/>
      </c>
      <c r="J143" s="343">
        <f>E143+B143</f>
        <v/>
      </c>
      <c r="K143" s="225">
        <f>IF(J143&gt;0,L143/J143," ")</f>
        <v/>
      </c>
      <c r="L143" s="225">
        <f>G143+D143</f>
        <v/>
      </c>
      <c r="M143" s="8" t="n"/>
      <c r="N143" s="222">
        <f>D143+G143</f>
        <v/>
      </c>
    </row>
    <row r="144" ht="14.45" customHeight="1">
      <c r="A144" s="7" t="inlineStr">
        <is>
          <t>C.2 Equipment (complete 'Depreciation cost' sheet)</t>
        </is>
      </c>
      <c r="B144" s="347" t="n"/>
      <c r="C144" s="160" t="n"/>
      <c r="D144" s="160" t="n"/>
      <c r="E144" s="347" t="n"/>
      <c r="F144" s="160" t="n"/>
      <c r="G144" s="160" t="n"/>
      <c r="H144" s="8" t="n"/>
      <c r="I144" s="89" t="n"/>
      <c r="J144" s="347" t="n"/>
      <c r="K144" s="160" t="n"/>
      <c r="L144" s="160" t="n"/>
      <c r="M144" s="8" t="n"/>
      <c r="N144" s="160" t="n"/>
    </row>
    <row r="145" ht="14.45" customHeight="1">
      <c r="A145" s="37" t="inlineStr">
        <is>
          <t>Equipment</t>
        </is>
      </c>
      <c r="B145" s="342">
        <f>'BE1'!B145+'BE2'!B145+'BE3'!B145+'BE4'!B145</f>
        <v/>
      </c>
      <c r="C145" s="228" t="n"/>
      <c r="D145" s="229">
        <f>'BE1'!D145+'BE2'!D145+'BE3'!D145+'BE4'!D145</f>
        <v/>
      </c>
      <c r="E145" s="343" t="n"/>
      <c r="F145" s="226" t="n"/>
      <c r="G145" s="225" t="n"/>
      <c r="H145" s="8" t="n"/>
      <c r="I145" s="344">
        <f>D145+G145</f>
        <v/>
      </c>
      <c r="J145" s="343">
        <f>E145+B145</f>
        <v/>
      </c>
      <c r="K145" s="225">
        <f>IF(J145&gt;0,L145/J145," ")</f>
        <v/>
      </c>
      <c r="L145" s="225">
        <f>G145+D145</f>
        <v/>
      </c>
      <c r="M145" s="8" t="n"/>
      <c r="N145" s="222">
        <f>D145+G145</f>
        <v/>
      </c>
    </row>
    <row r="146" ht="14.45" customHeight="1">
      <c r="A146" s="37" t="inlineStr">
        <is>
          <t>Infrastructure</t>
        </is>
      </c>
      <c r="B146" s="342">
        <f>'BE1'!B146+'BE2'!B146+'BE3'!B146+'BE4'!B146</f>
        <v/>
      </c>
      <c r="C146" s="228" t="n"/>
      <c r="D146" s="229">
        <f>'BE1'!D146+'BE2'!D146+'BE3'!D146+'BE4'!D146</f>
        <v/>
      </c>
      <c r="E146" s="343" t="n"/>
      <c r="F146" s="226" t="n"/>
      <c r="G146" s="225" t="n"/>
      <c r="H146" s="8" t="n"/>
      <c r="I146" s="344">
        <f>D146+G146</f>
        <v/>
      </c>
      <c r="J146" s="343">
        <f>E146+B146</f>
        <v/>
      </c>
      <c r="K146" s="225">
        <f>IF(J146&gt;0,L146/J146," ")</f>
        <v/>
      </c>
      <c r="L146" s="225">
        <f>G146+D146</f>
        <v/>
      </c>
      <c r="M146" s="8" t="n"/>
      <c r="N146" s="222">
        <f>D146+G146</f>
        <v/>
      </c>
    </row>
    <row r="147" ht="14.45" customHeight="1">
      <c r="A147" s="37" t="inlineStr">
        <is>
          <t>Other assets</t>
        </is>
      </c>
      <c r="B147" s="342">
        <f>'BE1'!B147+'BE2'!B147+'BE3'!B147+'BE4'!B147</f>
        <v/>
      </c>
      <c r="C147" s="228" t="n"/>
      <c r="D147" s="229">
        <f>'BE1'!D147+'BE2'!D147+'BE3'!D147+'BE4'!D147</f>
        <v/>
      </c>
      <c r="E147" s="343" t="n"/>
      <c r="F147" s="226" t="n"/>
      <c r="G147" s="225" t="n"/>
      <c r="H147" s="8" t="n"/>
      <c r="I147" s="344">
        <f>D147+G147</f>
        <v/>
      </c>
      <c r="J147" s="343">
        <f>E147+B147</f>
        <v/>
      </c>
      <c r="K147" s="225">
        <f>IF(J147&gt;0,L147/J147," ")</f>
        <v/>
      </c>
      <c r="L147" s="225">
        <f>G147+D147</f>
        <v/>
      </c>
      <c r="M147" s="8" t="n"/>
      <c r="N147" s="222">
        <f>D147+G147</f>
        <v/>
      </c>
    </row>
    <row r="148" ht="14.45" customHeight="1">
      <c r="A148" s="7" t="inlineStr">
        <is>
          <t>C.3 Other goods, works and services</t>
        </is>
      </c>
      <c r="B148" s="347" t="n"/>
      <c r="C148" s="160" t="n"/>
      <c r="D148" s="160" t="n"/>
      <c r="E148" s="347" t="n"/>
      <c r="F148" s="160" t="n"/>
      <c r="G148" s="160" t="n"/>
      <c r="H148" s="8" t="n"/>
      <c r="I148" s="89" t="n"/>
      <c r="J148" s="347" t="n"/>
      <c r="K148" s="160" t="n"/>
      <c r="L148" s="160" t="n"/>
      <c r="M148" s="8" t="n"/>
      <c r="N148" s="160" t="n"/>
    </row>
    <row r="149" ht="14.45" customHeight="1">
      <c r="A149" s="37" t="inlineStr">
        <is>
          <t>Consumables</t>
        </is>
      </c>
      <c r="B149" s="342">
        <f>'BE1'!B149+'BE2'!B149+'BE3'!B149+'BE4'!B149</f>
        <v/>
      </c>
      <c r="C149" s="228" t="n"/>
      <c r="D149" s="229">
        <f>'BE1'!D149+'BE2'!D149+'BE3'!D149+'BE4'!D149</f>
        <v/>
      </c>
      <c r="E149" s="343" t="n"/>
      <c r="F149" s="226" t="n"/>
      <c r="G149" s="225" t="n"/>
      <c r="H149" s="8" t="n"/>
      <c r="I149" s="344">
        <f>D149+G149</f>
        <v/>
      </c>
      <c r="J149" s="343">
        <f>E149+B149</f>
        <v/>
      </c>
      <c r="K149" s="225">
        <f>IF(J149&gt;0,L149/J149," ")</f>
        <v/>
      </c>
      <c r="L149" s="225">
        <f>G149+D149</f>
        <v/>
      </c>
      <c r="M149" s="8" t="n"/>
      <c r="N149" s="222">
        <f>D149+G149</f>
        <v/>
      </c>
    </row>
    <row r="150" ht="14.45" customHeight="1">
      <c r="A150" s="37" t="inlineStr">
        <is>
          <t>Services for meetings, seminars</t>
        </is>
      </c>
      <c r="B150" s="342">
        <f>'BE1'!B150+'BE2'!B150+'BE3'!B150+'BE4'!B150</f>
        <v/>
      </c>
      <c r="C150" s="228" t="n"/>
      <c r="D150" s="229">
        <f>'BE1'!D150+'BE2'!D150+'BE3'!D150+'BE4'!D150</f>
        <v/>
      </c>
      <c r="E150" s="343" t="n"/>
      <c r="F150" s="226" t="n"/>
      <c r="G150" s="225" t="n"/>
      <c r="H150" s="8" t="n"/>
      <c r="I150" s="344">
        <f>D150+G150</f>
        <v/>
      </c>
      <c r="J150" s="343">
        <f>E150+B150</f>
        <v/>
      </c>
      <c r="K150" s="225">
        <f>IF(J150&gt;0,L150/J150," ")</f>
        <v/>
      </c>
      <c r="L150" s="225">
        <f>G150+D150</f>
        <v/>
      </c>
      <c r="M150" s="8" t="n"/>
      <c r="N150" s="222">
        <f>D150+G150</f>
        <v/>
      </c>
    </row>
    <row r="151" ht="14.45" customHeight="1">
      <c r="A151" s="37" t="inlineStr">
        <is>
          <t>Services for dissemination activities (including website)</t>
        </is>
      </c>
      <c r="B151" s="342">
        <f>'BE1'!B151+'BE2'!B151+'BE3'!B151+'BE4'!B151</f>
        <v/>
      </c>
      <c r="C151" s="228" t="n"/>
      <c r="D151" s="229">
        <f>'BE1'!D151+'BE2'!D151+'BE3'!D151+'BE4'!D151</f>
        <v/>
      </c>
      <c r="E151" s="343" t="n"/>
      <c r="F151" s="226" t="n"/>
      <c r="G151" s="225" t="n"/>
      <c r="H151" s="8" t="n"/>
      <c r="I151" s="344">
        <f>D151+G151</f>
        <v/>
      </c>
      <c r="J151" s="343">
        <f>E151+B151</f>
        <v/>
      </c>
      <c r="K151" s="225">
        <f>IF(J151&gt;0,L151/J151," ")</f>
        <v/>
      </c>
      <c r="L151" s="225">
        <f>G151+D151</f>
        <v/>
      </c>
      <c r="M151" s="8" t="n"/>
      <c r="N151" s="222">
        <f>D151+G151</f>
        <v/>
      </c>
    </row>
    <row r="152" ht="14.45" customHeight="1">
      <c r="A152" s="37" t="inlineStr">
        <is>
          <t>Publication fees</t>
        </is>
      </c>
      <c r="B152" s="342">
        <f>'BE1'!B152+'BE2'!B152+'BE3'!B152+'BE4'!B152</f>
        <v/>
      </c>
      <c r="C152" s="228" t="n"/>
      <c r="D152" s="229">
        <f>'BE1'!D152+'BE2'!D152+'BE3'!D152+'BE4'!D152</f>
        <v/>
      </c>
      <c r="E152" s="343" t="n"/>
      <c r="F152" s="226" t="n"/>
      <c r="G152" s="225" t="n"/>
      <c r="H152" s="8" t="n"/>
      <c r="I152" s="344">
        <f>D152+G152</f>
        <v/>
      </c>
      <c r="J152" s="343">
        <f>E152+B152</f>
        <v/>
      </c>
      <c r="K152" s="225">
        <f>IF(J152&gt;0,L152/J152," ")</f>
        <v/>
      </c>
      <c r="L152" s="225">
        <f>G152+D152</f>
        <v/>
      </c>
      <c r="M152" s="8" t="n"/>
      <c r="N152" s="222">
        <f>D152+G152</f>
        <v/>
      </c>
    </row>
    <row r="153" ht="14.45" customHeight="1">
      <c r="A153" s="37" t="inlineStr">
        <is>
          <t>Other (shipment,insurance, translation, etc.)</t>
        </is>
      </c>
      <c r="B153" s="342">
        <f>'BE1'!B153+'BE2'!B153+'BE3'!B153+'BE4'!B153</f>
        <v/>
      </c>
      <c r="C153" s="228" t="n"/>
      <c r="D153" s="229">
        <f>'BE1'!D153+'BE2'!D153+'BE3'!D153+'BE4'!D153</f>
        <v/>
      </c>
      <c r="E153" s="343" t="n"/>
      <c r="F153" s="226" t="n"/>
      <c r="G153" s="225" t="n"/>
      <c r="H153" s="8" t="n"/>
      <c r="I153" s="344">
        <f>D153+G153</f>
        <v/>
      </c>
      <c r="J153" s="343">
        <f>E153+B153</f>
        <v/>
      </c>
      <c r="K153" s="225">
        <f>IF(J153&gt;0,L153/J153," ")</f>
        <v/>
      </c>
      <c r="L153" s="225">
        <f>G153+D153</f>
        <v/>
      </c>
      <c r="M153" s="8" t="n"/>
      <c r="N153" s="222">
        <f>D153+G153</f>
        <v/>
      </c>
    </row>
    <row r="154" ht="14.45" customHeight="1">
      <c r="A154" s="6" t="inlineStr">
        <is>
          <t>D. OTHER COST CATEGORIES</t>
        </is>
      </c>
      <c r="B154" s="345" t="n"/>
      <c r="C154" s="227" t="n"/>
      <c r="D154" s="223" t="n"/>
      <c r="E154" s="345" t="n"/>
      <c r="F154" s="227" t="n"/>
      <c r="G154" s="223" t="n"/>
      <c r="H154" s="8" t="n"/>
      <c r="I154" s="341" t="n"/>
      <c r="J154" s="346" t="n"/>
      <c r="K154" s="223" t="n"/>
      <c r="L154" s="223" t="n"/>
      <c r="M154" s="8" t="n"/>
      <c r="N154" s="223" t="n"/>
    </row>
    <row r="155" ht="14.45" customHeight="1">
      <c r="A155" s="40" t="inlineStr">
        <is>
          <t>D.1 Financial support to third parties (if applicable in the topic specific conditions)</t>
        </is>
      </c>
      <c r="B155" s="342">
        <f>'BE1'!B155+'BE2'!B155+'BE3'!B155+'BE4'!B155</f>
        <v/>
      </c>
      <c r="C155" s="228" t="n"/>
      <c r="D155" s="229">
        <f>'BE1'!D155+'BE2'!D155+'BE3'!D155+'BE4'!D155</f>
        <v/>
      </c>
      <c r="E155" s="343" t="n"/>
      <c r="F155" s="226" t="n"/>
      <c r="G155" s="225" t="n"/>
      <c r="H155" s="8" t="n"/>
      <c r="I155" s="344">
        <f>D155+G155</f>
        <v/>
      </c>
      <c r="J155" s="343">
        <f>E155+B155</f>
        <v/>
      </c>
      <c r="K155" s="225">
        <f>IF(J155&gt;0,L155/J155," ")</f>
        <v/>
      </c>
      <c r="L155" s="225">
        <f>G155+D155</f>
        <v/>
      </c>
      <c r="M155" s="8" t="n"/>
      <c r="N155" s="222">
        <f>D155+G155</f>
        <v/>
      </c>
    </row>
    <row r="156" ht="14.45" customHeight="1">
      <c r="A156" s="39" t="inlineStr">
        <is>
          <t>D.2 Internally invoiced goods and services</t>
        </is>
      </c>
      <c r="B156" s="342">
        <f>'BE1'!B156+'BE2'!B156+'BE3'!B156+'BE4'!B156</f>
        <v/>
      </c>
      <c r="C156" s="228" t="n"/>
      <c r="D156" s="229">
        <f>'BE1'!D156+'BE2'!D156+'BE3'!D156+'BE4'!D156</f>
        <v/>
      </c>
      <c r="E156" s="343" t="n"/>
      <c r="F156" s="226" t="n"/>
      <c r="G156" s="225" t="n"/>
      <c r="H156" s="8" t="n"/>
      <c r="I156" s="344">
        <f>D156+G156</f>
        <v/>
      </c>
      <c r="J156" s="343">
        <f>E156+B156</f>
        <v/>
      </c>
      <c r="K156" s="225">
        <f>IF(J156&gt;0,L156/J156," ")</f>
        <v/>
      </c>
      <c r="L156" s="225">
        <f>G156+D156</f>
        <v/>
      </c>
      <c r="M156" s="8" t="n"/>
      <c r="N156" s="222">
        <f>D156+G156</f>
        <v/>
      </c>
    </row>
    <row r="157" ht="14.45" customHeight="1">
      <c r="A157" s="39" t="inlineStr">
        <is>
          <t>D.3 Transnational access to research infrastructure unit costs (if required in the topic specific conditions)</t>
        </is>
      </c>
      <c r="B157" s="342">
        <f>'BE1'!B157+'BE2'!B157+'BE3'!B157+'BE4'!B157</f>
        <v/>
      </c>
      <c r="C157" s="228" t="n"/>
      <c r="D157" s="229">
        <f>'BE1'!D157+'BE2'!D157+'BE3'!D157+'BE4'!D157</f>
        <v/>
      </c>
      <c r="E157" s="343" t="n"/>
      <c r="F157" s="226" t="n"/>
      <c r="G157" s="225" t="n"/>
      <c r="H157" s="8" t="n"/>
      <c r="I157" s="344">
        <f>D157+G157</f>
        <v/>
      </c>
      <c r="J157" s="343">
        <f>E157+B157</f>
        <v/>
      </c>
      <c r="K157" s="225">
        <f>IF(J157&gt;0,L157/J157," ")</f>
        <v/>
      </c>
      <c r="L157" s="225">
        <f>G157+D157</f>
        <v/>
      </c>
      <c r="M157" s="8" t="n"/>
      <c r="N157" s="222">
        <f>D157+G157</f>
        <v/>
      </c>
    </row>
    <row r="158" ht="14.45" customHeight="1">
      <c r="A158" s="39" t="inlineStr">
        <is>
          <t>D.4 Virtual access to research infrastructure unit costs (if required in the topic specific conditions)</t>
        </is>
      </c>
      <c r="B158" s="342">
        <f>'BE1'!B158+'BE2'!B158+'BE3'!B158+'BE4'!B158</f>
        <v/>
      </c>
      <c r="C158" s="228" t="n"/>
      <c r="D158" s="229">
        <f>'BE1'!D158+'BE2'!D158+'BE3'!D158+'BE4'!D158</f>
        <v/>
      </c>
      <c r="E158" s="343" t="n"/>
      <c r="F158" s="226" t="n"/>
      <c r="G158" s="225" t="n"/>
      <c r="H158" s="8" t="n"/>
      <c r="I158" s="344">
        <f>D158+G158</f>
        <v/>
      </c>
      <c r="J158" s="343">
        <f>E158+B158</f>
        <v/>
      </c>
      <c r="K158" s="225">
        <f>IF(J158&gt;0,L158/J158," ")</f>
        <v/>
      </c>
      <c r="L158" s="225">
        <f>G158+D158</f>
        <v/>
      </c>
      <c r="M158" s="8" t="n"/>
      <c r="N158" s="222">
        <f>D158+G158</f>
        <v/>
      </c>
    </row>
    <row r="159" ht="14.45" customHeight="1">
      <c r="A159" s="39" t="inlineStr">
        <is>
          <t>D.5 PCP/PPI procurement costs (if mentioned as eligible in the topic specific conditions)</t>
        </is>
      </c>
      <c r="B159" s="342">
        <f>'BE1'!B159+'BE2'!B159+'BE3'!B159+'BE4'!B159</f>
        <v/>
      </c>
      <c r="C159" s="228" t="n"/>
      <c r="D159" s="229">
        <f>'BE1'!D159+'BE2'!D159+'BE3'!D159+'BE4'!D159</f>
        <v/>
      </c>
      <c r="E159" s="343" t="n"/>
      <c r="F159" s="226" t="n"/>
      <c r="G159" s="225" t="n"/>
      <c r="H159" s="8" t="n"/>
      <c r="I159" s="344">
        <f>D159+G159</f>
        <v/>
      </c>
      <c r="J159" s="343">
        <f>E159+B159</f>
        <v/>
      </c>
      <c r="K159" s="225">
        <f>IF(J159&gt;0,L159/J159," ")</f>
        <v/>
      </c>
      <c r="L159" s="225">
        <f>G159+D159</f>
        <v/>
      </c>
      <c r="M159" s="8" t="n"/>
      <c r="N159" s="222">
        <f>D159+G159</f>
        <v/>
      </c>
    </row>
    <row r="160" ht="14.45" customHeight="1">
      <c r="A160" s="26" t="n"/>
      <c r="B160" s="347" t="n"/>
      <c r="C160" s="160" t="n"/>
      <c r="D160" s="160" t="n"/>
      <c r="E160" s="347" t="n"/>
      <c r="F160" s="160" t="n"/>
      <c r="G160" s="160" t="n"/>
      <c r="H160" s="8" t="n"/>
      <c r="I160" s="89" t="n"/>
      <c r="J160" s="347" t="n"/>
      <c r="K160" s="160" t="n"/>
      <c r="L160" s="160" t="n"/>
      <c r="M160" s="8" t="n"/>
      <c r="N160" s="160" t="n"/>
    </row>
    <row r="161" ht="14.45" customHeight="1">
      <c r="A161" s="41" t="inlineStr">
        <is>
          <t>TOTAL DIRECT PERSONNEL COSTS AND PURCHASE COSTS (A+C)</t>
        </is>
      </c>
      <c r="B161" s="348" t="n"/>
      <c r="C161" s="224" t="n"/>
      <c r="D161" s="224">
        <f>'BE1'!D161+'BE2'!D161+'BE3'!D161+'BE4'!D161</f>
        <v/>
      </c>
      <c r="E161" s="348" t="n"/>
      <c r="F161" s="224" t="n"/>
      <c r="G161" s="224" t="n"/>
      <c r="H161" s="8" t="n"/>
      <c r="I161" s="349">
        <f>SUM(I132:I139,I143:I153)</f>
        <v/>
      </c>
      <c r="J161" s="348" t="n"/>
      <c r="K161" s="224" t="n"/>
      <c r="L161" s="224">
        <f>SUM(L132:L139,L143:L153)</f>
        <v/>
      </c>
      <c r="M161" s="8" t="n"/>
      <c r="N161" s="224">
        <f>SUM(N132:N139,N143:N153)</f>
        <v/>
      </c>
    </row>
    <row r="162" ht="14.45" customHeight="1">
      <c r="A162" s="41" t="inlineStr">
        <is>
          <t>TOTAL DIRECT COSTS  (A+B+C+D)</t>
        </is>
      </c>
      <c r="B162" s="348" t="n"/>
      <c r="C162" s="224" t="n"/>
      <c r="D162" s="224">
        <f>'BE1'!D162+'BE2'!D162+'BE3'!D162+'BE4'!D162</f>
        <v/>
      </c>
      <c r="E162" s="348" t="n"/>
      <c r="F162" s="224" t="n"/>
      <c r="G162" s="224" t="n"/>
      <c r="H162" s="8" t="n"/>
      <c r="I162" s="349">
        <f>SUM(I132:I159)</f>
        <v/>
      </c>
      <c r="J162" s="348" t="n"/>
      <c r="K162" s="224" t="n"/>
      <c r="L162" s="224">
        <f>SUM(L132:L159)</f>
        <v/>
      </c>
      <c r="M162" s="8" t="n"/>
      <c r="N162" s="224">
        <f>SUM(N132:N159)</f>
        <v/>
      </c>
    </row>
    <row r="163" ht="6.95" customHeight="1">
      <c r="A163" s="8" t="n"/>
      <c r="B163" s="350" t="n"/>
      <c r="C163" s="134" t="n"/>
      <c r="D163" s="134" t="n"/>
      <c r="E163" s="350" t="n"/>
      <c r="F163" s="134" t="n"/>
      <c r="G163" s="134" t="n"/>
      <c r="H163" s="8" t="n"/>
      <c r="I163" s="8" t="n"/>
      <c r="J163" s="350" t="n"/>
      <c r="K163" s="134" t="n"/>
      <c r="L163" s="134" t="n"/>
      <c r="M163" s="8" t="n"/>
      <c r="N163" s="134" t="n"/>
    </row>
    <row r="164" ht="14.45" customHeight="1">
      <c r="A164" s="11" t="inlineStr">
        <is>
          <t>E. INDIRECT COSTS (25% * (A+C))</t>
        </is>
      </c>
      <c r="B164" s="348" t="n"/>
      <c r="C164" s="224" t="n"/>
      <c r="D164" s="224">
        <f>'BE1'!D164+'BE2'!D164+'BE3'!D164+'BE4'!D164</f>
        <v/>
      </c>
      <c r="E164" s="348" t="n"/>
      <c r="F164" s="224" t="n"/>
      <c r="G164" s="224" t="n"/>
      <c r="H164" s="8" t="n"/>
      <c r="I164" s="349">
        <f>+I161*0.25</f>
        <v/>
      </c>
      <c r="J164" s="348" t="n"/>
      <c r="K164" s="224" t="n"/>
      <c r="L164" s="224">
        <f>+L161*0.25</f>
        <v/>
      </c>
      <c r="M164" s="8" t="n"/>
      <c r="N164" s="224">
        <f>+N161*0.25</f>
        <v/>
      </c>
    </row>
    <row r="165" ht="6.95" customHeight="1">
      <c r="A165" s="8" t="n"/>
      <c r="B165" s="350" t="n"/>
      <c r="C165" s="134" t="n"/>
      <c r="D165" s="134" t="n"/>
      <c r="E165" s="350" t="n"/>
      <c r="F165" s="134" t="n"/>
      <c r="G165" s="134" t="n"/>
      <c r="H165" s="8" t="n"/>
      <c r="I165" s="8" t="n"/>
      <c r="J165" s="350" t="n"/>
      <c r="K165" s="134" t="n"/>
      <c r="L165" s="134" t="n"/>
      <c r="M165" s="8" t="n"/>
      <c r="N165" s="134" t="n"/>
    </row>
    <row r="166" ht="14.45" customHeight="1">
      <c r="A166" s="11" t="inlineStr">
        <is>
          <t>F. TOTAL COSTS (A+B+C+D+E)</t>
        </is>
      </c>
      <c r="B166" s="348" t="n"/>
      <c r="C166" s="224" t="n"/>
      <c r="D166" s="224">
        <f>'BE1'!D166+'BE2'!D166+'BE3'!D166+'BE4'!D166</f>
        <v/>
      </c>
      <c r="E166" s="348" t="n"/>
      <c r="F166" s="224" t="n"/>
      <c r="G166" s="224" t="n"/>
      <c r="H166" s="8" t="n"/>
      <c r="I166" s="349">
        <f>I162+I164</f>
        <v/>
      </c>
      <c r="J166" s="348" t="n"/>
      <c r="K166" s="224" t="n"/>
      <c r="L166" s="224">
        <f>L162+L164</f>
        <v/>
      </c>
      <c r="M166" s="8" t="n"/>
      <c r="N166" s="224">
        <f>N162+N164</f>
        <v/>
      </c>
    </row>
    <row r="167" ht="6.95" customHeight="1">
      <c r="A167" s="8" t="n"/>
      <c r="B167" s="8" t="n"/>
      <c r="C167" s="8" t="n"/>
      <c r="D167" s="8" t="n"/>
      <c r="E167" s="8" t="n"/>
      <c r="F167" s="8" t="n"/>
      <c r="G167" s="8" t="n"/>
      <c r="H167" s="8" t="n"/>
      <c r="I167" s="8" t="n"/>
      <c r="J167" s="8" t="n"/>
      <c r="K167" s="8" t="n"/>
      <c r="L167" s="8" t="n"/>
      <c r="M167" s="8" t="n"/>
      <c r="N167" s="8" t="n"/>
    </row>
    <row r="168" ht="14.45" customHeight="1">
      <c r="A168" s="209" t="n"/>
      <c r="B168" s="207" t="n"/>
      <c r="C168" s="209" t="n"/>
      <c r="D168" s="208" t="n"/>
      <c r="E168" s="207" t="n"/>
      <c r="F168" s="209" t="n"/>
      <c r="G168" s="208" t="n"/>
      <c r="H168" s="208" t="n"/>
      <c r="I168" s="208" t="n"/>
      <c r="J168" s="208" t="n"/>
      <c r="K168" s="208" t="n"/>
      <c r="L168" s="208" t="n"/>
      <c r="M168" s="209" t="n"/>
      <c r="N168" s="210" t="n"/>
    </row>
    <row r="169" ht="21" customHeight="1">
      <c r="A169" s="300" t="inlineStr">
        <is>
          <t>COSTS WORK PACKAGE 5: Manufacturing, Instrumentation and Factory Acceptance</t>
        </is>
      </c>
      <c r="B169" s="338" t="n"/>
      <c r="C169" s="338" t="n"/>
      <c r="D169" s="338" t="n"/>
      <c r="E169" s="338" t="n"/>
      <c r="F169" s="338" t="n"/>
      <c r="G169" s="338" t="n"/>
      <c r="H169" s="338" t="n"/>
      <c r="I169" s="338" t="n"/>
      <c r="J169" s="338" t="n"/>
      <c r="K169" s="338" t="n"/>
      <c r="L169" s="338" t="n"/>
      <c r="M169" s="338" t="n"/>
      <c r="N169" s="339" t="n"/>
    </row>
    <row r="170" ht="6.95" customHeight="1">
      <c r="A170" s="8" t="n"/>
      <c r="B170" s="8" t="n"/>
      <c r="C170" s="8" t="n"/>
      <c r="D170" s="8" t="n"/>
      <c r="E170" s="8" t="n"/>
      <c r="F170" s="8" t="n"/>
      <c r="G170" s="8" t="n"/>
      <c r="H170" s="8" t="n"/>
      <c r="I170" s="8" t="n"/>
      <c r="J170" s="8" t="n"/>
      <c r="K170" s="8" t="n"/>
      <c r="L170" s="8" t="n"/>
      <c r="M170" s="8" t="n"/>
      <c r="N170" s="8" t="n"/>
    </row>
    <row r="171" ht="14.45" customHeight="1">
      <c r="A171" s="11" t="inlineStr">
        <is>
          <t>A. DIRECT PERSONNEL COSTS</t>
        </is>
      </c>
      <c r="B171" s="4" t="n"/>
      <c r="C171" s="340" t="n"/>
      <c r="D171" s="341" t="n"/>
      <c r="E171" s="4" t="n"/>
      <c r="F171" s="340" t="n"/>
      <c r="G171" s="341" t="n"/>
      <c r="H171" s="8" t="n"/>
      <c r="I171" s="341" t="n"/>
      <c r="J171" s="341" t="n"/>
      <c r="K171" s="341" t="n"/>
      <c r="L171" s="341" t="n"/>
      <c r="M171" s="8" t="n"/>
      <c r="N171" s="341" t="n"/>
    </row>
    <row r="172" ht="14.45" customHeight="1">
      <c r="A172" s="7" t="inlineStr">
        <is>
          <t>A.1 Employees (or equivalent)</t>
        </is>
      </c>
      <c r="B172" s="89" t="n"/>
      <c r="C172" s="89" t="n"/>
      <c r="D172" s="89" t="n"/>
      <c r="E172" s="89" t="n"/>
      <c r="F172" s="89" t="n"/>
      <c r="G172" s="89" t="n"/>
      <c r="H172" s="8" t="n"/>
      <c r="I172" s="89" t="n"/>
      <c r="J172" s="89" t="n"/>
      <c r="K172" s="89" t="n"/>
      <c r="L172" s="89" t="n"/>
      <c r="M172" s="8" t="n"/>
      <c r="N172" s="89" t="n"/>
    </row>
    <row r="173" ht="14.45" customHeight="1">
      <c r="A173" s="36" t="inlineStr">
        <is>
          <t>SENIOR SCIENTISTS (or equivalent in the private sector)</t>
        </is>
      </c>
      <c r="B173" s="342">
        <f>'BE1'!B173+'BE2'!B173+'BE3'!B173+'BE4'!B173</f>
        <v/>
      </c>
      <c r="C173" s="228" t="n"/>
      <c r="D173" s="229">
        <f>'BE1'!D173+'BE2'!D173+'BE3'!D173+'BE4'!D173</f>
        <v/>
      </c>
      <c r="E173" s="343" t="n"/>
      <c r="F173" s="226" t="n"/>
      <c r="G173" s="225" t="n"/>
      <c r="H173" s="8" t="n"/>
      <c r="I173" s="344">
        <f>D173+G173</f>
        <v/>
      </c>
      <c r="J173" s="343">
        <f>E173+B173</f>
        <v/>
      </c>
      <c r="K173" s="225">
        <f>IF(J173&gt;0,L173/J173," ")</f>
        <v/>
      </c>
      <c r="L173" s="225">
        <f>G173+D173</f>
        <v/>
      </c>
      <c r="M173" s="8" t="n"/>
      <c r="N173" s="222">
        <f>D173+G173</f>
        <v/>
      </c>
    </row>
    <row r="174" ht="14.45" customHeight="1">
      <c r="A174" s="36" t="inlineStr">
        <is>
          <t>JUNIOR SCIENTISTS (or equivalent in the private sector)</t>
        </is>
      </c>
      <c r="B174" s="342">
        <f>'BE1'!B174+'BE2'!B174+'BE3'!B174+'BE4'!B174</f>
        <v/>
      </c>
      <c r="C174" s="228" t="n"/>
      <c r="D174" s="229">
        <f>'BE1'!D174+'BE2'!D174+'BE3'!D174+'BE4'!D174</f>
        <v/>
      </c>
      <c r="E174" s="343" t="n"/>
      <c r="F174" s="226" t="n"/>
      <c r="G174" s="225" t="n"/>
      <c r="H174" s="8" t="n"/>
      <c r="I174" s="344">
        <f>D174+G174</f>
        <v/>
      </c>
      <c r="J174" s="343">
        <f>E174+B174</f>
        <v/>
      </c>
      <c r="K174" s="225">
        <f>IF(J174&gt;0,L174/J174," ")</f>
        <v/>
      </c>
      <c r="L174" s="225">
        <f>G174+D174</f>
        <v/>
      </c>
      <c r="M174" s="8" t="n"/>
      <c r="N174" s="222">
        <f>D174+G174</f>
        <v/>
      </c>
    </row>
    <row r="175" ht="14.45" customHeight="1">
      <c r="A175" s="36" t="inlineStr">
        <is>
          <t>TECHNICAL PERSONNEL (or equivalent in the private sector)</t>
        </is>
      </c>
      <c r="B175" s="342">
        <f>'BE1'!B175+'BE2'!B175+'BE3'!B175+'BE4'!B175</f>
        <v/>
      </c>
      <c r="C175" s="228" t="n"/>
      <c r="D175" s="229">
        <f>'BE1'!D175+'BE2'!D175+'BE3'!D175+'BE4'!D175</f>
        <v/>
      </c>
      <c r="E175" s="343" t="n"/>
      <c r="F175" s="226" t="n"/>
      <c r="G175" s="225" t="n"/>
      <c r="H175" s="8" t="n"/>
      <c r="I175" s="344">
        <f>D175+G175</f>
        <v/>
      </c>
      <c r="J175" s="343">
        <f>E175+B175</f>
        <v/>
      </c>
      <c r="K175" s="225">
        <f>IF(J175&gt;0,L175/J175," ")</f>
        <v/>
      </c>
      <c r="L175" s="225">
        <f>G175+D175</f>
        <v/>
      </c>
      <c r="M175" s="8" t="n"/>
      <c r="N175" s="222">
        <f>D175+G175</f>
        <v/>
      </c>
    </row>
    <row r="176" ht="14.45" customHeight="1">
      <c r="A176" s="36" t="inlineStr">
        <is>
          <t>ADMINISTRATIVE PERSONNEL (or equivalent in the private sector)</t>
        </is>
      </c>
      <c r="B176" s="342">
        <f>'BE1'!B176+'BE2'!B176+'BE3'!B176+'BE4'!B176</f>
        <v/>
      </c>
      <c r="C176" s="228" t="n"/>
      <c r="D176" s="229">
        <f>'BE1'!D176+'BE2'!D176+'BE3'!D176+'BE4'!D176</f>
        <v/>
      </c>
      <c r="E176" s="343" t="n"/>
      <c r="F176" s="226" t="n"/>
      <c r="G176" s="225" t="n"/>
      <c r="H176" s="8" t="n"/>
      <c r="I176" s="344">
        <f>D176+G176</f>
        <v/>
      </c>
      <c r="J176" s="343">
        <f>E176+B176</f>
        <v/>
      </c>
      <c r="K176" s="225">
        <f>IF(J176&gt;0,L176/J176," ")</f>
        <v/>
      </c>
      <c r="L176" s="225">
        <f>G176+D176</f>
        <v/>
      </c>
      <c r="M176" s="8" t="n"/>
      <c r="N176" s="222">
        <f>D176+G176</f>
        <v/>
      </c>
    </row>
    <row r="177" ht="14.45" customHeight="1">
      <c r="A177" s="36" t="inlineStr">
        <is>
          <t>OTHERS</t>
        </is>
      </c>
      <c r="B177" s="342">
        <f>'BE1'!B177+'BE2'!B177+'BE3'!B177+'BE4'!B177</f>
        <v/>
      </c>
      <c r="C177" s="228" t="n"/>
      <c r="D177" s="229">
        <f>'BE1'!D177+'BE2'!D177+'BE3'!D177+'BE4'!D177</f>
        <v/>
      </c>
      <c r="E177" s="343" t="n"/>
      <c r="F177" s="226" t="n"/>
      <c r="G177" s="225" t="n"/>
      <c r="H177" s="8" t="n"/>
      <c r="I177" s="344">
        <f>D177+G177</f>
        <v/>
      </c>
      <c r="J177" s="343">
        <f>E177+B177</f>
        <v/>
      </c>
      <c r="K177" s="225">
        <f>IF(J177&gt;0,L177/J177," ")</f>
        <v/>
      </c>
      <c r="L177" s="225">
        <f>G177+D177</f>
        <v/>
      </c>
      <c r="M177" s="8" t="n"/>
      <c r="N177" s="222">
        <f>D177+G177</f>
        <v/>
      </c>
    </row>
    <row r="178" ht="14.45" customHeight="1">
      <c r="A178" s="7" t="inlineStr">
        <is>
          <t>A.2 Natural Persons under direct contract</t>
        </is>
      </c>
      <c r="B178" s="342">
        <f>'BE1'!B178+'BE2'!B178+'BE3'!B178+'BE4'!B178</f>
        <v/>
      </c>
      <c r="C178" s="228" t="n"/>
      <c r="D178" s="229">
        <f>'BE1'!D178+'BE2'!D178+'BE3'!D178+'BE4'!D178</f>
        <v/>
      </c>
      <c r="E178" s="343" t="n"/>
      <c r="F178" s="226" t="n"/>
      <c r="G178" s="225" t="n"/>
      <c r="H178" s="8" t="n"/>
      <c r="I178" s="344">
        <f>D178+G178</f>
        <v/>
      </c>
      <c r="J178" s="343">
        <f>E178+B178</f>
        <v/>
      </c>
      <c r="K178" s="225">
        <f>IF(J178&gt;0,L178/J178," ")</f>
        <v/>
      </c>
      <c r="L178" s="225">
        <f>G178+D178</f>
        <v/>
      </c>
      <c r="M178" s="8" t="n"/>
      <c r="N178" s="222">
        <f>D178+G178</f>
        <v/>
      </c>
    </row>
    <row r="179" ht="14.45" customHeight="1">
      <c r="A179" s="7" t="inlineStr">
        <is>
          <t>A.3 Seconded Persons</t>
        </is>
      </c>
      <c r="B179" s="342">
        <f>'BE1'!B179+'BE2'!B179+'BE3'!B179+'BE4'!B179</f>
        <v/>
      </c>
      <c r="C179" s="228" t="n"/>
      <c r="D179" s="229">
        <f>'BE1'!D179+'BE2'!D179+'BE3'!D179+'BE4'!D179</f>
        <v/>
      </c>
      <c r="E179" s="343" t="n"/>
      <c r="F179" s="226" t="n"/>
      <c r="G179" s="225" t="n"/>
      <c r="H179" s="8" t="n"/>
      <c r="I179" s="344">
        <f>D179+G179</f>
        <v/>
      </c>
      <c r="J179" s="343">
        <f>E179+B179</f>
        <v/>
      </c>
      <c r="K179" s="225">
        <f>IF(J179&gt;0,L179/J179," ")</f>
        <v/>
      </c>
      <c r="L179" s="225">
        <f>G179+D179</f>
        <v/>
      </c>
      <c r="M179" s="8" t="n"/>
      <c r="N179" s="222">
        <f>D179+G179</f>
        <v/>
      </c>
    </row>
    <row r="180" ht="14.45" customHeight="1">
      <c r="A180" s="7" t="inlineStr">
        <is>
          <t>A.4 SME owners and natural person beneficiaries</t>
        </is>
      </c>
      <c r="B180" s="342">
        <f>'BE1'!B180+'BE2'!B180+'BE3'!B180+'BE4'!B180</f>
        <v/>
      </c>
      <c r="C180" s="228" t="n"/>
      <c r="D180" s="229">
        <f>'BE1'!D180+'BE2'!D180+'BE3'!D180+'BE4'!D180</f>
        <v/>
      </c>
      <c r="E180" s="343" t="n"/>
      <c r="F180" s="226" t="n"/>
      <c r="G180" s="225" t="n"/>
      <c r="H180" s="8" t="n"/>
      <c r="I180" s="344">
        <f>D180+G180</f>
        <v/>
      </c>
      <c r="J180" s="343">
        <f>E180+B180</f>
        <v/>
      </c>
      <c r="K180" s="225">
        <f>IF(J180&gt;0,L180/J180," ")</f>
        <v/>
      </c>
      <c r="L180" s="225">
        <f>G180+D180</f>
        <v/>
      </c>
      <c r="M180" s="8" t="n"/>
      <c r="N180" s="222">
        <f>D180+G180</f>
        <v/>
      </c>
    </row>
    <row r="181" ht="14.45" customHeight="1">
      <c r="A181" s="11" t="inlineStr">
        <is>
          <t>B. DIRECT SUBCONTRACTING COSTS</t>
        </is>
      </c>
      <c r="B181" s="345" t="n"/>
      <c r="C181" s="227" t="n"/>
      <c r="D181" s="223" t="n"/>
      <c r="E181" s="345" t="n"/>
      <c r="F181" s="227" t="n"/>
      <c r="G181" s="223" t="n"/>
      <c r="H181" s="8" t="n"/>
      <c r="I181" s="341" t="n"/>
      <c r="J181" s="346" t="n"/>
      <c r="K181" s="223" t="n"/>
      <c r="L181" s="223" t="n"/>
      <c r="M181" s="8" t="n"/>
      <c r="N181" s="223" t="n"/>
    </row>
    <row r="182" ht="14.45" customHeight="1">
      <c r="A182" s="9" t="n"/>
      <c r="B182" s="342">
        <f>'BE1'!B182+'BE2'!B182+'BE3'!B182+'BE4'!B182</f>
        <v/>
      </c>
      <c r="C182" s="228" t="n"/>
      <c r="D182" s="229">
        <f>'BE1'!D182+'BE2'!D182+'BE3'!D182+'BE4'!D182</f>
        <v/>
      </c>
      <c r="E182" s="343" t="n"/>
      <c r="F182" s="226" t="n"/>
      <c r="G182" s="225" t="n"/>
      <c r="H182" s="8" t="n"/>
      <c r="I182" s="344">
        <f>D182+G182</f>
        <v/>
      </c>
      <c r="J182" s="343">
        <f>E182+B182</f>
        <v/>
      </c>
      <c r="K182" s="225">
        <f>IF(J182&gt;0,L182/J182," ")</f>
        <v/>
      </c>
      <c r="L182" s="225">
        <f>G182+D182</f>
        <v/>
      </c>
      <c r="M182" s="8" t="n"/>
      <c r="N182" s="222">
        <f>D182+G182</f>
        <v/>
      </c>
    </row>
    <row r="183" ht="14.45" customHeight="1">
      <c r="A183" s="11" t="inlineStr">
        <is>
          <t>C. DIRECT PURCHASE COSTS</t>
        </is>
      </c>
      <c r="B183" s="345" t="n"/>
      <c r="C183" s="227" t="n"/>
      <c r="D183" s="223" t="n"/>
      <c r="E183" s="345" t="n"/>
      <c r="F183" s="227" t="n"/>
      <c r="G183" s="223" t="n"/>
      <c r="H183" s="8" t="n"/>
      <c r="I183" s="341" t="n"/>
      <c r="J183" s="346" t="n"/>
      <c r="K183" s="223" t="n"/>
      <c r="L183" s="223" t="n"/>
      <c r="M183" s="8" t="n"/>
      <c r="N183" s="223" t="n"/>
    </row>
    <row r="184" ht="14.45" customHeight="1">
      <c r="A184" s="39" t="inlineStr">
        <is>
          <t>C.1 Travel and subsistence</t>
        </is>
      </c>
      <c r="B184" s="342">
        <f>'BE1'!B184+'BE2'!B184+'BE3'!B184+'BE4'!B184</f>
        <v/>
      </c>
      <c r="C184" s="228" t="n"/>
      <c r="D184" s="229">
        <f>'BE1'!D184+'BE2'!D184+'BE3'!D184+'BE4'!D184</f>
        <v/>
      </c>
      <c r="E184" s="343" t="n"/>
      <c r="F184" s="226" t="n"/>
      <c r="G184" s="225" t="n"/>
      <c r="H184" s="8" t="n"/>
      <c r="I184" s="344">
        <f>D184+G184</f>
        <v/>
      </c>
      <c r="J184" s="343">
        <f>E184+B184</f>
        <v/>
      </c>
      <c r="K184" s="225">
        <f>IF(J184&gt;0,L184/J184," ")</f>
        <v/>
      </c>
      <c r="L184" s="225">
        <f>G184+D184</f>
        <v/>
      </c>
      <c r="M184" s="8" t="n"/>
      <c r="N184" s="222">
        <f>D184+G184</f>
        <v/>
      </c>
    </row>
    <row r="185" ht="14.45" customHeight="1">
      <c r="A185" s="7" t="inlineStr">
        <is>
          <t>C.2 Equipment (complete 'Depreciation cost' sheet)</t>
        </is>
      </c>
      <c r="B185" s="347" t="n"/>
      <c r="C185" s="160" t="n"/>
      <c r="D185" s="160" t="n"/>
      <c r="E185" s="347" t="n"/>
      <c r="F185" s="160" t="n"/>
      <c r="G185" s="160" t="n"/>
      <c r="H185" s="8" t="n"/>
      <c r="I185" s="89" t="n"/>
      <c r="J185" s="347" t="n"/>
      <c r="K185" s="160" t="n"/>
      <c r="L185" s="160" t="n"/>
      <c r="M185" s="8" t="n"/>
      <c r="N185" s="160" t="n"/>
    </row>
    <row r="186" ht="14.45" customHeight="1">
      <c r="A186" s="37" t="inlineStr">
        <is>
          <t>Equipment</t>
        </is>
      </c>
      <c r="B186" s="342">
        <f>'BE1'!B186+'BE2'!B186+'BE3'!B186+'BE4'!B186</f>
        <v/>
      </c>
      <c r="C186" s="228" t="n"/>
      <c r="D186" s="229">
        <f>'BE1'!D186+'BE2'!D186+'BE3'!D186+'BE4'!D186</f>
        <v/>
      </c>
      <c r="E186" s="343" t="n"/>
      <c r="F186" s="226" t="n"/>
      <c r="G186" s="225" t="n"/>
      <c r="H186" s="8" t="n"/>
      <c r="I186" s="344">
        <f>D186+G186</f>
        <v/>
      </c>
      <c r="J186" s="343">
        <f>E186+B186</f>
        <v/>
      </c>
      <c r="K186" s="225">
        <f>IF(J186&gt;0,L186/J186," ")</f>
        <v/>
      </c>
      <c r="L186" s="225">
        <f>G186+D186</f>
        <v/>
      </c>
      <c r="M186" s="8" t="n"/>
      <c r="N186" s="222">
        <f>D186+G186</f>
        <v/>
      </c>
    </row>
    <row r="187" ht="14.45" customHeight="1">
      <c r="A187" s="37" t="inlineStr">
        <is>
          <t>Infrastructure</t>
        </is>
      </c>
      <c r="B187" s="342">
        <f>'BE1'!B187+'BE2'!B187+'BE3'!B187+'BE4'!B187</f>
        <v/>
      </c>
      <c r="C187" s="228" t="n"/>
      <c r="D187" s="229">
        <f>'BE1'!D187+'BE2'!D187+'BE3'!D187+'BE4'!D187</f>
        <v/>
      </c>
      <c r="E187" s="343" t="n"/>
      <c r="F187" s="226" t="n"/>
      <c r="G187" s="225" t="n"/>
      <c r="H187" s="8" t="n"/>
      <c r="I187" s="344">
        <f>D187+G187</f>
        <v/>
      </c>
      <c r="J187" s="343">
        <f>E187+B187</f>
        <v/>
      </c>
      <c r="K187" s="225">
        <f>IF(J187&gt;0,L187/J187," ")</f>
        <v/>
      </c>
      <c r="L187" s="225">
        <f>G187+D187</f>
        <v/>
      </c>
      <c r="M187" s="8" t="n"/>
      <c r="N187" s="222">
        <f>D187+G187</f>
        <v/>
      </c>
    </row>
    <row r="188" ht="14.45" customHeight="1">
      <c r="A188" s="37" t="inlineStr">
        <is>
          <t>Other assets</t>
        </is>
      </c>
      <c r="B188" s="342">
        <f>'BE1'!B188+'BE2'!B188+'BE3'!B188+'BE4'!B188</f>
        <v/>
      </c>
      <c r="C188" s="228" t="n"/>
      <c r="D188" s="229">
        <f>'BE1'!D188+'BE2'!D188+'BE3'!D188+'BE4'!D188</f>
        <v/>
      </c>
      <c r="E188" s="343" t="n"/>
      <c r="F188" s="226" t="n"/>
      <c r="G188" s="225" t="n"/>
      <c r="H188" s="8" t="n"/>
      <c r="I188" s="344">
        <f>D188+G188</f>
        <v/>
      </c>
      <c r="J188" s="343">
        <f>E188+B188</f>
        <v/>
      </c>
      <c r="K188" s="225">
        <f>IF(J188&gt;0,L188/J188," ")</f>
        <v/>
      </c>
      <c r="L188" s="225">
        <f>G188+D188</f>
        <v/>
      </c>
      <c r="M188" s="8" t="n"/>
      <c r="N188" s="222">
        <f>D188+G188</f>
        <v/>
      </c>
    </row>
    <row r="189" ht="14.45" customHeight="1">
      <c r="A189" s="7" t="inlineStr">
        <is>
          <t>C.3 Other goods, works and services</t>
        </is>
      </c>
      <c r="B189" s="347" t="n"/>
      <c r="C189" s="160" t="n"/>
      <c r="D189" s="160" t="n"/>
      <c r="E189" s="347" t="n"/>
      <c r="F189" s="160" t="n"/>
      <c r="G189" s="160" t="n"/>
      <c r="H189" s="8" t="n"/>
      <c r="I189" s="89" t="n"/>
      <c r="J189" s="347" t="n"/>
      <c r="K189" s="160" t="n"/>
      <c r="L189" s="160" t="n"/>
      <c r="M189" s="8" t="n"/>
      <c r="N189" s="160" t="n"/>
    </row>
    <row r="190" ht="14.45" customHeight="1">
      <c r="A190" s="37" t="inlineStr">
        <is>
          <t>Consumables</t>
        </is>
      </c>
      <c r="B190" s="342">
        <f>'BE1'!B190+'BE2'!B190+'BE3'!B190+'BE4'!B190</f>
        <v/>
      </c>
      <c r="C190" s="228" t="n"/>
      <c r="D190" s="229">
        <f>'BE1'!D190+'BE2'!D190+'BE3'!D190+'BE4'!D190</f>
        <v/>
      </c>
      <c r="E190" s="343" t="n"/>
      <c r="F190" s="226" t="n"/>
      <c r="G190" s="225" t="n"/>
      <c r="H190" s="8" t="n"/>
      <c r="I190" s="344">
        <f>D190+G190</f>
        <v/>
      </c>
      <c r="J190" s="343">
        <f>E190+B190</f>
        <v/>
      </c>
      <c r="K190" s="225">
        <f>IF(J190&gt;0,L190/J190," ")</f>
        <v/>
      </c>
      <c r="L190" s="225">
        <f>G190+D190</f>
        <v/>
      </c>
      <c r="M190" s="8" t="n"/>
      <c r="N190" s="222">
        <f>D190+G190</f>
        <v/>
      </c>
    </row>
    <row r="191" ht="14.45" customHeight="1">
      <c r="A191" s="37" t="inlineStr">
        <is>
          <t>Services for meetings, seminars</t>
        </is>
      </c>
      <c r="B191" s="342">
        <f>'BE1'!B191+'BE2'!B191+'BE3'!B191+'BE4'!B191</f>
        <v/>
      </c>
      <c r="C191" s="228" t="n"/>
      <c r="D191" s="229">
        <f>'BE1'!D191+'BE2'!D191+'BE3'!D191+'BE4'!D191</f>
        <v/>
      </c>
      <c r="E191" s="343" t="n"/>
      <c r="F191" s="226" t="n"/>
      <c r="G191" s="225" t="n"/>
      <c r="H191" s="8" t="n"/>
      <c r="I191" s="344">
        <f>D191+G191</f>
        <v/>
      </c>
      <c r="J191" s="343">
        <f>E191+B191</f>
        <v/>
      </c>
      <c r="K191" s="225">
        <f>IF(J191&gt;0,L191/J191," ")</f>
        <v/>
      </c>
      <c r="L191" s="225">
        <f>G191+D191</f>
        <v/>
      </c>
      <c r="M191" s="8" t="n"/>
      <c r="N191" s="222">
        <f>D191+G191</f>
        <v/>
      </c>
    </row>
    <row r="192" ht="14.45" customHeight="1">
      <c r="A192" s="37" t="inlineStr">
        <is>
          <t>Services for dissemination activities (including website)</t>
        </is>
      </c>
      <c r="B192" s="342">
        <f>'BE1'!B192+'BE2'!B192+'BE3'!B192+'BE4'!B192</f>
        <v/>
      </c>
      <c r="C192" s="228" t="n"/>
      <c r="D192" s="229">
        <f>'BE1'!D192+'BE2'!D192+'BE3'!D192+'BE4'!D192</f>
        <v/>
      </c>
      <c r="E192" s="343" t="n"/>
      <c r="F192" s="226" t="n"/>
      <c r="G192" s="225" t="n"/>
      <c r="H192" s="8" t="n"/>
      <c r="I192" s="344">
        <f>D192+G192</f>
        <v/>
      </c>
      <c r="J192" s="343">
        <f>E192+B192</f>
        <v/>
      </c>
      <c r="K192" s="225">
        <f>IF(J192&gt;0,L192/J192," ")</f>
        <v/>
      </c>
      <c r="L192" s="225">
        <f>G192+D192</f>
        <v/>
      </c>
      <c r="M192" s="8" t="n"/>
      <c r="N192" s="222">
        <f>D192+G192</f>
        <v/>
      </c>
    </row>
    <row r="193" ht="14.45" customHeight="1">
      <c r="A193" s="37" t="inlineStr">
        <is>
          <t>Publication fees</t>
        </is>
      </c>
      <c r="B193" s="342">
        <f>'BE1'!B193+'BE2'!B193+'BE3'!B193+'BE4'!B193</f>
        <v/>
      </c>
      <c r="C193" s="228" t="n"/>
      <c r="D193" s="229">
        <f>'BE1'!D193+'BE2'!D193+'BE3'!D193+'BE4'!D193</f>
        <v/>
      </c>
      <c r="E193" s="343" t="n"/>
      <c r="F193" s="226" t="n"/>
      <c r="G193" s="225" t="n"/>
      <c r="H193" s="8" t="n"/>
      <c r="I193" s="344">
        <f>D193+G193</f>
        <v/>
      </c>
      <c r="J193" s="343">
        <f>E193+B193</f>
        <v/>
      </c>
      <c r="K193" s="225">
        <f>IF(J193&gt;0,L193/J193," ")</f>
        <v/>
      </c>
      <c r="L193" s="225">
        <f>G193+D193</f>
        <v/>
      </c>
      <c r="M193" s="8" t="n"/>
      <c r="N193" s="222">
        <f>D193+G193</f>
        <v/>
      </c>
    </row>
    <row r="194" ht="14.45" customHeight="1">
      <c r="A194" s="37" t="inlineStr">
        <is>
          <t>Other (shipment,insurance, translation, etc.)</t>
        </is>
      </c>
      <c r="B194" s="342">
        <f>'BE1'!B194+'BE2'!B194+'BE3'!B194+'BE4'!B194</f>
        <v/>
      </c>
      <c r="C194" s="228" t="n"/>
      <c r="D194" s="229">
        <f>'BE1'!D194+'BE2'!D194+'BE3'!D194+'BE4'!D194</f>
        <v/>
      </c>
      <c r="E194" s="343" t="n"/>
      <c r="F194" s="226" t="n"/>
      <c r="G194" s="225" t="n"/>
      <c r="H194" s="8" t="n"/>
      <c r="I194" s="344">
        <f>D194+G194</f>
        <v/>
      </c>
      <c r="J194" s="343">
        <f>E194+B194</f>
        <v/>
      </c>
      <c r="K194" s="225">
        <f>IF(J194&gt;0,L194/J194," ")</f>
        <v/>
      </c>
      <c r="L194" s="225">
        <f>G194+D194</f>
        <v/>
      </c>
      <c r="M194" s="8" t="n"/>
      <c r="N194" s="222">
        <f>D194+G194</f>
        <v/>
      </c>
    </row>
    <row r="195" ht="14.45" customHeight="1">
      <c r="A195" s="6" t="inlineStr">
        <is>
          <t>D. OTHER COST CATEGORIES</t>
        </is>
      </c>
      <c r="B195" s="345" t="n"/>
      <c r="C195" s="227" t="n"/>
      <c r="D195" s="223" t="n"/>
      <c r="E195" s="345" t="n"/>
      <c r="F195" s="227" t="n"/>
      <c r="G195" s="223" t="n"/>
      <c r="H195" s="8" t="n"/>
      <c r="I195" s="341" t="n"/>
      <c r="J195" s="346" t="n"/>
      <c r="K195" s="223" t="n"/>
      <c r="L195" s="223" t="n"/>
      <c r="M195" s="8" t="n"/>
      <c r="N195" s="223" t="n"/>
    </row>
    <row r="196" ht="14.45" customHeight="1">
      <c r="A196" s="40" t="inlineStr">
        <is>
          <t>D.1 Financial support to third parties (if applicable in the topic specific conditions)</t>
        </is>
      </c>
      <c r="B196" s="342">
        <f>'BE1'!B196+'BE2'!B196+'BE3'!B196+'BE4'!B196</f>
        <v/>
      </c>
      <c r="C196" s="228" t="n"/>
      <c r="D196" s="229">
        <f>'BE1'!D196+'BE2'!D196+'BE3'!D196+'BE4'!D196</f>
        <v/>
      </c>
      <c r="E196" s="343" t="n"/>
      <c r="F196" s="226" t="n"/>
      <c r="G196" s="225" t="n"/>
      <c r="H196" s="8" t="n"/>
      <c r="I196" s="344">
        <f>D196+G196</f>
        <v/>
      </c>
      <c r="J196" s="343">
        <f>E196+B196</f>
        <v/>
      </c>
      <c r="K196" s="225">
        <f>IF(J196&gt;0,L196/J196," ")</f>
        <v/>
      </c>
      <c r="L196" s="225">
        <f>G196+D196</f>
        <v/>
      </c>
      <c r="M196" s="8" t="n"/>
      <c r="N196" s="222">
        <f>D196+G196</f>
        <v/>
      </c>
    </row>
    <row r="197" ht="14.45" customHeight="1">
      <c r="A197" s="39" t="inlineStr">
        <is>
          <t>D.2 Internally invoiced goods and services</t>
        </is>
      </c>
      <c r="B197" s="342">
        <f>'BE1'!B197+'BE2'!B197+'BE3'!B197+'BE4'!B197</f>
        <v/>
      </c>
      <c r="C197" s="228" t="n"/>
      <c r="D197" s="229">
        <f>'BE1'!D197+'BE2'!D197+'BE3'!D197+'BE4'!D197</f>
        <v/>
      </c>
      <c r="E197" s="343" t="n"/>
      <c r="F197" s="226" t="n"/>
      <c r="G197" s="225" t="n"/>
      <c r="H197" s="8" t="n"/>
      <c r="I197" s="344">
        <f>D197+G197</f>
        <v/>
      </c>
      <c r="J197" s="343">
        <f>E197+B197</f>
        <v/>
      </c>
      <c r="K197" s="225">
        <f>IF(J197&gt;0,L197/J197," ")</f>
        <v/>
      </c>
      <c r="L197" s="225">
        <f>G197+D197</f>
        <v/>
      </c>
      <c r="M197" s="8" t="n"/>
      <c r="N197" s="222">
        <f>D197+G197</f>
        <v/>
      </c>
    </row>
    <row r="198" ht="14.45" customHeight="1">
      <c r="A198" s="39" t="inlineStr">
        <is>
          <t>D.3 Transnational access to research infrastructure unit costs (if required in the topic specific conditions)</t>
        </is>
      </c>
      <c r="B198" s="342">
        <f>'BE1'!B198+'BE2'!B198+'BE3'!B198+'BE4'!B198</f>
        <v/>
      </c>
      <c r="C198" s="228" t="n"/>
      <c r="D198" s="229">
        <f>'BE1'!D198+'BE2'!D198+'BE3'!D198+'BE4'!D198</f>
        <v/>
      </c>
      <c r="E198" s="343" t="n"/>
      <c r="F198" s="226" t="n"/>
      <c r="G198" s="225" t="n"/>
      <c r="H198" s="8" t="n"/>
      <c r="I198" s="344">
        <f>D198+G198</f>
        <v/>
      </c>
      <c r="J198" s="343">
        <f>E198+B198</f>
        <v/>
      </c>
      <c r="K198" s="225">
        <f>IF(J198&gt;0,L198/J198," ")</f>
        <v/>
      </c>
      <c r="L198" s="225">
        <f>G198+D198</f>
        <v/>
      </c>
      <c r="M198" s="8" t="n"/>
      <c r="N198" s="222">
        <f>D198+G198</f>
        <v/>
      </c>
    </row>
    <row r="199" ht="14.45" customHeight="1">
      <c r="A199" s="39" t="inlineStr">
        <is>
          <t>D.4 Virtual access to research infrastructure unit costs (if required in the topic specific conditions)</t>
        </is>
      </c>
      <c r="B199" s="342">
        <f>'BE1'!B199+'BE2'!B199+'BE3'!B199+'BE4'!B199</f>
        <v/>
      </c>
      <c r="C199" s="228" t="n"/>
      <c r="D199" s="229">
        <f>'BE1'!D199+'BE2'!D199+'BE3'!D199+'BE4'!D199</f>
        <v/>
      </c>
      <c r="E199" s="343" t="n"/>
      <c r="F199" s="226" t="n"/>
      <c r="G199" s="225" t="n"/>
      <c r="H199" s="8" t="n"/>
      <c r="I199" s="344">
        <f>D199+G199</f>
        <v/>
      </c>
      <c r="J199" s="343">
        <f>E199+B199</f>
        <v/>
      </c>
      <c r="K199" s="225">
        <f>IF(J199&gt;0,L199/J199," ")</f>
        <v/>
      </c>
      <c r="L199" s="225">
        <f>G199+D199</f>
        <v/>
      </c>
      <c r="M199" s="8" t="n"/>
      <c r="N199" s="222">
        <f>D199+G199</f>
        <v/>
      </c>
    </row>
    <row r="200" ht="14.45" customHeight="1">
      <c r="A200" s="39" t="inlineStr">
        <is>
          <t>D.5 PCP/PPI procurement costs (if mentioned as eligible in the topic specific conditions)</t>
        </is>
      </c>
      <c r="B200" s="342">
        <f>'BE1'!B200+'BE2'!B200+'BE3'!B200+'BE4'!B200</f>
        <v/>
      </c>
      <c r="C200" s="228" t="n"/>
      <c r="D200" s="229">
        <f>'BE1'!D200+'BE2'!D200+'BE3'!D200+'BE4'!D200</f>
        <v/>
      </c>
      <c r="E200" s="343" t="n"/>
      <c r="F200" s="226" t="n"/>
      <c r="G200" s="225" t="n"/>
      <c r="H200" s="8" t="n"/>
      <c r="I200" s="344">
        <f>D200+G200</f>
        <v/>
      </c>
      <c r="J200" s="343">
        <f>E200+B200</f>
        <v/>
      </c>
      <c r="K200" s="225">
        <f>IF(J200&gt;0,L200/J200," ")</f>
        <v/>
      </c>
      <c r="L200" s="225">
        <f>G200+D200</f>
        <v/>
      </c>
      <c r="M200" s="8" t="n"/>
      <c r="N200" s="222">
        <f>D200+G200</f>
        <v/>
      </c>
    </row>
    <row r="201" ht="14.45" customHeight="1">
      <c r="A201" s="26" t="n"/>
      <c r="B201" s="347" t="n"/>
      <c r="C201" s="160" t="n"/>
      <c r="D201" s="160" t="n"/>
      <c r="E201" s="347" t="n"/>
      <c r="F201" s="160" t="n"/>
      <c r="G201" s="160" t="n"/>
      <c r="H201" s="8" t="n"/>
      <c r="I201" s="89" t="n"/>
      <c r="J201" s="347" t="n"/>
      <c r="K201" s="160" t="n"/>
      <c r="L201" s="160" t="n"/>
      <c r="M201" s="8" t="n"/>
      <c r="N201" s="160" t="n"/>
    </row>
    <row r="202" ht="14.45" customHeight="1">
      <c r="A202" s="41" t="inlineStr">
        <is>
          <t>TOTAL DIRECT PERSONNEL COSTS AND PURCHASE COSTS (A+C)</t>
        </is>
      </c>
      <c r="B202" s="348" t="n"/>
      <c r="C202" s="224" t="n"/>
      <c r="D202" s="224">
        <f>'BE1'!D202+'BE2'!D202+'BE3'!D202+'BE4'!D202</f>
        <v/>
      </c>
      <c r="E202" s="348" t="n"/>
      <c r="F202" s="224" t="n"/>
      <c r="G202" s="224" t="n"/>
      <c r="H202" s="8" t="n"/>
      <c r="I202" s="349">
        <f>SUM(I173:I180,I184:I194)</f>
        <v/>
      </c>
      <c r="J202" s="348" t="n"/>
      <c r="K202" s="224" t="n"/>
      <c r="L202" s="224">
        <f>SUM(L173:L180,L184:L194)</f>
        <v/>
      </c>
      <c r="M202" s="8" t="n"/>
      <c r="N202" s="224">
        <f>SUM(N173:N180,N184:N194)</f>
        <v/>
      </c>
    </row>
    <row r="203" ht="14.45" customHeight="1">
      <c r="A203" s="41" t="inlineStr">
        <is>
          <t>TOTAL DIRECT COSTS  (A+B+C+D)</t>
        </is>
      </c>
      <c r="B203" s="348" t="n"/>
      <c r="C203" s="224" t="n"/>
      <c r="D203" s="224">
        <f>'BE1'!D203+'BE2'!D203+'BE3'!D203+'BE4'!D203</f>
        <v/>
      </c>
      <c r="E203" s="348" t="n"/>
      <c r="F203" s="224" t="n"/>
      <c r="G203" s="224" t="n"/>
      <c r="H203" s="8" t="n"/>
      <c r="I203" s="349">
        <f>SUM(I173:I200)</f>
        <v/>
      </c>
      <c r="J203" s="348" t="n"/>
      <c r="K203" s="224" t="n"/>
      <c r="L203" s="224">
        <f>SUM(L173:L200)</f>
        <v/>
      </c>
      <c r="M203" s="8" t="n"/>
      <c r="N203" s="224">
        <f>SUM(N173:N200)</f>
        <v/>
      </c>
    </row>
    <row r="204" ht="6.95" customHeight="1">
      <c r="A204" s="8" t="n"/>
      <c r="B204" s="350" t="n"/>
      <c r="C204" s="134" t="n"/>
      <c r="D204" s="134" t="n"/>
      <c r="E204" s="350" t="n"/>
      <c r="F204" s="134" t="n"/>
      <c r="G204" s="134" t="n"/>
      <c r="H204" s="8" t="n"/>
      <c r="I204" s="8" t="n"/>
      <c r="J204" s="350" t="n"/>
      <c r="K204" s="134" t="n"/>
      <c r="L204" s="134" t="n"/>
      <c r="M204" s="8" t="n"/>
      <c r="N204" s="134" t="n"/>
    </row>
    <row r="205" ht="14.45" customHeight="1">
      <c r="A205" s="11" t="inlineStr">
        <is>
          <t>E. INDIRECT COSTS (25% * (A+C))</t>
        </is>
      </c>
      <c r="B205" s="348" t="n"/>
      <c r="C205" s="224" t="n"/>
      <c r="D205" s="224">
        <f>'BE1'!D205+'BE2'!D205+'BE3'!D205+'BE4'!D205</f>
        <v/>
      </c>
      <c r="E205" s="348" t="n"/>
      <c r="F205" s="224" t="n"/>
      <c r="G205" s="224" t="n"/>
      <c r="H205" s="8" t="n"/>
      <c r="I205" s="349">
        <f>+I202*0.25</f>
        <v/>
      </c>
      <c r="J205" s="348" t="n"/>
      <c r="K205" s="224" t="n"/>
      <c r="L205" s="224">
        <f>+L202*0.25</f>
        <v/>
      </c>
      <c r="M205" s="8" t="n"/>
      <c r="N205" s="224">
        <f>+N202*0.25</f>
        <v/>
      </c>
    </row>
    <row r="206" ht="6.95" customHeight="1">
      <c r="A206" s="8" t="n"/>
      <c r="B206" s="350" t="n"/>
      <c r="C206" s="134" t="n"/>
      <c r="D206" s="134" t="n"/>
      <c r="E206" s="350" t="n"/>
      <c r="F206" s="134" t="n"/>
      <c r="G206" s="134" t="n"/>
      <c r="H206" s="8" t="n"/>
      <c r="I206" s="8" t="n"/>
      <c r="J206" s="350" t="n"/>
      <c r="K206" s="134" t="n"/>
      <c r="L206" s="134" t="n"/>
      <c r="M206" s="8" t="n"/>
      <c r="N206" s="134" t="n"/>
    </row>
    <row r="207" ht="14.45" customHeight="1">
      <c r="A207" s="11" t="inlineStr">
        <is>
          <t>F. TOTAL COSTS (A+B+C+D+E)</t>
        </is>
      </c>
      <c r="B207" s="348" t="n"/>
      <c r="C207" s="224" t="n"/>
      <c r="D207" s="224">
        <f>'BE1'!D207+'BE2'!D207+'BE3'!D207+'BE4'!D207</f>
        <v/>
      </c>
      <c r="E207" s="348" t="n"/>
      <c r="F207" s="224" t="n"/>
      <c r="G207" s="224" t="n"/>
      <c r="H207" s="8" t="n"/>
      <c r="I207" s="349">
        <f>I203+I205</f>
        <v/>
      </c>
      <c r="J207" s="348" t="n"/>
      <c r="K207" s="224" t="n"/>
      <c r="L207" s="224">
        <f>L203+L205</f>
        <v/>
      </c>
      <c r="M207" s="8" t="n"/>
      <c r="N207" s="224">
        <f>N203+N205</f>
        <v/>
      </c>
    </row>
    <row r="208" ht="6.95" customHeight="1">
      <c r="A208" s="8" t="n"/>
      <c r="B208" s="8" t="n"/>
      <c r="C208" s="8" t="n"/>
      <c r="D208" s="8" t="n"/>
      <c r="E208" s="8" t="n"/>
      <c r="F208" s="8" t="n"/>
      <c r="G208" s="8" t="n"/>
      <c r="H208" s="8" t="n"/>
      <c r="I208" s="8" t="n"/>
      <c r="J208" s="8" t="n"/>
      <c r="K208" s="8" t="n"/>
      <c r="L208" s="8" t="n"/>
      <c r="M208" s="8" t="n"/>
      <c r="N208" s="8" t="n"/>
    </row>
    <row r="209" ht="14.45" customHeight="1">
      <c r="A209" s="209" t="n"/>
      <c r="B209" s="207" t="n"/>
      <c r="C209" s="209" t="n"/>
      <c r="D209" s="208" t="n"/>
      <c r="E209" s="207" t="n"/>
      <c r="F209" s="209" t="n"/>
      <c r="G209" s="208" t="n"/>
      <c r="H209" s="208" t="n"/>
      <c r="I209" s="208" t="n"/>
      <c r="J209" s="208" t="n"/>
      <c r="K209" s="208" t="n"/>
      <c r="L209" s="208" t="n"/>
      <c r="M209" s="209" t="n"/>
      <c r="N209" s="210" t="n"/>
    </row>
    <row r="210" ht="21" customHeight="1">
      <c r="A210" s="300" t="inlineStr">
        <is>
          <t>COSTS WORK PACKAGE 6: Deployment, Operation and Validation Campaign</t>
        </is>
      </c>
      <c r="B210" s="338" t="n"/>
      <c r="C210" s="338" t="n"/>
      <c r="D210" s="338" t="n"/>
      <c r="E210" s="338" t="n"/>
      <c r="F210" s="338" t="n"/>
      <c r="G210" s="338" t="n"/>
      <c r="H210" s="338" t="n"/>
      <c r="I210" s="338" t="n"/>
      <c r="J210" s="338" t="n"/>
      <c r="K210" s="338" t="n"/>
      <c r="L210" s="338" t="n"/>
      <c r="M210" s="338" t="n"/>
      <c r="N210" s="339" t="n"/>
    </row>
    <row r="211" ht="6.95" customHeight="1">
      <c r="A211" s="8" t="n"/>
      <c r="B211" s="8" t="n"/>
      <c r="C211" s="8" t="n"/>
      <c r="D211" s="8" t="n"/>
      <c r="E211" s="8" t="n"/>
      <c r="F211" s="8" t="n"/>
      <c r="G211" s="8" t="n"/>
      <c r="H211" s="8" t="n"/>
      <c r="I211" s="8" t="n"/>
      <c r="J211" s="8" t="n"/>
      <c r="K211" s="8" t="n"/>
      <c r="L211" s="8" t="n"/>
      <c r="M211" s="8" t="n"/>
      <c r="N211" s="8" t="n"/>
    </row>
    <row r="212" ht="14.45" customHeight="1">
      <c r="A212" s="11" t="inlineStr">
        <is>
          <t>A. DIRECT PERSONNEL COSTS</t>
        </is>
      </c>
      <c r="B212" s="4" t="n"/>
      <c r="C212" s="340" t="n"/>
      <c r="D212" s="341" t="n"/>
      <c r="E212" s="4" t="n"/>
      <c r="F212" s="340" t="n"/>
      <c r="G212" s="341" t="n"/>
      <c r="H212" s="8" t="n"/>
      <c r="I212" s="341" t="n"/>
      <c r="J212" s="341" t="n"/>
      <c r="K212" s="341" t="n"/>
      <c r="L212" s="341" t="n"/>
      <c r="M212" s="8" t="n"/>
      <c r="N212" s="341" t="n"/>
    </row>
    <row r="213" ht="14.45" customHeight="1">
      <c r="A213" s="7" t="inlineStr">
        <is>
          <t>A.1 Employees (or equivalent)</t>
        </is>
      </c>
      <c r="B213" s="89" t="n"/>
      <c r="C213" s="89" t="n"/>
      <c r="D213" s="89" t="n"/>
      <c r="E213" s="89" t="n"/>
      <c r="F213" s="89" t="n"/>
      <c r="G213" s="89" t="n"/>
      <c r="H213" s="8" t="n"/>
      <c r="I213" s="89" t="n"/>
      <c r="J213" s="89" t="n"/>
      <c r="K213" s="89" t="n"/>
      <c r="L213" s="89" t="n"/>
      <c r="M213" s="8" t="n"/>
      <c r="N213" s="89" t="n"/>
    </row>
    <row r="214" ht="14.45" customHeight="1">
      <c r="A214" s="36" t="inlineStr">
        <is>
          <t>SENIOR SCIENTISTS (or equivalent in the private sector)</t>
        </is>
      </c>
      <c r="B214" s="342">
        <f>'BE1'!B214+'BE2'!B214+'BE3'!B214+'BE4'!B214</f>
        <v/>
      </c>
      <c r="C214" s="228" t="n"/>
      <c r="D214" s="229">
        <f>'BE1'!D214+'BE2'!D214+'BE3'!D214+'BE4'!D214</f>
        <v/>
      </c>
      <c r="E214" s="343" t="n"/>
      <c r="F214" s="226" t="n"/>
      <c r="G214" s="225" t="n"/>
      <c r="H214" s="8" t="n"/>
      <c r="I214" s="344">
        <f>D214+G214</f>
        <v/>
      </c>
      <c r="J214" s="343">
        <f>E214+B214</f>
        <v/>
      </c>
      <c r="K214" s="225">
        <f>IF(J214&gt;0,L214/J214," ")</f>
        <v/>
      </c>
      <c r="L214" s="225">
        <f>G214+D214</f>
        <v/>
      </c>
      <c r="M214" s="8" t="n"/>
      <c r="N214" s="222">
        <f>D214+G214</f>
        <v/>
      </c>
    </row>
    <row r="215" ht="14.45" customHeight="1">
      <c r="A215" s="36" t="inlineStr">
        <is>
          <t>JUNIOR SCIENTISTS (or equivalent in the private sector)</t>
        </is>
      </c>
      <c r="B215" s="342">
        <f>'BE1'!B215+'BE2'!B215+'BE3'!B215+'BE4'!B215</f>
        <v/>
      </c>
      <c r="C215" s="228" t="n"/>
      <c r="D215" s="229">
        <f>'BE1'!D215+'BE2'!D215+'BE3'!D215+'BE4'!D215</f>
        <v/>
      </c>
      <c r="E215" s="343" t="n"/>
      <c r="F215" s="226" t="n"/>
      <c r="G215" s="225" t="n"/>
      <c r="H215" s="8" t="n"/>
      <c r="I215" s="344">
        <f>D215+G215</f>
        <v/>
      </c>
      <c r="J215" s="343">
        <f>E215+B215</f>
        <v/>
      </c>
      <c r="K215" s="225">
        <f>IF(J215&gt;0,L215/J215," ")</f>
        <v/>
      </c>
      <c r="L215" s="225">
        <f>G215+D215</f>
        <v/>
      </c>
      <c r="M215" s="8" t="n"/>
      <c r="N215" s="222">
        <f>D215+G215</f>
        <v/>
      </c>
    </row>
    <row r="216" ht="14.45" customHeight="1">
      <c r="A216" s="36" t="inlineStr">
        <is>
          <t>TECHNICAL PERSONNEL (or equivalent in the private sector)</t>
        </is>
      </c>
      <c r="B216" s="342">
        <f>'BE1'!B216+'BE2'!B216+'BE3'!B216+'BE4'!B216</f>
        <v/>
      </c>
      <c r="C216" s="228" t="n"/>
      <c r="D216" s="229">
        <f>'BE1'!D216+'BE2'!D216+'BE3'!D216+'BE4'!D216</f>
        <v/>
      </c>
      <c r="E216" s="343" t="n"/>
      <c r="F216" s="226" t="n"/>
      <c r="G216" s="225" t="n"/>
      <c r="H216" s="8" t="n"/>
      <c r="I216" s="344">
        <f>D216+G216</f>
        <v/>
      </c>
      <c r="J216" s="343">
        <f>E216+B216</f>
        <v/>
      </c>
      <c r="K216" s="225">
        <f>IF(J216&gt;0,L216/J216," ")</f>
        <v/>
      </c>
      <c r="L216" s="225">
        <f>G216+D216</f>
        <v/>
      </c>
      <c r="M216" s="8" t="n"/>
      <c r="N216" s="222">
        <f>D216+G216</f>
        <v/>
      </c>
    </row>
    <row r="217" ht="14.45" customHeight="1">
      <c r="A217" s="36" t="inlineStr">
        <is>
          <t>ADMINISTRATIVE PERSONNEL (or equivalent in the private sector)</t>
        </is>
      </c>
      <c r="B217" s="342">
        <f>'BE1'!B217+'BE2'!B217+'BE3'!B217+'BE4'!B217</f>
        <v/>
      </c>
      <c r="C217" s="228" t="n"/>
      <c r="D217" s="229">
        <f>'BE1'!D217+'BE2'!D217+'BE3'!D217+'BE4'!D217</f>
        <v/>
      </c>
      <c r="E217" s="343" t="n"/>
      <c r="F217" s="226" t="n"/>
      <c r="G217" s="225" t="n"/>
      <c r="H217" s="8" t="n"/>
      <c r="I217" s="344">
        <f>D217+G217</f>
        <v/>
      </c>
      <c r="J217" s="343">
        <f>E217+B217</f>
        <v/>
      </c>
      <c r="K217" s="225">
        <f>IF(J217&gt;0,L217/J217," ")</f>
        <v/>
      </c>
      <c r="L217" s="225">
        <f>G217+D217</f>
        <v/>
      </c>
      <c r="M217" s="8" t="n"/>
      <c r="N217" s="222">
        <f>D217+G217</f>
        <v/>
      </c>
    </row>
    <row r="218" ht="14.45" customHeight="1">
      <c r="A218" s="36" t="inlineStr">
        <is>
          <t>OTHERS</t>
        </is>
      </c>
      <c r="B218" s="342">
        <f>'BE1'!B218+'BE2'!B218+'BE3'!B218+'BE4'!B218</f>
        <v/>
      </c>
      <c r="C218" s="228" t="n"/>
      <c r="D218" s="229">
        <f>'BE1'!D218+'BE2'!D218+'BE3'!D218+'BE4'!D218</f>
        <v/>
      </c>
      <c r="E218" s="343" t="n"/>
      <c r="F218" s="226" t="n"/>
      <c r="G218" s="225" t="n"/>
      <c r="H218" s="8" t="n"/>
      <c r="I218" s="344">
        <f>D218+G218</f>
        <v/>
      </c>
      <c r="J218" s="343">
        <f>E218+B218</f>
        <v/>
      </c>
      <c r="K218" s="225">
        <f>IF(J218&gt;0,L218/J218," ")</f>
        <v/>
      </c>
      <c r="L218" s="225">
        <f>G218+D218</f>
        <v/>
      </c>
      <c r="M218" s="8" t="n"/>
      <c r="N218" s="222">
        <f>D218+G218</f>
        <v/>
      </c>
    </row>
    <row r="219" ht="14.45" customHeight="1">
      <c r="A219" s="7" t="inlineStr">
        <is>
          <t>A.2 Natural Persons under direct contract</t>
        </is>
      </c>
      <c r="B219" s="342">
        <f>'BE1'!B219+'BE2'!B219+'BE3'!B219+'BE4'!B219</f>
        <v/>
      </c>
      <c r="C219" s="228" t="n"/>
      <c r="D219" s="229">
        <f>'BE1'!D219+'BE2'!D219+'BE3'!D219+'BE4'!D219</f>
        <v/>
      </c>
      <c r="E219" s="343" t="n"/>
      <c r="F219" s="226" t="n"/>
      <c r="G219" s="225" t="n"/>
      <c r="H219" s="8" t="n"/>
      <c r="I219" s="344">
        <f>D219+G219</f>
        <v/>
      </c>
      <c r="J219" s="343">
        <f>E219+B219</f>
        <v/>
      </c>
      <c r="K219" s="225">
        <f>IF(J219&gt;0,L219/J219," ")</f>
        <v/>
      </c>
      <c r="L219" s="225">
        <f>G219+D219</f>
        <v/>
      </c>
      <c r="M219" s="8" t="n"/>
      <c r="N219" s="222">
        <f>D219+G219</f>
        <v/>
      </c>
    </row>
    <row r="220" ht="14.45" customHeight="1">
      <c r="A220" s="7" t="inlineStr">
        <is>
          <t>A.3 Seconded Persons</t>
        </is>
      </c>
      <c r="B220" s="342">
        <f>'BE1'!B220+'BE2'!B220+'BE3'!B220+'BE4'!B220</f>
        <v/>
      </c>
      <c r="C220" s="228" t="n"/>
      <c r="D220" s="229">
        <f>'BE1'!D220+'BE2'!D220+'BE3'!D220+'BE4'!D220</f>
        <v/>
      </c>
      <c r="E220" s="343" t="n"/>
      <c r="F220" s="226" t="n"/>
      <c r="G220" s="225" t="n"/>
      <c r="H220" s="8" t="n"/>
      <c r="I220" s="344">
        <f>D220+G220</f>
        <v/>
      </c>
      <c r="J220" s="343">
        <f>E220+B220</f>
        <v/>
      </c>
      <c r="K220" s="225">
        <f>IF(J220&gt;0,L220/J220," ")</f>
        <v/>
      </c>
      <c r="L220" s="225">
        <f>G220+D220</f>
        <v/>
      </c>
      <c r="M220" s="8" t="n"/>
      <c r="N220" s="222">
        <f>D220+G220</f>
        <v/>
      </c>
    </row>
    <row r="221" ht="14.45" customHeight="1">
      <c r="A221" s="7" t="inlineStr">
        <is>
          <t>A.4 SME owners and natural person beneficiaries</t>
        </is>
      </c>
      <c r="B221" s="342">
        <f>'BE1'!B221+'BE2'!B221+'BE3'!B221+'BE4'!B221</f>
        <v/>
      </c>
      <c r="C221" s="228" t="n"/>
      <c r="D221" s="229">
        <f>'BE1'!D221+'BE2'!D221+'BE3'!D221+'BE4'!D221</f>
        <v/>
      </c>
      <c r="E221" s="343" t="n"/>
      <c r="F221" s="226" t="n"/>
      <c r="G221" s="225" t="n"/>
      <c r="H221" s="8" t="n"/>
      <c r="I221" s="344">
        <f>D221+G221</f>
        <v/>
      </c>
      <c r="J221" s="343">
        <f>E221+B221</f>
        <v/>
      </c>
      <c r="K221" s="225">
        <f>IF(J221&gt;0,L221/J221," ")</f>
        <v/>
      </c>
      <c r="L221" s="225">
        <f>G221+D221</f>
        <v/>
      </c>
      <c r="M221" s="8" t="n"/>
      <c r="N221" s="222">
        <f>D221+G221</f>
        <v/>
      </c>
    </row>
    <row r="222" ht="14.45" customHeight="1">
      <c r="A222" s="11" t="inlineStr">
        <is>
          <t>B. DIRECT SUBCONTRACTING COSTS</t>
        </is>
      </c>
      <c r="B222" s="345" t="n"/>
      <c r="C222" s="227" t="n"/>
      <c r="D222" s="223" t="n"/>
      <c r="E222" s="345" t="n"/>
      <c r="F222" s="227" t="n"/>
      <c r="G222" s="223" t="n"/>
      <c r="H222" s="8" t="n"/>
      <c r="I222" s="341" t="n"/>
      <c r="J222" s="346" t="n"/>
      <c r="K222" s="223" t="n"/>
      <c r="L222" s="223" t="n"/>
      <c r="M222" s="8" t="n"/>
      <c r="N222" s="223" t="n"/>
    </row>
    <row r="223" ht="14.45" customHeight="1">
      <c r="A223" s="9" t="n"/>
      <c r="B223" s="342">
        <f>'BE1'!B223+'BE2'!B223+'BE3'!B223+'BE4'!B223</f>
        <v/>
      </c>
      <c r="C223" s="228" t="n"/>
      <c r="D223" s="229">
        <f>'BE1'!D223+'BE2'!D223+'BE3'!D223+'BE4'!D223</f>
        <v/>
      </c>
      <c r="E223" s="343" t="n"/>
      <c r="F223" s="226" t="n"/>
      <c r="G223" s="225" t="n"/>
      <c r="H223" s="8" t="n"/>
      <c r="I223" s="344">
        <f>D223+G223</f>
        <v/>
      </c>
      <c r="J223" s="343">
        <f>E223+B223</f>
        <v/>
      </c>
      <c r="K223" s="225">
        <f>IF(J223&gt;0,L223/J223," ")</f>
        <v/>
      </c>
      <c r="L223" s="225">
        <f>G223+D223</f>
        <v/>
      </c>
      <c r="M223" s="8" t="n"/>
      <c r="N223" s="222">
        <f>D223+G223</f>
        <v/>
      </c>
    </row>
    <row r="224" ht="14.45" customHeight="1">
      <c r="A224" s="11" t="inlineStr">
        <is>
          <t>C. DIRECT PURCHASE COSTS</t>
        </is>
      </c>
      <c r="B224" s="345" t="n"/>
      <c r="C224" s="227" t="n"/>
      <c r="D224" s="223" t="n"/>
      <c r="E224" s="345" t="n"/>
      <c r="F224" s="227" t="n"/>
      <c r="G224" s="223" t="n"/>
      <c r="H224" s="8" t="n"/>
      <c r="I224" s="341" t="n"/>
      <c r="J224" s="346" t="n"/>
      <c r="K224" s="223" t="n"/>
      <c r="L224" s="223" t="n"/>
      <c r="M224" s="8" t="n"/>
      <c r="N224" s="223" t="n"/>
    </row>
    <row r="225" ht="14.45" customHeight="1">
      <c r="A225" s="39" t="inlineStr">
        <is>
          <t>C.1 Travel and subsistence</t>
        </is>
      </c>
      <c r="B225" s="342">
        <f>'BE1'!B225+'BE2'!B225+'BE3'!B225+'BE4'!B225</f>
        <v/>
      </c>
      <c r="C225" s="228" t="n"/>
      <c r="D225" s="229">
        <f>'BE1'!D225+'BE2'!D225+'BE3'!D225+'BE4'!D225</f>
        <v/>
      </c>
      <c r="E225" s="343" t="n"/>
      <c r="F225" s="226" t="n"/>
      <c r="G225" s="225" t="n"/>
      <c r="H225" s="8" t="n"/>
      <c r="I225" s="344">
        <f>D225+G225</f>
        <v/>
      </c>
      <c r="J225" s="343">
        <f>E225+B225</f>
        <v/>
      </c>
      <c r="K225" s="225">
        <f>IF(J225&gt;0,L225/J225," ")</f>
        <v/>
      </c>
      <c r="L225" s="225">
        <f>G225+D225</f>
        <v/>
      </c>
      <c r="M225" s="8" t="n"/>
      <c r="N225" s="222">
        <f>D225+G225</f>
        <v/>
      </c>
    </row>
    <row r="226" ht="14.45" customHeight="1">
      <c r="A226" s="7" t="inlineStr">
        <is>
          <t>C.2 Equipment (complete 'Depreciation cost' sheet)</t>
        </is>
      </c>
      <c r="B226" s="347" t="n"/>
      <c r="C226" s="160" t="n"/>
      <c r="D226" s="160" t="n"/>
      <c r="E226" s="347" t="n"/>
      <c r="F226" s="160" t="n"/>
      <c r="G226" s="160" t="n"/>
      <c r="H226" s="8" t="n"/>
      <c r="I226" s="89" t="n"/>
      <c r="J226" s="347" t="n"/>
      <c r="K226" s="160" t="n"/>
      <c r="L226" s="160" t="n"/>
      <c r="M226" s="8" t="n"/>
      <c r="N226" s="160" t="n"/>
    </row>
    <row r="227" ht="14.45" customHeight="1">
      <c r="A227" s="37" t="inlineStr">
        <is>
          <t>Equipment</t>
        </is>
      </c>
      <c r="B227" s="342">
        <f>'BE1'!B227+'BE2'!B227+'BE3'!B227+'BE4'!B227</f>
        <v/>
      </c>
      <c r="C227" s="228" t="n"/>
      <c r="D227" s="229">
        <f>'BE1'!D227+'BE2'!D227+'BE3'!D227+'BE4'!D227</f>
        <v/>
      </c>
      <c r="E227" s="343" t="n"/>
      <c r="F227" s="226" t="n"/>
      <c r="G227" s="225" t="n"/>
      <c r="H227" s="8" t="n"/>
      <c r="I227" s="344">
        <f>D227+G227</f>
        <v/>
      </c>
      <c r="J227" s="343">
        <f>E227+B227</f>
        <v/>
      </c>
      <c r="K227" s="225">
        <f>IF(J227&gt;0,L227/J227," ")</f>
        <v/>
      </c>
      <c r="L227" s="225">
        <f>G227+D227</f>
        <v/>
      </c>
      <c r="M227" s="8" t="n"/>
      <c r="N227" s="222">
        <f>D227+G227</f>
        <v/>
      </c>
    </row>
    <row r="228" ht="14.45" customHeight="1">
      <c r="A228" s="37" t="inlineStr">
        <is>
          <t>Infrastructure</t>
        </is>
      </c>
      <c r="B228" s="342">
        <f>'BE1'!B228+'BE2'!B228+'BE3'!B228+'BE4'!B228</f>
        <v/>
      </c>
      <c r="C228" s="228" t="n"/>
      <c r="D228" s="229">
        <f>'BE1'!D228+'BE2'!D228+'BE3'!D228+'BE4'!D228</f>
        <v/>
      </c>
      <c r="E228" s="343" t="n"/>
      <c r="F228" s="226" t="n"/>
      <c r="G228" s="225" t="n"/>
      <c r="H228" s="8" t="n"/>
      <c r="I228" s="344">
        <f>D228+G228</f>
        <v/>
      </c>
      <c r="J228" s="343">
        <f>E228+B228</f>
        <v/>
      </c>
      <c r="K228" s="225">
        <f>IF(J228&gt;0,L228/J228," ")</f>
        <v/>
      </c>
      <c r="L228" s="225">
        <f>G228+D228</f>
        <v/>
      </c>
      <c r="M228" s="8" t="n"/>
      <c r="N228" s="222">
        <f>D228+G228</f>
        <v/>
      </c>
    </row>
    <row r="229" ht="14.45" customHeight="1">
      <c r="A229" s="37" t="inlineStr">
        <is>
          <t>Other assets</t>
        </is>
      </c>
      <c r="B229" s="342">
        <f>'BE1'!B229+'BE2'!B229+'BE3'!B229+'BE4'!B229</f>
        <v/>
      </c>
      <c r="C229" s="228" t="n"/>
      <c r="D229" s="229">
        <f>'BE1'!D229+'BE2'!D229+'BE3'!D229+'BE4'!D229</f>
        <v/>
      </c>
      <c r="E229" s="343" t="n"/>
      <c r="F229" s="226" t="n"/>
      <c r="G229" s="225" t="n"/>
      <c r="H229" s="8" t="n"/>
      <c r="I229" s="344">
        <f>D229+G229</f>
        <v/>
      </c>
      <c r="J229" s="343">
        <f>E229+B229</f>
        <v/>
      </c>
      <c r="K229" s="225">
        <f>IF(J229&gt;0,L229/J229," ")</f>
        <v/>
      </c>
      <c r="L229" s="225">
        <f>G229+D229</f>
        <v/>
      </c>
      <c r="M229" s="8" t="n"/>
      <c r="N229" s="222">
        <f>D229+G229</f>
        <v/>
      </c>
    </row>
    <row r="230" ht="14.45" customHeight="1">
      <c r="A230" s="7" t="inlineStr">
        <is>
          <t>C.3 Other goods, works and services</t>
        </is>
      </c>
      <c r="B230" s="347" t="n"/>
      <c r="C230" s="160" t="n"/>
      <c r="D230" s="160" t="n"/>
      <c r="E230" s="347" t="n"/>
      <c r="F230" s="160" t="n"/>
      <c r="G230" s="160" t="n"/>
      <c r="H230" s="8" t="n"/>
      <c r="I230" s="89" t="n"/>
      <c r="J230" s="347" t="n"/>
      <c r="K230" s="160" t="n"/>
      <c r="L230" s="160" t="n"/>
      <c r="M230" s="8" t="n"/>
      <c r="N230" s="160" t="n"/>
    </row>
    <row r="231" ht="14.45" customHeight="1">
      <c r="A231" s="37" t="inlineStr">
        <is>
          <t>Consumables</t>
        </is>
      </c>
      <c r="B231" s="342">
        <f>'BE1'!B231+'BE2'!B231+'BE3'!B231+'BE4'!B231</f>
        <v/>
      </c>
      <c r="C231" s="228" t="n"/>
      <c r="D231" s="229">
        <f>'BE1'!D231+'BE2'!D231+'BE3'!D231+'BE4'!D231</f>
        <v/>
      </c>
      <c r="E231" s="343" t="n"/>
      <c r="F231" s="226" t="n"/>
      <c r="G231" s="225" t="n"/>
      <c r="H231" s="8" t="n"/>
      <c r="I231" s="344">
        <f>D231+G231</f>
        <v/>
      </c>
      <c r="J231" s="343">
        <f>E231+B231</f>
        <v/>
      </c>
      <c r="K231" s="225">
        <f>IF(J231&gt;0,L231/J231," ")</f>
        <v/>
      </c>
      <c r="L231" s="225">
        <f>G231+D231</f>
        <v/>
      </c>
      <c r="M231" s="8" t="n"/>
      <c r="N231" s="222">
        <f>D231+G231</f>
        <v/>
      </c>
    </row>
    <row r="232" ht="14.45" customHeight="1">
      <c r="A232" s="37" t="inlineStr">
        <is>
          <t>Services for meetings, seminars</t>
        </is>
      </c>
      <c r="B232" s="342">
        <f>'BE1'!B232+'BE2'!B232+'BE3'!B232+'BE4'!B232</f>
        <v/>
      </c>
      <c r="C232" s="228" t="n"/>
      <c r="D232" s="229">
        <f>'BE1'!D232+'BE2'!D232+'BE3'!D232+'BE4'!D232</f>
        <v/>
      </c>
      <c r="E232" s="343" t="n"/>
      <c r="F232" s="226" t="n"/>
      <c r="G232" s="225" t="n"/>
      <c r="H232" s="8" t="n"/>
      <c r="I232" s="344">
        <f>D232+G232</f>
        <v/>
      </c>
      <c r="J232" s="343">
        <f>E232+B232</f>
        <v/>
      </c>
      <c r="K232" s="225">
        <f>IF(J232&gt;0,L232/J232," ")</f>
        <v/>
      </c>
      <c r="L232" s="225">
        <f>G232+D232</f>
        <v/>
      </c>
      <c r="M232" s="8" t="n"/>
      <c r="N232" s="222">
        <f>D232+G232</f>
        <v/>
      </c>
    </row>
    <row r="233" ht="14.45" customHeight="1">
      <c r="A233" s="37" t="inlineStr">
        <is>
          <t>Services for dissemination activities (including website)</t>
        </is>
      </c>
      <c r="B233" s="342">
        <f>'BE1'!B233+'BE2'!B233+'BE3'!B233+'BE4'!B233</f>
        <v/>
      </c>
      <c r="C233" s="228" t="n"/>
      <c r="D233" s="229">
        <f>'BE1'!D233+'BE2'!D233+'BE3'!D233+'BE4'!D233</f>
        <v/>
      </c>
      <c r="E233" s="343" t="n"/>
      <c r="F233" s="226" t="n"/>
      <c r="G233" s="225" t="n"/>
      <c r="H233" s="8" t="n"/>
      <c r="I233" s="344">
        <f>D233+G233</f>
        <v/>
      </c>
      <c r="J233" s="343">
        <f>E233+B233</f>
        <v/>
      </c>
      <c r="K233" s="225">
        <f>IF(J233&gt;0,L233/J233," ")</f>
        <v/>
      </c>
      <c r="L233" s="225">
        <f>G233+D233</f>
        <v/>
      </c>
      <c r="M233" s="8" t="n"/>
      <c r="N233" s="222">
        <f>D233+G233</f>
        <v/>
      </c>
    </row>
    <row r="234" ht="14.45" customHeight="1">
      <c r="A234" s="37" t="inlineStr">
        <is>
          <t>Publication fees</t>
        </is>
      </c>
      <c r="B234" s="342">
        <f>'BE1'!B234+'BE2'!B234+'BE3'!B234+'BE4'!B234</f>
        <v/>
      </c>
      <c r="C234" s="228" t="n"/>
      <c r="D234" s="229">
        <f>'BE1'!D234+'BE2'!D234+'BE3'!D234+'BE4'!D234</f>
        <v/>
      </c>
      <c r="E234" s="343" t="n"/>
      <c r="F234" s="226" t="n"/>
      <c r="G234" s="225" t="n"/>
      <c r="H234" s="8" t="n"/>
      <c r="I234" s="344">
        <f>D234+G234</f>
        <v/>
      </c>
      <c r="J234" s="343">
        <f>E234+B234</f>
        <v/>
      </c>
      <c r="K234" s="225">
        <f>IF(J234&gt;0,L234/J234," ")</f>
        <v/>
      </c>
      <c r="L234" s="225">
        <f>G234+D234</f>
        <v/>
      </c>
      <c r="M234" s="8" t="n"/>
      <c r="N234" s="222">
        <f>D234+G234</f>
        <v/>
      </c>
    </row>
    <row r="235" ht="14.45" customHeight="1">
      <c r="A235" s="37" t="inlineStr">
        <is>
          <t>Other (shipment,insurance, translation, etc.)</t>
        </is>
      </c>
      <c r="B235" s="342">
        <f>'BE1'!B235+'BE2'!B235+'BE3'!B235+'BE4'!B235</f>
        <v/>
      </c>
      <c r="C235" s="228" t="n"/>
      <c r="D235" s="229">
        <f>'BE1'!D235+'BE2'!D235+'BE3'!D235+'BE4'!D235</f>
        <v/>
      </c>
      <c r="E235" s="343" t="n"/>
      <c r="F235" s="226" t="n"/>
      <c r="G235" s="225" t="n"/>
      <c r="H235" s="8" t="n"/>
      <c r="I235" s="344">
        <f>D235+G235</f>
        <v/>
      </c>
      <c r="J235" s="343">
        <f>E235+B235</f>
        <v/>
      </c>
      <c r="K235" s="225">
        <f>IF(J235&gt;0,L235/J235," ")</f>
        <v/>
      </c>
      <c r="L235" s="225">
        <f>G235+D235</f>
        <v/>
      </c>
      <c r="M235" s="8" t="n"/>
      <c r="N235" s="222">
        <f>D235+G235</f>
        <v/>
      </c>
    </row>
    <row r="236" ht="14.45" customHeight="1">
      <c r="A236" s="6" t="inlineStr">
        <is>
          <t>D. OTHER COST CATEGORIES</t>
        </is>
      </c>
      <c r="B236" s="345" t="n"/>
      <c r="C236" s="227" t="n"/>
      <c r="D236" s="223" t="n"/>
      <c r="E236" s="345" t="n"/>
      <c r="F236" s="227" t="n"/>
      <c r="G236" s="223" t="n"/>
      <c r="H236" s="8" t="n"/>
      <c r="I236" s="341" t="n"/>
      <c r="J236" s="346" t="n"/>
      <c r="K236" s="223" t="n"/>
      <c r="L236" s="223" t="n"/>
      <c r="M236" s="8" t="n"/>
      <c r="N236" s="223" t="n"/>
    </row>
    <row r="237" ht="14.45" customHeight="1">
      <c r="A237" s="40" t="inlineStr">
        <is>
          <t>D.1 Financial support to third parties (if applicable in the topic specific conditions)</t>
        </is>
      </c>
      <c r="B237" s="342">
        <f>'BE1'!B237+'BE2'!B237+'BE3'!B237+'BE4'!B237</f>
        <v/>
      </c>
      <c r="C237" s="228" t="n"/>
      <c r="D237" s="229">
        <f>'BE1'!D237+'BE2'!D237+'BE3'!D237+'BE4'!D237</f>
        <v/>
      </c>
      <c r="E237" s="343" t="n"/>
      <c r="F237" s="226" t="n"/>
      <c r="G237" s="225" t="n"/>
      <c r="H237" s="8" t="n"/>
      <c r="I237" s="344">
        <f>D237+G237</f>
        <v/>
      </c>
      <c r="J237" s="343">
        <f>E237+B237</f>
        <v/>
      </c>
      <c r="K237" s="225">
        <f>IF(J237&gt;0,L237/J237," ")</f>
        <v/>
      </c>
      <c r="L237" s="225">
        <f>G237+D237</f>
        <v/>
      </c>
      <c r="M237" s="8" t="n"/>
      <c r="N237" s="222">
        <f>D237+G237</f>
        <v/>
      </c>
    </row>
    <row r="238" ht="14.45" customHeight="1">
      <c r="A238" s="39" t="inlineStr">
        <is>
          <t>D.2 Internally invoiced goods and services</t>
        </is>
      </c>
      <c r="B238" s="342">
        <f>'BE1'!B238+'BE2'!B238+'BE3'!B238+'BE4'!B238</f>
        <v/>
      </c>
      <c r="C238" s="228" t="n"/>
      <c r="D238" s="229">
        <f>'BE1'!D238+'BE2'!D238+'BE3'!D238+'BE4'!D238</f>
        <v/>
      </c>
      <c r="E238" s="343" t="n"/>
      <c r="F238" s="226" t="n"/>
      <c r="G238" s="225" t="n"/>
      <c r="H238" s="8" t="n"/>
      <c r="I238" s="344">
        <f>D238+G238</f>
        <v/>
      </c>
      <c r="J238" s="343">
        <f>E238+B238</f>
        <v/>
      </c>
      <c r="K238" s="225">
        <f>IF(J238&gt;0,L238/J238," ")</f>
        <v/>
      </c>
      <c r="L238" s="225">
        <f>G238+D238</f>
        <v/>
      </c>
      <c r="M238" s="8" t="n"/>
      <c r="N238" s="222">
        <f>D238+G238</f>
        <v/>
      </c>
    </row>
    <row r="239" ht="14.45" customHeight="1">
      <c r="A239" s="39" t="inlineStr">
        <is>
          <t>D.3 Transnational access to research infrastructure unit costs (if required in the topic specific conditions)</t>
        </is>
      </c>
      <c r="B239" s="342">
        <f>'BE1'!B239+'BE2'!B239+'BE3'!B239+'BE4'!B239</f>
        <v/>
      </c>
      <c r="C239" s="228" t="n"/>
      <c r="D239" s="229">
        <f>'BE1'!D239+'BE2'!D239+'BE3'!D239+'BE4'!D239</f>
        <v/>
      </c>
      <c r="E239" s="343" t="n"/>
      <c r="F239" s="226" t="n"/>
      <c r="G239" s="225" t="n"/>
      <c r="H239" s="8" t="n"/>
      <c r="I239" s="344">
        <f>D239+G239</f>
        <v/>
      </c>
      <c r="J239" s="343">
        <f>E239+B239</f>
        <v/>
      </c>
      <c r="K239" s="225">
        <f>IF(J239&gt;0,L239/J239," ")</f>
        <v/>
      </c>
      <c r="L239" s="225">
        <f>G239+D239</f>
        <v/>
      </c>
      <c r="M239" s="8" t="n"/>
      <c r="N239" s="222">
        <f>D239+G239</f>
        <v/>
      </c>
    </row>
    <row r="240" ht="14.45" customHeight="1">
      <c r="A240" s="39" t="inlineStr">
        <is>
          <t>D.4 Virtual access to research infrastructure unit costs (if required in the topic specific conditions)</t>
        </is>
      </c>
      <c r="B240" s="342">
        <f>'BE1'!B240+'BE2'!B240+'BE3'!B240+'BE4'!B240</f>
        <v/>
      </c>
      <c r="C240" s="228" t="n"/>
      <c r="D240" s="229">
        <f>'BE1'!D240+'BE2'!D240+'BE3'!D240+'BE4'!D240</f>
        <v/>
      </c>
      <c r="E240" s="343" t="n"/>
      <c r="F240" s="226" t="n"/>
      <c r="G240" s="225" t="n"/>
      <c r="H240" s="8" t="n"/>
      <c r="I240" s="344">
        <f>D240+G240</f>
        <v/>
      </c>
      <c r="J240" s="343">
        <f>E240+B240</f>
        <v/>
      </c>
      <c r="K240" s="225">
        <f>IF(J240&gt;0,L240/J240," ")</f>
        <v/>
      </c>
      <c r="L240" s="225">
        <f>G240+D240</f>
        <v/>
      </c>
      <c r="M240" s="8" t="n"/>
      <c r="N240" s="222">
        <f>D240+G240</f>
        <v/>
      </c>
    </row>
    <row r="241" ht="14.45" customHeight="1">
      <c r="A241" s="39" t="inlineStr">
        <is>
          <t>D.5 PCP/PPI procurement costs (if mentioned as eligible in the topic specific conditions)</t>
        </is>
      </c>
      <c r="B241" s="342">
        <f>'BE1'!B241+'BE2'!B241+'BE3'!B241+'BE4'!B241</f>
        <v/>
      </c>
      <c r="C241" s="228" t="n"/>
      <c r="D241" s="229">
        <f>'BE1'!D241+'BE2'!D241+'BE3'!D241+'BE4'!D241</f>
        <v/>
      </c>
      <c r="E241" s="343" t="n"/>
      <c r="F241" s="226" t="n"/>
      <c r="G241" s="225" t="n"/>
      <c r="H241" s="8" t="n"/>
      <c r="I241" s="344">
        <f>D241+G241</f>
        <v/>
      </c>
      <c r="J241" s="343">
        <f>E241+B241</f>
        <v/>
      </c>
      <c r="K241" s="225">
        <f>IF(J241&gt;0,L241/J241," ")</f>
        <v/>
      </c>
      <c r="L241" s="225">
        <f>G241+D241</f>
        <v/>
      </c>
      <c r="M241" s="8" t="n"/>
      <c r="N241" s="222">
        <f>D241+G241</f>
        <v/>
      </c>
    </row>
    <row r="242" ht="14.45" customHeight="1">
      <c r="A242" s="26" t="n"/>
      <c r="B242" s="347" t="n"/>
      <c r="C242" s="160" t="n"/>
      <c r="D242" s="160" t="n"/>
      <c r="E242" s="347" t="n"/>
      <c r="F242" s="160" t="n"/>
      <c r="G242" s="160" t="n"/>
      <c r="H242" s="8" t="n"/>
      <c r="I242" s="89" t="n"/>
      <c r="J242" s="347" t="n"/>
      <c r="K242" s="160" t="n"/>
      <c r="L242" s="160" t="n"/>
      <c r="M242" s="8" t="n"/>
      <c r="N242" s="160" t="n"/>
    </row>
    <row r="243" ht="14.45" customHeight="1">
      <c r="A243" s="41" t="inlineStr">
        <is>
          <t>TOTAL DIRECT PERSONNEL COSTS AND PURCHASE COSTS (A+C)</t>
        </is>
      </c>
      <c r="B243" s="348" t="n"/>
      <c r="C243" s="224" t="n"/>
      <c r="D243" s="224">
        <f>'BE1'!D243+'BE2'!D243+'BE3'!D243+'BE4'!D243</f>
        <v/>
      </c>
      <c r="E243" s="348" t="n"/>
      <c r="F243" s="224" t="n"/>
      <c r="G243" s="224" t="n"/>
      <c r="H243" s="8" t="n"/>
      <c r="I243" s="349">
        <f>SUM(I214:I221,I225:I235)</f>
        <v/>
      </c>
      <c r="J243" s="348" t="n"/>
      <c r="K243" s="224" t="n"/>
      <c r="L243" s="224">
        <f>SUM(L214:L221,L225:L235)</f>
        <v/>
      </c>
      <c r="M243" s="8" t="n"/>
      <c r="N243" s="224">
        <f>SUM(N214:N221,N225:N235)</f>
        <v/>
      </c>
    </row>
    <row r="244" ht="14.45" customHeight="1">
      <c r="A244" s="41" t="inlineStr">
        <is>
          <t>TOTAL DIRECT COSTS  (A+B+C+D)</t>
        </is>
      </c>
      <c r="B244" s="348" t="n"/>
      <c r="C244" s="224" t="n"/>
      <c r="D244" s="224">
        <f>'BE1'!D244+'BE2'!D244+'BE3'!D244+'BE4'!D244</f>
        <v/>
      </c>
      <c r="E244" s="348" t="n"/>
      <c r="F244" s="224" t="n"/>
      <c r="G244" s="224" t="n"/>
      <c r="H244" s="8" t="n"/>
      <c r="I244" s="349">
        <f>SUM(I214:I241)</f>
        <v/>
      </c>
      <c r="J244" s="348" t="n"/>
      <c r="K244" s="224" t="n"/>
      <c r="L244" s="224">
        <f>SUM(L214:L241)</f>
        <v/>
      </c>
      <c r="M244" s="8" t="n"/>
      <c r="N244" s="224">
        <f>SUM(N214:N241)</f>
        <v/>
      </c>
    </row>
    <row r="245" ht="6.95" customHeight="1">
      <c r="A245" s="8" t="n"/>
      <c r="B245" s="350" t="n"/>
      <c r="C245" s="134" t="n"/>
      <c r="D245" s="134" t="n"/>
      <c r="E245" s="350" t="n"/>
      <c r="F245" s="134" t="n"/>
      <c r="G245" s="134" t="n"/>
      <c r="H245" s="8" t="n"/>
      <c r="I245" s="8" t="n"/>
      <c r="J245" s="350" t="n"/>
      <c r="K245" s="134" t="n"/>
      <c r="L245" s="134" t="n"/>
      <c r="M245" s="8" t="n"/>
      <c r="N245" s="134" t="n"/>
    </row>
    <row r="246" ht="14.45" customHeight="1">
      <c r="A246" s="11" t="inlineStr">
        <is>
          <t>E. INDIRECT COSTS (25% * (A+C))</t>
        </is>
      </c>
      <c r="B246" s="348" t="n"/>
      <c r="C246" s="224" t="n"/>
      <c r="D246" s="224">
        <f>'BE1'!D246+'BE2'!D246+'BE3'!D246+'BE4'!D246</f>
        <v/>
      </c>
      <c r="E246" s="348" t="n"/>
      <c r="F246" s="224" t="n"/>
      <c r="G246" s="224" t="n"/>
      <c r="H246" s="8" t="n"/>
      <c r="I246" s="349">
        <f>+I243*0.25</f>
        <v/>
      </c>
      <c r="J246" s="348" t="n"/>
      <c r="K246" s="224" t="n"/>
      <c r="L246" s="224">
        <f>+L243*0.25</f>
        <v/>
      </c>
      <c r="M246" s="8" t="n"/>
      <c r="N246" s="224">
        <f>+N243*0.25</f>
        <v/>
      </c>
    </row>
    <row r="247" ht="6.95" customHeight="1">
      <c r="A247" s="8" t="n"/>
      <c r="B247" s="350" t="n"/>
      <c r="C247" s="134" t="n"/>
      <c r="D247" s="134" t="n"/>
      <c r="E247" s="350" t="n"/>
      <c r="F247" s="134" t="n"/>
      <c r="G247" s="134" t="n"/>
      <c r="H247" s="8" t="n"/>
      <c r="I247" s="8" t="n"/>
      <c r="J247" s="350" t="n"/>
      <c r="K247" s="134" t="n"/>
      <c r="L247" s="134" t="n"/>
      <c r="M247" s="8" t="n"/>
      <c r="N247" s="134" t="n"/>
    </row>
    <row r="248" ht="14.45" customHeight="1">
      <c r="A248" s="11" t="inlineStr">
        <is>
          <t>F. TOTAL COSTS (A+B+C+D+E)</t>
        </is>
      </c>
      <c r="B248" s="348" t="n"/>
      <c r="C248" s="224" t="n"/>
      <c r="D248" s="224">
        <f>'BE1'!D248+'BE2'!D248+'BE3'!D248+'BE4'!D248</f>
        <v/>
      </c>
      <c r="E248" s="348" t="n"/>
      <c r="F248" s="224" t="n"/>
      <c r="G248" s="224" t="n"/>
      <c r="H248" s="8" t="n"/>
      <c r="I248" s="349">
        <f>I244+I246</f>
        <v/>
      </c>
      <c r="J248" s="348" t="n"/>
      <c r="K248" s="224" t="n"/>
      <c r="L248" s="224">
        <f>L244+L246</f>
        <v/>
      </c>
      <c r="M248" s="8" t="n"/>
      <c r="N248" s="224">
        <f>N244+N246</f>
        <v/>
      </c>
    </row>
    <row r="249" ht="6.95" customHeight="1">
      <c r="A249" s="8" t="n"/>
      <c r="B249" s="8" t="n"/>
      <c r="C249" s="8" t="n"/>
      <c r="D249" s="8" t="n"/>
      <c r="E249" s="8" t="n"/>
      <c r="F249" s="8" t="n"/>
      <c r="G249" s="8" t="n"/>
      <c r="H249" s="8" t="n"/>
      <c r="I249" s="8" t="n"/>
      <c r="J249" s="8" t="n"/>
      <c r="K249" s="8" t="n"/>
      <c r="L249" s="8" t="n"/>
      <c r="M249" s="8" t="n"/>
      <c r="N249" s="8" t="n"/>
    </row>
    <row r="250" ht="14.45" customHeight="1">
      <c r="A250" s="209" t="n"/>
      <c r="B250" s="207" t="n"/>
      <c r="C250" s="209" t="n"/>
      <c r="D250" s="208" t="n"/>
      <c r="E250" s="207" t="n"/>
      <c r="F250" s="209" t="n"/>
      <c r="G250" s="208" t="n"/>
      <c r="H250" s="208" t="n"/>
      <c r="I250" s="208" t="n"/>
      <c r="J250" s="208" t="n"/>
      <c r="K250" s="208" t="n"/>
      <c r="L250" s="208" t="n"/>
      <c r="M250" s="209" t="n"/>
      <c r="N250" s="210" t="n"/>
    </row>
    <row r="251" ht="21" customHeight="1">
      <c r="A251" s="300" t="inlineStr">
        <is>
          <t>COSTS WORK PACKAGE 7: Market Validation, Exploitation and Investment Readiness</t>
        </is>
      </c>
      <c r="B251" s="338" t="n"/>
      <c r="C251" s="338" t="n"/>
      <c r="D251" s="338" t="n"/>
      <c r="E251" s="338" t="n"/>
      <c r="F251" s="338" t="n"/>
      <c r="G251" s="338" t="n"/>
      <c r="H251" s="338" t="n"/>
      <c r="I251" s="338" t="n"/>
      <c r="J251" s="338" t="n"/>
      <c r="K251" s="338" t="n"/>
      <c r="L251" s="338" t="n"/>
      <c r="M251" s="338" t="n"/>
      <c r="N251" s="339" t="n"/>
    </row>
    <row r="252" ht="6.95" customHeight="1">
      <c r="A252" s="8" t="n"/>
      <c r="B252" s="8" t="n"/>
      <c r="C252" s="8" t="n"/>
      <c r="D252" s="8" t="n"/>
      <c r="E252" s="8" t="n"/>
      <c r="F252" s="8" t="n"/>
      <c r="G252" s="8" t="n"/>
      <c r="H252" s="8" t="n"/>
      <c r="I252" s="8" t="n"/>
      <c r="J252" s="8" t="n"/>
      <c r="K252" s="8" t="n"/>
      <c r="L252" s="8" t="n"/>
      <c r="M252" s="8" t="n"/>
      <c r="N252" s="8" t="n"/>
    </row>
    <row r="253" ht="14.45" customHeight="1">
      <c r="A253" s="11" t="inlineStr">
        <is>
          <t>A. DIRECT PERSONNEL COSTS</t>
        </is>
      </c>
      <c r="B253" s="4" t="n"/>
      <c r="C253" s="340" t="n"/>
      <c r="D253" s="341" t="n"/>
      <c r="E253" s="4" t="n"/>
      <c r="F253" s="340" t="n"/>
      <c r="G253" s="341" t="n"/>
      <c r="H253" s="8" t="n"/>
      <c r="I253" s="341" t="n"/>
      <c r="J253" s="341" t="n"/>
      <c r="K253" s="341" t="n"/>
      <c r="L253" s="341" t="n"/>
      <c r="M253" s="8" t="n"/>
      <c r="N253" s="341" t="n"/>
    </row>
    <row r="254" ht="14.45" customHeight="1">
      <c r="A254" s="7" t="inlineStr">
        <is>
          <t>A.1 Employees (or equivalent)</t>
        </is>
      </c>
      <c r="B254" s="89" t="n"/>
      <c r="C254" s="89" t="n"/>
      <c r="D254" s="89" t="n"/>
      <c r="E254" s="89" t="n"/>
      <c r="F254" s="89" t="n"/>
      <c r="G254" s="89" t="n"/>
      <c r="H254" s="8" t="n"/>
      <c r="I254" s="89" t="n"/>
      <c r="J254" s="89" t="n"/>
      <c r="K254" s="89" t="n"/>
      <c r="L254" s="89" t="n"/>
      <c r="M254" s="8" t="n"/>
      <c r="N254" s="89" t="n"/>
    </row>
    <row r="255" ht="14.45" customHeight="1">
      <c r="A255" s="36" t="inlineStr">
        <is>
          <t>SENIOR SCIENTISTS (or equivalent in the private sector)</t>
        </is>
      </c>
      <c r="B255" s="342">
        <f>'BE1'!B255+'BE2'!B255+'BE3'!B255+'BE4'!B255</f>
        <v/>
      </c>
      <c r="C255" s="228" t="n"/>
      <c r="D255" s="229">
        <f>'BE1'!D255+'BE2'!D255+'BE3'!D255+'BE4'!D255</f>
        <v/>
      </c>
      <c r="E255" s="343" t="n"/>
      <c r="F255" s="226" t="n"/>
      <c r="G255" s="225" t="n"/>
      <c r="H255" s="8" t="n"/>
      <c r="I255" s="344">
        <f>D255+G255</f>
        <v/>
      </c>
      <c r="J255" s="343">
        <f>E255+B255</f>
        <v/>
      </c>
      <c r="K255" s="225">
        <f>IF(J255&gt;0,L255/J255," ")</f>
        <v/>
      </c>
      <c r="L255" s="225">
        <f>G255+D255</f>
        <v/>
      </c>
      <c r="M255" s="8" t="n"/>
      <c r="N255" s="222">
        <f>D255+G255</f>
        <v/>
      </c>
    </row>
    <row r="256" ht="14.45" customHeight="1">
      <c r="A256" s="36" t="inlineStr">
        <is>
          <t>JUNIOR SCIENTISTS (or equivalent in the private sector)</t>
        </is>
      </c>
      <c r="B256" s="342">
        <f>'BE1'!B256+'BE2'!B256+'BE3'!B256+'BE4'!B256</f>
        <v/>
      </c>
      <c r="C256" s="228" t="n"/>
      <c r="D256" s="229">
        <f>'BE1'!D256+'BE2'!D256+'BE3'!D256+'BE4'!D256</f>
        <v/>
      </c>
      <c r="E256" s="343" t="n"/>
      <c r="F256" s="226" t="n"/>
      <c r="G256" s="225" t="n"/>
      <c r="H256" s="8" t="n"/>
      <c r="I256" s="344">
        <f>D256+G256</f>
        <v/>
      </c>
      <c r="J256" s="343">
        <f>E256+B256</f>
        <v/>
      </c>
      <c r="K256" s="225">
        <f>IF(J256&gt;0,L256/J256," ")</f>
        <v/>
      </c>
      <c r="L256" s="225">
        <f>G256+D256</f>
        <v/>
      </c>
      <c r="M256" s="8" t="n"/>
      <c r="N256" s="222">
        <f>D256+G256</f>
        <v/>
      </c>
    </row>
    <row r="257" ht="14.45" customHeight="1">
      <c r="A257" s="36" t="inlineStr">
        <is>
          <t>TECHNICAL PERSONNEL (or equivalent in the private sector)</t>
        </is>
      </c>
      <c r="B257" s="342">
        <f>'BE1'!B257+'BE2'!B257+'BE3'!B257+'BE4'!B257</f>
        <v/>
      </c>
      <c r="C257" s="228" t="n"/>
      <c r="D257" s="229">
        <f>'BE1'!D257+'BE2'!D257+'BE3'!D257+'BE4'!D257</f>
        <v/>
      </c>
      <c r="E257" s="343" t="n"/>
      <c r="F257" s="226" t="n"/>
      <c r="G257" s="225" t="n"/>
      <c r="H257" s="8" t="n"/>
      <c r="I257" s="344">
        <f>D257+G257</f>
        <v/>
      </c>
      <c r="J257" s="343">
        <f>E257+B257</f>
        <v/>
      </c>
      <c r="K257" s="225">
        <f>IF(J257&gt;0,L257/J257," ")</f>
        <v/>
      </c>
      <c r="L257" s="225">
        <f>G257+D257</f>
        <v/>
      </c>
      <c r="M257" s="8" t="n"/>
      <c r="N257" s="222">
        <f>D257+G257</f>
        <v/>
      </c>
    </row>
    <row r="258" ht="14.45" customHeight="1">
      <c r="A258" s="36" t="inlineStr">
        <is>
          <t>ADMINISTRATIVE PERSONNEL (or equivalent in the private sector)</t>
        </is>
      </c>
      <c r="B258" s="342">
        <f>'BE1'!B258+'BE2'!B258+'BE3'!B258+'BE4'!B258</f>
        <v/>
      </c>
      <c r="C258" s="228" t="n"/>
      <c r="D258" s="229">
        <f>'BE1'!D258+'BE2'!D258+'BE3'!D258+'BE4'!D258</f>
        <v/>
      </c>
      <c r="E258" s="343" t="n"/>
      <c r="F258" s="226" t="n"/>
      <c r="G258" s="225" t="n"/>
      <c r="H258" s="8" t="n"/>
      <c r="I258" s="344">
        <f>D258+G258</f>
        <v/>
      </c>
      <c r="J258" s="343">
        <f>E258+B258</f>
        <v/>
      </c>
      <c r="K258" s="225">
        <f>IF(J258&gt;0,L258/J258," ")</f>
        <v/>
      </c>
      <c r="L258" s="225">
        <f>G258+D258</f>
        <v/>
      </c>
      <c r="M258" s="8" t="n"/>
      <c r="N258" s="222">
        <f>D258+G258</f>
        <v/>
      </c>
    </row>
    <row r="259" ht="14.45" customHeight="1">
      <c r="A259" s="36" t="inlineStr">
        <is>
          <t>OTHERS</t>
        </is>
      </c>
      <c r="B259" s="342">
        <f>'BE1'!B259+'BE2'!B259+'BE3'!B259+'BE4'!B259</f>
        <v/>
      </c>
      <c r="C259" s="228" t="n"/>
      <c r="D259" s="229">
        <f>'BE1'!D259+'BE2'!D259+'BE3'!D259+'BE4'!D259</f>
        <v/>
      </c>
      <c r="E259" s="343" t="n"/>
      <c r="F259" s="226" t="n"/>
      <c r="G259" s="225" t="n"/>
      <c r="H259" s="8" t="n"/>
      <c r="I259" s="344">
        <f>D259+G259</f>
        <v/>
      </c>
      <c r="J259" s="343">
        <f>E259+B259</f>
        <v/>
      </c>
      <c r="K259" s="225">
        <f>IF(J259&gt;0,L259/J259," ")</f>
        <v/>
      </c>
      <c r="L259" s="225">
        <f>G259+D259</f>
        <v/>
      </c>
      <c r="M259" s="8" t="n"/>
      <c r="N259" s="222">
        <f>D259+G259</f>
        <v/>
      </c>
    </row>
    <row r="260" ht="14.45" customHeight="1">
      <c r="A260" s="7" t="inlineStr">
        <is>
          <t>A.2 Natural Persons under direct contract</t>
        </is>
      </c>
      <c r="B260" s="342">
        <f>'BE1'!B260+'BE2'!B260+'BE3'!B260+'BE4'!B260</f>
        <v/>
      </c>
      <c r="C260" s="228" t="n"/>
      <c r="D260" s="229">
        <f>'BE1'!D260+'BE2'!D260+'BE3'!D260+'BE4'!D260</f>
        <v/>
      </c>
      <c r="E260" s="343" t="n"/>
      <c r="F260" s="226" t="n"/>
      <c r="G260" s="225" t="n"/>
      <c r="H260" s="8" t="n"/>
      <c r="I260" s="344">
        <f>D260+G260</f>
        <v/>
      </c>
      <c r="J260" s="343">
        <f>E260+B260</f>
        <v/>
      </c>
      <c r="K260" s="225">
        <f>IF(J260&gt;0,L260/J260," ")</f>
        <v/>
      </c>
      <c r="L260" s="225">
        <f>G260+D260</f>
        <v/>
      </c>
      <c r="M260" s="8" t="n"/>
      <c r="N260" s="222">
        <f>D260+G260</f>
        <v/>
      </c>
    </row>
    <row r="261" ht="14.45" customHeight="1">
      <c r="A261" s="7" t="inlineStr">
        <is>
          <t>A.3 Seconded Persons</t>
        </is>
      </c>
      <c r="B261" s="342">
        <f>'BE1'!B261+'BE2'!B261+'BE3'!B261+'BE4'!B261</f>
        <v/>
      </c>
      <c r="C261" s="228" t="n"/>
      <c r="D261" s="229">
        <f>'BE1'!D261+'BE2'!D261+'BE3'!D261+'BE4'!D261</f>
        <v/>
      </c>
      <c r="E261" s="343" t="n"/>
      <c r="F261" s="226" t="n"/>
      <c r="G261" s="225" t="n"/>
      <c r="H261" s="8" t="n"/>
      <c r="I261" s="344">
        <f>D261+G261</f>
        <v/>
      </c>
      <c r="J261" s="343">
        <f>E261+B261</f>
        <v/>
      </c>
      <c r="K261" s="225">
        <f>IF(J261&gt;0,L261/J261," ")</f>
        <v/>
      </c>
      <c r="L261" s="225">
        <f>G261+D261</f>
        <v/>
      </c>
      <c r="M261" s="8" t="n"/>
      <c r="N261" s="222">
        <f>D261+G261</f>
        <v/>
      </c>
    </row>
    <row r="262" ht="14.45" customHeight="1">
      <c r="A262" s="7" t="inlineStr">
        <is>
          <t>A.4 SME owners and natural person beneficiaries</t>
        </is>
      </c>
      <c r="B262" s="342">
        <f>'BE1'!B262+'BE2'!B262+'BE3'!B262+'BE4'!B262</f>
        <v/>
      </c>
      <c r="C262" s="228" t="n"/>
      <c r="D262" s="229">
        <f>'BE1'!D262+'BE2'!D262+'BE3'!D262+'BE4'!D262</f>
        <v/>
      </c>
      <c r="E262" s="343" t="n"/>
      <c r="F262" s="226" t="n"/>
      <c r="G262" s="225" t="n"/>
      <c r="H262" s="8" t="n"/>
      <c r="I262" s="344">
        <f>D262+G262</f>
        <v/>
      </c>
      <c r="J262" s="343">
        <f>E262+B262</f>
        <v/>
      </c>
      <c r="K262" s="225">
        <f>IF(J262&gt;0,L262/J262," ")</f>
        <v/>
      </c>
      <c r="L262" s="225">
        <f>G262+D262</f>
        <v/>
      </c>
      <c r="M262" s="8" t="n"/>
      <c r="N262" s="222">
        <f>D262+G262</f>
        <v/>
      </c>
    </row>
    <row r="263" ht="14.45" customHeight="1">
      <c r="A263" s="11" t="inlineStr">
        <is>
          <t>B. DIRECT SUBCONTRACTING COSTS</t>
        </is>
      </c>
      <c r="B263" s="345" t="n"/>
      <c r="C263" s="227" t="n"/>
      <c r="D263" s="223" t="n"/>
      <c r="E263" s="345" t="n"/>
      <c r="F263" s="227" t="n"/>
      <c r="G263" s="223" t="n"/>
      <c r="H263" s="8" t="n"/>
      <c r="I263" s="341" t="n"/>
      <c r="J263" s="346" t="n"/>
      <c r="K263" s="223" t="n"/>
      <c r="L263" s="223" t="n"/>
      <c r="M263" s="8" t="n"/>
      <c r="N263" s="223" t="n"/>
    </row>
    <row r="264" ht="14.45" customHeight="1">
      <c r="A264" s="9" t="n"/>
      <c r="B264" s="342">
        <f>'BE1'!B264+'BE2'!B264+'BE3'!B264+'BE4'!B264</f>
        <v/>
      </c>
      <c r="C264" s="228" t="n"/>
      <c r="D264" s="229">
        <f>'BE1'!D264+'BE2'!D264+'BE3'!D264+'BE4'!D264</f>
        <v/>
      </c>
      <c r="E264" s="343" t="n"/>
      <c r="F264" s="226" t="n"/>
      <c r="G264" s="225" t="n"/>
      <c r="H264" s="8" t="n"/>
      <c r="I264" s="344">
        <f>D264+G264</f>
        <v/>
      </c>
      <c r="J264" s="343">
        <f>E264+B264</f>
        <v/>
      </c>
      <c r="K264" s="225">
        <f>IF(J264&gt;0,L264/J264," ")</f>
        <v/>
      </c>
      <c r="L264" s="225">
        <f>G264+D264</f>
        <v/>
      </c>
      <c r="M264" s="8" t="n"/>
      <c r="N264" s="222">
        <f>D264+G264</f>
        <v/>
      </c>
    </row>
    <row r="265" ht="14.45" customHeight="1">
      <c r="A265" s="11" t="inlineStr">
        <is>
          <t>C. DIRECT PURCHASE COSTS</t>
        </is>
      </c>
      <c r="B265" s="345" t="n"/>
      <c r="C265" s="227" t="n"/>
      <c r="D265" s="223" t="n"/>
      <c r="E265" s="345" t="n"/>
      <c r="F265" s="227" t="n"/>
      <c r="G265" s="223" t="n"/>
      <c r="H265" s="8" t="n"/>
      <c r="I265" s="341" t="n"/>
      <c r="J265" s="346" t="n"/>
      <c r="K265" s="223" t="n"/>
      <c r="L265" s="223" t="n"/>
      <c r="M265" s="8" t="n"/>
      <c r="N265" s="223" t="n"/>
    </row>
    <row r="266" ht="14.45" customHeight="1">
      <c r="A266" s="39" t="inlineStr">
        <is>
          <t>C.1 Travel and subsistence</t>
        </is>
      </c>
      <c r="B266" s="342">
        <f>'BE1'!B266+'BE2'!B266+'BE3'!B266+'BE4'!B266</f>
        <v/>
      </c>
      <c r="C266" s="228" t="n"/>
      <c r="D266" s="229">
        <f>'BE1'!D266+'BE2'!D266+'BE3'!D266+'BE4'!D266</f>
        <v/>
      </c>
      <c r="E266" s="343" t="n"/>
      <c r="F266" s="226" t="n"/>
      <c r="G266" s="225" t="n"/>
      <c r="H266" s="8" t="n"/>
      <c r="I266" s="344">
        <f>D266+G266</f>
        <v/>
      </c>
      <c r="J266" s="343">
        <f>E266+B266</f>
        <v/>
      </c>
      <c r="K266" s="225">
        <f>IF(J266&gt;0,L266/J266," ")</f>
        <v/>
      </c>
      <c r="L266" s="225">
        <f>G266+D266</f>
        <v/>
      </c>
      <c r="M266" s="8" t="n"/>
      <c r="N266" s="222">
        <f>D266+G266</f>
        <v/>
      </c>
    </row>
    <row r="267" ht="14.45" customHeight="1">
      <c r="A267" s="7" t="inlineStr">
        <is>
          <t>C.2 Equipment (complete 'Depreciation cost' sheet)</t>
        </is>
      </c>
      <c r="B267" s="347" t="n"/>
      <c r="C267" s="160" t="n"/>
      <c r="D267" s="160" t="n"/>
      <c r="E267" s="347" t="n"/>
      <c r="F267" s="160" t="n"/>
      <c r="G267" s="160" t="n"/>
      <c r="H267" s="8" t="n"/>
      <c r="I267" s="89" t="n"/>
      <c r="J267" s="347" t="n"/>
      <c r="K267" s="160" t="n"/>
      <c r="L267" s="160" t="n"/>
      <c r="M267" s="8" t="n"/>
      <c r="N267" s="160" t="n"/>
    </row>
    <row r="268" ht="14.45" customHeight="1">
      <c r="A268" s="37" t="inlineStr">
        <is>
          <t>Equipment</t>
        </is>
      </c>
      <c r="B268" s="342">
        <f>'BE1'!B268+'BE2'!B268+'BE3'!B268+'BE4'!B268</f>
        <v/>
      </c>
      <c r="C268" s="228" t="n"/>
      <c r="D268" s="229">
        <f>'BE1'!D268+'BE2'!D268+'BE3'!D268+'BE4'!D268</f>
        <v/>
      </c>
      <c r="E268" s="343" t="n"/>
      <c r="F268" s="226" t="n"/>
      <c r="G268" s="225" t="n"/>
      <c r="H268" s="8" t="n"/>
      <c r="I268" s="344">
        <f>D268+G268</f>
        <v/>
      </c>
      <c r="J268" s="343">
        <f>E268+B268</f>
        <v/>
      </c>
      <c r="K268" s="225">
        <f>IF(J268&gt;0,L268/J268," ")</f>
        <v/>
      </c>
      <c r="L268" s="225">
        <f>G268+D268</f>
        <v/>
      </c>
      <c r="M268" s="8" t="n"/>
      <c r="N268" s="222">
        <f>D268+G268</f>
        <v/>
      </c>
    </row>
    <row r="269" ht="14.45" customHeight="1">
      <c r="A269" s="37" t="inlineStr">
        <is>
          <t>Infrastructure</t>
        </is>
      </c>
      <c r="B269" s="342">
        <f>'BE1'!B269+'BE2'!B269+'BE3'!B269+'BE4'!B269</f>
        <v/>
      </c>
      <c r="C269" s="228" t="n"/>
      <c r="D269" s="229">
        <f>'BE1'!D269+'BE2'!D269+'BE3'!D269+'BE4'!D269</f>
        <v/>
      </c>
      <c r="E269" s="343" t="n"/>
      <c r="F269" s="226" t="n"/>
      <c r="G269" s="225" t="n"/>
      <c r="H269" s="8" t="n"/>
      <c r="I269" s="344">
        <f>D269+G269</f>
        <v/>
      </c>
      <c r="J269" s="343">
        <f>E269+B269</f>
        <v/>
      </c>
      <c r="K269" s="225">
        <f>IF(J269&gt;0,L269/J269," ")</f>
        <v/>
      </c>
      <c r="L269" s="225">
        <f>G269+D269</f>
        <v/>
      </c>
      <c r="M269" s="8" t="n"/>
      <c r="N269" s="222">
        <f>D269+G269</f>
        <v/>
      </c>
    </row>
    <row r="270" ht="14.45" customHeight="1">
      <c r="A270" s="37" t="inlineStr">
        <is>
          <t>Other assets</t>
        </is>
      </c>
      <c r="B270" s="342">
        <f>'BE1'!B270+'BE2'!B270+'BE3'!B270+'BE4'!B270</f>
        <v/>
      </c>
      <c r="C270" s="228" t="n"/>
      <c r="D270" s="229">
        <f>'BE1'!D270+'BE2'!D270+'BE3'!D270+'BE4'!D270</f>
        <v/>
      </c>
      <c r="E270" s="343" t="n"/>
      <c r="F270" s="226" t="n"/>
      <c r="G270" s="225" t="n"/>
      <c r="H270" s="8" t="n"/>
      <c r="I270" s="344">
        <f>D270+G270</f>
        <v/>
      </c>
      <c r="J270" s="343">
        <f>E270+B270</f>
        <v/>
      </c>
      <c r="K270" s="225">
        <f>IF(J270&gt;0,L270/J270," ")</f>
        <v/>
      </c>
      <c r="L270" s="225">
        <f>G270+D270</f>
        <v/>
      </c>
      <c r="M270" s="8" t="n"/>
      <c r="N270" s="222">
        <f>D270+G270</f>
        <v/>
      </c>
    </row>
    <row r="271" ht="14.45" customHeight="1">
      <c r="A271" s="7" t="inlineStr">
        <is>
          <t>C.3 Other goods, works and services</t>
        </is>
      </c>
      <c r="B271" s="347" t="n"/>
      <c r="C271" s="160" t="n"/>
      <c r="D271" s="160" t="n"/>
      <c r="E271" s="347" t="n"/>
      <c r="F271" s="160" t="n"/>
      <c r="G271" s="160" t="n"/>
      <c r="H271" s="8" t="n"/>
      <c r="I271" s="89" t="n"/>
      <c r="J271" s="347" t="n"/>
      <c r="K271" s="160" t="n"/>
      <c r="L271" s="160" t="n"/>
      <c r="M271" s="8" t="n"/>
      <c r="N271" s="160" t="n"/>
    </row>
    <row r="272" ht="14.45" customHeight="1">
      <c r="A272" s="37" t="inlineStr">
        <is>
          <t>Consumables</t>
        </is>
      </c>
      <c r="B272" s="342">
        <f>'BE1'!B272+'BE2'!B272+'BE3'!B272+'BE4'!B272</f>
        <v/>
      </c>
      <c r="C272" s="228" t="n"/>
      <c r="D272" s="229">
        <f>'BE1'!D272+'BE2'!D272+'BE3'!D272+'BE4'!D272</f>
        <v/>
      </c>
      <c r="E272" s="343" t="n"/>
      <c r="F272" s="226" t="n"/>
      <c r="G272" s="225" t="n"/>
      <c r="H272" s="8" t="n"/>
      <c r="I272" s="344">
        <f>D272+G272</f>
        <v/>
      </c>
      <c r="J272" s="343">
        <f>E272+B272</f>
        <v/>
      </c>
      <c r="K272" s="225">
        <f>IF(J272&gt;0,L272/J272," ")</f>
        <v/>
      </c>
      <c r="L272" s="225">
        <f>G272+D272</f>
        <v/>
      </c>
      <c r="M272" s="8" t="n"/>
      <c r="N272" s="222">
        <f>D272+G272</f>
        <v/>
      </c>
    </row>
    <row r="273" ht="14.45" customHeight="1">
      <c r="A273" s="37" t="inlineStr">
        <is>
          <t>Services for meetings, seminars</t>
        </is>
      </c>
      <c r="B273" s="342">
        <f>'BE1'!B273+'BE2'!B273+'BE3'!B273+'BE4'!B273</f>
        <v/>
      </c>
      <c r="C273" s="228" t="n"/>
      <c r="D273" s="229">
        <f>'BE1'!D273+'BE2'!D273+'BE3'!D273+'BE4'!D273</f>
        <v/>
      </c>
      <c r="E273" s="343" t="n"/>
      <c r="F273" s="226" t="n"/>
      <c r="G273" s="225" t="n"/>
      <c r="H273" s="8" t="n"/>
      <c r="I273" s="344">
        <f>D273+G273</f>
        <v/>
      </c>
      <c r="J273" s="343">
        <f>E273+B273</f>
        <v/>
      </c>
      <c r="K273" s="225">
        <f>IF(J273&gt;0,L273/J273," ")</f>
        <v/>
      </c>
      <c r="L273" s="225">
        <f>G273+D273</f>
        <v/>
      </c>
      <c r="M273" s="8" t="n"/>
      <c r="N273" s="222">
        <f>D273+G273</f>
        <v/>
      </c>
    </row>
    <row r="274" ht="14.45" customHeight="1">
      <c r="A274" s="37" t="inlineStr">
        <is>
          <t>Services for dissemination activities (including website)</t>
        </is>
      </c>
      <c r="B274" s="342">
        <f>'BE1'!B274+'BE2'!B274+'BE3'!B274+'BE4'!B274</f>
        <v/>
      </c>
      <c r="C274" s="228" t="n"/>
      <c r="D274" s="229">
        <f>'BE1'!D274+'BE2'!D274+'BE3'!D274+'BE4'!D274</f>
        <v/>
      </c>
      <c r="E274" s="343" t="n"/>
      <c r="F274" s="226" t="n"/>
      <c r="G274" s="225" t="n"/>
      <c r="H274" s="8" t="n"/>
      <c r="I274" s="344">
        <f>D274+G274</f>
        <v/>
      </c>
      <c r="J274" s="343">
        <f>E274+B274</f>
        <v/>
      </c>
      <c r="K274" s="225">
        <f>IF(J274&gt;0,L274/J274," ")</f>
        <v/>
      </c>
      <c r="L274" s="225">
        <f>G274+D274</f>
        <v/>
      </c>
      <c r="M274" s="8" t="n"/>
      <c r="N274" s="222">
        <f>D274+G274</f>
        <v/>
      </c>
    </row>
    <row r="275" ht="14.45" customHeight="1">
      <c r="A275" s="37" t="inlineStr">
        <is>
          <t>Publication fees</t>
        </is>
      </c>
      <c r="B275" s="342">
        <f>'BE1'!B275+'BE2'!B275+'BE3'!B275+'BE4'!B275</f>
        <v/>
      </c>
      <c r="C275" s="228" t="n"/>
      <c r="D275" s="229">
        <f>'BE1'!D275+'BE2'!D275+'BE3'!D275+'BE4'!D275</f>
        <v/>
      </c>
      <c r="E275" s="343" t="n"/>
      <c r="F275" s="226" t="n"/>
      <c r="G275" s="225" t="n"/>
      <c r="H275" s="8" t="n"/>
      <c r="I275" s="344">
        <f>D275+G275</f>
        <v/>
      </c>
      <c r="J275" s="343">
        <f>E275+B275</f>
        <v/>
      </c>
      <c r="K275" s="225">
        <f>IF(J275&gt;0,L275/J275," ")</f>
        <v/>
      </c>
      <c r="L275" s="225">
        <f>G275+D275</f>
        <v/>
      </c>
      <c r="M275" s="8" t="n"/>
      <c r="N275" s="222">
        <f>D275+G275</f>
        <v/>
      </c>
    </row>
    <row r="276" ht="14.45" customHeight="1">
      <c r="A276" s="37" t="inlineStr">
        <is>
          <t>Other (shipment,insurance, translation, etc.)</t>
        </is>
      </c>
      <c r="B276" s="342">
        <f>'BE1'!B276+'BE2'!B276+'BE3'!B276+'BE4'!B276</f>
        <v/>
      </c>
      <c r="C276" s="228" t="n"/>
      <c r="D276" s="229">
        <f>'BE1'!D276+'BE2'!D276+'BE3'!D276+'BE4'!D276</f>
        <v/>
      </c>
      <c r="E276" s="343" t="n"/>
      <c r="F276" s="226" t="n"/>
      <c r="G276" s="225" t="n"/>
      <c r="H276" s="8" t="n"/>
      <c r="I276" s="344">
        <f>D276+G276</f>
        <v/>
      </c>
      <c r="J276" s="343">
        <f>E276+B276</f>
        <v/>
      </c>
      <c r="K276" s="225">
        <f>IF(J276&gt;0,L276/J276," ")</f>
        <v/>
      </c>
      <c r="L276" s="225">
        <f>G276+D276</f>
        <v/>
      </c>
      <c r="M276" s="8" t="n"/>
      <c r="N276" s="222">
        <f>D276+G276</f>
        <v/>
      </c>
    </row>
    <row r="277" ht="14.45" customHeight="1">
      <c r="A277" s="6" t="inlineStr">
        <is>
          <t>D. OTHER COST CATEGORIES</t>
        </is>
      </c>
      <c r="B277" s="345" t="n"/>
      <c r="C277" s="227" t="n"/>
      <c r="D277" s="223" t="n"/>
      <c r="E277" s="345" t="n"/>
      <c r="F277" s="227" t="n"/>
      <c r="G277" s="223" t="n"/>
      <c r="H277" s="8" t="n"/>
      <c r="I277" s="341" t="n"/>
      <c r="J277" s="346" t="n"/>
      <c r="K277" s="223" t="n"/>
      <c r="L277" s="223" t="n"/>
      <c r="M277" s="8" t="n"/>
      <c r="N277" s="223" t="n"/>
    </row>
    <row r="278" ht="14.45" customHeight="1">
      <c r="A278" s="40" t="inlineStr">
        <is>
          <t>D.1 Financial support to third parties (if applicable in the topic specific conditions)</t>
        </is>
      </c>
      <c r="B278" s="342">
        <f>'BE1'!B278+'BE2'!B278+'BE3'!B278+'BE4'!B278</f>
        <v/>
      </c>
      <c r="C278" s="228" t="n"/>
      <c r="D278" s="229">
        <f>'BE1'!D278+'BE2'!D278+'BE3'!D278+'BE4'!D278</f>
        <v/>
      </c>
      <c r="E278" s="343" t="n"/>
      <c r="F278" s="226" t="n"/>
      <c r="G278" s="225" t="n"/>
      <c r="H278" s="8" t="n"/>
      <c r="I278" s="344">
        <f>D278+G278</f>
        <v/>
      </c>
      <c r="J278" s="343">
        <f>E278+B278</f>
        <v/>
      </c>
      <c r="K278" s="225">
        <f>IF(J278&gt;0,L278/J278," ")</f>
        <v/>
      </c>
      <c r="L278" s="225">
        <f>G278+D278</f>
        <v/>
      </c>
      <c r="M278" s="8" t="n"/>
      <c r="N278" s="222">
        <f>D278+G278</f>
        <v/>
      </c>
    </row>
    <row r="279" ht="14.45" customHeight="1">
      <c r="A279" s="39" t="inlineStr">
        <is>
          <t>D.2 Internally invoiced goods and services</t>
        </is>
      </c>
      <c r="B279" s="342">
        <f>'BE1'!B279+'BE2'!B279+'BE3'!B279+'BE4'!B279</f>
        <v/>
      </c>
      <c r="C279" s="228" t="n"/>
      <c r="D279" s="229">
        <f>'BE1'!D279+'BE2'!D279+'BE3'!D279+'BE4'!D279</f>
        <v/>
      </c>
      <c r="E279" s="343" t="n"/>
      <c r="F279" s="226" t="n"/>
      <c r="G279" s="225" t="n"/>
      <c r="H279" s="8" t="n"/>
      <c r="I279" s="344">
        <f>D279+G279</f>
        <v/>
      </c>
      <c r="J279" s="343">
        <f>E279+B279</f>
        <v/>
      </c>
      <c r="K279" s="225">
        <f>IF(J279&gt;0,L279/J279," ")</f>
        <v/>
      </c>
      <c r="L279" s="225">
        <f>G279+D279</f>
        <v/>
      </c>
      <c r="M279" s="8" t="n"/>
      <c r="N279" s="222">
        <f>D279+G279</f>
        <v/>
      </c>
    </row>
    <row r="280" ht="14.45" customHeight="1">
      <c r="A280" s="39" t="inlineStr">
        <is>
          <t>D.3 Transnational access to research infrastructure unit costs (if required in the topic specific conditions)</t>
        </is>
      </c>
      <c r="B280" s="342">
        <f>'BE1'!B280+'BE2'!B280+'BE3'!B280+'BE4'!B280</f>
        <v/>
      </c>
      <c r="C280" s="228" t="n"/>
      <c r="D280" s="229">
        <f>'BE1'!D280+'BE2'!D280+'BE3'!D280+'BE4'!D280</f>
        <v/>
      </c>
      <c r="E280" s="343" t="n"/>
      <c r="F280" s="226" t="n"/>
      <c r="G280" s="225" t="n"/>
      <c r="H280" s="8" t="n"/>
      <c r="I280" s="344">
        <f>D280+G280</f>
        <v/>
      </c>
      <c r="J280" s="343">
        <f>E280+B280</f>
        <v/>
      </c>
      <c r="K280" s="225">
        <f>IF(J280&gt;0,L280/J280," ")</f>
        <v/>
      </c>
      <c r="L280" s="225">
        <f>G280+D280</f>
        <v/>
      </c>
      <c r="M280" s="8" t="n"/>
      <c r="N280" s="222">
        <f>D280+G280</f>
        <v/>
      </c>
    </row>
    <row r="281" ht="14.45" customHeight="1">
      <c r="A281" s="39" t="inlineStr">
        <is>
          <t>D.4 Virtual access to research infrastructure unit costs (if required in the topic specific conditions)</t>
        </is>
      </c>
      <c r="B281" s="342">
        <f>'BE1'!B281+'BE2'!B281+'BE3'!B281+'BE4'!B281</f>
        <v/>
      </c>
      <c r="C281" s="228" t="n"/>
      <c r="D281" s="229">
        <f>'BE1'!D281+'BE2'!D281+'BE3'!D281+'BE4'!D281</f>
        <v/>
      </c>
      <c r="E281" s="343" t="n"/>
      <c r="F281" s="226" t="n"/>
      <c r="G281" s="225" t="n"/>
      <c r="H281" s="8" t="n"/>
      <c r="I281" s="344">
        <f>D281+G281</f>
        <v/>
      </c>
      <c r="J281" s="343">
        <f>E281+B281</f>
        <v/>
      </c>
      <c r="K281" s="225">
        <f>IF(J281&gt;0,L281/J281," ")</f>
        <v/>
      </c>
      <c r="L281" s="225">
        <f>G281+D281</f>
        <v/>
      </c>
      <c r="M281" s="8" t="n"/>
      <c r="N281" s="222">
        <f>D281+G281</f>
        <v/>
      </c>
    </row>
    <row r="282" ht="14.45" customHeight="1">
      <c r="A282" s="39" t="inlineStr">
        <is>
          <t>D.5 PCP/PPI procurement costs (if mentioned as eligible in the topic specific conditions)</t>
        </is>
      </c>
      <c r="B282" s="342">
        <f>'BE1'!B282+'BE2'!B282+'BE3'!B282+'BE4'!B282</f>
        <v/>
      </c>
      <c r="C282" s="228" t="n"/>
      <c r="D282" s="229">
        <f>'BE1'!D282+'BE2'!D282+'BE3'!D282+'BE4'!D282</f>
        <v/>
      </c>
      <c r="E282" s="343" t="n"/>
      <c r="F282" s="226" t="n"/>
      <c r="G282" s="225" t="n"/>
      <c r="H282" s="8" t="n"/>
      <c r="I282" s="344">
        <f>D282+G282</f>
        <v/>
      </c>
      <c r="J282" s="343">
        <f>E282+B282</f>
        <v/>
      </c>
      <c r="K282" s="225">
        <f>IF(J282&gt;0,L282/J282," ")</f>
        <v/>
      </c>
      <c r="L282" s="225">
        <f>G282+D282</f>
        <v/>
      </c>
      <c r="M282" s="8" t="n"/>
      <c r="N282" s="222">
        <f>D282+G282</f>
        <v/>
      </c>
    </row>
    <row r="283" ht="14.45" customHeight="1">
      <c r="A283" s="26" t="n"/>
      <c r="B283" s="347" t="n"/>
      <c r="C283" s="160" t="n"/>
      <c r="D283" s="160" t="n"/>
      <c r="E283" s="347" t="n"/>
      <c r="F283" s="160" t="n"/>
      <c r="G283" s="160" t="n"/>
      <c r="H283" s="8" t="n"/>
      <c r="I283" s="89" t="n"/>
      <c r="J283" s="347" t="n"/>
      <c r="K283" s="160" t="n"/>
      <c r="L283" s="160" t="n"/>
      <c r="M283" s="8" t="n"/>
      <c r="N283" s="160" t="n"/>
    </row>
    <row r="284" ht="14.45" customHeight="1">
      <c r="A284" s="41" t="inlineStr">
        <is>
          <t>TOTAL DIRECT PERSONNEL COSTS AND PURCHASE COSTS (A+C)</t>
        </is>
      </c>
      <c r="B284" s="348" t="n"/>
      <c r="C284" s="224" t="n"/>
      <c r="D284" s="224">
        <f>'BE1'!D284+'BE2'!D284+'BE3'!D284+'BE4'!D284</f>
        <v/>
      </c>
      <c r="E284" s="348" t="n"/>
      <c r="F284" s="224" t="n"/>
      <c r="G284" s="224" t="n"/>
      <c r="H284" s="8" t="n"/>
      <c r="I284" s="349">
        <f>SUM(I255:I262,I266:I276)</f>
        <v/>
      </c>
      <c r="J284" s="348" t="n"/>
      <c r="K284" s="224" t="n"/>
      <c r="L284" s="224">
        <f>SUM(L255:L262,L266:L276)</f>
        <v/>
      </c>
      <c r="M284" s="8" t="n"/>
      <c r="N284" s="224">
        <f>SUM(N255:N262,N266:N276)</f>
        <v/>
      </c>
    </row>
    <row r="285" ht="14.45" customHeight="1">
      <c r="A285" s="41" t="inlineStr">
        <is>
          <t>TOTAL DIRECT COSTS  (A+B+C+D)</t>
        </is>
      </c>
      <c r="B285" s="348" t="n"/>
      <c r="C285" s="224" t="n"/>
      <c r="D285" s="224">
        <f>'BE1'!D285+'BE2'!D285+'BE3'!D285+'BE4'!D285</f>
        <v/>
      </c>
      <c r="E285" s="348" t="n"/>
      <c r="F285" s="224" t="n"/>
      <c r="G285" s="224" t="n"/>
      <c r="H285" s="8" t="n"/>
      <c r="I285" s="349">
        <f>SUM(I255:I282)</f>
        <v/>
      </c>
      <c r="J285" s="348" t="n"/>
      <c r="K285" s="224" t="n"/>
      <c r="L285" s="224">
        <f>SUM(L255:L282)</f>
        <v/>
      </c>
      <c r="M285" s="8" t="n"/>
      <c r="N285" s="224">
        <f>SUM(N255:N282)</f>
        <v/>
      </c>
    </row>
    <row r="286" ht="6.95" customHeight="1">
      <c r="A286" s="8" t="n"/>
      <c r="B286" s="350" t="n"/>
      <c r="C286" s="134" t="n"/>
      <c r="D286" s="134" t="n"/>
      <c r="E286" s="350" t="n"/>
      <c r="F286" s="134" t="n"/>
      <c r="G286" s="134" t="n"/>
      <c r="H286" s="8" t="n"/>
      <c r="I286" s="8" t="n"/>
      <c r="J286" s="350" t="n"/>
      <c r="K286" s="134" t="n"/>
      <c r="L286" s="134" t="n"/>
      <c r="M286" s="8" t="n"/>
      <c r="N286" s="134" t="n"/>
    </row>
    <row r="287" ht="14.45" customHeight="1">
      <c r="A287" s="11" t="inlineStr">
        <is>
          <t>E. INDIRECT COSTS (25% * (A+C))</t>
        </is>
      </c>
      <c r="B287" s="348" t="n"/>
      <c r="C287" s="224" t="n"/>
      <c r="D287" s="224">
        <f>'BE1'!D287+'BE2'!D287+'BE3'!D287+'BE4'!D287</f>
        <v/>
      </c>
      <c r="E287" s="348" t="n"/>
      <c r="F287" s="224" t="n"/>
      <c r="G287" s="224" t="n"/>
      <c r="H287" s="8" t="n"/>
      <c r="I287" s="349">
        <f>+I284*0.25</f>
        <v/>
      </c>
      <c r="J287" s="348" t="n"/>
      <c r="K287" s="224" t="n"/>
      <c r="L287" s="224">
        <f>+L284*0.25</f>
        <v/>
      </c>
      <c r="M287" s="8" t="n"/>
      <c r="N287" s="224">
        <f>+N284*0.25</f>
        <v/>
      </c>
    </row>
    <row r="288" ht="6.95" customHeight="1">
      <c r="A288" s="8" t="n"/>
      <c r="B288" s="350" t="n"/>
      <c r="C288" s="134" t="n"/>
      <c r="D288" s="134" t="n"/>
      <c r="E288" s="350" t="n"/>
      <c r="F288" s="134" t="n"/>
      <c r="G288" s="134" t="n"/>
      <c r="H288" s="8" t="n"/>
      <c r="I288" s="8" t="n"/>
      <c r="J288" s="350" t="n"/>
      <c r="K288" s="134" t="n"/>
      <c r="L288" s="134" t="n"/>
      <c r="M288" s="8" t="n"/>
      <c r="N288" s="134" t="n"/>
    </row>
    <row r="289" ht="14.45" customHeight="1">
      <c r="A289" s="11" t="inlineStr">
        <is>
          <t>F. TOTAL COSTS (A+B+C+D+E)</t>
        </is>
      </c>
      <c r="B289" s="348" t="n"/>
      <c r="C289" s="224" t="n"/>
      <c r="D289" s="224">
        <f>'BE1'!D289+'BE2'!D289+'BE3'!D289+'BE4'!D289</f>
        <v/>
      </c>
      <c r="E289" s="348" t="n"/>
      <c r="F289" s="224" t="n"/>
      <c r="G289" s="224" t="n"/>
      <c r="H289" s="8" t="n"/>
      <c r="I289" s="349">
        <f>I285+I287</f>
        <v/>
      </c>
      <c r="J289" s="348" t="n"/>
      <c r="K289" s="224" t="n"/>
      <c r="L289" s="224">
        <f>L285+L287</f>
        <v/>
      </c>
      <c r="M289" s="8" t="n"/>
      <c r="N289" s="224">
        <f>N285+N287</f>
        <v/>
      </c>
    </row>
    <row r="290" ht="6.95" customHeight="1">
      <c r="A290" s="8" t="n"/>
      <c r="B290" s="8" t="n"/>
      <c r="C290" s="8" t="n"/>
      <c r="D290" s="8" t="n"/>
      <c r="E290" s="8" t="n"/>
      <c r="F290" s="8" t="n"/>
      <c r="G290" s="8" t="n"/>
      <c r="H290" s="8" t="n"/>
      <c r="I290" s="8" t="n"/>
      <c r="J290" s="8" t="n"/>
      <c r="K290" s="8" t="n"/>
      <c r="L290" s="8" t="n"/>
      <c r="M290" s="8" t="n"/>
      <c r="N290" s="8" t="n"/>
    </row>
    <row r="291" ht="14.45" customHeight="1">
      <c r="A291" s="209" t="n"/>
      <c r="B291" s="207" t="n"/>
      <c r="C291" s="209" t="n"/>
      <c r="D291" s="208" t="n"/>
      <c r="E291" s="207" t="n"/>
      <c r="F291" s="209" t="n"/>
      <c r="G291" s="208" t="n"/>
      <c r="H291" s="208" t="n"/>
      <c r="I291" s="208" t="n"/>
      <c r="J291" s="208" t="n"/>
      <c r="K291" s="208" t="n"/>
      <c r="L291" s="208" t="n"/>
      <c r="M291" s="209" t="n"/>
      <c r="N291" s="210" t="n"/>
    </row>
    <row r="292" ht="21" customHeight="1">
      <c r="A292" s="300" t="inlineStr">
        <is>
          <t>SUM OF ALL WORK PACKAGES FOR ALL BENEFICIARIES</t>
        </is>
      </c>
      <c r="B292" s="338" t="n"/>
      <c r="C292" s="338" t="n"/>
      <c r="D292" s="338" t="n"/>
      <c r="E292" s="338" t="n"/>
      <c r="F292" s="338" t="n"/>
      <c r="G292" s="338" t="n"/>
      <c r="H292" s="338" t="n"/>
      <c r="I292" s="338" t="n"/>
      <c r="J292" s="338" t="n"/>
      <c r="K292" s="338" t="n"/>
      <c r="L292" s="338" t="n"/>
      <c r="M292" s="338" t="n"/>
      <c r="N292" s="339" t="n"/>
    </row>
    <row r="293" ht="6.95" customHeight="1">
      <c r="A293" s="8" t="n"/>
      <c r="B293" s="8" t="n"/>
      <c r="C293" s="8" t="n"/>
      <c r="D293" s="8" t="n"/>
      <c r="E293" s="8" t="n"/>
      <c r="F293" s="8" t="n"/>
      <c r="G293" s="8" t="n"/>
      <c r="H293" s="8" t="n"/>
      <c r="I293" s="8" t="n"/>
      <c r="J293" s="8" t="n"/>
      <c r="K293" s="8" t="n"/>
      <c r="L293" s="8" t="n"/>
      <c r="M293" s="8" t="n"/>
      <c r="N293" s="8" t="n"/>
    </row>
    <row r="294" ht="14.45" customHeight="1">
      <c r="A294" s="11" t="inlineStr">
        <is>
          <t>A. DIRECT PERSONNEL COSTS</t>
        </is>
      </c>
      <c r="B294" s="4" t="n"/>
      <c r="C294" s="340" t="n"/>
      <c r="D294" s="341" t="n"/>
      <c r="E294" s="4" t="n"/>
      <c r="F294" s="340" t="n"/>
      <c r="G294" s="341" t="n"/>
      <c r="H294" s="8" t="n"/>
      <c r="I294" s="341" t="n"/>
      <c r="J294" s="341" t="n"/>
      <c r="K294" s="341" t="n"/>
      <c r="L294" s="341" t="n"/>
      <c r="M294" s="8" t="n"/>
      <c r="N294" s="341" t="n"/>
    </row>
    <row r="295" ht="14.45" customHeight="1">
      <c r="A295" s="7" t="inlineStr">
        <is>
          <t>A.1 Employees (or equivalent)</t>
        </is>
      </c>
      <c r="B295" s="89" t="n"/>
      <c r="C295" s="89" t="n"/>
      <c r="D295" s="89" t="n"/>
      <c r="E295" s="89" t="n"/>
      <c r="F295" s="89" t="n"/>
      <c r="G295" s="89" t="n"/>
      <c r="H295" s="8" t="n"/>
      <c r="I295" s="89" t="n"/>
      <c r="J295" s="89" t="n"/>
      <c r="K295" s="89" t="n"/>
      <c r="L295" s="89" t="n"/>
      <c r="M295" s="8" t="n"/>
      <c r="N295" s="89" t="n"/>
    </row>
    <row r="296" ht="14.45" customHeight="1">
      <c r="A296" s="36" t="inlineStr">
        <is>
          <t>SENIOR SCIENTISTS (or equivalent in the private sector)</t>
        </is>
      </c>
      <c r="B296" s="342">
        <f>B9+B50+B91+B132+B173+B214+B255</f>
        <v/>
      </c>
      <c r="C296" s="351" t="n"/>
      <c r="D296" s="352">
        <f>D9+D50+D91+D132+D173+D214+D255</f>
        <v/>
      </c>
      <c r="E296" s="343">
        <f>E9+E50+E91+E132+E173+E214+E255</f>
        <v/>
      </c>
      <c r="F296" s="353" t="n"/>
      <c r="G296" s="354">
        <f>G9+G50+G91+G132+G173+G214+G255</f>
        <v/>
      </c>
      <c r="H296" s="8" t="n"/>
      <c r="I296" s="344">
        <f>D296+G296</f>
        <v/>
      </c>
      <c r="J296" s="343">
        <f>E296+B296</f>
        <v/>
      </c>
      <c r="K296" s="354">
        <f>IF(J296&gt;0,L296/J296," ")</f>
        <v/>
      </c>
      <c r="L296" s="354">
        <f>G296+D296</f>
        <v/>
      </c>
      <c r="M296" s="8" t="n"/>
      <c r="N296" s="344">
        <f>D296+G296</f>
        <v/>
      </c>
    </row>
    <row r="297" ht="14.45" customHeight="1">
      <c r="A297" s="36" t="inlineStr">
        <is>
          <t>JUNIOR SCIENTISTS (or equivalent in the private sector)</t>
        </is>
      </c>
      <c r="B297" s="342">
        <f>B10+B51+B92+B133+B174+B215+B256</f>
        <v/>
      </c>
      <c r="C297" s="351" t="n"/>
      <c r="D297" s="352">
        <f>D10+D51+D92+D133+D174+D215+D256</f>
        <v/>
      </c>
      <c r="E297" s="343">
        <f>E10+E51+E92+E133+E174+E215+E256</f>
        <v/>
      </c>
      <c r="F297" s="353" t="n"/>
      <c r="G297" s="354">
        <f>G10+G51+G92+G133+G174+G215+G256</f>
        <v/>
      </c>
      <c r="H297" s="8" t="n"/>
      <c r="I297" s="344">
        <f>D297+G297</f>
        <v/>
      </c>
      <c r="J297" s="343">
        <f>E297+B297</f>
        <v/>
      </c>
      <c r="K297" s="354">
        <f>IF(J297&gt;0,L297/J297," ")</f>
        <v/>
      </c>
      <c r="L297" s="354">
        <f>G297+D297</f>
        <v/>
      </c>
      <c r="M297" s="8" t="n"/>
      <c r="N297" s="344">
        <f>D297+G297</f>
        <v/>
      </c>
    </row>
    <row r="298" ht="14.45" customHeight="1">
      <c r="A298" s="36" t="inlineStr">
        <is>
          <t>TECHNICAL PERSONNEL (or equivalent in the private sector)</t>
        </is>
      </c>
      <c r="B298" s="342">
        <f>B11+B52+B93+B134+B175+B216+B257</f>
        <v/>
      </c>
      <c r="C298" s="351" t="n"/>
      <c r="D298" s="352">
        <f>D11+D52+D93+D134+D175+D216+D257</f>
        <v/>
      </c>
      <c r="E298" s="343">
        <f>E11+E52+E93+E134+E175+E216+E257</f>
        <v/>
      </c>
      <c r="F298" s="353" t="n"/>
      <c r="G298" s="354">
        <f>G11+G52+G93+G134+G175+G216+G257</f>
        <v/>
      </c>
      <c r="H298" s="8" t="n"/>
      <c r="I298" s="344">
        <f>D298+G298</f>
        <v/>
      </c>
      <c r="J298" s="343">
        <f>E298+B298</f>
        <v/>
      </c>
      <c r="K298" s="354">
        <f>IF(J298&gt;0,L298/J298," ")</f>
        <v/>
      </c>
      <c r="L298" s="354">
        <f>G298+D298</f>
        <v/>
      </c>
      <c r="M298" s="8" t="n"/>
      <c r="N298" s="344">
        <f>D298+G298</f>
        <v/>
      </c>
    </row>
    <row r="299" ht="14.45" customHeight="1">
      <c r="A299" s="36" t="inlineStr">
        <is>
          <t>ADMINISTRATIVE PERSONNEL (or equivalent in the private sector)</t>
        </is>
      </c>
      <c r="B299" s="342">
        <f>B12+B53+B94+B135+B176+B217+B258</f>
        <v/>
      </c>
      <c r="C299" s="351" t="n"/>
      <c r="D299" s="352">
        <f>D12+D53+D94+D135+D176+D217+D258</f>
        <v/>
      </c>
      <c r="E299" s="343">
        <f>E12+E53+E94+E135+E176+E217+E258</f>
        <v/>
      </c>
      <c r="F299" s="353" t="n"/>
      <c r="G299" s="354">
        <f>G12+G53+G94+G135+G176+G217+G258</f>
        <v/>
      </c>
      <c r="H299" s="8" t="n"/>
      <c r="I299" s="344">
        <f>D299+G299</f>
        <v/>
      </c>
      <c r="J299" s="343">
        <f>E299+B299</f>
        <v/>
      </c>
      <c r="K299" s="354">
        <f>IF(J299&gt;0,L299/J299," ")</f>
        <v/>
      </c>
      <c r="L299" s="354">
        <f>G299+D299</f>
        <v/>
      </c>
      <c r="M299" s="8" t="n"/>
      <c r="N299" s="344">
        <f>D299+G299</f>
        <v/>
      </c>
    </row>
    <row r="300" ht="14.45" customHeight="1">
      <c r="A300" s="36" t="inlineStr">
        <is>
          <t>OTHERS</t>
        </is>
      </c>
      <c r="B300" s="342">
        <f>B13+B54+B95+B136+B177+B218+B259</f>
        <v/>
      </c>
      <c r="C300" s="351" t="n"/>
      <c r="D300" s="352">
        <f>D13+D54+D95+D136+D177+D218+D259</f>
        <v/>
      </c>
      <c r="E300" s="343">
        <f>E13+E54+E95+E136+E177+E218+E259</f>
        <v/>
      </c>
      <c r="F300" s="353" t="n"/>
      <c r="G300" s="354">
        <f>G13+G54+G95+G136+G177+G218+G259</f>
        <v/>
      </c>
      <c r="H300" s="8" t="n"/>
      <c r="I300" s="344">
        <f>D300+G300</f>
        <v/>
      </c>
      <c r="J300" s="343">
        <f>E300+B300</f>
        <v/>
      </c>
      <c r="K300" s="354">
        <f>IF(J300&gt;0,L300/J300," ")</f>
        <v/>
      </c>
      <c r="L300" s="354">
        <f>G300+D300</f>
        <v/>
      </c>
      <c r="M300" s="8" t="n"/>
      <c r="N300" s="344">
        <f>D300+G300</f>
        <v/>
      </c>
    </row>
    <row r="301" ht="14.45" customHeight="1">
      <c r="A301" s="7" t="inlineStr">
        <is>
          <t>A.2 Natural Persons under direct contract</t>
        </is>
      </c>
      <c r="B301" s="342">
        <f>B14+B55+B96+B137+B178+B219+B260</f>
        <v/>
      </c>
      <c r="C301" s="351" t="n"/>
      <c r="D301" s="352">
        <f>D14+D55+D96+D137+D178+D219+D260</f>
        <v/>
      </c>
      <c r="E301" s="343">
        <f>E14+E55+E96+E137+E178+E219+E260</f>
        <v/>
      </c>
      <c r="F301" s="353" t="n"/>
      <c r="G301" s="354">
        <f>G14+G55+G96+G137+G178+G219+G260</f>
        <v/>
      </c>
      <c r="H301" s="8" t="n"/>
      <c r="I301" s="344">
        <f>D301+G301</f>
        <v/>
      </c>
      <c r="J301" s="343">
        <f>E301+B301</f>
        <v/>
      </c>
      <c r="K301" s="354">
        <f>IF(J301&gt;0,L301/J301," ")</f>
        <v/>
      </c>
      <c r="L301" s="354">
        <f>G301+D301</f>
        <v/>
      </c>
      <c r="M301" s="8" t="n"/>
      <c r="N301" s="344">
        <f>D301+G301</f>
        <v/>
      </c>
    </row>
    <row r="302" ht="14.45" customHeight="1">
      <c r="A302" s="7" t="inlineStr">
        <is>
          <t>A.3 Seconded Persons</t>
        </is>
      </c>
      <c r="B302" s="342">
        <f>B15+B56+B97+B138+B179+B220+B261</f>
        <v/>
      </c>
      <c r="C302" s="351" t="n"/>
      <c r="D302" s="352">
        <f>D15+D56+D97+D138+D179+D220+D261</f>
        <v/>
      </c>
      <c r="E302" s="343">
        <f>E15+E56+E97+E138+E179+E220+E261</f>
        <v/>
      </c>
      <c r="F302" s="353" t="n"/>
      <c r="G302" s="354">
        <f>G15+G56+G97+G138+G179+G220+G261</f>
        <v/>
      </c>
      <c r="H302" s="8" t="n"/>
      <c r="I302" s="344">
        <f>D302+G302</f>
        <v/>
      </c>
      <c r="J302" s="343">
        <f>E302+B302</f>
        <v/>
      </c>
      <c r="K302" s="354">
        <f>IF(J302&gt;0,L302/J302," ")</f>
        <v/>
      </c>
      <c r="L302" s="354">
        <f>G302+D302</f>
        <v/>
      </c>
      <c r="M302" s="8" t="n"/>
      <c r="N302" s="344">
        <f>D302+G302</f>
        <v/>
      </c>
    </row>
    <row r="303" ht="14.45" customHeight="1">
      <c r="A303" s="7" t="inlineStr">
        <is>
          <t>A.4 SME owners and natural person beneficiaries</t>
        </is>
      </c>
      <c r="B303" s="342">
        <f>B16+B57+B98+B139+B180+B221+B262</f>
        <v/>
      </c>
      <c r="C303" s="351" t="n"/>
      <c r="D303" s="352">
        <f>D16+D57+D98+D139+D180+D221+D262</f>
        <v/>
      </c>
      <c r="E303" s="343">
        <f>E16+E57+E98+E139+E180+E221+E262</f>
        <v/>
      </c>
      <c r="F303" s="353" t="n"/>
      <c r="G303" s="354">
        <f>G16+G57+G98+G139+G180+G221+G262</f>
        <v/>
      </c>
      <c r="H303" s="8" t="n"/>
      <c r="I303" s="344">
        <f>D303+G303</f>
        <v/>
      </c>
      <c r="J303" s="343">
        <f>E303+B303</f>
        <v/>
      </c>
      <c r="K303" s="354">
        <f>IF(J303&gt;0,L303/J303," ")</f>
        <v/>
      </c>
      <c r="L303" s="354">
        <f>G303+D303</f>
        <v/>
      </c>
      <c r="M303" s="8" t="n"/>
      <c r="N303" s="344">
        <f>D303+G303</f>
        <v/>
      </c>
    </row>
    <row r="304" ht="14.45" customHeight="1">
      <c r="A304" s="11" t="inlineStr">
        <is>
          <t>B. DIRECT SUBCONTRACTING COSTS</t>
        </is>
      </c>
      <c r="B304" s="345" t="n"/>
      <c r="C304" s="340" t="n"/>
      <c r="D304" s="341" t="n"/>
      <c r="E304" s="345" t="n"/>
      <c r="F304" s="340" t="n"/>
      <c r="G304" s="341" t="n"/>
      <c r="H304" s="8" t="n"/>
      <c r="I304" s="341" t="n"/>
      <c r="J304" s="346" t="n"/>
      <c r="K304" s="341" t="n"/>
      <c r="L304" s="341" t="n"/>
      <c r="M304" s="8" t="n"/>
      <c r="N304" s="341" t="n"/>
    </row>
    <row r="305" ht="14.45" customHeight="1">
      <c r="A305" s="9" t="n"/>
      <c r="B305" s="342">
        <f>B18+B59+B100+B141+B182+B223+B264</f>
        <v/>
      </c>
      <c r="C305" s="351" t="n"/>
      <c r="D305" s="352">
        <f>D18+D59+D100+D141+D182+D223+D264</f>
        <v/>
      </c>
      <c r="E305" s="343">
        <f>E18+E59+E100+E141+E182+E223+E264</f>
        <v/>
      </c>
      <c r="F305" s="353" t="n"/>
      <c r="G305" s="354">
        <f>G18+G59+G100+G141+G182+G223+G264</f>
        <v/>
      </c>
      <c r="H305" s="8" t="n"/>
      <c r="I305" s="344">
        <f>D305+G305</f>
        <v/>
      </c>
      <c r="J305" s="343">
        <f>E305+B305</f>
        <v/>
      </c>
      <c r="K305" s="354">
        <f>IF(J305&gt;0,L305/J305," ")</f>
        <v/>
      </c>
      <c r="L305" s="354">
        <f>G305+D305</f>
        <v/>
      </c>
      <c r="M305" s="8" t="n"/>
      <c r="N305" s="344">
        <f>D305+G305</f>
        <v/>
      </c>
    </row>
    <row r="306" ht="14.45" customHeight="1">
      <c r="A306" s="11" t="inlineStr">
        <is>
          <t>C. DIRECT PURCHASE COSTS</t>
        </is>
      </c>
      <c r="B306" s="345" t="n"/>
      <c r="C306" s="340" t="n"/>
      <c r="D306" s="341" t="n"/>
      <c r="E306" s="345" t="n"/>
      <c r="F306" s="340" t="n"/>
      <c r="G306" s="341" t="n"/>
      <c r="H306" s="8" t="n"/>
      <c r="I306" s="341" t="n"/>
      <c r="J306" s="346" t="n"/>
      <c r="K306" s="341" t="n"/>
      <c r="L306" s="341" t="n"/>
      <c r="M306" s="8" t="n"/>
      <c r="N306" s="341" t="n"/>
    </row>
    <row r="307" ht="14.45" customHeight="1">
      <c r="A307" s="39" t="inlineStr">
        <is>
          <t>C.1 Travel and subsistence</t>
        </is>
      </c>
      <c r="B307" s="342">
        <f>B20+B61+B102+B143+B184+B225+B266</f>
        <v/>
      </c>
      <c r="C307" s="351" t="n"/>
      <c r="D307" s="352">
        <f>D20+D61+D102+D143+D184+D225+D266</f>
        <v/>
      </c>
      <c r="E307" s="343">
        <f>E20+E61+E102+E143+E184+E225+E266</f>
        <v/>
      </c>
      <c r="F307" s="353" t="n"/>
      <c r="G307" s="354">
        <f>G20+G61+G102+G143+G184+G225+G266</f>
        <v/>
      </c>
      <c r="H307" s="8" t="n"/>
      <c r="I307" s="344">
        <f>D307+G307</f>
        <v/>
      </c>
      <c r="J307" s="343">
        <f>E307+B307</f>
        <v/>
      </c>
      <c r="K307" s="354">
        <f>IF(J307&gt;0,L307/J307," ")</f>
        <v/>
      </c>
      <c r="L307" s="354">
        <f>G307+D307</f>
        <v/>
      </c>
      <c r="M307" s="8" t="n"/>
      <c r="N307" s="344">
        <f>D307+G307</f>
        <v/>
      </c>
    </row>
    <row r="308" ht="14.45" customHeight="1">
      <c r="A308" s="7" t="inlineStr">
        <is>
          <t>C.2 Equipment (complete 'Depreciation cost' sheet)</t>
        </is>
      </c>
      <c r="B308" s="347" t="n"/>
      <c r="C308" s="89" t="n"/>
      <c r="D308" s="89" t="n"/>
      <c r="E308" s="347" t="n"/>
      <c r="F308" s="89" t="n"/>
      <c r="G308" s="89" t="n"/>
      <c r="H308" s="8" t="n"/>
      <c r="I308" s="89" t="n"/>
      <c r="J308" s="347" t="n"/>
      <c r="K308" s="89" t="n"/>
      <c r="L308" s="89" t="n"/>
      <c r="M308" s="8" t="n"/>
      <c r="N308" s="89" t="n"/>
    </row>
    <row r="309" ht="14.45" customHeight="1">
      <c r="A309" s="37" t="inlineStr">
        <is>
          <t>Equipment</t>
        </is>
      </c>
      <c r="B309" s="342">
        <f>B22+B63+B104+B145+B186+B227+B268</f>
        <v/>
      </c>
      <c r="C309" s="351" t="n"/>
      <c r="D309" s="352">
        <f>D22+D63+D104+D145+D186+D227+D268</f>
        <v/>
      </c>
      <c r="E309" s="343">
        <f>E22+E63+E104+E145+E186+E227+E268</f>
        <v/>
      </c>
      <c r="F309" s="353" t="n"/>
      <c r="G309" s="354">
        <f>G22+G63+G104+G145+G186+G227+G268</f>
        <v/>
      </c>
      <c r="H309" s="8" t="n"/>
      <c r="I309" s="344">
        <f>D309+G309</f>
        <v/>
      </c>
      <c r="J309" s="343">
        <f>E309+B309</f>
        <v/>
      </c>
      <c r="K309" s="354">
        <f>IF(J309&gt;0,L309/J309," ")</f>
        <v/>
      </c>
      <c r="L309" s="354">
        <f>G309+D309</f>
        <v/>
      </c>
      <c r="M309" s="8" t="n"/>
      <c r="N309" s="344">
        <f>D309+G309</f>
        <v/>
      </c>
    </row>
    <row r="310" ht="14.45" customHeight="1">
      <c r="A310" s="37" t="inlineStr">
        <is>
          <t>Infrastructure</t>
        </is>
      </c>
      <c r="B310" s="342">
        <f>B23+B64+B105+B146+B187+B228+B269</f>
        <v/>
      </c>
      <c r="C310" s="351" t="n"/>
      <c r="D310" s="352">
        <f>D23+D64+D105+D146+D187+D228+D269</f>
        <v/>
      </c>
      <c r="E310" s="343">
        <f>E23+E64+E105+E146+E187+E228+E269</f>
        <v/>
      </c>
      <c r="F310" s="353" t="n"/>
      <c r="G310" s="354">
        <f>G23+G64+G105+G146+G187+G228+G269</f>
        <v/>
      </c>
      <c r="H310" s="8" t="n"/>
      <c r="I310" s="344">
        <f>D310+G310</f>
        <v/>
      </c>
      <c r="J310" s="343">
        <f>E310+B310</f>
        <v/>
      </c>
      <c r="K310" s="354">
        <f>IF(J310&gt;0,L310/J310," ")</f>
        <v/>
      </c>
      <c r="L310" s="354">
        <f>G310+D310</f>
        <v/>
      </c>
      <c r="M310" s="8" t="n"/>
      <c r="N310" s="344">
        <f>D310+G310</f>
        <v/>
      </c>
    </row>
    <row r="311" ht="14.45" customHeight="1">
      <c r="A311" s="37" t="inlineStr">
        <is>
          <t>Other assets</t>
        </is>
      </c>
      <c r="B311" s="342">
        <f>B24+B65+B106+B147+B188+B229+B270</f>
        <v/>
      </c>
      <c r="C311" s="351" t="n"/>
      <c r="D311" s="352">
        <f>D24+D65+D106+D147+D188+D229+D270</f>
        <v/>
      </c>
      <c r="E311" s="343">
        <f>E24+E65+E106+E147+E188+E229+E270</f>
        <v/>
      </c>
      <c r="F311" s="353" t="n"/>
      <c r="G311" s="354">
        <f>G24+G65+G106+G147+G188+G229+G270</f>
        <v/>
      </c>
      <c r="H311" s="8" t="n"/>
      <c r="I311" s="344">
        <f>D311+G311</f>
        <v/>
      </c>
      <c r="J311" s="343">
        <f>E311+B311</f>
        <v/>
      </c>
      <c r="K311" s="354">
        <f>IF(J311&gt;0,L311/J311," ")</f>
        <v/>
      </c>
      <c r="L311" s="354">
        <f>G311+D311</f>
        <v/>
      </c>
      <c r="M311" s="8" t="n"/>
      <c r="N311" s="344">
        <f>D311+G311</f>
        <v/>
      </c>
    </row>
    <row r="312" ht="14.45" customHeight="1">
      <c r="A312" s="7" t="inlineStr">
        <is>
          <t>C.3 Other goods, works and services</t>
        </is>
      </c>
      <c r="B312" s="347" t="n"/>
      <c r="C312" s="89" t="n"/>
      <c r="D312" s="89" t="n"/>
      <c r="E312" s="347" t="n"/>
      <c r="F312" s="89" t="n"/>
      <c r="G312" s="89" t="n"/>
      <c r="H312" s="8" t="n"/>
      <c r="I312" s="89" t="n"/>
      <c r="J312" s="347" t="n"/>
      <c r="K312" s="89" t="n"/>
      <c r="L312" s="89" t="n"/>
      <c r="M312" s="8" t="n"/>
      <c r="N312" s="89" t="n"/>
    </row>
    <row r="313" ht="14.45" customHeight="1">
      <c r="A313" s="37" t="inlineStr">
        <is>
          <t>Consumables</t>
        </is>
      </c>
      <c r="B313" s="342">
        <f>B26+B67+B108+B149+B190+B231+B272</f>
        <v/>
      </c>
      <c r="C313" s="351" t="n"/>
      <c r="D313" s="352">
        <f>D26+D67+D108+D149+D190+D231+D272</f>
        <v/>
      </c>
      <c r="E313" s="343">
        <f>E26+E67+E108+E149+E190+E231+E272</f>
        <v/>
      </c>
      <c r="F313" s="353" t="n"/>
      <c r="G313" s="354">
        <f>G26+G67+G108+G149+G190+G231+G272</f>
        <v/>
      </c>
      <c r="H313" s="8" t="n"/>
      <c r="I313" s="344">
        <f>D313+G313</f>
        <v/>
      </c>
      <c r="J313" s="343">
        <f>E313+B313</f>
        <v/>
      </c>
      <c r="K313" s="354">
        <f>IF(J313&gt;0,L313/J313," ")</f>
        <v/>
      </c>
      <c r="L313" s="354">
        <f>G313+D313</f>
        <v/>
      </c>
      <c r="M313" s="8" t="n"/>
      <c r="N313" s="344">
        <f>D313+G313</f>
        <v/>
      </c>
    </row>
    <row r="314" ht="14.45" customHeight="1">
      <c r="A314" s="37" t="inlineStr">
        <is>
          <t>Services for meetings, seminars</t>
        </is>
      </c>
      <c r="B314" s="342">
        <f>B27+B68+B109+B150+B191+B232+B273</f>
        <v/>
      </c>
      <c r="C314" s="351" t="n"/>
      <c r="D314" s="352">
        <f>D27+D68+D109+D150+D191+D232+D273</f>
        <v/>
      </c>
      <c r="E314" s="343">
        <f>E27+E68+E109+E150+E191+E232+E273</f>
        <v/>
      </c>
      <c r="F314" s="353" t="n"/>
      <c r="G314" s="354">
        <f>G27+G68+G109+G150+G191+G232+G273</f>
        <v/>
      </c>
      <c r="H314" s="8" t="n"/>
      <c r="I314" s="344">
        <f>D314+G314</f>
        <v/>
      </c>
      <c r="J314" s="343">
        <f>E314+B314</f>
        <v/>
      </c>
      <c r="K314" s="354">
        <f>IF(J314&gt;0,L314/J314," ")</f>
        <v/>
      </c>
      <c r="L314" s="354">
        <f>G314+D314</f>
        <v/>
      </c>
      <c r="M314" s="8" t="n"/>
      <c r="N314" s="344">
        <f>D314+G314</f>
        <v/>
      </c>
    </row>
    <row r="315" ht="14.45" customHeight="1">
      <c r="A315" s="37" t="inlineStr">
        <is>
          <t>Services for dissemination activities (including website)</t>
        </is>
      </c>
      <c r="B315" s="342">
        <f>B28+B69+B110+B151+B192+B233+B274</f>
        <v/>
      </c>
      <c r="C315" s="351" t="n"/>
      <c r="D315" s="352">
        <f>D28+D69+D110+D151+D192+D233+D274</f>
        <v/>
      </c>
      <c r="E315" s="343">
        <f>E28+E69+E110+E151+E192+E233+E274</f>
        <v/>
      </c>
      <c r="F315" s="353" t="n"/>
      <c r="G315" s="354">
        <f>G28+G69+G110+G151+G192+G233+G274</f>
        <v/>
      </c>
      <c r="H315" s="8" t="n"/>
      <c r="I315" s="344">
        <f>D315+G315</f>
        <v/>
      </c>
      <c r="J315" s="343">
        <f>E315+B315</f>
        <v/>
      </c>
      <c r="K315" s="354">
        <f>IF(J315&gt;0,L315/J315," ")</f>
        <v/>
      </c>
      <c r="L315" s="354">
        <f>G315+D315</f>
        <v/>
      </c>
      <c r="M315" s="8" t="n"/>
      <c r="N315" s="344">
        <f>D315+G315</f>
        <v/>
      </c>
    </row>
    <row r="316" ht="14.45" customHeight="1">
      <c r="A316" s="37" t="inlineStr">
        <is>
          <t>Publication fees</t>
        </is>
      </c>
      <c r="B316" s="342">
        <f>B29+B70+B111+B152+B193+B234+B275</f>
        <v/>
      </c>
      <c r="C316" s="351" t="n"/>
      <c r="D316" s="352">
        <f>D29+D70+D111+D152+D193+D234+D275</f>
        <v/>
      </c>
      <c r="E316" s="343">
        <f>E29+E70+E111+E152+E193+E234+E275</f>
        <v/>
      </c>
      <c r="F316" s="353" t="n"/>
      <c r="G316" s="354">
        <f>G29+G70+G111+G152+G193+G234+G275</f>
        <v/>
      </c>
      <c r="H316" s="8" t="n"/>
      <c r="I316" s="344">
        <f>D316+G316</f>
        <v/>
      </c>
      <c r="J316" s="343">
        <f>E316+B316</f>
        <v/>
      </c>
      <c r="K316" s="354">
        <f>IF(J316&gt;0,L316/J316," ")</f>
        <v/>
      </c>
      <c r="L316" s="354">
        <f>G316+D316</f>
        <v/>
      </c>
      <c r="M316" s="8" t="n"/>
      <c r="N316" s="344">
        <f>D316+G316</f>
        <v/>
      </c>
    </row>
    <row r="317" ht="14.45" customHeight="1">
      <c r="A317" s="37" t="inlineStr">
        <is>
          <t>Other (shipment,insurance, translation, etc.)</t>
        </is>
      </c>
      <c r="B317" s="342">
        <f>B30+B71+B112+B153+B194+B235+B276</f>
        <v/>
      </c>
      <c r="C317" s="351" t="n"/>
      <c r="D317" s="352">
        <f>D30+D71+D112+D153+D194+D235+D276</f>
        <v/>
      </c>
      <c r="E317" s="343">
        <f>E30+E71+E112+E153+E194+E235+E276</f>
        <v/>
      </c>
      <c r="F317" s="353" t="n"/>
      <c r="G317" s="354">
        <f>G30+G71+G112+G153+G194+G235+G276</f>
        <v/>
      </c>
      <c r="H317" s="8" t="n"/>
      <c r="I317" s="344">
        <f>D317+G317</f>
        <v/>
      </c>
      <c r="J317" s="343">
        <f>E317+B317</f>
        <v/>
      </c>
      <c r="K317" s="354">
        <f>IF(J317&gt;0,L317/J317," ")</f>
        <v/>
      </c>
      <c r="L317" s="354">
        <f>G317+D317</f>
        <v/>
      </c>
      <c r="M317" s="8" t="n"/>
      <c r="N317" s="344">
        <f>D317+G317</f>
        <v/>
      </c>
    </row>
    <row r="318" ht="14.45" customHeight="1">
      <c r="A318" s="6" t="inlineStr">
        <is>
          <t>D. OTHER COST CATEGORIES</t>
        </is>
      </c>
      <c r="B318" s="345" t="n"/>
      <c r="C318" s="340" t="n"/>
      <c r="D318" s="341" t="n"/>
      <c r="E318" s="345" t="n"/>
      <c r="F318" s="340" t="n"/>
      <c r="G318" s="341" t="n"/>
      <c r="H318" s="8" t="n"/>
      <c r="I318" s="341" t="n"/>
      <c r="J318" s="346" t="n"/>
      <c r="K318" s="341" t="n"/>
      <c r="L318" s="341" t="n"/>
      <c r="M318" s="8" t="n"/>
      <c r="N318" s="341" t="n"/>
    </row>
    <row r="319" ht="14.45" customHeight="1">
      <c r="A319" s="40" t="inlineStr">
        <is>
          <t>D.1 Financial support to third parties (if applicable in the topic specific conditions)</t>
        </is>
      </c>
      <c r="B319" s="342">
        <f>B32+B73+B114+B155+B196+B237+B278</f>
        <v/>
      </c>
      <c r="C319" s="351" t="n"/>
      <c r="D319" s="352">
        <f>D32+D73+D114+D155+D196+D237+D278</f>
        <v/>
      </c>
      <c r="E319" s="343">
        <f>E32+E73+E114+E155+E196+E237+E278</f>
        <v/>
      </c>
      <c r="F319" s="353" t="n"/>
      <c r="G319" s="354">
        <f>G32+G73+G114+G155+G196+G237+G278</f>
        <v/>
      </c>
      <c r="H319" s="8" t="n"/>
      <c r="I319" s="344">
        <f>D319+G319</f>
        <v/>
      </c>
      <c r="J319" s="343">
        <f>E319+B319</f>
        <v/>
      </c>
      <c r="K319" s="354">
        <f>IF(J319&gt;0,L319/J319," ")</f>
        <v/>
      </c>
      <c r="L319" s="354">
        <f>G319+D319</f>
        <v/>
      </c>
      <c r="M319" s="8" t="n"/>
      <c r="N319" s="344">
        <f>D319+G319</f>
        <v/>
      </c>
    </row>
    <row r="320" ht="14.45" customHeight="1">
      <c r="A320" s="39" t="inlineStr">
        <is>
          <t>D.2 Internally invoiced goods and services</t>
        </is>
      </c>
      <c r="B320" s="342">
        <f>B33+B74+B115+B156+B197+B238+B279</f>
        <v/>
      </c>
      <c r="C320" s="351" t="n"/>
      <c r="D320" s="352">
        <f>D33+D74+D115+D156+D197+D238+D279</f>
        <v/>
      </c>
      <c r="E320" s="343">
        <f>E33+E74+E115+E156+E197+E238+E279</f>
        <v/>
      </c>
      <c r="F320" s="353" t="n"/>
      <c r="G320" s="354">
        <f>G33+G74+G115+G156+G197+G238+G279</f>
        <v/>
      </c>
      <c r="H320" s="8" t="n"/>
      <c r="I320" s="344">
        <f>D320+G320</f>
        <v/>
      </c>
      <c r="J320" s="343">
        <f>E320+B320</f>
        <v/>
      </c>
      <c r="K320" s="354">
        <f>IF(J320&gt;0,L320/J320," ")</f>
        <v/>
      </c>
      <c r="L320" s="354">
        <f>G320+D320</f>
        <v/>
      </c>
      <c r="M320" s="8" t="n"/>
      <c r="N320" s="344">
        <f>D320+G320</f>
        <v/>
      </c>
    </row>
    <row r="321" ht="14.45" customHeight="1">
      <c r="A321" s="39" t="inlineStr">
        <is>
          <t>D.3 Transnational access to research infrastructure unit costs (if required in the topic specific conditions)</t>
        </is>
      </c>
      <c r="B321" s="342">
        <f>B34+B75+B116+B157+B198+B239+B280</f>
        <v/>
      </c>
      <c r="C321" s="351" t="n"/>
      <c r="D321" s="352">
        <f>D34+D75+D116+D157+D198+D239+D280</f>
        <v/>
      </c>
      <c r="E321" s="343">
        <f>E34+E75+E116+E157+E198+E239+E280</f>
        <v/>
      </c>
      <c r="F321" s="353" t="n"/>
      <c r="G321" s="354">
        <f>G34+G75+G116+G157+G198+G239+G280</f>
        <v/>
      </c>
      <c r="H321" s="8" t="n"/>
      <c r="I321" s="344">
        <f>D321+G321</f>
        <v/>
      </c>
      <c r="J321" s="343">
        <f>E321+B321</f>
        <v/>
      </c>
      <c r="K321" s="354">
        <f>IF(J321&gt;0,L321/J321," ")</f>
        <v/>
      </c>
      <c r="L321" s="354">
        <f>G321+D321</f>
        <v/>
      </c>
      <c r="M321" s="8" t="n"/>
      <c r="N321" s="344">
        <f>D321+G321</f>
        <v/>
      </c>
    </row>
    <row r="322" ht="14.45" customHeight="1">
      <c r="A322" s="39" t="inlineStr">
        <is>
          <t>D.4 Virtual access to research infrastructure unit costs (if required in the topic specific conditions)</t>
        </is>
      </c>
      <c r="B322" s="342">
        <f>B35+B76+B117+B158+B199+B240+B281</f>
        <v/>
      </c>
      <c r="C322" s="351" t="n"/>
      <c r="D322" s="352">
        <f>D35+D76+D117+D158+D199+D240+D281</f>
        <v/>
      </c>
      <c r="E322" s="343">
        <f>E35+E76+E117+E158+E199+E240+E281</f>
        <v/>
      </c>
      <c r="F322" s="353" t="n"/>
      <c r="G322" s="354">
        <f>G35+G76+G117+G158+G199+G240+G281</f>
        <v/>
      </c>
      <c r="H322" s="8" t="n"/>
      <c r="I322" s="344">
        <f>D322+G322</f>
        <v/>
      </c>
      <c r="J322" s="343">
        <f>E322+B322</f>
        <v/>
      </c>
      <c r="K322" s="354">
        <f>IF(J322&gt;0,L322/J322," ")</f>
        <v/>
      </c>
      <c r="L322" s="354">
        <f>G322+D322</f>
        <v/>
      </c>
      <c r="M322" s="8" t="n"/>
      <c r="N322" s="344">
        <f>D322+G322</f>
        <v/>
      </c>
    </row>
    <row r="323" ht="14.45" customHeight="1">
      <c r="A323" s="39" t="inlineStr">
        <is>
          <t>D.5 PCP/PPI procurement costs (if mentioned as eligible in the topic specific conditions)</t>
        </is>
      </c>
      <c r="B323" s="342">
        <f>B36+B77+B118+B159+B200+B241+B282</f>
        <v/>
      </c>
      <c r="C323" s="351" t="n"/>
      <c r="D323" s="352">
        <f>D36+D77+D118+D159+D200+D241+D282</f>
        <v/>
      </c>
      <c r="E323" s="343">
        <f>E36+E77+E118+E159+E200+E241+E282</f>
        <v/>
      </c>
      <c r="F323" s="353" t="n"/>
      <c r="G323" s="354">
        <f>G36+G77+G118+G159+G200+G241+G282</f>
        <v/>
      </c>
      <c r="H323" s="8" t="n"/>
      <c r="I323" s="344">
        <f>D323+G323</f>
        <v/>
      </c>
      <c r="J323" s="343">
        <f>E323+B323</f>
        <v/>
      </c>
      <c r="K323" s="354">
        <f>IF(J323&gt;0,L323/J323," ")</f>
        <v/>
      </c>
      <c r="L323" s="354">
        <f>G323+D323</f>
        <v/>
      </c>
      <c r="M323" s="8" t="n"/>
      <c r="N323" s="344">
        <f>D323+G323</f>
        <v/>
      </c>
    </row>
    <row r="324" ht="14.45" customHeight="1">
      <c r="A324" s="16" t="n"/>
      <c r="B324" s="347" t="n"/>
      <c r="C324" s="89" t="n"/>
      <c r="D324" s="89" t="n"/>
      <c r="E324" s="347" t="n"/>
      <c r="F324" s="89" t="n"/>
      <c r="G324" s="89" t="n"/>
      <c r="H324" s="8" t="n"/>
      <c r="I324" s="89" t="n"/>
      <c r="J324" s="347" t="n"/>
      <c r="K324" s="89" t="n"/>
      <c r="L324" s="89" t="n"/>
      <c r="M324" s="8" t="n"/>
      <c r="N324" s="89" t="n"/>
    </row>
    <row r="325" ht="14.45" customHeight="1">
      <c r="A325" s="41" t="inlineStr">
        <is>
          <t>TOTAL DIRECT PERSONNEL COSTS AND PURCHASE COSTS (A+C)</t>
        </is>
      </c>
      <c r="B325" s="348" t="n"/>
      <c r="C325" s="214" t="n"/>
      <c r="D325" s="349">
        <f>D38+D79+D120+D161+D202+D243+D284</f>
        <v/>
      </c>
      <c r="E325" s="348" t="n"/>
      <c r="F325" s="214" t="n"/>
      <c r="G325" s="349">
        <f>G38+G79+G120+G161+G202+G243+G284</f>
        <v/>
      </c>
      <c r="H325" s="8" t="n"/>
      <c r="I325" s="349">
        <f>SUM(I296:I303,I307:I317)</f>
        <v/>
      </c>
      <c r="J325" s="348" t="n"/>
      <c r="K325" s="349" t="n"/>
      <c r="L325" s="349">
        <f>SUM(L296:L303,L307:L317)</f>
        <v/>
      </c>
      <c r="M325" s="8" t="n"/>
      <c r="N325" s="349">
        <f>SUM(N296:N303,N307:N317)</f>
        <v/>
      </c>
    </row>
    <row r="326" ht="14.45" customHeight="1">
      <c r="A326" s="41" t="inlineStr">
        <is>
          <t>TOTAL DIRECT COSTS  (A+B+C+D)</t>
        </is>
      </c>
      <c r="B326" s="348" t="n"/>
      <c r="C326" s="214" t="n"/>
      <c r="D326" s="349">
        <f>D39+D80+D121+D162+D203+D244+D285</f>
        <v/>
      </c>
      <c r="E326" s="348" t="n"/>
      <c r="F326" s="214" t="n"/>
      <c r="G326" s="349">
        <f>G39+G80+G121+G162+G203+G244+G285</f>
        <v/>
      </c>
      <c r="H326" s="8" t="n"/>
      <c r="I326" s="349">
        <f>SUM(I296:I323)</f>
        <v/>
      </c>
      <c r="J326" s="348" t="n"/>
      <c r="K326" s="349" t="n"/>
      <c r="L326" s="349">
        <f>SUM(L296:L323)</f>
        <v/>
      </c>
      <c r="M326" s="8" t="n"/>
      <c r="N326" s="349">
        <f>SUM(N296:N323)</f>
        <v/>
      </c>
    </row>
    <row r="327" ht="6.95" customHeight="1">
      <c r="A327" s="8" t="n"/>
      <c r="B327" s="350" t="n"/>
      <c r="C327" s="8" t="n"/>
      <c r="D327" s="8" t="n"/>
      <c r="E327" s="350" t="n"/>
      <c r="F327" s="8" t="n"/>
      <c r="G327" s="8" t="n"/>
      <c r="H327" s="8" t="n"/>
      <c r="I327" s="8" t="n"/>
      <c r="J327" s="350" t="n"/>
      <c r="K327" s="8" t="n"/>
      <c r="L327" s="8" t="n"/>
      <c r="M327" s="8" t="n"/>
      <c r="N327" s="8" t="n"/>
    </row>
    <row r="328" ht="14.45" customHeight="1">
      <c r="A328" s="11" t="inlineStr">
        <is>
          <t>E. INDIRECT COSTS (25% * (A+C))</t>
        </is>
      </c>
      <c r="B328" s="348" t="n"/>
      <c r="C328" s="214" t="n"/>
      <c r="D328" s="349">
        <f>D41+D82+D123+D164+D205+D246+D287</f>
        <v/>
      </c>
      <c r="E328" s="348" t="n"/>
      <c r="F328" s="214" t="n"/>
      <c r="G328" s="349">
        <f>G41+G82+G123+G164+G205+G246+G287</f>
        <v/>
      </c>
      <c r="H328" s="8" t="n"/>
      <c r="I328" s="349">
        <f>+I325*0.25</f>
        <v/>
      </c>
      <c r="J328" s="348" t="n"/>
      <c r="K328" s="349" t="n"/>
      <c r="L328" s="349">
        <f>+L325*0.25</f>
        <v/>
      </c>
      <c r="M328" s="8" t="n"/>
      <c r="N328" s="349">
        <f>+N325*0.25</f>
        <v/>
      </c>
    </row>
    <row r="329" ht="6.95" customHeight="1">
      <c r="A329" s="8" t="n"/>
      <c r="B329" s="350" t="n"/>
      <c r="C329" s="8" t="n"/>
      <c r="D329" s="8" t="n"/>
      <c r="E329" s="350" t="n"/>
      <c r="F329" s="8" t="n"/>
      <c r="G329" s="8" t="n"/>
      <c r="H329" s="8" t="n"/>
      <c r="I329" s="8" t="n"/>
      <c r="J329" s="350" t="n"/>
      <c r="K329" s="8" t="n"/>
      <c r="L329" s="8" t="n"/>
      <c r="M329" s="8" t="n"/>
      <c r="N329" s="8" t="n"/>
    </row>
    <row r="330" ht="14.45" customHeight="1">
      <c r="A330" s="11" t="inlineStr">
        <is>
          <t>F. TOTAL COSTS (A+B+C+D+E)</t>
        </is>
      </c>
      <c r="B330" s="348" t="n"/>
      <c r="C330" s="214" t="n"/>
      <c r="D330" s="349">
        <f>D43+D84+D125+D166+D207+D248+D289</f>
        <v/>
      </c>
      <c r="E330" s="348" t="n"/>
      <c r="F330" s="214" t="n"/>
      <c r="G330" s="349">
        <f>G43+G84+G125+G166+G207+G248+G289</f>
        <v/>
      </c>
      <c r="H330" s="8" t="n"/>
      <c r="I330" s="349">
        <f>I326+I328</f>
        <v/>
      </c>
      <c r="J330" s="348" t="n"/>
      <c r="K330" s="349" t="n"/>
      <c r="L330" s="349">
        <f>L326+L328</f>
        <v/>
      </c>
      <c r="M330" s="8" t="n"/>
      <c r="N330" s="349">
        <f>N326+N328</f>
        <v/>
      </c>
    </row>
    <row r="331" ht="6.95" customHeight="1">
      <c r="A331" s="209" t="n"/>
      <c r="B331" s="207" t="n"/>
      <c r="C331" s="209" t="n"/>
      <c r="D331" s="208" t="n"/>
      <c r="E331" s="207" t="n"/>
      <c r="F331" s="209" t="n"/>
      <c r="G331" s="208" t="n"/>
      <c r="H331" s="208" t="n"/>
      <c r="I331" s="208" t="n"/>
      <c r="J331" s="208" t="n"/>
      <c r="K331" s="208" t="n"/>
      <c r="L331" s="208" t="n"/>
      <c r="M331" s="209" t="n"/>
      <c r="N331" s="210" t="n"/>
    </row>
    <row r="332" ht="14.45" customHeight="1"/>
    <row r="333" ht="21" customHeight="1"/>
    <row r="334" ht="6.95" customHeight="1"/>
    <row r="335" ht="14.45" customHeight="1"/>
    <row r="336" ht="14.45" customHeight="1"/>
    <row r="337" ht="14.45" customHeight="1"/>
    <row r="338" ht="14.45" customHeight="1"/>
    <row r="339" ht="14.45" customHeight="1"/>
    <row r="340" ht="14.45" customHeight="1"/>
    <row r="341" ht="14.45" customHeight="1"/>
    <row r="342" ht="14.45" customHeight="1"/>
    <row r="343" ht="14.45" customHeight="1"/>
    <row r="344" ht="14.45" customHeight="1"/>
    <row r="345" ht="14.45" customHeight="1"/>
    <row r="346" ht="14.45" customHeight="1"/>
    <row r="347" ht="14.45" customHeight="1"/>
    <row r="348" ht="14.45" customHeight="1"/>
    <row r="349" ht="14.45" customHeight="1"/>
    <row r="350" ht="14.45" customHeight="1"/>
    <row r="351" ht="14.45" customHeight="1"/>
    <row r="352" ht="14.45" customHeight="1"/>
    <row r="353" ht="14.45" customHeight="1"/>
    <row r="354" ht="14.45" customHeight="1"/>
    <row r="355" ht="14.45" customHeight="1"/>
    <row r="356" ht="14.45" customHeight="1"/>
    <row r="357" ht="14.45" customHeight="1"/>
    <row r="358" ht="14.45" customHeight="1"/>
    <row r="359" ht="14.45" customHeight="1"/>
    <row r="360" ht="14.45" customHeight="1"/>
    <row r="361" ht="14.45" customHeight="1"/>
    <row r="362" ht="14.45" customHeight="1"/>
    <row r="363" ht="14.45" customHeight="1"/>
    <row r="364" ht="14.45" customHeight="1"/>
    <row r="365" ht="14.45" customHeight="1"/>
    <row r="366" ht="14.45" customHeight="1"/>
    <row r="367" ht="14.45" customHeight="1"/>
    <row r="368" ht="6.95" customHeight="1"/>
    <row r="369" ht="14.45" customHeight="1"/>
    <row r="370" ht="6.95" customHeight="1"/>
    <row r="371" ht="14.45" customHeight="1"/>
    <row r="372" ht="6.95" customHeight="1"/>
    <row r="373" ht="14.45" customHeight="1"/>
    <row r="374" ht="21" customHeight="1"/>
    <row r="375" ht="6.95" customHeight="1"/>
    <row r="376" ht="14.45" customHeight="1"/>
    <row r="377" ht="14.45" customHeight="1"/>
    <row r="378" ht="14.45" customHeight="1"/>
    <row r="379" ht="14.45" customHeight="1"/>
    <row r="380" ht="14.45" customHeight="1"/>
    <row r="381" ht="14.45" customHeight="1"/>
    <row r="382" ht="14.45" customHeight="1"/>
    <row r="383" ht="14.45" customHeight="1"/>
    <row r="384" ht="14.45" customHeight="1"/>
    <row r="385" ht="14.45" customHeight="1"/>
    <row r="386" ht="14.45" customHeight="1"/>
    <row r="387" ht="14.45" customHeight="1"/>
    <row r="388" ht="14.45" customHeight="1"/>
    <row r="389" ht="14.45" customHeight="1"/>
    <row r="390" ht="14.45" customHeight="1"/>
    <row r="391" ht="14.45" customHeight="1"/>
    <row r="392" ht="14.45" customHeight="1"/>
    <row r="393" ht="14.45" customHeight="1"/>
    <row r="394" ht="14.45" customHeight="1"/>
    <row r="395" ht="14.45" customHeight="1"/>
    <row r="396" ht="14.45" customHeight="1"/>
    <row r="397" ht="14.45" customHeight="1"/>
    <row r="398" ht="14.45" customHeight="1"/>
    <row r="399" ht="14.45" customHeight="1"/>
    <row r="400" ht="14.45" customHeight="1"/>
    <row r="401" ht="14.45" customHeight="1"/>
    <row r="402" ht="14.45" customHeight="1"/>
    <row r="403" ht="14.45" customHeight="1"/>
    <row r="404" ht="14.45" customHeight="1"/>
    <row r="405" ht="14.45" customHeight="1"/>
    <row r="406" ht="14.45" customHeight="1"/>
    <row r="407" ht="14.45" customHeight="1"/>
    <row r="408" ht="14.45" customHeight="1"/>
    <row r="409" ht="6.95" customHeight="1"/>
    <row r="410" ht="14.45" customHeight="1"/>
    <row r="411" ht="6.95" customHeight="1"/>
    <row r="412" ht="14.45" customHeight="1"/>
    <row r="413" ht="6.95" customHeight="1"/>
    <row r="414" ht="14.45" customHeight="1"/>
    <row r="415" ht="21" customHeight="1"/>
    <row r="416" ht="6.95" customHeight="1"/>
    <row r="417" ht="14.45" customHeight="1"/>
    <row r="418" ht="14.45" customHeight="1"/>
    <row r="419" ht="14.45" customHeight="1"/>
    <row r="420" ht="14.45" customHeight="1"/>
    <row r="421" ht="14.45" customHeight="1"/>
    <row r="422" ht="14.45" customHeight="1"/>
    <row r="423" ht="14.45" customHeight="1"/>
    <row r="424" ht="14.45" customHeight="1"/>
    <row r="425" ht="14.45" customHeight="1"/>
    <row r="426" ht="14.45" customHeight="1"/>
    <row r="427" ht="14.45" customHeight="1"/>
    <row r="428" ht="14.45" customHeight="1"/>
    <row r="429" ht="14.45" customHeight="1"/>
    <row r="430" ht="14.45" customHeight="1"/>
    <row r="431" ht="14.45" customHeight="1"/>
    <row r="432" ht="14.45" customHeight="1"/>
    <row r="433" ht="14.45" customHeight="1"/>
    <row r="434" ht="14.45" customHeight="1"/>
    <row r="435" ht="14.45" customHeight="1"/>
    <row r="436" ht="14.45" customHeight="1"/>
    <row r="437" ht="14.45" customHeight="1"/>
    <row r="438" ht="14.45" customHeight="1"/>
    <row r="439" ht="14.45" customHeight="1"/>
    <row r="440" ht="14.45" customHeight="1"/>
    <row r="441" ht="14.45" customHeight="1"/>
    <row r="442" ht="14.45" customHeight="1"/>
    <row r="443" ht="14.45" customHeight="1"/>
    <row r="444" ht="14.45" customHeight="1"/>
    <row r="445" ht="14.45" customHeight="1"/>
    <row r="446" ht="14.45" customHeight="1"/>
    <row r="447" ht="14.45" customHeight="1"/>
    <row r="448" ht="14.45" customHeight="1"/>
    <row r="449" ht="14.45" customHeight="1"/>
    <row r="450" ht="6.95" customHeight="1"/>
    <row r="451" ht="14.45" customHeight="1"/>
    <row r="452" ht="6.95" customHeight="1"/>
    <row r="453" ht="14.45" customHeight="1"/>
    <row r="454" ht="6.95" customHeight="1"/>
    <row r="455" ht="14.45" customHeight="1"/>
    <row r="456" ht="21" customHeight="1"/>
    <row r="457" ht="6.95" customHeight="1"/>
    <row r="458" ht="14.45" customHeight="1"/>
    <row r="459" ht="14.45" customHeight="1"/>
    <row r="460" ht="14.45" customHeight="1"/>
    <row r="461" ht="14.45" customHeight="1"/>
    <row r="462" ht="14.45" customHeight="1"/>
    <row r="463" ht="14.45" customHeight="1"/>
    <row r="464" ht="14.45" customHeight="1"/>
    <row r="465" ht="14.45" customHeight="1"/>
    <row r="466" ht="14.45" customHeight="1"/>
    <row r="467" ht="14.45" customHeight="1"/>
    <row r="468" ht="14.45" customHeight="1"/>
    <row r="469" ht="14.45" customHeight="1"/>
    <row r="470" ht="14.45" customHeight="1"/>
    <row r="471" ht="14.45" customHeight="1"/>
    <row r="472" ht="14.45" customHeight="1"/>
    <row r="473" ht="14.45" customHeight="1"/>
    <row r="474" ht="14.45" customHeight="1"/>
    <row r="475" ht="14.45" customHeight="1"/>
    <row r="476" ht="14.45" customHeight="1"/>
    <row r="477" ht="14.45" customHeight="1"/>
    <row r="478" ht="14.45" customHeight="1"/>
    <row r="479" ht="14.45" customHeight="1"/>
    <row r="480" ht="14.45" customHeight="1"/>
    <row r="481" ht="14.45" customHeight="1"/>
    <row r="482" ht="14.45" customHeight="1"/>
    <row r="483" ht="14.45" customHeight="1"/>
    <row r="484" ht="14.45" customHeight="1"/>
    <row r="485" ht="14.45" customHeight="1"/>
    <row r="486" ht="14.45" customHeight="1"/>
    <row r="487" ht="14.45" customHeight="1"/>
    <row r="488" ht="14.45" customHeight="1"/>
    <row r="489" ht="14.45" customHeight="1"/>
    <row r="490" ht="14.45" customHeight="1"/>
    <row r="491" ht="6.95" customHeight="1"/>
    <row r="492" ht="14.45" customHeight="1"/>
    <row r="493" ht="6.95" customHeight="1"/>
    <row r="494" ht="14.45" customHeight="1"/>
    <row r="495" ht="6.95" customHeight="1"/>
    <row r="496" ht="14.45" customHeight="1"/>
    <row r="497" ht="21" customHeight="1"/>
    <row r="498" ht="6.95" customHeight="1"/>
    <row r="499" ht="14.45" customHeight="1"/>
    <row r="500" ht="14.45" customHeight="1"/>
    <row r="501" ht="14.45" customHeight="1"/>
    <row r="502" ht="14.45" customHeight="1"/>
    <row r="503" ht="14.45" customHeight="1"/>
    <row r="504" ht="14.45" customHeight="1"/>
    <row r="505" ht="14.45" customHeight="1"/>
    <row r="506" ht="14.45" customHeight="1"/>
    <row r="507" ht="14.45" customHeight="1"/>
    <row r="508" ht="14.45" customHeight="1"/>
    <row r="509" ht="14.45" customHeight="1"/>
    <row r="510" ht="14.45" customHeight="1"/>
    <row r="511" ht="14.45" customHeight="1"/>
    <row r="512" ht="14.45" customHeight="1"/>
    <row r="513" ht="14.45" customHeight="1"/>
    <row r="514" ht="14.45" customHeight="1"/>
    <row r="515" ht="14.45" customHeight="1"/>
    <row r="516" ht="14.45" customHeight="1"/>
    <row r="517" ht="14.45" customHeight="1"/>
    <row r="518" ht="14.45" customHeight="1"/>
    <row r="519" ht="14.45" customHeight="1"/>
    <row r="520" ht="14.45" customHeight="1"/>
    <row r="521" ht="14.45" customHeight="1"/>
    <row r="522" ht="14.45" customHeight="1"/>
    <row r="523" ht="14.45" customHeight="1"/>
    <row r="524" ht="14.45" customHeight="1"/>
    <row r="525" ht="14.45" customHeight="1"/>
    <row r="526" ht="14.45" customHeight="1"/>
    <row r="527" ht="14.45" customHeight="1"/>
    <row r="528" ht="14.45" customHeight="1"/>
    <row r="529" ht="14.45" customHeight="1"/>
    <row r="530" ht="14.45" customHeight="1"/>
    <row r="531" ht="14.45" customHeight="1"/>
    <row r="532" ht="6.95" customHeight="1"/>
    <row r="533" ht="14.45" customHeight="1"/>
    <row r="534" ht="6.95" customHeight="1"/>
    <row r="535" ht="14.45" customHeight="1"/>
    <row r="536" ht="6.95" customHeight="1"/>
    <row r="537" ht="14.45" customHeight="1"/>
    <row r="538" ht="21" customHeight="1"/>
    <row r="539" ht="6.95" customHeight="1"/>
    <row r="540" ht="14.45" customHeight="1"/>
    <row r="541" ht="14.45" customHeight="1"/>
    <row r="542" ht="14.45" customHeight="1"/>
    <row r="543" ht="14.45" customHeight="1"/>
    <row r="544" ht="14.45" customHeight="1"/>
    <row r="545" ht="14.45" customHeight="1"/>
    <row r="546" ht="14.45" customHeight="1"/>
    <row r="547" ht="14.45" customHeight="1"/>
    <row r="548" ht="14.45" customHeight="1"/>
    <row r="549" ht="14.45" customHeight="1"/>
    <row r="550" ht="14.45" customHeight="1"/>
    <row r="551" ht="14.45" customHeight="1"/>
    <row r="552" ht="14.45" customHeight="1"/>
    <row r="553" ht="14.45" customHeight="1"/>
    <row r="554" ht="14.45" customHeight="1"/>
    <row r="555" ht="14.45" customHeight="1"/>
    <row r="556" ht="14.45" customHeight="1"/>
    <row r="557" ht="14.45" customHeight="1"/>
    <row r="558" ht="14.45" customHeight="1"/>
    <row r="559" ht="14.45" customHeight="1"/>
    <row r="560" ht="14.45" customHeight="1"/>
    <row r="561" ht="14.45" customHeight="1"/>
    <row r="562" ht="14.45" customHeight="1"/>
    <row r="563" ht="14.45" customHeight="1"/>
    <row r="564" ht="14.45" customHeight="1"/>
    <row r="565" ht="14.45" customHeight="1"/>
    <row r="566" ht="14.45" customHeight="1"/>
    <row r="567" ht="14.45" customHeight="1"/>
    <row r="568" ht="14.45" customHeight="1"/>
    <row r="569" ht="14.45" customHeight="1"/>
    <row r="570" ht="14.45" customHeight="1"/>
    <row r="571" ht="14.45" customHeight="1"/>
    <row r="572" ht="14.45" customHeight="1"/>
    <row r="573" ht="6.95" customHeight="1"/>
    <row r="574" ht="14.45" customHeight="1"/>
    <row r="575" ht="6.95" customHeight="1"/>
    <row r="576" ht="14.45" customHeight="1"/>
    <row r="577" ht="6.95" customHeight="1"/>
    <row r="578" ht="14.45" customHeight="1"/>
    <row r="579" ht="21" customHeight="1"/>
    <row r="580" ht="6.95" customHeight="1"/>
    <row r="581" ht="14.45" customHeight="1"/>
    <row r="582" ht="14.45" customHeight="1"/>
    <row r="583" ht="14.45" customHeight="1"/>
    <row r="584" ht="14.45" customHeight="1"/>
    <row r="585" ht="14.45" customHeight="1"/>
    <row r="586" ht="14.45" customHeight="1"/>
    <row r="587" ht="14.45" customHeight="1"/>
    <row r="588" ht="14.45" customHeight="1"/>
    <row r="589" ht="14.45" customHeight="1"/>
    <row r="590" ht="14.45" customHeight="1"/>
    <row r="591" ht="14.45" customHeight="1"/>
    <row r="592" ht="14.45" customHeight="1"/>
    <row r="593" ht="14.45" customHeight="1"/>
    <row r="594" ht="14.45" customHeight="1"/>
    <row r="595" ht="14.45" customHeight="1"/>
    <row r="596" ht="14.45" customHeight="1"/>
    <row r="597" ht="14.45" customHeight="1"/>
    <row r="598" ht="14.45" customHeight="1"/>
    <row r="599" ht="14.45" customHeight="1"/>
    <row r="600" ht="14.45" customHeight="1"/>
    <row r="601" ht="14.45" customHeight="1"/>
    <row r="602" ht="14.45" customHeight="1"/>
    <row r="603" ht="14.45" customHeight="1"/>
    <row r="604" ht="14.45" customHeight="1"/>
    <row r="605" ht="14.45" customHeight="1"/>
    <row r="606" ht="14.45" customHeight="1"/>
    <row r="607" ht="14.45" customHeight="1"/>
    <row r="608" ht="14.45" customHeight="1"/>
    <row r="609" ht="14.45" customHeight="1"/>
    <row r="610" ht="14.45" customHeight="1"/>
    <row r="611" ht="14.45" customHeight="1"/>
    <row r="612" ht="14.45" customHeight="1"/>
    <row r="613" ht="14.45" customHeight="1"/>
    <row r="614" ht="6.95" customHeight="1"/>
    <row r="615" ht="14.45" customHeight="1"/>
    <row r="616" ht="6.95" customHeight="1"/>
    <row r="617" ht="14.45" customHeight="1"/>
    <row r="618" ht="6.95" customHeight="1"/>
    <row r="619" ht="14.45" customHeight="1"/>
    <row r="620" ht="21" customHeight="1"/>
    <row r="621" ht="6.95" customHeight="1"/>
    <row r="622" ht="14.45" customHeight="1"/>
    <row r="623" ht="14.45" customHeight="1"/>
    <row r="624" ht="14.45" customHeight="1"/>
    <row r="625" ht="14.45" customHeight="1"/>
    <row r="626" ht="14.45" customHeight="1"/>
    <row r="627" ht="14.45" customHeight="1"/>
    <row r="628" ht="14.45" customHeight="1"/>
    <row r="629" ht="14.45" customHeight="1"/>
    <row r="630" ht="14.45" customHeight="1"/>
    <row r="631" ht="14.45" customHeight="1"/>
    <row r="632" ht="14.45" customHeight="1"/>
    <row r="633" ht="14.45" customHeight="1"/>
    <row r="634" ht="14.45" customHeight="1"/>
    <row r="635" ht="14.45" customHeight="1"/>
    <row r="636" ht="14.45" customHeight="1"/>
    <row r="637" ht="14.45" customHeight="1"/>
    <row r="638" ht="14.45" customHeight="1"/>
    <row r="639" ht="14.45" customHeight="1"/>
    <row r="640" ht="14.45" customHeight="1"/>
    <row r="641" ht="14.45" customHeight="1"/>
    <row r="642" ht="14.45" customHeight="1"/>
    <row r="643" ht="14.45" customHeight="1"/>
    <row r="644" ht="14.45" customHeight="1"/>
    <row r="645" ht="14.45" customHeight="1"/>
    <row r="646" ht="14.45" customHeight="1"/>
    <row r="647" ht="14.45" customHeight="1"/>
    <row r="648" ht="14.45" customHeight="1"/>
    <row r="649" ht="14.45" customHeight="1"/>
    <row r="650" ht="14.45" customHeight="1"/>
    <row r="651" ht="14.45" customHeight="1"/>
    <row r="652" ht="14.45" customHeight="1"/>
    <row r="653" ht="14.45" customHeight="1"/>
    <row r="654" ht="14.45" customHeight="1"/>
    <row r="655" ht="6.95" customHeight="1"/>
    <row r="656" ht="14.45" customHeight="1"/>
    <row r="657" ht="6.95" customHeight="1"/>
    <row r="658" ht="14.45" customHeight="1"/>
    <row r="659" ht="6.95" customHeight="1"/>
  </sheetData>
  <sheetProtection selectLockedCells="1" selectUnlockedCells="1" algorithmName="SHA-512" sheet="1" objects="1" insertRows="1" insertHyperlinks="1" autoFilter="1" scenarios="1" formatColumns="1" deleteColumns="1" insertColumns="1" pivotTables="1" deleteRows="1" formatCells="1" saltValue="YSt4tBz98CI0QmL9/IJXrw==" formatRows="1" sort="1" spinCount="100000" hashValue="DEZ1FtLTbLjYcq8OOyZXMXuAQHWWxJDOYu+pw/kqcmmSlR6REHUK7GDS0uhwTSSLwjOe5jnZv1PH6mrHTlms+Q=="/>
  <mergeCells count="12">
    <mergeCell ref="E2:G2"/>
    <mergeCell ref="A87:N87"/>
    <mergeCell ref="J2:K2"/>
    <mergeCell ref="A292:N292"/>
    <mergeCell ref="A210:N210"/>
    <mergeCell ref="A251:N251"/>
    <mergeCell ref="A128:N128"/>
    <mergeCell ref="A5:N5"/>
    <mergeCell ref="A46:N46"/>
    <mergeCell ref="A169:N169"/>
    <mergeCell ref="B2:D2"/>
    <mergeCell ref="A1:N1"/>
  </mergeCells>
  <pageMargins left="0.25" right="0.25" top="0.75" bottom="0.75" header="0.3" footer="0.3"/>
  <pageSetup orientation="landscape" paperSize="9" scale="92" fitToHeight="0"/>
</worksheet>
</file>

<file path=xl/worksheets/sheet10.xml><?xml version="1.0" encoding="utf-8"?>
<worksheet xmlns="http://schemas.openxmlformats.org/spreadsheetml/2006/main">
  <sheetPr codeName="Sheet111">
    <tabColor rgb="FFCCFF66"/>
    <outlinePr summaryBelow="1" summaryRight="1"/>
    <pageSetUpPr fitToPage="1"/>
  </sheetPr>
  <dimension ref="A1:K524"/>
  <sheetViews>
    <sheetView zoomScale="80" zoomScaleNormal="80" workbookViewId="0">
      <pane xSplit="1" topLeftCell="B1" activePane="topRight" state="frozen"/>
      <selection pane="topRight" activeCell="B9" sqref="B9"/>
    </sheetView>
  </sheetViews>
  <sheetFormatPr baseColWidth="8" defaultColWidth="9.28515625" defaultRowHeight="14.45"/>
  <cols>
    <col width="111.7109375" customWidth="1" style="59" min="1" max="1"/>
    <col width="8.7109375" customWidth="1" style="2" min="2" max="2"/>
    <col width="15.28515625" customWidth="1" style="112" min="3" max="3"/>
    <col width="16.28515625" bestFit="1" customWidth="1" style="2" min="4" max="4"/>
    <col width="8.7109375" customWidth="1" style="2" min="5" max="5"/>
    <col width="15.28515625" customWidth="1" style="112" min="6" max="6"/>
    <col width="16" customWidth="1" style="2" min="7" max="7"/>
    <col width="1.7109375" customWidth="1" style="1" min="8" max="8"/>
    <col width="19.5703125" bestFit="1" customWidth="1" style="171" min="9" max="9"/>
    <col width="9.28515625" customWidth="1" style="1" min="10" max="16384"/>
  </cols>
  <sheetData>
    <row r="1" ht="24" customFormat="1" customHeight="1" s="86" thickBot="1">
      <c r="A1" s="54" t="inlineStr">
        <is>
          <t>BENEFICIARY x - CALCULATION SHEET</t>
        </is>
      </c>
      <c r="B1" s="33" t="n"/>
      <c r="C1" s="108" t="inlineStr">
        <is>
          <t>View Summary</t>
        </is>
      </c>
      <c r="D1" s="34" t="n"/>
      <c r="E1" s="307" t="inlineStr">
        <is>
          <t>Affiliated Entity n</t>
        </is>
      </c>
      <c r="F1" s="315" t="n"/>
      <c r="G1" s="316" t="n"/>
      <c r="H1" s="32" t="n"/>
      <c r="I1" s="170" t="n"/>
    </row>
    <row r="2" ht="18.75" customFormat="1" customHeight="1" s="86">
      <c r="A2" s="56" t="n"/>
      <c r="B2" s="303" t="n"/>
      <c r="C2" s="315" t="n"/>
      <c r="D2" s="316" t="n"/>
      <c r="E2" s="305" t="n"/>
      <c r="F2" s="315" t="n"/>
      <c r="G2" s="316" t="n"/>
      <c r="H2" s="32" t="n"/>
      <c r="I2" s="57" t="n"/>
    </row>
    <row r="3" ht="18.6" customFormat="1" customHeight="1" s="86">
      <c r="A3" s="131" t="inlineStr">
        <is>
          <t>COST CATEGORY</t>
        </is>
      </c>
      <c r="B3" s="107" t="inlineStr">
        <is>
          <t>ITEMS</t>
        </is>
      </c>
      <c r="C3" s="109" t="inlineStr">
        <is>
          <t>COST PER ITEM</t>
        </is>
      </c>
      <c r="D3" s="107" t="inlineStr">
        <is>
          <t>BE TOTAL COSTS</t>
        </is>
      </c>
      <c r="E3" s="58" t="inlineStr">
        <is>
          <t>ITEMS</t>
        </is>
      </c>
      <c r="F3" s="113" t="inlineStr">
        <is>
          <t>COST PER ITEM</t>
        </is>
      </c>
      <c r="G3" s="58" t="inlineStr">
        <is>
          <t>AE TOTAL COSTS</t>
        </is>
      </c>
      <c r="H3" s="87" t="n"/>
      <c r="I3" s="57" t="inlineStr">
        <is>
          <t>BE+AE TOTAL COSTS</t>
        </is>
      </c>
    </row>
    <row r="4" customFormat="1" s="86">
      <c r="A4" s="190" t="n"/>
      <c r="B4" s="185" t="n"/>
      <c r="C4" s="186" t="n"/>
      <c r="D4" s="187" t="n"/>
      <c r="E4" s="185" t="n"/>
      <c r="F4" s="186" t="n"/>
      <c r="G4" s="187" t="n"/>
      <c r="H4" s="188" t="n"/>
      <c r="I4" s="189" t="n"/>
    </row>
    <row r="5" ht="21.4" customFormat="1" customHeight="1" s="86">
      <c r="A5" s="306" t="inlineStr">
        <is>
          <t>WORK PACKAGE</t>
        </is>
      </c>
      <c r="B5" s="315" t="n"/>
      <c r="C5" s="315" t="n"/>
      <c r="D5" s="315" t="n"/>
      <c r="E5" s="315" t="n"/>
      <c r="F5" s="315" t="n"/>
      <c r="G5" s="315" t="n"/>
      <c r="H5" s="315" t="n"/>
      <c r="I5" s="316" t="n"/>
    </row>
    <row r="6" ht="6.95" customFormat="1" customHeight="1" s="86">
      <c r="A6" s="182" t="n"/>
      <c r="B6" s="191" t="n"/>
      <c r="C6" s="192" t="n"/>
      <c r="D6" s="191" t="n"/>
      <c r="E6" s="191" t="n"/>
      <c r="F6" s="192" t="n"/>
      <c r="G6" s="191" t="n"/>
      <c r="H6" s="191" t="n"/>
      <c r="I6" s="174" t="n"/>
    </row>
    <row r="7" ht="15" customFormat="1" customHeight="1" s="86">
      <c r="A7" s="29" t="inlineStr">
        <is>
          <t>A. DIRECT PERSONNEL COSTS</t>
        </is>
      </c>
      <c r="B7" s="30" t="n"/>
      <c r="C7" s="110" t="n"/>
      <c r="D7" s="355" t="n"/>
      <c r="E7" s="30" t="n"/>
      <c r="F7" s="110" t="n"/>
      <c r="G7" s="355" t="n"/>
      <c r="H7" s="32" t="n"/>
      <c r="I7" s="355" t="n"/>
    </row>
    <row r="8" ht="15" customFormat="1" customHeight="1" s="86">
      <c r="A8" s="28" t="inlineStr">
        <is>
          <t>A.1 Employees (or equivalent)</t>
        </is>
      </c>
      <c r="B8" s="89" t="n"/>
      <c r="C8" s="111" t="n"/>
      <c r="D8" s="356" t="n"/>
      <c r="E8" s="89" t="n"/>
      <c r="F8" s="111" t="n"/>
      <c r="G8" s="356" t="n"/>
      <c r="H8" s="32" t="n"/>
      <c r="I8" s="357" t="n"/>
    </row>
    <row r="9" ht="15" customFormat="1" customHeight="1" s="86">
      <c r="A9" s="48" t="inlineStr">
        <is>
          <t>SENIOR SCIENTISTS (or equivalent in the private sector)</t>
        </is>
      </c>
      <c r="B9" s="358" t="n"/>
      <c r="C9" s="248" t="n"/>
      <c r="D9" s="232">
        <f>B9*C9</f>
        <v/>
      </c>
      <c r="E9" s="358" t="n"/>
      <c r="F9" s="248" t="n"/>
      <c r="G9" s="233">
        <f>E9*F9</f>
        <v/>
      </c>
      <c r="H9" s="32" t="n"/>
      <c r="I9" s="234">
        <f>D9+G9</f>
        <v/>
      </c>
    </row>
    <row r="10" ht="15" customFormat="1" customHeight="1" s="86">
      <c r="A10" s="48" t="inlineStr">
        <is>
          <t>JUNIOR SCIENTISTS (or equivalent in the private sector)</t>
        </is>
      </c>
      <c r="B10" s="358" t="n"/>
      <c r="C10" s="248" t="n"/>
      <c r="D10" s="232">
        <f>B10*C10</f>
        <v/>
      </c>
      <c r="E10" s="358" t="n"/>
      <c r="F10" s="248" t="n"/>
      <c r="G10" s="233">
        <f>E10*F10</f>
        <v/>
      </c>
      <c r="H10" s="32" t="n"/>
      <c r="I10" s="234">
        <f>D10+G10</f>
        <v/>
      </c>
    </row>
    <row r="11" ht="15" customFormat="1" customHeight="1" s="86">
      <c r="A11" s="48" t="inlineStr">
        <is>
          <t>TECHNICAL PERSONNEL (or equivalent in the private sector)</t>
        </is>
      </c>
      <c r="B11" s="358" t="n"/>
      <c r="C11" s="248" t="n"/>
      <c r="D11" s="232">
        <f>B11*C11</f>
        <v/>
      </c>
      <c r="E11" s="358" t="n"/>
      <c r="F11" s="248" t="n"/>
      <c r="G11" s="233">
        <f>E11*F11</f>
        <v/>
      </c>
      <c r="H11" s="32" t="n"/>
      <c r="I11" s="234">
        <f>D11+G11</f>
        <v/>
      </c>
    </row>
    <row r="12" ht="15" customFormat="1" customHeight="1" s="86">
      <c r="A12" s="48" t="inlineStr">
        <is>
          <t>ADMINISTRATIVE PERSONNEL (or equivalent in the private sector)</t>
        </is>
      </c>
      <c r="B12" s="358" t="n"/>
      <c r="C12" s="248" t="n"/>
      <c r="D12" s="232">
        <f>B12*C12</f>
        <v/>
      </c>
      <c r="E12" s="358" t="n"/>
      <c r="F12" s="248" t="n"/>
      <c r="G12" s="233">
        <f>E12*F12</f>
        <v/>
      </c>
      <c r="H12" s="32" t="n"/>
      <c r="I12" s="234">
        <f>D12+G12</f>
        <v/>
      </c>
    </row>
    <row r="13" ht="15" customFormat="1" customHeight="1" s="86">
      <c r="A13" s="48" t="inlineStr">
        <is>
          <t>OTHERS</t>
        </is>
      </c>
      <c r="B13" s="358" t="n"/>
      <c r="C13" s="248" t="n"/>
      <c r="D13" s="232">
        <f>B13*C13</f>
        <v/>
      </c>
      <c r="E13" s="358" t="n"/>
      <c r="F13" s="248" t="n"/>
      <c r="G13" s="233">
        <f>E13*F13</f>
        <v/>
      </c>
      <c r="H13" s="32" t="n"/>
      <c r="I13" s="234">
        <f>D13+G13</f>
        <v/>
      </c>
    </row>
    <row r="14" ht="15" customFormat="1" customHeight="1" s="86">
      <c r="A14" s="28" t="inlineStr">
        <is>
          <t>A.2 Natural Persons under direct contract</t>
        </is>
      </c>
      <c r="B14" s="358" t="n"/>
      <c r="C14" s="248" t="n"/>
      <c r="D14" s="232">
        <f>B14*C14</f>
        <v/>
      </c>
      <c r="E14" s="358" t="n"/>
      <c r="F14" s="248" t="n"/>
      <c r="G14" s="233">
        <f>E14*F14</f>
        <v/>
      </c>
      <c r="H14" s="32" t="n"/>
      <c r="I14" s="234">
        <f>D14+G14</f>
        <v/>
      </c>
    </row>
    <row r="15" ht="15" customFormat="1" customHeight="1" s="86">
      <c r="A15" s="28" t="inlineStr">
        <is>
          <t>A.3 Seconded Persons</t>
        </is>
      </c>
      <c r="B15" s="358" t="n"/>
      <c r="C15" s="248" t="n"/>
      <c r="D15" s="232">
        <f>B15*C15</f>
        <v/>
      </c>
      <c r="E15" s="358" t="n"/>
      <c r="F15" s="248" t="n"/>
      <c r="G15" s="233">
        <f>E15*F15</f>
        <v/>
      </c>
      <c r="H15" s="32" t="n"/>
      <c r="I15" s="234">
        <f>D15+G15</f>
        <v/>
      </c>
    </row>
    <row r="16" ht="15" customFormat="1" customHeight="1" s="86">
      <c r="A16" s="28" t="inlineStr">
        <is>
          <t>A.4 SME owners and natural person beneficiaries</t>
        </is>
      </c>
      <c r="B16" s="358" t="n"/>
      <c r="C16" s="256">
        <f>ROUND(8745.4*VLOOKUP('BE list'!E4,CountryList!A2:B178,2,FALSE),2)</f>
        <v/>
      </c>
      <c r="D16" s="232">
        <f>B16*C16</f>
        <v/>
      </c>
      <c r="E16" s="358" t="n"/>
      <c r="F16" s="257" t="n"/>
      <c r="G16" s="233">
        <f>E16*F16</f>
        <v/>
      </c>
      <c r="H16" s="32" t="n"/>
      <c r="I16" s="234">
        <f>D16+G16</f>
        <v/>
      </c>
    </row>
    <row r="17" ht="15" customFormat="1" customHeight="1" s="86">
      <c r="A17" s="29" t="inlineStr">
        <is>
          <t>B. DIRECT SUBCONTRACTING COSTS</t>
        </is>
      </c>
      <c r="B17" s="359" t="n"/>
      <c r="C17" s="110" t="n"/>
      <c r="D17" s="360" t="n"/>
      <c r="E17" s="359" t="n"/>
      <c r="F17" s="110" t="n"/>
      <c r="G17" s="361" t="n"/>
      <c r="H17" s="32" t="n"/>
      <c r="I17" s="361" t="n"/>
    </row>
    <row r="18" ht="15" customFormat="1" customHeight="1" s="86">
      <c r="A18" s="53" t="n"/>
      <c r="B18" s="358" t="n"/>
      <c r="C18" s="248" t="n"/>
      <c r="D18" s="362">
        <f>B18*C18</f>
        <v/>
      </c>
      <c r="E18" s="358" t="n"/>
      <c r="F18" s="248" t="n"/>
      <c r="G18" s="363">
        <f>E18*F18</f>
        <v/>
      </c>
      <c r="H18" s="32" t="n"/>
      <c r="I18" s="364">
        <f>D18+G18</f>
        <v/>
      </c>
    </row>
    <row r="19" ht="15" customFormat="1" customHeight="1" s="86">
      <c r="A19" s="29" t="inlineStr">
        <is>
          <t>C. DIRECT PURCHASE COSTS</t>
        </is>
      </c>
      <c r="B19" s="359" t="n"/>
      <c r="C19" s="110" t="n"/>
      <c r="D19" s="360" t="n"/>
      <c r="E19" s="359" t="n"/>
      <c r="F19" s="110" t="n"/>
      <c r="G19" s="361" t="n"/>
      <c r="H19" s="32" t="n"/>
      <c r="I19" s="361" t="n"/>
    </row>
    <row r="20" ht="15" customFormat="1" customHeight="1" s="86">
      <c r="A20" s="28" t="inlineStr">
        <is>
          <t>C.1 Travel and subsistence</t>
        </is>
      </c>
      <c r="B20" s="358" t="n"/>
      <c r="C20" s="248" t="n"/>
      <c r="D20" s="362">
        <f>B20*C20</f>
        <v/>
      </c>
      <c r="E20" s="358" t="n"/>
      <c r="F20" s="248" t="n"/>
      <c r="G20" s="363">
        <f>E20*F20</f>
        <v/>
      </c>
      <c r="H20" s="32" t="n"/>
      <c r="I20" s="364">
        <f>D20+G20</f>
        <v/>
      </c>
    </row>
    <row r="21" ht="15" customFormat="1" customHeight="1" s="86">
      <c r="A21" s="28" t="inlineStr">
        <is>
          <t>C.2 Equipment (complete 'Depreciation costs' sheet)</t>
        </is>
      </c>
      <c r="B21" s="347" t="n"/>
      <c r="C21" s="111" t="n"/>
      <c r="D21" s="365" t="n"/>
      <c r="E21" s="347" t="n"/>
      <c r="F21" s="111" t="n"/>
      <c r="G21" s="366" t="n"/>
      <c r="H21" s="32" t="n"/>
      <c r="I21" s="367" t="n"/>
    </row>
    <row r="22" customFormat="1" s="86">
      <c r="A22" s="49" t="inlineStr">
        <is>
          <t>Equipment</t>
        </is>
      </c>
      <c r="B22" s="358" t="n"/>
      <c r="C22" s="248" t="n"/>
      <c r="D22" s="362">
        <f>B22*C22</f>
        <v/>
      </c>
      <c r="E22" s="358" t="n"/>
      <c r="F22" s="248" t="n"/>
      <c r="G22" s="363">
        <f>E22*F22</f>
        <v/>
      </c>
      <c r="H22" s="32" t="n"/>
      <c r="I22" s="364">
        <f>D22+G22</f>
        <v/>
      </c>
    </row>
    <row r="23" ht="15" customFormat="1" customHeight="1" s="86">
      <c r="A23" s="49" t="inlineStr">
        <is>
          <t>Infrastructure</t>
        </is>
      </c>
      <c r="B23" s="358" t="n"/>
      <c r="C23" s="248" t="n"/>
      <c r="D23" s="362">
        <f>B23*C23</f>
        <v/>
      </c>
      <c r="E23" s="358" t="n"/>
      <c r="F23" s="248" t="n"/>
      <c r="G23" s="363">
        <f>E23*F23</f>
        <v/>
      </c>
      <c r="H23" s="32" t="n"/>
      <c r="I23" s="364">
        <f>D23+G23</f>
        <v/>
      </c>
    </row>
    <row r="24" ht="15" customFormat="1" customHeight="1" s="86">
      <c r="A24" s="49" t="inlineStr">
        <is>
          <t>Other assets</t>
        </is>
      </c>
      <c r="B24" s="358" t="n"/>
      <c r="C24" s="248" t="n"/>
      <c r="D24" s="362">
        <f>B24*C24</f>
        <v/>
      </c>
      <c r="E24" s="358" t="n"/>
      <c r="F24" s="248" t="n"/>
      <c r="G24" s="363">
        <f>E24*F24</f>
        <v/>
      </c>
      <c r="H24" s="32" t="n"/>
      <c r="I24" s="364">
        <f>D24+G24</f>
        <v/>
      </c>
    </row>
    <row r="25" ht="15" customFormat="1" customHeight="1" s="86">
      <c r="A25" s="28" t="inlineStr">
        <is>
          <t>C.3 Other goods, works and services</t>
        </is>
      </c>
      <c r="B25" s="347" t="n"/>
      <c r="C25" s="111" t="n"/>
      <c r="D25" s="365" t="n"/>
      <c r="E25" s="347" t="n"/>
      <c r="F25" s="111" t="n"/>
      <c r="G25" s="366" t="n"/>
      <c r="H25" s="32" t="n"/>
      <c r="I25" s="367" t="n"/>
    </row>
    <row r="26" ht="15" customFormat="1" customHeight="1" s="86">
      <c r="A26" s="49" t="inlineStr">
        <is>
          <t>Consumables</t>
        </is>
      </c>
      <c r="B26" s="358" t="n"/>
      <c r="C26" s="248" t="n"/>
      <c r="D26" s="362">
        <f>B26*C26</f>
        <v/>
      </c>
      <c r="E26" s="358" t="n"/>
      <c r="F26" s="248" t="n"/>
      <c r="G26" s="363">
        <f>E26*F26</f>
        <v/>
      </c>
      <c r="H26" s="32" t="n"/>
      <c r="I26" s="364">
        <f>D26+G26</f>
        <v/>
      </c>
    </row>
    <row r="27" ht="15" customFormat="1" customHeight="1" s="86">
      <c r="A27" s="49" t="inlineStr">
        <is>
          <t>Services for meetings, seminars</t>
        </is>
      </c>
      <c r="B27" s="358" t="n"/>
      <c r="C27" s="248" t="n"/>
      <c r="D27" s="362">
        <f>B27*C27</f>
        <v/>
      </c>
      <c r="E27" s="358" t="n"/>
      <c r="F27" s="248" t="n"/>
      <c r="G27" s="363">
        <f>E27*F27</f>
        <v/>
      </c>
      <c r="H27" s="32" t="n"/>
      <c r="I27" s="364">
        <f>D27+G27</f>
        <v/>
      </c>
    </row>
    <row r="28" ht="15" customFormat="1" customHeight="1" s="86">
      <c r="A28" s="49" t="inlineStr">
        <is>
          <t>Services for dissemination activities (including website)</t>
        </is>
      </c>
      <c r="B28" s="358" t="n"/>
      <c r="C28" s="248" t="n"/>
      <c r="D28" s="362">
        <f>B28*C28</f>
        <v/>
      </c>
      <c r="E28" s="358" t="n"/>
      <c r="F28" s="248" t="n"/>
      <c r="G28" s="363">
        <f>E28*F28</f>
        <v/>
      </c>
      <c r="H28" s="32" t="n"/>
      <c r="I28" s="364">
        <f>D28+G28</f>
        <v/>
      </c>
    </row>
    <row r="29" ht="15" customFormat="1" customHeight="1" s="86">
      <c r="A29" s="49" t="inlineStr">
        <is>
          <t>Publication fees</t>
        </is>
      </c>
      <c r="B29" s="358" t="n"/>
      <c r="C29" s="248" t="n"/>
      <c r="D29" s="362">
        <f>B29*C29</f>
        <v/>
      </c>
      <c r="E29" s="358" t="n"/>
      <c r="F29" s="248" t="n"/>
      <c r="G29" s="363">
        <f>E29*F29</f>
        <v/>
      </c>
      <c r="H29" s="32" t="n"/>
      <c r="I29" s="364">
        <f>D29+G29</f>
        <v/>
      </c>
    </row>
    <row r="30" ht="15" customFormat="1" customHeight="1" s="86">
      <c r="A30" s="49" t="inlineStr">
        <is>
          <t>Other (shipment, insurance, translation, etc.)</t>
        </is>
      </c>
      <c r="B30" s="358" t="n"/>
      <c r="C30" s="248" t="n"/>
      <c r="D30" s="362">
        <f>B30*C30</f>
        <v/>
      </c>
      <c r="E30" s="358" t="n"/>
      <c r="F30" s="248" t="n"/>
      <c r="G30" s="363">
        <f>E30*F30</f>
        <v/>
      </c>
      <c r="H30" s="32" t="n"/>
      <c r="I30" s="364">
        <f>D30+G30</f>
        <v/>
      </c>
    </row>
    <row r="31" customFormat="1" s="86">
      <c r="A31" s="29" t="inlineStr">
        <is>
          <t>D. OTHER COST CATEGORIES</t>
        </is>
      </c>
      <c r="B31" s="359" t="n"/>
      <c r="C31" s="110" t="n"/>
      <c r="D31" s="360" t="n"/>
      <c r="E31" s="359" t="n"/>
      <c r="F31" s="110" t="n"/>
      <c r="G31" s="361" t="n"/>
      <c r="H31" s="32" t="n"/>
      <c r="I31" s="361" t="n"/>
    </row>
    <row r="32" ht="15" customFormat="1" customHeight="1" s="86">
      <c r="A32" s="50" t="inlineStr">
        <is>
          <t>D.1 Financial support to third parties (if applicable in the topic specific conditions)</t>
        </is>
      </c>
      <c r="B32" s="358" t="n"/>
      <c r="C32" s="248" t="n"/>
      <c r="D32" s="362">
        <f>B32*C32</f>
        <v/>
      </c>
      <c r="E32" s="358" t="n"/>
      <c r="F32" s="248" t="n"/>
      <c r="G32" s="363">
        <f>E32*F32</f>
        <v/>
      </c>
      <c r="H32" s="32" t="n"/>
      <c r="I32" s="364">
        <f>D32+G32</f>
        <v/>
      </c>
    </row>
    <row r="33" ht="15" customFormat="1" customHeight="1" s="86">
      <c r="A33" s="50" t="inlineStr">
        <is>
          <t>D.2 Internally invoiced goods and services</t>
        </is>
      </c>
      <c r="B33" s="358" t="n"/>
      <c r="C33" s="248" t="n"/>
      <c r="D33" s="362">
        <f>B33*C33</f>
        <v/>
      </c>
      <c r="E33" s="358" t="n"/>
      <c r="F33" s="248" t="n"/>
      <c r="G33" s="363">
        <f>E33*F33</f>
        <v/>
      </c>
      <c r="H33" s="32" t="n"/>
      <c r="I33" s="364">
        <f>D33+G33</f>
        <v/>
      </c>
    </row>
    <row r="34" ht="15" customFormat="1" customHeight="1" s="86">
      <c r="A34" s="50" t="inlineStr">
        <is>
          <t>D.3 Transnational access to research infrastructure unit costs (if mentioned as eligible in the topic specific conditions)</t>
        </is>
      </c>
      <c r="B34" s="358" t="n"/>
      <c r="C34" s="248" t="n"/>
      <c r="D34" s="362">
        <f>B34*C34</f>
        <v/>
      </c>
      <c r="E34" s="358" t="n"/>
      <c r="F34" s="248" t="n"/>
      <c r="G34" s="363">
        <f>E34*F34</f>
        <v/>
      </c>
      <c r="H34" s="32" t="n"/>
      <c r="I34" s="364">
        <f>D34+G34</f>
        <v/>
      </c>
    </row>
    <row r="35" ht="15" customFormat="1" customHeight="1" s="86">
      <c r="A35" s="50" t="inlineStr">
        <is>
          <t>D.4 Virtual access to research infrastructure unit costs (if mentioned as eligible in the topic specific conditions)</t>
        </is>
      </c>
      <c r="B35" s="358" t="n"/>
      <c r="C35" s="248" t="n"/>
      <c r="D35" s="362">
        <f>B35*C35</f>
        <v/>
      </c>
      <c r="E35" s="358" t="n"/>
      <c r="F35" s="248" t="n"/>
      <c r="G35" s="363">
        <f>E35*F35</f>
        <v/>
      </c>
      <c r="H35" s="32" t="n"/>
      <c r="I35" s="364">
        <f>D35+G35</f>
        <v/>
      </c>
    </row>
    <row r="36" ht="15" customFormat="1" customHeight="1" s="86">
      <c r="A36" s="50" t="inlineStr">
        <is>
          <t>D.5 PCP/PPI procurement costs (if mentioned as eligible in the topic specific conditions)</t>
        </is>
      </c>
      <c r="B36" s="358" t="n"/>
      <c r="C36" s="248" t="n"/>
      <c r="D36" s="362">
        <f>B36*C36</f>
        <v/>
      </c>
      <c r="E36" s="358" t="n"/>
      <c r="F36" s="248" t="n"/>
      <c r="G36" s="363">
        <f>E36*F36</f>
        <v/>
      </c>
      <c r="H36" s="32" t="n"/>
      <c r="I36" s="364">
        <f>D36+G36</f>
        <v/>
      </c>
    </row>
    <row r="37" ht="15" customFormat="1" customHeight="1" s="86">
      <c r="A37" s="50" t="n"/>
      <c r="B37" s="347" t="n"/>
      <c r="C37" s="111" t="n"/>
      <c r="D37" s="366" t="n"/>
      <c r="E37" s="368" t="n"/>
      <c r="F37" s="114" t="n"/>
      <c r="G37" s="366" t="n"/>
      <c r="H37" s="38" t="n"/>
      <c r="I37" s="369" t="n"/>
    </row>
    <row r="38" ht="15" customFormat="1" customHeight="1" s="86">
      <c r="A38" s="52" t="inlineStr">
        <is>
          <t>TOTAL DIRECT PERSONNEL COSTS AND PURCHASE COSTS (A+C)</t>
        </is>
      </c>
      <c r="B38" s="370" t="n"/>
      <c r="C38" s="230" t="n"/>
      <c r="D38" s="361">
        <f>SUM(D9:D16,D20:D30)</f>
        <v/>
      </c>
      <c r="E38" s="371" t="n"/>
      <c r="F38" s="115" t="n"/>
      <c r="G38" s="361">
        <f>SUM(G9:G16,G20:G30)</f>
        <v/>
      </c>
      <c r="H38" s="38" t="n"/>
      <c r="I38" s="372">
        <f>D38+G38</f>
        <v/>
      </c>
    </row>
    <row r="39" customFormat="1" s="86">
      <c r="A39" s="52" t="inlineStr">
        <is>
          <t>TOTAL DIRECT COSTS  (A+B+C+D)</t>
        </is>
      </c>
      <c r="B39" s="370" t="n"/>
      <c r="C39" s="230" t="n"/>
      <c r="D39" s="361">
        <f>SUM(D9:D36)</f>
        <v/>
      </c>
      <c r="E39" s="371" t="n"/>
      <c r="F39" s="115" t="n"/>
      <c r="G39" s="361">
        <f>SUM(G9:G36)</f>
        <v/>
      </c>
      <c r="H39" s="38" t="n"/>
      <c r="I39" s="372">
        <f>D39+G39</f>
        <v/>
      </c>
    </row>
    <row r="40" ht="6.95" customFormat="1" customHeight="1" s="86">
      <c r="A40" s="180" t="n"/>
      <c r="B40" s="373" t="n"/>
      <c r="C40" s="176" t="n"/>
      <c r="D40" s="374" t="n"/>
      <c r="E40" s="375" t="n"/>
      <c r="F40" s="178" t="n"/>
      <c r="G40" s="374" t="n"/>
      <c r="H40" s="38" t="n"/>
      <c r="I40" s="376" t="n"/>
    </row>
    <row r="41" ht="15" customFormat="1" customHeight="1" s="86">
      <c r="A41" s="29" t="inlineStr">
        <is>
          <t>E. INDIRECT COSTS (25% * (A+C))</t>
        </is>
      </c>
      <c r="B41" s="359" t="n"/>
      <c r="C41" s="110" t="n"/>
      <c r="D41" s="361">
        <f>D38*0.25</f>
        <v/>
      </c>
      <c r="E41" s="377" t="n"/>
      <c r="F41" s="116" t="n"/>
      <c r="G41" s="361">
        <f>G38*0.25</f>
        <v/>
      </c>
      <c r="H41" s="38" t="n"/>
      <c r="I41" s="372">
        <f>I38*0.25</f>
        <v/>
      </c>
    </row>
    <row r="42" ht="6.95" customFormat="1" customHeight="1" s="86">
      <c r="A42" s="32" t="n"/>
      <c r="B42" s="373" t="n"/>
      <c r="C42" s="176" t="n"/>
      <c r="D42" s="378" t="n"/>
      <c r="E42" s="375" t="n"/>
      <c r="F42" s="178" t="n"/>
      <c r="G42" s="378" t="n"/>
      <c r="H42" s="38" t="n"/>
      <c r="I42" s="376" t="n"/>
    </row>
    <row r="43" ht="15" customFormat="1" customHeight="1" s="86">
      <c r="A43" s="29" t="inlineStr">
        <is>
          <t>F. TOTAL COSTS (A+B+C+D+E)</t>
        </is>
      </c>
      <c r="B43" s="370" t="n"/>
      <c r="C43" s="230" t="n"/>
      <c r="D43" s="361">
        <f>D39+D41</f>
        <v/>
      </c>
      <c r="E43" s="371" t="n"/>
      <c r="F43" s="115" t="n"/>
      <c r="G43" s="361">
        <f>G39+G41</f>
        <v/>
      </c>
      <c r="H43" s="38" t="n"/>
      <c r="I43" s="372">
        <f>I39+I41</f>
        <v/>
      </c>
    </row>
    <row r="44" ht="6.95" customFormat="1" customHeight="1" s="86">
      <c r="A44" s="182" t="n"/>
      <c r="B44" s="183" t="n"/>
      <c r="C44" s="184" t="n"/>
      <c r="D44" s="183" t="n"/>
      <c r="E44" s="183" t="n"/>
      <c r="F44" s="184" t="n"/>
      <c r="G44" s="183" t="n"/>
      <c r="H44" s="32" t="n"/>
      <c r="I44" s="170" t="n"/>
    </row>
    <row r="45" customFormat="1" s="86">
      <c r="A45" s="190" t="n"/>
      <c r="B45" s="185" t="n"/>
      <c r="C45" s="186" t="n"/>
      <c r="D45" s="187" t="n"/>
      <c r="E45" s="185" t="n"/>
      <c r="F45" s="186" t="n"/>
      <c r="G45" s="187" t="n"/>
      <c r="H45" s="188" t="n"/>
      <c r="I45" s="189" t="n"/>
    </row>
    <row r="46" ht="21.4" customFormat="1" customHeight="1" s="86">
      <c r="A46" s="306" t="inlineStr">
        <is>
          <t>SUMMARY</t>
        </is>
      </c>
      <c r="B46" s="315" t="n"/>
      <c r="C46" s="315" t="n"/>
      <c r="D46" s="315" t="n"/>
      <c r="E46" s="315" t="n"/>
      <c r="F46" s="315" t="n"/>
      <c r="G46" s="315" t="n"/>
      <c r="H46" s="315" t="n"/>
      <c r="I46" s="316" t="n"/>
    </row>
    <row r="47" ht="6.95" customFormat="1" customHeight="1" s="86">
      <c r="A47" s="56" t="n"/>
      <c r="B47" s="174" t="n"/>
      <c r="C47" s="175" t="n"/>
      <c r="D47" s="174" t="n"/>
      <c r="E47" s="174" t="n"/>
      <c r="F47" s="175" t="n"/>
      <c r="G47" s="174" t="n"/>
      <c r="H47" s="174" t="n"/>
      <c r="I47" s="174" t="n"/>
    </row>
    <row r="48" ht="15" customFormat="1" customHeight="1" s="86">
      <c r="A48" s="29" t="inlineStr">
        <is>
          <t>A. DIRECT PERSONNEL COSTS</t>
        </is>
      </c>
      <c r="B48" s="30" t="n"/>
      <c r="C48" s="110" t="n"/>
      <c r="D48" s="355" t="n"/>
      <c r="E48" s="30" t="n"/>
      <c r="F48" s="110" t="n"/>
      <c r="G48" s="355" t="n"/>
      <c r="H48" s="32" t="n"/>
      <c r="I48" s="355" t="n"/>
    </row>
    <row r="49" ht="15" customFormat="1" customHeight="1" s="86">
      <c r="A49" s="28" t="inlineStr">
        <is>
          <t>A.1 Employees (or equivalent)</t>
        </is>
      </c>
      <c r="B49" s="89" t="n"/>
      <c r="C49" s="111" t="n"/>
      <c r="D49" s="356" t="n"/>
      <c r="E49" s="89" t="n"/>
      <c r="F49" s="111" t="n"/>
      <c r="G49" s="356" t="n"/>
      <c r="H49" s="32" t="n"/>
      <c r="I49" s="357" t="n"/>
    </row>
    <row r="50" ht="15" customFormat="1" customHeight="1" s="86">
      <c r="A50" s="48" t="inlineStr">
        <is>
          <t>SENIOR SCIENTISTS (or equivalent in the private sector)</t>
        </is>
      </c>
      <c r="B50" s="379">
        <f>#REF!+#REF!+#REF!+#REF!+#REF!+#REF!+#REF!+#REF!+#REF!+#REF!+#REF!+#REF!+#REF!+#REF!+#REF!+#REF!+#REF!+#REF!+#REF!+B9</f>
        <v/>
      </c>
      <c r="C50" s="249">
        <f>IF(B50&gt;0,D50/B50," ")</f>
        <v/>
      </c>
      <c r="D50" s="362">
        <f>#REF!+#REF!+#REF!+#REF!+#REF!+#REF!+#REF!+#REF!+#REF!+#REF!+#REF!+#REF!+#REF!+#REF!+#REF!+#REF!+#REF!+#REF!+#REF!+D9</f>
        <v/>
      </c>
      <c r="E50" s="380">
        <f>#REF!+#REF!+#REF!+#REF!+#REF!+#REF!+#REF!+#REF!+#REF!+#REF!+#REF!+#REF!+#REF!+#REF!+#REF!+#REF!+#REF!+#REF!+#REF!+E9</f>
        <v/>
      </c>
      <c r="F50" s="252">
        <f>IF(E50&gt;0,G50/E50," ")</f>
        <v/>
      </c>
      <c r="G50" s="363">
        <f>#REF!+#REF!+#REF!+#REF!+#REF!+#REF!+#REF!+#REF!+#REF!+#REF!+#REF!+#REF!+#REF!+#REF!+#REF!+#REF!+#REF!+#REF!+#REF!+G9</f>
        <v/>
      </c>
      <c r="H50" s="32" t="n"/>
      <c r="I50" s="364">
        <f>D50+G50</f>
        <v/>
      </c>
    </row>
    <row r="51" ht="15" customFormat="1" customHeight="1" s="86">
      <c r="A51" s="48" t="inlineStr">
        <is>
          <t>JUNIOR SCIENTISTS (or equivalent in the private sector)</t>
        </is>
      </c>
      <c r="B51" s="379">
        <f>#REF!+#REF!+#REF!+#REF!+#REF!+#REF!+#REF!+#REF!+#REF!+#REF!+#REF!+#REF!+#REF!+#REF!+#REF!+#REF!+#REF!+#REF!+#REF!+B10</f>
        <v/>
      </c>
      <c r="C51" s="249">
        <f>IF(B51&gt;0,D51/B51," ")</f>
        <v/>
      </c>
      <c r="D51" s="362">
        <f>#REF!+#REF!+#REF!+#REF!+#REF!+#REF!+#REF!+#REF!+#REF!+#REF!+#REF!+#REF!+#REF!+#REF!+#REF!+#REF!+#REF!+#REF!+#REF!+D10</f>
        <v/>
      </c>
      <c r="E51" s="380">
        <f>#REF!+#REF!+#REF!+#REF!+#REF!+#REF!+#REF!+#REF!+#REF!+#REF!+#REF!+#REF!+#REF!+#REF!+#REF!+#REF!+#REF!+#REF!+#REF!+E10</f>
        <v/>
      </c>
      <c r="F51" s="252">
        <f>IF(E51&gt;0,G51/E51," ")</f>
        <v/>
      </c>
      <c r="G51" s="363">
        <f>#REF!+#REF!+#REF!+#REF!+#REF!+#REF!+#REF!+#REF!+#REF!+#REF!+#REF!+#REF!+#REF!+#REF!+#REF!+#REF!+#REF!+#REF!+#REF!+G10</f>
        <v/>
      </c>
      <c r="H51" s="32" t="n"/>
      <c r="I51" s="364">
        <f>D51+G51</f>
        <v/>
      </c>
    </row>
    <row r="52" ht="15" customFormat="1" customHeight="1" s="86">
      <c r="A52" s="48" t="inlineStr">
        <is>
          <t>TECHNICAL PERSONNEL (or equivalent in the private sector)</t>
        </is>
      </c>
      <c r="B52" s="379">
        <f>#REF!+#REF!+#REF!+#REF!+#REF!+#REF!+#REF!+#REF!+#REF!+#REF!+#REF!+#REF!+#REF!+#REF!+#REF!+#REF!+#REF!+#REF!+#REF!+B11</f>
        <v/>
      </c>
      <c r="C52" s="249">
        <f>IF(B52&gt;0,D52/B52," ")</f>
        <v/>
      </c>
      <c r="D52" s="362">
        <f>#REF!+#REF!+#REF!+#REF!+#REF!+#REF!+#REF!+#REF!+#REF!+#REF!+#REF!+#REF!+#REF!+#REF!+#REF!+#REF!+#REF!+#REF!+#REF!+D11</f>
        <v/>
      </c>
      <c r="E52" s="380">
        <f>#REF!+#REF!+#REF!+#REF!+#REF!+#REF!+#REF!+#REF!+#REF!+#REF!+#REF!+#REF!+#REF!+#REF!+#REF!+#REF!+#REF!+#REF!+#REF!+E11</f>
        <v/>
      </c>
      <c r="F52" s="252">
        <f>IF(E52&gt;0,G52/E52," ")</f>
        <v/>
      </c>
      <c r="G52" s="363">
        <f>#REF!+#REF!+#REF!+#REF!+#REF!+#REF!+#REF!+#REF!+#REF!+#REF!+#REF!+#REF!+#REF!+#REF!+#REF!+#REF!+#REF!+#REF!+#REF!+G11</f>
        <v/>
      </c>
      <c r="H52" s="32" t="n"/>
      <c r="I52" s="364">
        <f>D52+G52</f>
        <v/>
      </c>
    </row>
    <row r="53" ht="15" customFormat="1" customHeight="1" s="86">
      <c r="A53" s="48" t="inlineStr">
        <is>
          <t>ADMINISTRATIVE PERSONNEL (or equivalent in the private sector)</t>
        </is>
      </c>
      <c r="B53" s="379">
        <f>#REF!+#REF!+#REF!+#REF!+#REF!+#REF!+#REF!+#REF!+#REF!+#REF!+#REF!+#REF!+#REF!+#REF!+#REF!+#REF!+#REF!+#REF!+#REF!+B12</f>
        <v/>
      </c>
      <c r="C53" s="249">
        <f>IF(B53&gt;0,D53/B53," ")</f>
        <v/>
      </c>
      <c r="D53" s="362">
        <f>#REF!+#REF!+#REF!+#REF!+#REF!+#REF!+#REF!+#REF!+#REF!+#REF!+#REF!+#REF!+#REF!+#REF!+#REF!+#REF!+#REF!+#REF!+#REF!+D12</f>
        <v/>
      </c>
      <c r="E53" s="380">
        <f>#REF!+#REF!+#REF!+#REF!+#REF!+#REF!+#REF!+#REF!+#REF!+#REF!+#REF!+#REF!+#REF!+#REF!+#REF!+#REF!+#REF!+#REF!+#REF!+E12</f>
        <v/>
      </c>
      <c r="F53" s="252">
        <f>IF(E53&gt;0,G53/E53," ")</f>
        <v/>
      </c>
      <c r="G53" s="363">
        <f>#REF!+#REF!+#REF!+#REF!+#REF!+#REF!+#REF!+#REF!+#REF!+#REF!+#REF!+#REF!+#REF!+#REF!+#REF!+#REF!+#REF!+#REF!+#REF!+G12</f>
        <v/>
      </c>
      <c r="H53" s="32" t="n"/>
      <c r="I53" s="364">
        <f>D53+G53</f>
        <v/>
      </c>
    </row>
    <row r="54" ht="15" customFormat="1" customHeight="1" s="86">
      <c r="A54" s="48" t="inlineStr">
        <is>
          <t>OTHERS</t>
        </is>
      </c>
      <c r="B54" s="379">
        <f>#REF!+#REF!+#REF!+#REF!+#REF!+#REF!+#REF!+#REF!+#REF!+#REF!+#REF!+#REF!+#REF!+#REF!+#REF!+#REF!+#REF!+#REF!+#REF!+B13</f>
        <v/>
      </c>
      <c r="C54" s="249">
        <f>IF(B54&gt;0,D54/B54," ")</f>
        <v/>
      </c>
      <c r="D54" s="362">
        <f>#REF!+#REF!+#REF!+#REF!+#REF!+#REF!+#REF!+#REF!+#REF!+#REF!+#REF!+#REF!+#REF!+#REF!+#REF!+#REF!+#REF!+#REF!+#REF!+D13</f>
        <v/>
      </c>
      <c r="E54" s="380">
        <f>#REF!+#REF!+#REF!+#REF!+#REF!+#REF!+#REF!+#REF!+#REF!+#REF!+#REF!+#REF!+#REF!+#REF!+#REF!+#REF!+#REF!+#REF!+#REF!+E13</f>
        <v/>
      </c>
      <c r="F54" s="252">
        <f>IF(E54&gt;0,G54/E54," ")</f>
        <v/>
      </c>
      <c r="G54" s="363">
        <f>#REF!+#REF!+#REF!+#REF!+#REF!+#REF!+#REF!+#REF!+#REF!+#REF!+#REF!+#REF!+#REF!+#REF!+#REF!+#REF!+#REF!+#REF!+#REF!+G13</f>
        <v/>
      </c>
      <c r="H54" s="32" t="n"/>
      <c r="I54" s="364">
        <f>D54+G54</f>
        <v/>
      </c>
    </row>
    <row r="55" ht="15" customFormat="1" customHeight="1" s="86">
      <c r="A55" s="28" t="inlineStr">
        <is>
          <t>A.2 Natural Persons under direct contract</t>
        </is>
      </c>
      <c r="B55" s="379">
        <f>#REF!+#REF!+#REF!+#REF!+#REF!+#REF!+#REF!+#REF!+#REF!+#REF!+#REF!+#REF!+#REF!+#REF!+#REF!+#REF!+#REF!+#REF!+#REF!+B14</f>
        <v/>
      </c>
      <c r="C55" s="249">
        <f>IF(B55&gt;0,D55/B55," ")</f>
        <v/>
      </c>
      <c r="D55" s="362">
        <f>#REF!+#REF!+#REF!+#REF!+#REF!+#REF!+#REF!+#REF!+#REF!+#REF!+#REF!+#REF!+#REF!+#REF!+#REF!+#REF!+#REF!+#REF!+#REF!+D14</f>
        <v/>
      </c>
      <c r="E55" s="380">
        <f>#REF!+#REF!+#REF!+#REF!+#REF!+#REF!+#REF!+#REF!+#REF!+#REF!+#REF!+#REF!+#REF!+#REF!+#REF!+#REF!+#REF!+#REF!+#REF!+E14</f>
        <v/>
      </c>
      <c r="F55" s="252">
        <f>IF(E55&gt;0,G55/E55," ")</f>
        <v/>
      </c>
      <c r="G55" s="363">
        <f>#REF!+#REF!+#REF!+#REF!+#REF!+#REF!+#REF!+#REF!+#REF!+#REF!+#REF!+#REF!+#REF!+#REF!+#REF!+#REF!+#REF!+#REF!+#REF!+G14</f>
        <v/>
      </c>
      <c r="H55" s="32" t="n"/>
      <c r="I55" s="364">
        <f>D55+G55</f>
        <v/>
      </c>
    </row>
    <row r="56" ht="15" customFormat="1" customHeight="1" s="86">
      <c r="A56" s="28" t="inlineStr">
        <is>
          <t>A.3 Seconded Persons</t>
        </is>
      </c>
      <c r="B56" s="379">
        <f>#REF!+#REF!+#REF!+#REF!+#REF!+#REF!+#REF!+#REF!+#REF!+#REF!+#REF!+#REF!+#REF!+#REF!+#REF!+#REF!+#REF!+#REF!+#REF!+B15</f>
        <v/>
      </c>
      <c r="C56" s="249">
        <f>IF(B56&gt;0,D56/B56," ")</f>
        <v/>
      </c>
      <c r="D56" s="362">
        <f>#REF!+#REF!+#REF!+#REF!+#REF!+#REF!+#REF!+#REF!+#REF!+#REF!+#REF!+#REF!+#REF!+#REF!+#REF!+#REF!+#REF!+#REF!+#REF!+D15</f>
        <v/>
      </c>
      <c r="E56" s="380">
        <f>#REF!+#REF!+#REF!+#REF!+#REF!+#REF!+#REF!+#REF!+#REF!+#REF!+#REF!+#REF!+#REF!+#REF!+#REF!+#REF!+#REF!+#REF!+#REF!+E15</f>
        <v/>
      </c>
      <c r="F56" s="252">
        <f>IF(E56&gt;0,G56/E56," ")</f>
        <v/>
      </c>
      <c r="G56" s="363">
        <f>#REF!+#REF!+#REF!+#REF!+#REF!+#REF!+#REF!+#REF!+#REF!+#REF!+#REF!+#REF!+#REF!+#REF!+#REF!+#REF!+#REF!+#REF!+#REF!+G15</f>
        <v/>
      </c>
      <c r="H56" s="32" t="n"/>
      <c r="I56" s="364">
        <f>D56+G56</f>
        <v/>
      </c>
    </row>
    <row r="57" ht="15" customFormat="1" customHeight="1" s="86">
      <c r="A57" s="28" t="inlineStr">
        <is>
          <t>A.4 SME owners and natural person beneficiaries</t>
        </is>
      </c>
      <c r="B57" s="379">
        <f>#REF!+#REF!+#REF!+#REF!+#REF!+#REF!+#REF!+#REF!+#REF!+#REF!+#REF!+#REF!+#REF!+#REF!+#REF!+#REF!+#REF!+#REF!+#REF!+B16</f>
        <v/>
      </c>
      <c r="C57" s="249">
        <f>IF(B57&gt;0,D57/B57," ")</f>
        <v/>
      </c>
      <c r="D57" s="362">
        <f>#REF!+#REF!+#REF!+#REF!+#REF!+#REF!+#REF!+#REF!+#REF!+#REF!+#REF!+#REF!+#REF!+#REF!+#REF!+#REF!+#REF!+#REF!+#REF!+D16</f>
        <v/>
      </c>
      <c r="E57" s="380">
        <f>#REF!+#REF!+#REF!+#REF!+#REF!+#REF!+#REF!+#REF!+#REF!+#REF!+#REF!+#REF!+#REF!+#REF!+#REF!+#REF!+#REF!+#REF!+#REF!+E16</f>
        <v/>
      </c>
      <c r="F57" s="252">
        <f>IF(E57&gt;0,G57/E57," ")</f>
        <v/>
      </c>
      <c r="G57" s="363">
        <f>#REF!+#REF!+#REF!+#REF!+#REF!+#REF!+#REF!+#REF!+#REF!+#REF!+#REF!+#REF!+#REF!+#REF!+#REF!+#REF!+#REF!+#REF!+#REF!+G16</f>
        <v/>
      </c>
      <c r="H57" s="32" t="n"/>
      <c r="I57" s="364">
        <f>D57+G57</f>
        <v/>
      </c>
    </row>
    <row r="58" ht="15" customFormat="1" customHeight="1" s="86">
      <c r="A58" s="29" t="inlineStr">
        <is>
          <t>B. DIRECT SUBCONTRACTING COSTS</t>
        </is>
      </c>
      <c r="B58" s="381" t="n"/>
      <c r="C58" s="250" t="n"/>
      <c r="D58" s="360" t="n"/>
      <c r="E58" s="359" t="n"/>
      <c r="F58" s="110" t="n"/>
      <c r="G58" s="361" t="n"/>
      <c r="H58" s="32" t="n"/>
      <c r="I58" s="361" t="n"/>
    </row>
    <row r="59" ht="15" customFormat="1" customHeight="1" s="86">
      <c r="A59" s="28" t="n"/>
      <c r="B59" s="379">
        <f>#REF!+#REF!+#REF!+#REF!+#REF!+#REF!+#REF!+#REF!+#REF!+#REF!+#REF!+#REF!+#REF!+#REF!+#REF!+#REF!+#REF!+#REF!+#REF!+B18</f>
        <v/>
      </c>
      <c r="C59" s="249">
        <f>IF(B59&gt;0,D59/B59," ")</f>
        <v/>
      </c>
      <c r="D59" s="362">
        <f>#REF!+#REF!+#REF!+#REF!+#REF!+#REF!+#REF!+#REF!+#REF!+#REF!+#REF!+#REF!+#REF!+#REF!+#REF!+#REF!+#REF!+#REF!+#REF!+#REF!</f>
        <v/>
      </c>
      <c r="E59" s="380">
        <f>#REF!+#REF!+#REF!+#REF!+#REF!+#REF!+#REF!+#REF!+#REF!+#REF!+#REF!+#REF!+#REF!+#REF!+#REF!+#REF!+#REF!+#REF!+#REF!+#REF!</f>
        <v/>
      </c>
      <c r="F59" s="252">
        <f>IF(E59&gt;0,G59/E59," ")</f>
        <v/>
      </c>
      <c r="G59" s="363">
        <f>#REF!+#REF!+#REF!+#REF!+#REF!+#REF!+#REF!+#REF!+#REF!+#REF!+#REF!+#REF!+#REF!+#REF!+#REF!+#REF!+#REF!+#REF!+#REF!+#REF!</f>
        <v/>
      </c>
      <c r="H59" s="32" t="n"/>
      <c r="I59" s="364">
        <f>D59+G59</f>
        <v/>
      </c>
    </row>
    <row r="60" ht="15" customFormat="1" customHeight="1" s="86">
      <c r="A60" s="29" t="inlineStr">
        <is>
          <t>C. DIRECT PURCHASE COSTS</t>
        </is>
      </c>
      <c r="B60" s="381" t="n"/>
      <c r="C60" s="250" t="n"/>
      <c r="D60" s="360" t="n"/>
      <c r="E60" s="359" t="n"/>
      <c r="F60" s="110" t="n"/>
      <c r="G60" s="361" t="n"/>
      <c r="H60" s="32" t="n"/>
      <c r="I60" s="361" t="n"/>
    </row>
    <row r="61" ht="15" customFormat="1" customHeight="1" s="86">
      <c r="A61" s="28" t="inlineStr">
        <is>
          <t>C.1 Travel and subsistence</t>
        </is>
      </c>
      <c r="B61" s="379">
        <f>#REF!+#REF!+#REF!+#REF!+#REF!+#REF!+#REF!+#REF!+#REF!+#REF!+#REF!+#REF!+#REF!+#REF!+#REF!+#REF!+#REF!+#REF!+#REF!+B20</f>
        <v/>
      </c>
      <c r="C61" s="249">
        <f>IF(B61&gt;0,D61/B61," ")</f>
        <v/>
      </c>
      <c r="D61" s="362">
        <f>#REF!+#REF!+#REF!+#REF!+#REF!+#REF!+#REF!+#REF!+#REF!+#REF!+#REF!+#REF!+#REF!+#REF!+#REF!+#REF!+#REF!+#REF!+#REF!+#REF!</f>
        <v/>
      </c>
      <c r="E61" s="380">
        <f>#REF!+#REF!+#REF!+#REF!+#REF!+#REF!+#REF!+#REF!+#REF!+#REF!+#REF!+#REF!+#REF!+#REF!+#REF!+#REF!+#REF!+#REF!+#REF!+#REF!</f>
        <v/>
      </c>
      <c r="F61" s="252">
        <f>IF(E61&gt;0,G61/E61," ")</f>
        <v/>
      </c>
      <c r="G61" s="363">
        <f>#REF!+#REF!+#REF!+#REF!+#REF!+#REF!+#REF!+#REF!+#REF!+#REF!+#REF!+#REF!+#REF!+#REF!+#REF!+#REF!+#REF!+#REF!+#REF!+#REF!</f>
        <v/>
      </c>
      <c r="H61" s="32" t="n"/>
      <c r="I61" s="364">
        <f>D61+G61</f>
        <v/>
      </c>
    </row>
    <row r="62" ht="15" customFormat="1" customHeight="1" s="86">
      <c r="A62" s="28" t="inlineStr">
        <is>
          <t>C.2 Equipment (complete 'Depreciation costs' sheet)</t>
        </is>
      </c>
      <c r="B62" s="382" t="n"/>
      <c r="C62" s="251" t="n"/>
      <c r="D62" s="365" t="n"/>
      <c r="E62" s="347" t="n"/>
      <c r="F62" s="111" t="n"/>
      <c r="G62" s="366" t="n"/>
      <c r="H62" s="32" t="n"/>
      <c r="I62" s="367" t="n"/>
    </row>
    <row r="63" customFormat="1" s="86">
      <c r="A63" s="49" t="inlineStr">
        <is>
          <t>Equipment</t>
        </is>
      </c>
      <c r="B63" s="379">
        <f>#REF!+#REF!+#REF!+#REF!+#REF!+#REF!+#REF!+#REF!+#REF!+#REF!+#REF!+#REF!+#REF!+#REF!+#REF!+#REF!+#REF!+#REF!+#REF!+B22</f>
        <v/>
      </c>
      <c r="C63" s="249">
        <f>IF(B63&gt;0,D63/B63," ")</f>
        <v/>
      </c>
      <c r="D63" s="362">
        <f>#REF!+#REF!+#REF!+#REF!+#REF!+#REF!+#REF!+#REF!+#REF!+#REF!+#REF!+#REF!+#REF!+#REF!+#REF!+#REF!+#REF!+#REF!+#REF!+D41</f>
        <v/>
      </c>
      <c r="E63" s="380">
        <f>#REF!+#REF!+#REF!+#REF!+#REF!+#REF!+#REF!+#REF!+#REF!+#REF!+#REF!+#REF!+#REF!+#REF!+#REF!+#REF!+#REF!+#REF!+#REF!+E41</f>
        <v/>
      </c>
      <c r="F63" s="252">
        <f>IF(E63&gt;0,G63/E63," ")</f>
        <v/>
      </c>
      <c r="G63" s="363">
        <f>#REF!+#REF!+#REF!+#REF!+#REF!+#REF!+#REF!+#REF!+#REF!+#REF!+#REF!+#REF!+#REF!+#REF!+#REF!+#REF!+#REF!+#REF!+#REF!+G41</f>
        <v/>
      </c>
      <c r="H63" s="32" t="n"/>
      <c r="I63" s="364">
        <f>D63+G63</f>
        <v/>
      </c>
    </row>
    <row r="64" ht="15" customFormat="1" customHeight="1" s="86">
      <c r="A64" s="49" t="inlineStr">
        <is>
          <t>Infrastructure</t>
        </is>
      </c>
      <c r="B64" s="379">
        <f>#REF!+#REF!+#REF!+#REF!+#REF!+#REF!+#REF!+#REF!+#REF!+#REF!+#REF!+#REF!+#REF!+#REF!+#REF!+#REF!+#REF!+#REF!+#REF!+B23</f>
        <v/>
      </c>
      <c r="C64" s="249">
        <f>IF(B64&gt;0,D64/B64," ")</f>
        <v/>
      </c>
      <c r="D64" s="362">
        <f>#REF!+#REF!+#REF!+#REF!+#REF!+#REF!+#REF!+#REF!+#REF!+#REF!+#REF!+#REF!+#REF!+#REF!+#REF!+#REF!+#REF!+#REF!+#REF!+#REF!</f>
        <v/>
      </c>
      <c r="E64" s="380">
        <f>#REF!+#REF!+#REF!+#REF!+#REF!+#REF!+#REF!+#REF!+#REF!+#REF!+#REF!+#REF!+#REF!+#REF!+#REF!+#REF!+#REF!+#REF!+#REF!+#REF!</f>
        <v/>
      </c>
      <c r="F64" s="252">
        <f>IF(E64&gt;0,G64/E64," ")</f>
        <v/>
      </c>
      <c r="G64" s="363">
        <f>#REF!+#REF!+#REF!+#REF!+#REF!+#REF!+#REF!+#REF!+#REF!+#REF!+#REF!+#REF!+#REF!+#REF!+#REF!+#REF!+#REF!+#REF!+#REF!+#REF!</f>
        <v/>
      </c>
      <c r="H64" s="32" t="n"/>
      <c r="I64" s="364">
        <f>D64+G64</f>
        <v/>
      </c>
    </row>
    <row r="65" ht="15" customFormat="1" customHeight="1" s="86">
      <c r="A65" s="49" t="inlineStr">
        <is>
          <t>Other assets</t>
        </is>
      </c>
      <c r="B65" s="379">
        <f>#REF!+#REF!+#REF!+#REF!+#REF!+#REF!+#REF!+#REF!+#REF!+#REF!+#REF!+#REF!+#REF!+#REF!+#REF!+#REF!+#REF!+#REF!+#REF!+B24</f>
        <v/>
      </c>
      <c r="C65" s="249">
        <f>IF(B65&gt;0,D65/B65," ")</f>
        <v/>
      </c>
      <c r="D65" s="362">
        <f>#REF!+#REF!+#REF!+#REF!+#REF!+#REF!+#REF!+#REF!+#REF!+#REF!+#REF!+#REF!+#REF!+#REF!+#REF!+#REF!+#REF!+#REF!+#REF!+#REF!</f>
        <v/>
      </c>
      <c r="E65" s="380">
        <f>#REF!+#REF!+#REF!+#REF!+#REF!+#REF!+#REF!+#REF!+#REF!+#REF!+#REF!+#REF!+#REF!+#REF!+#REF!+#REF!+#REF!+#REF!+#REF!+#REF!</f>
        <v/>
      </c>
      <c r="F65" s="252">
        <f>IF(E65&gt;0,G65/E65," ")</f>
        <v/>
      </c>
      <c r="G65" s="363">
        <f>#REF!+#REF!+#REF!+#REF!+#REF!+#REF!+#REF!+#REF!+#REF!+#REF!+#REF!+#REF!+#REF!+#REF!+#REF!+#REF!+#REF!+#REF!+#REF!+#REF!</f>
        <v/>
      </c>
      <c r="H65" s="32" t="n"/>
      <c r="I65" s="364">
        <f>D65+G65</f>
        <v/>
      </c>
    </row>
    <row r="66" ht="15" customFormat="1" customHeight="1" s="86">
      <c r="A66" s="28" t="inlineStr">
        <is>
          <t>C.3 Other goods, works and services</t>
        </is>
      </c>
      <c r="B66" s="382" t="n"/>
      <c r="C66" s="251" t="n"/>
      <c r="D66" s="365" t="n"/>
      <c r="E66" s="347" t="n"/>
      <c r="F66" s="111" t="n"/>
      <c r="G66" s="366" t="n"/>
      <c r="H66" s="32" t="n"/>
      <c r="I66" s="367" t="n"/>
    </row>
    <row r="67" ht="15" customFormat="1" customHeight="1" s="86">
      <c r="A67" s="49" t="inlineStr">
        <is>
          <t>Consumables</t>
        </is>
      </c>
      <c r="B67" s="379">
        <f>#REF!+#REF!+#REF!+#REF!+#REF!+#REF!+#REF!+#REF!+#REF!+#REF!+#REF!+#REF!+#REF!+#REF!+#REF!+#REF!+#REF!+#REF!+#REF!+#REF!</f>
        <v/>
      </c>
      <c r="C67" s="249">
        <f>IF(B67&gt;0,D67/B67," ")</f>
        <v/>
      </c>
      <c r="D67" s="362">
        <f>#REF!+#REF!+#REF!+#REF!+#REF!+#REF!+#REF!+#REF!+#REF!+#REF!+#REF!+#REF!+#REF!+#REF!+#REF!+#REF!+#REF!+#REF!+#REF!+#REF!</f>
        <v/>
      </c>
      <c r="E67" s="380">
        <f>#REF!+#REF!+#REF!+#REF!+#REF!+#REF!+#REF!+#REF!+#REF!+#REF!+#REF!+#REF!+#REF!+#REF!+#REF!+#REF!+#REF!+#REF!+#REF!+#REF!</f>
        <v/>
      </c>
      <c r="F67" s="252">
        <f>IF(E67&gt;0,G67/E67," ")</f>
        <v/>
      </c>
      <c r="G67" s="363">
        <f>#REF!+#REF!+#REF!+#REF!+#REF!+#REF!+#REF!+#REF!+#REF!+#REF!+#REF!+#REF!+#REF!+#REF!+#REF!+#REF!+#REF!+#REF!+#REF!+#REF!</f>
        <v/>
      </c>
      <c r="H67" s="32" t="n"/>
      <c r="I67" s="364">
        <f>D67+G67</f>
        <v/>
      </c>
    </row>
    <row r="68" ht="15" customFormat="1" customHeight="1" s="86">
      <c r="A68" s="49" t="inlineStr">
        <is>
          <t>Services for meetings, seminars</t>
        </is>
      </c>
      <c r="B68" s="379">
        <f>#REF!+#REF!+#REF!+#REF!+#REF!+#REF!+#REF!+#REF!+#REF!+#REF!+#REF!+#REF!+#REF!+#REF!+#REF!+#REF!+#REF!+#REF!+#REF!+#REF!</f>
        <v/>
      </c>
      <c r="C68" s="249">
        <f>IF(B68&gt;0,D68/B68," ")</f>
        <v/>
      </c>
      <c r="D68" s="362">
        <f>#REF!+#REF!+#REF!+#REF!+#REF!+#REF!+#REF!+#REF!+#REF!+#REF!+#REF!+#REF!+#REF!+#REF!+#REF!+#REF!+#REF!+#REF!+#REF!+#REF!</f>
        <v/>
      </c>
      <c r="E68" s="380">
        <f>#REF!+#REF!+#REF!+#REF!+#REF!+#REF!+#REF!+#REF!+#REF!+#REF!+#REF!+#REF!+#REF!+#REF!+#REF!+#REF!+#REF!+#REF!+#REF!+#REF!</f>
        <v/>
      </c>
      <c r="F68" s="252">
        <f>IF(E68&gt;0,G68/E68," ")</f>
        <v/>
      </c>
      <c r="G68" s="363">
        <f>#REF!+#REF!+#REF!+#REF!+#REF!+#REF!+#REF!+#REF!+#REF!+#REF!+#REF!+#REF!+#REF!+#REF!+#REF!+#REF!+#REF!+#REF!+#REF!+#REF!</f>
        <v/>
      </c>
      <c r="H68" s="32" t="n"/>
      <c r="I68" s="364">
        <f>D68+G68</f>
        <v/>
      </c>
    </row>
    <row r="69" ht="15" customFormat="1" customHeight="1" s="86">
      <c r="A69" s="49" t="inlineStr">
        <is>
          <t>Services for dissemination activities (including website)</t>
        </is>
      </c>
      <c r="B69" s="379">
        <f>#REF!+#REF!+#REF!+#REF!+#REF!+#REF!+#REF!+#REF!+#REF!+#REF!+#REF!+#REF!+#REF!+#REF!+#REF!+#REF!+#REF!+#REF!+#REF!+#REF!</f>
        <v/>
      </c>
      <c r="C69" s="249">
        <f>IF(B69&gt;0,D69/B69," ")</f>
        <v/>
      </c>
      <c r="D69" s="362">
        <f>#REF!+#REF!+#REF!+#REF!+#REF!+#REF!+#REF!+#REF!+#REF!+#REF!+#REF!+#REF!+#REF!+#REF!+#REF!+#REF!+#REF!+#REF!+#REF!+#REF!</f>
        <v/>
      </c>
      <c r="E69" s="380">
        <f>#REF!+#REF!+#REF!+#REF!+#REF!+#REF!+#REF!+#REF!+#REF!+#REF!+#REF!+#REF!+#REF!+#REF!+#REF!+#REF!+#REF!+#REF!+#REF!+#REF!</f>
        <v/>
      </c>
      <c r="F69" s="252">
        <f>IF(E69&gt;0,G69/E69," ")</f>
        <v/>
      </c>
      <c r="G69" s="363">
        <f>#REF!+#REF!+#REF!+#REF!+#REF!+#REF!+#REF!+#REF!+#REF!+#REF!+#REF!+#REF!+#REF!+#REF!+#REF!+#REF!+#REF!+#REF!+#REF!+#REF!</f>
        <v/>
      </c>
      <c r="H69" s="32" t="n"/>
      <c r="I69" s="364">
        <f>D69+G69</f>
        <v/>
      </c>
    </row>
    <row r="70" ht="15" customFormat="1" customHeight="1" s="86">
      <c r="A70" s="49" t="inlineStr">
        <is>
          <t>Publication fees</t>
        </is>
      </c>
      <c r="B70" s="379">
        <f>#REF!+#REF!+#REF!+#REF!+#REF!+#REF!+#REF!+#REF!+#REF!+#REF!+#REF!+#REF!+#REF!+#REF!+#REF!+#REF!+#REF!+#REF!+#REF!+#REF!</f>
        <v/>
      </c>
      <c r="C70" s="249">
        <f>IF(B70&gt;0,D70/B70," ")</f>
        <v/>
      </c>
      <c r="D70" s="362">
        <f>#REF!+#REF!+#REF!+#REF!+#REF!+#REF!+#REF!+#REF!+#REF!+#REF!+#REF!+#REF!+#REF!+#REF!+#REF!+#REF!+#REF!+#REF!+#REF!+#REF!</f>
        <v/>
      </c>
      <c r="E70" s="380">
        <f>#REF!+#REF!+#REF!+#REF!+#REF!+#REF!+#REF!+#REF!+#REF!+#REF!+#REF!+#REF!+#REF!+#REF!+#REF!+#REF!+#REF!+#REF!+#REF!+#REF!</f>
        <v/>
      </c>
      <c r="F70" s="252">
        <f>IF(E70&gt;0,G70/E70," ")</f>
        <v/>
      </c>
      <c r="G70" s="363">
        <f>#REF!+#REF!+#REF!+#REF!+#REF!+#REF!+#REF!+#REF!+#REF!+#REF!+#REF!+#REF!+#REF!+#REF!+#REF!+#REF!+#REF!+#REF!+#REF!+#REF!</f>
        <v/>
      </c>
      <c r="H70" s="32" t="n"/>
      <c r="I70" s="364">
        <f>D70+G70</f>
        <v/>
      </c>
    </row>
    <row r="71" ht="15" customFormat="1" customHeight="1" s="86">
      <c r="A71" s="49" t="inlineStr">
        <is>
          <t>Other (shipment, insurance, translation, etc.)</t>
        </is>
      </c>
      <c r="B71" s="379">
        <f>#REF!+#REF!+#REF!+#REF!+#REF!+#REF!+#REF!+#REF!+#REF!+#REF!+#REF!+#REF!+#REF!+#REF!+#REF!+#REF!+#REF!+#REF!+#REF!+#REF!</f>
        <v/>
      </c>
      <c r="C71" s="249">
        <f>IF(B71&gt;0,D71/B71," ")</f>
        <v/>
      </c>
      <c r="D71" s="362">
        <f>#REF!+#REF!+#REF!+#REF!+#REF!+#REF!+#REF!+#REF!+#REF!+#REF!+#REF!+#REF!+#REF!+#REF!+#REF!+#REF!+#REF!+#REF!+#REF!+#REF!</f>
        <v/>
      </c>
      <c r="E71" s="380">
        <f>#REF!+#REF!+#REF!+#REF!+#REF!+#REF!+#REF!+#REF!+#REF!+#REF!+#REF!+#REF!+#REF!+#REF!+#REF!+#REF!+#REF!+#REF!+#REF!+#REF!</f>
        <v/>
      </c>
      <c r="F71" s="252">
        <f>IF(E71&gt;0,G71/E71," ")</f>
        <v/>
      </c>
      <c r="G71" s="363">
        <f>#REF!+#REF!+#REF!+#REF!+#REF!+#REF!+#REF!+#REF!+#REF!+#REF!+#REF!+#REF!+#REF!+#REF!+#REF!+#REF!+#REF!+#REF!+#REF!+#REF!</f>
        <v/>
      </c>
      <c r="H71" s="32" t="n"/>
      <c r="I71" s="364">
        <f>D71+G71</f>
        <v/>
      </c>
    </row>
    <row r="72" ht="15" customFormat="1" customHeight="1" s="86">
      <c r="A72" s="29" t="inlineStr">
        <is>
          <t>D. OTHER COST CATEGORIES</t>
        </is>
      </c>
      <c r="B72" s="381" t="n"/>
      <c r="C72" s="250" t="n"/>
      <c r="D72" s="360" t="n"/>
      <c r="E72" s="359" t="n"/>
      <c r="F72" s="110" t="n"/>
      <c r="G72" s="361" t="n"/>
      <c r="H72" s="32" t="n"/>
      <c r="I72" s="361" t="n"/>
    </row>
    <row r="73" ht="15" customFormat="1" customHeight="1" s="86">
      <c r="A73" s="50" t="inlineStr">
        <is>
          <t>D.1 Financial support to third parties (if applicable in the topic specific conditions)</t>
        </is>
      </c>
      <c r="B73" s="379">
        <f>#REF!+#REF!+#REF!+#REF!+#REF!+#REF!+#REF!+#REF!+#REF!+#REF!+#REF!+#REF!+#REF!+#REF!+#REF!+#REF!+#REF!+#REF!+#REF!+#REF!</f>
        <v/>
      </c>
      <c r="C73" s="249">
        <f>IF(B73&gt;0,D73/B73," ")</f>
        <v/>
      </c>
      <c r="D73" s="362">
        <f>#REF!+#REF!+#REF!+#REF!+#REF!+#REF!+#REF!+#REF!+#REF!+#REF!+#REF!+#REF!+#REF!+#REF!+#REF!+#REF!+#REF!+#REF!+#REF!+#REF!</f>
        <v/>
      </c>
      <c r="E73" s="380">
        <f>#REF!+#REF!+#REF!+#REF!+#REF!+#REF!+#REF!+#REF!+#REF!+#REF!+#REF!+#REF!+#REF!+#REF!+#REF!+#REF!+#REF!+#REF!+#REF!+#REF!</f>
        <v/>
      </c>
      <c r="F73" s="252">
        <f>IF(E73&gt;0,G73/E73," ")</f>
        <v/>
      </c>
      <c r="G73" s="363">
        <f>#REF!+#REF!+#REF!+#REF!+#REF!+#REF!+#REF!+#REF!+#REF!+#REF!+#REF!+#REF!+#REF!+#REF!+#REF!+#REF!+#REF!+#REF!+#REF!+#REF!</f>
        <v/>
      </c>
      <c r="H73" s="32" t="n"/>
      <c r="I73" s="364">
        <f>D73+G73</f>
        <v/>
      </c>
    </row>
    <row r="74" ht="15" customFormat="1" customHeight="1" s="86">
      <c r="A74" s="50" t="inlineStr">
        <is>
          <t>D.2 Internally invoiced goods and services</t>
        </is>
      </c>
      <c r="B74" s="379">
        <f>#REF!+#REF!+#REF!+#REF!+#REF!+#REF!+#REF!+#REF!+#REF!+#REF!+#REF!+#REF!+#REF!+#REF!+#REF!+#REF!+#REF!+#REF!+#REF!+#REF!</f>
        <v/>
      </c>
      <c r="C74" s="249">
        <f>IF(B74&gt;0,D74/B74," ")</f>
        <v/>
      </c>
      <c r="D74" s="362">
        <f>#REF!+#REF!+#REF!+#REF!+#REF!+#REF!+#REF!+#REF!+#REF!+#REF!+#REF!+#REF!+#REF!+#REF!+#REF!+#REF!+#REF!+#REF!+#REF!+#REF!</f>
        <v/>
      </c>
      <c r="E74" s="380">
        <f>#REF!+#REF!+#REF!+#REF!+#REF!+#REF!+#REF!+#REF!+#REF!+#REF!+#REF!+#REF!+#REF!+#REF!+#REF!+#REF!+#REF!+#REF!+#REF!+#REF!</f>
        <v/>
      </c>
      <c r="F74" s="252">
        <f>IF(E74&gt;0,G74/E74," ")</f>
        <v/>
      </c>
      <c r="G74" s="363">
        <f>#REF!+#REF!+#REF!+#REF!+#REF!+#REF!+#REF!+#REF!+#REF!+#REF!+#REF!+#REF!+#REF!+#REF!+#REF!+#REF!+#REF!+#REF!+#REF!+#REF!</f>
        <v/>
      </c>
      <c r="H74" s="32" t="n"/>
      <c r="I74" s="364">
        <f>D74+G74</f>
        <v/>
      </c>
    </row>
    <row r="75" ht="15" customFormat="1" customHeight="1" s="86">
      <c r="A75" s="50" t="inlineStr">
        <is>
          <t>D.3 Transnational access to research infrastructure unit costs (if mentioned as eligible in the topic specific conditions)</t>
        </is>
      </c>
      <c r="B75" s="379">
        <f>#REF!+#REF!+#REF!+#REF!+#REF!+#REF!+#REF!+#REF!+#REF!+#REF!+#REF!+#REF!+#REF!+#REF!+#REF!+#REF!+#REF!+#REF!+#REF!+#REF!</f>
        <v/>
      </c>
      <c r="C75" s="249">
        <f>IF(B75&gt;0,D75/B75," ")</f>
        <v/>
      </c>
      <c r="D75" s="362">
        <f>#REF!+#REF!+#REF!+#REF!+#REF!+#REF!+#REF!+#REF!+#REF!+#REF!+#REF!+#REF!+#REF!+#REF!+#REF!+#REF!+#REF!+#REF!+#REF!+#REF!</f>
        <v/>
      </c>
      <c r="E75" s="380">
        <f>#REF!+#REF!+#REF!+#REF!+#REF!+#REF!+#REF!+#REF!+#REF!+#REF!+#REF!+#REF!+#REF!+#REF!+#REF!+#REF!+#REF!+#REF!+#REF!+#REF!</f>
        <v/>
      </c>
      <c r="F75" s="252">
        <f>IF(E75&gt;0,G75/E75," ")</f>
        <v/>
      </c>
      <c r="G75" s="363">
        <f>#REF!+#REF!+#REF!+#REF!+#REF!+#REF!+#REF!+#REF!+#REF!+#REF!+#REF!+#REF!+#REF!+#REF!+#REF!+#REF!+#REF!+#REF!+#REF!+#REF!</f>
        <v/>
      </c>
      <c r="H75" s="32" t="n"/>
      <c r="I75" s="364">
        <f>D75+G75</f>
        <v/>
      </c>
    </row>
    <row r="76" ht="15" customFormat="1" customHeight="1" s="86">
      <c r="A76" s="50" t="inlineStr">
        <is>
          <t>D.4 Virtual access to research infrastructure unit costs (if mentioned as eligible in the topic specific conditions)</t>
        </is>
      </c>
      <c r="B76" s="379">
        <f>#REF!+#REF!+#REF!+#REF!+#REF!+#REF!+#REF!+#REF!+#REF!+#REF!+#REF!+#REF!+#REF!+#REF!+#REF!+#REF!+#REF!+#REF!+#REF!+#REF!</f>
        <v/>
      </c>
      <c r="C76" s="249">
        <f>IF(B76&gt;0,D76/B76," ")</f>
        <v/>
      </c>
      <c r="D76" s="362">
        <f>#REF!+#REF!+#REF!+#REF!+#REF!+#REF!+#REF!+#REF!+#REF!+#REF!+#REF!+#REF!+#REF!+#REF!+#REF!+#REF!+#REF!+#REF!+#REF!+#REF!</f>
        <v/>
      </c>
      <c r="E76" s="380">
        <f>#REF!+#REF!+#REF!+#REF!+#REF!+#REF!+#REF!+#REF!+#REF!+#REF!+#REF!+#REF!+#REF!+#REF!+#REF!+#REF!+#REF!+#REF!+#REF!+#REF!</f>
        <v/>
      </c>
      <c r="F76" s="252">
        <f>IF(E76&gt;0,G76/E76," ")</f>
        <v/>
      </c>
      <c r="G76" s="363">
        <f>#REF!+#REF!+#REF!+#REF!+#REF!+#REF!+#REF!+#REF!+#REF!+#REF!+#REF!+#REF!+#REF!+#REF!+#REF!+#REF!+#REF!+#REF!+#REF!+#REF!</f>
        <v/>
      </c>
      <c r="H76" s="32" t="n"/>
      <c r="I76" s="364">
        <f>D76+G76</f>
        <v/>
      </c>
    </row>
    <row r="77" ht="15" customFormat="1" customHeight="1" s="86">
      <c r="A77" s="50" t="inlineStr">
        <is>
          <t>D.5 PCP/PPI procurement costs (if mentioned as eligible in the topic specific conditions)</t>
        </is>
      </c>
      <c r="B77" s="379">
        <f>#REF!+#REF!+#REF!+#REF!+#REF!+#REF!+#REF!+#REF!+#REF!+#REF!+#REF!+#REF!+#REF!+#REF!+#REF!+#REF!+#REF!+#REF!+#REF!+#REF!</f>
        <v/>
      </c>
      <c r="C77" s="249">
        <f>IF(B77&gt;0,D77/B77," ")</f>
        <v/>
      </c>
      <c r="D77" s="362">
        <f>#REF!+#REF!+#REF!+#REF!+#REF!+#REF!+#REF!+#REF!+#REF!+#REF!+#REF!+#REF!+#REF!+#REF!+#REF!+#REF!+#REF!+#REF!+#REF!+#REF!</f>
        <v/>
      </c>
      <c r="E77" s="380">
        <f>#REF!+#REF!+#REF!+#REF!+#REF!+#REF!+#REF!+#REF!+#REF!+#REF!+#REF!+#REF!+#REF!+#REF!+#REF!+#REF!+#REF!+#REF!+#REF!+#REF!</f>
        <v/>
      </c>
      <c r="F77" s="252">
        <f>IF(E77&gt;0,G77/E77," ")</f>
        <v/>
      </c>
      <c r="G77" s="363">
        <f>#REF!+#REF!+#REF!+#REF!+#REF!+#REF!+#REF!+#REF!+#REF!+#REF!+#REF!+#REF!+#REF!+#REF!+#REF!+#REF!+#REF!+#REF!+#REF!+#REF!</f>
        <v/>
      </c>
      <c r="H77" s="32" t="n"/>
      <c r="I77" s="364">
        <f>D77+G77</f>
        <v/>
      </c>
    </row>
    <row r="78" ht="15" customFormat="1" customHeight="1" s="86">
      <c r="A78" s="51" t="n"/>
      <c r="B78" s="347" t="n"/>
      <c r="C78" s="111" t="n"/>
      <c r="D78" s="366" t="n"/>
      <c r="E78" s="368" t="n"/>
      <c r="F78" s="114" t="n"/>
      <c r="G78" s="366" t="n"/>
      <c r="H78" s="38" t="n"/>
      <c r="I78" s="369" t="n"/>
    </row>
    <row r="79" ht="15" customFormat="1" customHeight="1" s="86">
      <c r="A79" s="52" t="inlineStr">
        <is>
          <t>TOTAL DIRECT PERSONNEL COSTS AND PURCHASE COSTS (A+C)</t>
        </is>
      </c>
      <c r="B79" s="370" t="n"/>
      <c r="C79" s="230" t="n"/>
      <c r="D79" s="383">
        <f>#REF!+#REF!+#REF!+#REF!+#REF!+#REF!+#REF!+#REF!+#REF!+#REF!+#REF!+#REF!+#REF!+#REF!+#REF!+#REF!+#REF!+#REF!+#REF!+#REF!</f>
        <v/>
      </c>
      <c r="E79" s="370" t="n"/>
      <c r="F79" s="230" t="n"/>
      <c r="G79" s="383">
        <f>#REF!+#REF!+#REF!+#REF!+#REF!+#REF!+#REF!+#REF!+#REF!+#REF!+#REF!+#REF!+#REF!+#REF!+#REF!+#REF!+#REF!+#REF!+#REF!+#REF!</f>
        <v/>
      </c>
      <c r="H79" s="32" t="n"/>
      <c r="I79" s="372">
        <f>D79+G79</f>
        <v/>
      </c>
    </row>
    <row r="80" customFormat="1" s="86">
      <c r="A80" s="52" t="inlineStr">
        <is>
          <t>TOTAL DIRECT COSTS  (A+B+C+D)</t>
        </is>
      </c>
      <c r="B80" s="370" t="n"/>
      <c r="C80" s="230" t="n"/>
      <c r="D80" s="383">
        <f>#REF!+#REF!+#REF!+#REF!+#REF!+#REF!+#REF!+#REF!+#REF!+#REF!+#REF!+#REF!+#REF!+#REF!+#REF!+#REF!+#REF!+#REF!+#REF!+#REF!</f>
        <v/>
      </c>
      <c r="E80" s="370" t="n"/>
      <c r="F80" s="230" t="n"/>
      <c r="G80" s="383">
        <f>#REF!+#REF!+#REF!+#REF!+#REF!+#REF!+#REF!+#REF!+#REF!+#REF!+#REF!+#REF!+#REF!+#REF!+#REF!+#REF!+#REF!+#REF!+#REF!+#REF!</f>
        <v/>
      </c>
      <c r="H80" s="32" t="n"/>
      <c r="I80" s="372">
        <f>D80+G80</f>
        <v/>
      </c>
    </row>
    <row r="81" ht="6.95" customFormat="1" customHeight="1" s="86">
      <c r="A81" s="182" t="n"/>
      <c r="B81" s="384" t="n"/>
      <c r="C81" s="192" t="n"/>
      <c r="D81" s="191" t="n"/>
      <c r="E81" s="384" t="n"/>
      <c r="F81" s="192" t="n"/>
      <c r="G81" s="191" t="n"/>
      <c r="H81" s="191" t="n"/>
      <c r="I81" s="174" t="n"/>
    </row>
    <row r="82" ht="15" customFormat="1" customHeight="1" s="86">
      <c r="A82" s="29" t="inlineStr">
        <is>
          <t>E. INDIRECT COSTS (25% * (A+C))</t>
        </is>
      </c>
      <c r="B82" s="370" t="n"/>
      <c r="C82" s="230" t="n"/>
      <c r="D82" s="383">
        <f>#REF!+#REF!+#REF!+#REF!+#REF!+#REF!+#REF!+#REF!+#REF!+#REF!+#REF!+#REF!+#REF!+#REF!+#REF!+#REF!+#REF!+#REF!+#REF!+#REF!</f>
        <v/>
      </c>
      <c r="E82" s="370" t="n"/>
      <c r="F82" s="230" t="n"/>
      <c r="G82" s="383">
        <f>#REF!+#REF!+#REF!+#REF!+#REF!+#REF!+#REF!+#REF!+#REF!+#REF!+#REF!+#REF!+#REF!+#REF!+#REF!+#REF!+#REF!+#REF!+#REF!+#REF!</f>
        <v/>
      </c>
      <c r="H82" s="32" t="n"/>
      <c r="I82" s="372">
        <f>D82+G82</f>
        <v/>
      </c>
    </row>
    <row r="83" ht="6.95" customFormat="1" customHeight="1" s="86">
      <c r="A83" s="182" t="n"/>
      <c r="B83" s="384" t="n"/>
      <c r="C83" s="192" t="n"/>
      <c r="D83" s="191" t="n"/>
      <c r="E83" s="384" t="n"/>
      <c r="F83" s="192" t="n"/>
      <c r="G83" s="191" t="n"/>
      <c r="H83" s="191" t="n"/>
      <c r="I83" s="174" t="n"/>
    </row>
    <row r="84" ht="15" customFormat="1" customHeight="1" s="86">
      <c r="A84" s="29" t="inlineStr">
        <is>
          <t>F. TOTAL COSTS (A+B+C+D+E)</t>
        </is>
      </c>
      <c r="B84" s="370" t="n"/>
      <c r="C84" s="230" t="n"/>
      <c r="D84" s="383">
        <f>#REF!+#REF!+#REF!+#REF!+#REF!+#REF!+#REF!+#REF!+#REF!+#REF!+#REF!+#REF!+#REF!+#REF!+#REF!+#REF!+#REF!+#REF!+D1+#REF!</f>
        <v/>
      </c>
      <c r="E84" s="370" t="n"/>
      <c r="F84" s="230" t="n"/>
      <c r="G84" s="383">
        <f>#REF!+#REF!+#REF!+#REF!+#REF!+#REF!+#REF!+#REF!+#REF!+#REF!+#REF!+#REF!+#REF!+#REF!+#REF!+#REF!+#REF!+#REF!+G1+#REF!</f>
        <v/>
      </c>
      <c r="H84" s="32" t="n"/>
      <c r="I84" s="372">
        <f>D84+G84</f>
        <v/>
      </c>
    </row>
    <row r="85" ht="6.95" customFormat="1" customHeight="1" s="86">
      <c r="A85" s="182" t="n"/>
      <c r="B85" s="191" t="n"/>
      <c r="C85" s="192" t="n"/>
      <c r="D85" s="191" t="n"/>
      <c r="E85" s="191" t="n"/>
      <c r="F85" s="192" t="n"/>
      <c r="G85" s="191" t="n"/>
      <c r="H85" s="191" t="n"/>
      <c r="I85" s="174" t="n"/>
    </row>
    <row r="86" customFormat="1" s="86">
      <c r="A86" s="190" t="n"/>
      <c r="B86" s="185" t="n"/>
      <c r="C86" s="186" t="n"/>
      <c r="D86" s="187" t="n"/>
      <c r="E86" s="185" t="n"/>
      <c r="F86" s="186" t="n"/>
      <c r="G86" s="187" t="n"/>
      <c r="H86" s="188" t="n"/>
      <c r="I86" s="189" t="n"/>
    </row>
    <row r="87" ht="15" customFormat="1" customHeight="1" s="59">
      <c r="B87" s="2" t="n"/>
      <c r="C87" s="112" t="n"/>
      <c r="D87" s="2" t="n"/>
      <c r="E87" s="2" t="n"/>
      <c r="F87" s="112" t="n"/>
      <c r="G87" s="2" t="n"/>
      <c r="H87" s="1" t="n"/>
      <c r="I87" s="171" t="n"/>
    </row>
    <row r="88" ht="15" customFormat="1" customHeight="1" s="59">
      <c r="B88" s="2" t="n"/>
      <c r="C88" s="112" t="n"/>
      <c r="D88" s="2" t="n"/>
      <c r="E88" s="2" t="n"/>
      <c r="F88" s="112" t="n"/>
      <c r="G88" s="2" t="n"/>
      <c r="H88" s="1" t="n"/>
      <c r="I88" s="171" t="n"/>
    </row>
    <row r="89" customFormat="1" s="59">
      <c r="B89" s="2" t="n"/>
      <c r="C89" s="112" t="n"/>
      <c r="D89" s="2" t="n"/>
      <c r="E89" s="2" t="n"/>
      <c r="F89" s="112" t="n"/>
      <c r="G89" s="2" t="n"/>
      <c r="H89" s="1" t="n"/>
      <c r="I89" s="171" t="n"/>
    </row>
    <row r="90" customFormat="1" s="59">
      <c r="B90" s="2" t="n"/>
      <c r="C90" s="112" t="n"/>
      <c r="D90" s="2" t="n"/>
      <c r="E90" s="2" t="n"/>
      <c r="F90" s="112" t="n"/>
      <c r="G90" s="2" t="n"/>
      <c r="H90" s="1" t="n"/>
      <c r="I90" s="171" t="n"/>
    </row>
    <row r="91" customFormat="1" s="59">
      <c r="B91" s="2" t="n"/>
      <c r="C91" s="112" t="n"/>
      <c r="D91" s="2" t="n"/>
      <c r="E91" s="2" t="n"/>
      <c r="F91" s="112" t="n"/>
      <c r="G91" s="2" t="n"/>
      <c r="H91" s="1" t="n"/>
      <c r="I91" s="171" t="n"/>
    </row>
    <row r="92" customFormat="1" s="59">
      <c r="B92" s="2" t="n"/>
      <c r="C92" s="112" t="n"/>
      <c r="D92" s="2" t="n"/>
      <c r="E92" s="2" t="n"/>
      <c r="F92" s="112" t="n"/>
      <c r="G92" s="2" t="n"/>
      <c r="H92" s="1" t="n"/>
      <c r="I92" s="171" t="n"/>
    </row>
    <row r="93" customFormat="1" s="59">
      <c r="B93" s="2" t="n"/>
      <c r="C93" s="112" t="n"/>
      <c r="D93" s="2" t="n"/>
      <c r="E93" s="2" t="n"/>
      <c r="F93" s="112" t="n"/>
      <c r="G93" s="2" t="n"/>
      <c r="H93" s="1" t="n"/>
      <c r="I93" s="171" t="n"/>
    </row>
    <row r="94" customFormat="1" s="59">
      <c r="B94" s="2" t="n"/>
      <c r="C94" s="112" t="n"/>
      <c r="D94" s="2" t="n"/>
      <c r="E94" s="2" t="n"/>
      <c r="F94" s="112" t="n"/>
      <c r="G94" s="2" t="n"/>
      <c r="H94" s="1" t="n"/>
      <c r="I94" s="171" t="n"/>
    </row>
    <row r="95" customFormat="1" s="59">
      <c r="B95" s="2" t="n"/>
      <c r="C95" s="112" t="n"/>
      <c r="D95" s="2" t="n"/>
      <c r="E95" s="2" t="n"/>
      <c r="F95" s="112" t="n"/>
      <c r="G95" s="2" t="n"/>
      <c r="H95" s="1" t="n"/>
      <c r="I95" s="171" t="n"/>
    </row>
    <row r="96" customFormat="1" s="59">
      <c r="B96" s="2" t="n"/>
      <c r="C96" s="112" t="n"/>
      <c r="D96" s="2" t="n"/>
      <c r="E96" s="2" t="n"/>
      <c r="F96" s="112" t="n"/>
      <c r="G96" s="2" t="n"/>
      <c r="H96" s="1" t="n"/>
      <c r="I96" s="171" t="n"/>
    </row>
    <row r="97" customFormat="1" s="59">
      <c r="B97" s="2" t="n"/>
      <c r="C97" s="112" t="n"/>
      <c r="D97" s="2" t="n"/>
      <c r="E97" s="2" t="n"/>
      <c r="F97" s="112" t="n"/>
      <c r="G97" s="2" t="n"/>
      <c r="H97" s="1" t="n"/>
      <c r="I97" s="171" t="n"/>
    </row>
    <row r="98" customFormat="1" s="59">
      <c r="B98" s="2" t="n"/>
      <c r="C98" s="112" t="n"/>
      <c r="D98" s="2" t="n"/>
      <c r="E98" s="2" t="n"/>
      <c r="F98" s="112" t="n"/>
      <c r="G98" s="2" t="n"/>
      <c r="H98" s="1" t="n"/>
      <c r="I98" s="171" t="n"/>
    </row>
    <row r="99" customFormat="1" s="59">
      <c r="B99" s="2" t="n"/>
      <c r="C99" s="112" t="n"/>
      <c r="D99" s="2" t="n"/>
      <c r="E99" s="2" t="n"/>
      <c r="F99" s="112" t="n"/>
      <c r="G99" s="2" t="n"/>
      <c r="H99" s="1" t="n"/>
      <c r="I99" s="171" t="n"/>
    </row>
    <row r="100" customFormat="1" s="59">
      <c r="B100" s="2" t="n"/>
      <c r="C100" s="112" t="n"/>
      <c r="D100" s="2" t="n"/>
      <c r="E100" s="2" t="n"/>
      <c r="F100" s="112" t="n"/>
      <c r="G100" s="2" t="n"/>
      <c r="H100" s="1" t="n"/>
      <c r="I100" s="171" t="n"/>
    </row>
    <row r="101" customFormat="1" s="59">
      <c r="B101" s="2" t="n"/>
      <c r="C101" s="112" t="n"/>
      <c r="D101" s="2" t="n"/>
      <c r="E101" s="2" t="n"/>
      <c r="F101" s="112" t="n"/>
      <c r="G101" s="2" t="n"/>
      <c r="H101" s="1" t="n"/>
      <c r="I101" s="171" t="n"/>
    </row>
    <row r="102" customFormat="1" s="59">
      <c r="B102" s="2" t="n"/>
      <c r="C102" s="112" t="n"/>
      <c r="D102" s="2" t="n"/>
      <c r="E102" s="2" t="n"/>
      <c r="F102" s="112" t="n"/>
      <c r="G102" s="2" t="n"/>
      <c r="H102" s="1" t="n"/>
      <c r="I102" s="171" t="n"/>
    </row>
    <row r="103" customFormat="1" s="59">
      <c r="B103" s="2" t="n"/>
      <c r="C103" s="112" t="n"/>
      <c r="D103" s="2" t="n"/>
      <c r="E103" s="2" t="n"/>
      <c r="F103" s="112" t="n"/>
      <c r="G103" s="2" t="n"/>
      <c r="H103" s="1" t="n"/>
      <c r="I103" s="171" t="n"/>
    </row>
    <row r="104" customFormat="1" s="59">
      <c r="B104" s="2" t="n"/>
      <c r="C104" s="112" t="n"/>
      <c r="D104" s="2" t="n"/>
      <c r="E104" s="2" t="n"/>
      <c r="F104" s="112" t="n"/>
      <c r="G104" s="2" t="n"/>
      <c r="H104" s="1" t="n"/>
      <c r="I104" s="171" t="n"/>
    </row>
    <row r="105" customFormat="1" s="59">
      <c r="B105" s="2" t="n"/>
      <c r="C105" s="112" t="n"/>
      <c r="D105" s="2" t="n"/>
      <c r="E105" s="2" t="n"/>
      <c r="F105" s="112" t="n"/>
      <c r="G105" s="2" t="n"/>
      <c r="H105" s="1" t="n"/>
      <c r="I105" s="171" t="n"/>
    </row>
    <row r="106" customFormat="1" s="59">
      <c r="B106" s="2" t="n"/>
      <c r="C106" s="112" t="n"/>
      <c r="D106" s="2" t="n"/>
      <c r="E106" s="2" t="n"/>
      <c r="F106" s="112" t="n"/>
      <c r="G106" s="2" t="n"/>
      <c r="H106" s="1" t="n"/>
      <c r="I106" s="171" t="n"/>
    </row>
    <row r="107" customFormat="1" s="59">
      <c r="B107" s="2" t="n"/>
      <c r="C107" s="112" t="n"/>
      <c r="D107" s="2" t="n"/>
      <c r="E107" s="2" t="n"/>
      <c r="F107" s="112" t="n"/>
      <c r="G107" s="2" t="n"/>
      <c r="H107" s="1" t="n"/>
      <c r="I107" s="171" t="n"/>
    </row>
    <row r="108" customFormat="1" s="59">
      <c r="B108" s="2" t="n"/>
      <c r="C108" s="112" t="n"/>
      <c r="D108" s="2" t="n"/>
      <c r="E108" s="2" t="n"/>
      <c r="F108" s="112" t="n"/>
      <c r="G108" s="2" t="n"/>
      <c r="H108" s="1" t="n"/>
      <c r="I108" s="171" t="n"/>
    </row>
    <row r="109" customFormat="1" s="59">
      <c r="B109" s="2" t="n"/>
      <c r="C109" s="112" t="n"/>
      <c r="D109" s="2" t="n"/>
      <c r="E109" s="2" t="n"/>
      <c r="F109" s="112" t="n"/>
      <c r="G109" s="2" t="n"/>
      <c r="H109" s="1" t="n"/>
      <c r="I109" s="171" t="n"/>
    </row>
    <row r="110" customFormat="1" s="59">
      <c r="B110" s="2" t="n"/>
      <c r="C110" s="112" t="n"/>
      <c r="D110" s="2" t="n"/>
      <c r="E110" s="2" t="n"/>
      <c r="F110" s="112" t="n"/>
      <c r="G110" s="2" t="n"/>
      <c r="H110" s="1" t="n"/>
      <c r="I110" s="171" t="n"/>
    </row>
    <row r="111" customFormat="1" s="59">
      <c r="B111" s="2" t="n"/>
      <c r="C111" s="112" t="n"/>
      <c r="D111" s="2" t="n"/>
      <c r="E111" s="2" t="n"/>
      <c r="F111" s="112" t="n"/>
      <c r="G111" s="2" t="n"/>
      <c r="H111" s="1" t="n"/>
      <c r="I111" s="171" t="n"/>
    </row>
    <row r="112" customFormat="1" s="59">
      <c r="B112" s="2" t="n"/>
      <c r="C112" s="112" t="n"/>
      <c r="D112" s="2" t="n"/>
      <c r="E112" s="2" t="n"/>
      <c r="F112" s="112" t="n"/>
      <c r="G112" s="2" t="n"/>
      <c r="H112" s="1" t="n"/>
      <c r="I112" s="171" t="n"/>
    </row>
    <row r="113" customFormat="1" s="59">
      <c r="B113" s="2" t="n"/>
      <c r="C113" s="112" t="n"/>
      <c r="D113" s="2" t="n"/>
      <c r="E113" s="2" t="n"/>
      <c r="F113" s="112" t="n"/>
      <c r="G113" s="2" t="n"/>
      <c r="H113" s="1" t="n"/>
      <c r="I113" s="171" t="n"/>
    </row>
    <row r="114" customFormat="1" s="59">
      <c r="B114" s="2" t="n"/>
      <c r="C114" s="112" t="n"/>
      <c r="D114" s="2" t="n"/>
      <c r="E114" s="2" t="n"/>
      <c r="F114" s="112" t="n"/>
      <c r="G114" s="2" t="n"/>
      <c r="H114" s="1" t="n"/>
      <c r="I114" s="171" t="n"/>
    </row>
    <row r="115" customFormat="1" s="59">
      <c r="B115" s="2" t="n"/>
      <c r="C115" s="112" t="n"/>
      <c r="D115" s="2" t="n"/>
      <c r="E115" s="2" t="n"/>
      <c r="F115" s="112" t="n"/>
      <c r="G115" s="2" t="n"/>
      <c r="H115" s="1" t="n"/>
      <c r="I115" s="171" t="n"/>
    </row>
    <row r="116" customFormat="1" s="59">
      <c r="B116" s="2" t="n"/>
      <c r="C116" s="112" t="n"/>
      <c r="D116" s="2" t="n"/>
      <c r="E116" s="2" t="n"/>
      <c r="F116" s="112" t="n"/>
      <c r="G116" s="2" t="n"/>
      <c r="H116" s="1" t="n"/>
      <c r="I116" s="171" t="n"/>
    </row>
    <row r="117" customFormat="1" s="59">
      <c r="B117" s="2" t="n"/>
      <c r="C117" s="112" t="n"/>
      <c r="D117" s="2" t="n"/>
      <c r="E117" s="2" t="n"/>
      <c r="F117" s="112" t="n"/>
      <c r="G117" s="2" t="n"/>
      <c r="H117" s="1" t="n"/>
      <c r="I117" s="171" t="n"/>
    </row>
    <row r="118" customFormat="1" s="59">
      <c r="B118" s="2" t="n"/>
      <c r="C118" s="112" t="n"/>
      <c r="D118" s="2" t="n"/>
      <c r="E118" s="2" t="n"/>
      <c r="F118" s="112" t="n"/>
      <c r="G118" s="2" t="n"/>
      <c r="H118" s="1" t="n"/>
      <c r="I118" s="171" t="n"/>
    </row>
    <row r="119" customFormat="1" s="59">
      <c r="B119" s="2" t="n"/>
      <c r="C119" s="112" t="n"/>
      <c r="D119" s="2" t="n"/>
      <c r="E119" s="2" t="n"/>
      <c r="F119" s="112" t="n"/>
      <c r="G119" s="2" t="n"/>
      <c r="H119" s="1" t="n"/>
      <c r="I119" s="171" t="n"/>
    </row>
    <row r="120" customFormat="1" s="59">
      <c r="B120" s="2" t="n"/>
      <c r="C120" s="112" t="n"/>
      <c r="D120" s="2" t="n"/>
      <c r="E120" s="2" t="n"/>
      <c r="F120" s="112" t="n"/>
      <c r="G120" s="2" t="n"/>
      <c r="H120" s="1" t="n"/>
      <c r="I120" s="171" t="n"/>
    </row>
    <row r="121" customFormat="1" s="59">
      <c r="B121" s="2" t="n"/>
      <c r="C121" s="112" t="n"/>
      <c r="D121" s="2" t="n"/>
      <c r="E121" s="2" t="n"/>
      <c r="F121" s="112" t="n"/>
      <c r="G121" s="2" t="n"/>
      <c r="H121" s="1" t="n"/>
      <c r="I121" s="171" t="n"/>
    </row>
    <row r="122" customFormat="1" s="59">
      <c r="B122" s="2" t="n"/>
      <c r="C122" s="112" t="n"/>
      <c r="D122" s="2" t="n"/>
      <c r="E122" s="2" t="n"/>
      <c r="F122" s="112" t="n"/>
      <c r="G122" s="2" t="n"/>
      <c r="H122" s="1" t="n"/>
      <c r="I122" s="171" t="n"/>
    </row>
    <row r="123" customFormat="1" s="59">
      <c r="B123" s="2" t="n"/>
      <c r="C123" s="112" t="n"/>
      <c r="D123" s="2" t="n"/>
      <c r="E123" s="2" t="n"/>
      <c r="F123" s="112" t="n"/>
      <c r="G123" s="2" t="n"/>
      <c r="H123" s="1" t="n"/>
      <c r="I123" s="171" t="n"/>
    </row>
    <row r="124" customFormat="1" s="59">
      <c r="B124" s="2" t="n"/>
      <c r="C124" s="112" t="n"/>
      <c r="D124" s="2" t="n"/>
      <c r="E124" s="2" t="n"/>
      <c r="F124" s="112" t="n"/>
      <c r="G124" s="2" t="n"/>
      <c r="H124" s="1" t="n"/>
      <c r="I124" s="171" t="n"/>
    </row>
    <row r="125" customFormat="1" s="59">
      <c r="B125" s="2" t="n"/>
      <c r="C125" s="112" t="n"/>
      <c r="D125" s="2" t="n"/>
      <c r="E125" s="2" t="n"/>
      <c r="F125" s="112" t="n"/>
      <c r="G125" s="2" t="n"/>
      <c r="H125" s="1" t="n"/>
      <c r="I125" s="171" t="n"/>
    </row>
    <row r="126" ht="15" customFormat="1" customHeight="1" s="59">
      <c r="B126" s="2" t="n"/>
      <c r="C126" s="112" t="n"/>
      <c r="D126" s="2" t="n"/>
      <c r="E126" s="2" t="n"/>
      <c r="F126" s="112" t="n"/>
      <c r="G126" s="2" t="n"/>
      <c r="H126" s="1" t="n"/>
      <c r="I126" s="171" t="n"/>
    </row>
    <row r="127" ht="15" customFormat="1" customHeight="1" s="59">
      <c r="B127" s="2" t="n"/>
      <c r="C127" s="112" t="n"/>
      <c r="D127" s="2" t="n"/>
      <c r="E127" s="2" t="n"/>
      <c r="F127" s="112" t="n"/>
      <c r="G127" s="2" t="n"/>
      <c r="H127" s="1" t="n"/>
      <c r="I127" s="171" t="n"/>
    </row>
    <row r="128" ht="15" customFormat="1" customHeight="1" s="59">
      <c r="B128" s="2" t="n"/>
      <c r="C128" s="112" t="n"/>
      <c r="D128" s="2" t="n"/>
      <c r="E128" s="2" t="n"/>
      <c r="F128" s="112" t="n"/>
      <c r="G128" s="2" t="n"/>
      <c r="H128" s="1" t="n"/>
      <c r="I128" s="171" t="n"/>
    </row>
    <row r="129" ht="15" customFormat="1" customHeight="1" s="59">
      <c r="B129" s="2" t="n"/>
      <c r="C129" s="112" t="n"/>
      <c r="D129" s="2" t="n"/>
      <c r="E129" s="2" t="n"/>
      <c r="F129" s="112" t="n"/>
      <c r="G129" s="2" t="n"/>
      <c r="H129" s="1" t="n"/>
      <c r="I129" s="171" t="n"/>
    </row>
    <row r="130" ht="15" customFormat="1" customHeight="1" s="59">
      <c r="B130" s="2" t="n"/>
      <c r="C130" s="112" t="n"/>
      <c r="D130" s="2" t="n"/>
      <c r="E130" s="2" t="n"/>
      <c r="F130" s="112" t="n"/>
      <c r="G130" s="2" t="n"/>
      <c r="H130" s="1" t="n"/>
      <c r="I130" s="171" t="n"/>
    </row>
    <row r="131" ht="15" customFormat="1" customHeight="1" s="59">
      <c r="B131" s="2" t="n"/>
      <c r="C131" s="112" t="n"/>
      <c r="D131" s="2" t="n"/>
      <c r="E131" s="2" t="n"/>
      <c r="F131" s="112" t="n"/>
      <c r="G131" s="2" t="n"/>
      <c r="H131" s="1" t="n"/>
      <c r="I131" s="171" t="n"/>
    </row>
    <row r="132" ht="15" customFormat="1" customHeight="1" s="59">
      <c r="B132" s="2" t="n"/>
      <c r="C132" s="112" t="n"/>
      <c r="D132" s="2" t="n"/>
      <c r="E132" s="2" t="n"/>
      <c r="F132" s="112" t="n"/>
      <c r="G132" s="2" t="n"/>
      <c r="H132" s="1" t="n"/>
      <c r="I132" s="171" t="n"/>
    </row>
    <row r="133" ht="15" customFormat="1" customHeight="1" s="59">
      <c r="B133" s="2" t="n"/>
      <c r="C133" s="112" t="n"/>
      <c r="D133" s="2" t="n"/>
      <c r="E133" s="2" t="n"/>
      <c r="F133" s="112" t="n"/>
      <c r="G133" s="2" t="n"/>
      <c r="H133" s="1" t="n"/>
      <c r="I133" s="171" t="n"/>
    </row>
    <row r="134" ht="15" customFormat="1" customHeight="1" s="59">
      <c r="B134" s="2" t="n"/>
      <c r="C134" s="112" t="n"/>
      <c r="D134" s="2" t="n"/>
      <c r="E134" s="2" t="n"/>
      <c r="F134" s="112" t="n"/>
      <c r="G134" s="2" t="n"/>
      <c r="H134" s="1" t="n"/>
      <c r="I134" s="171" t="n"/>
    </row>
    <row r="135" ht="15" customFormat="1" customHeight="1" s="59">
      <c r="B135" s="2" t="n"/>
      <c r="C135" s="112" t="n"/>
      <c r="D135" s="2" t="n"/>
      <c r="E135" s="2" t="n"/>
      <c r="F135" s="112" t="n"/>
      <c r="G135" s="2" t="n"/>
      <c r="H135" s="1" t="n"/>
      <c r="I135" s="171" t="n"/>
    </row>
    <row r="136" ht="15" customFormat="1" customHeight="1" s="59">
      <c r="B136" s="2" t="n"/>
      <c r="C136" s="112" t="n"/>
      <c r="D136" s="2" t="n"/>
      <c r="E136" s="2" t="n"/>
      <c r="F136" s="112" t="n"/>
      <c r="G136" s="2" t="n"/>
      <c r="H136" s="1" t="n"/>
      <c r="I136" s="171" t="n"/>
    </row>
    <row r="137" ht="15" customFormat="1" customHeight="1" s="59">
      <c r="B137" s="2" t="n"/>
      <c r="C137" s="112" t="n"/>
      <c r="D137" s="2" t="n"/>
      <c r="E137" s="2" t="n"/>
      <c r="F137" s="112" t="n"/>
      <c r="G137" s="2" t="n"/>
      <c r="H137" s="1" t="n"/>
      <c r="I137" s="171" t="n"/>
    </row>
    <row r="138" ht="15" customFormat="1" customHeight="1" s="59">
      <c r="B138" s="2" t="n"/>
      <c r="C138" s="112" t="n"/>
      <c r="D138" s="2" t="n"/>
      <c r="E138" s="2" t="n"/>
      <c r="F138" s="112" t="n"/>
      <c r="G138" s="2" t="n"/>
      <c r="H138" s="1" t="n"/>
      <c r="I138" s="171" t="n"/>
    </row>
    <row r="139" ht="15" customFormat="1" customHeight="1" s="59">
      <c r="B139" s="2" t="n"/>
      <c r="C139" s="112" t="n"/>
      <c r="D139" s="2" t="n"/>
      <c r="E139" s="2" t="n"/>
      <c r="F139" s="112" t="n"/>
      <c r="G139" s="2" t="n"/>
      <c r="H139" s="1" t="n"/>
      <c r="I139" s="171" t="n"/>
    </row>
    <row r="140" ht="15" customFormat="1" customHeight="1" s="59">
      <c r="B140" s="2" t="n"/>
      <c r="C140" s="112" t="n"/>
      <c r="D140" s="2" t="n"/>
      <c r="E140" s="2" t="n"/>
      <c r="F140" s="112" t="n"/>
      <c r="G140" s="2" t="n"/>
      <c r="H140" s="1" t="n"/>
      <c r="I140" s="171" t="n"/>
    </row>
    <row r="141" ht="15" customFormat="1" customHeight="1" s="59">
      <c r="B141" s="2" t="n"/>
      <c r="C141" s="112" t="n"/>
      <c r="D141" s="2" t="n"/>
      <c r="E141" s="2" t="n"/>
      <c r="F141" s="112" t="n"/>
      <c r="G141" s="2" t="n"/>
      <c r="H141" s="1" t="n"/>
      <c r="I141" s="171" t="n"/>
    </row>
    <row r="142" ht="15" customFormat="1" customHeight="1" s="59">
      <c r="B142" s="2" t="n"/>
      <c r="C142" s="112" t="n"/>
      <c r="D142" s="2" t="n"/>
      <c r="E142" s="2" t="n"/>
      <c r="F142" s="112" t="n"/>
      <c r="G142" s="2" t="n"/>
      <c r="H142" s="1" t="n"/>
      <c r="I142" s="171" t="n"/>
    </row>
    <row r="143" ht="15" customFormat="1" customHeight="1" s="59">
      <c r="B143" s="2" t="n"/>
      <c r="C143" s="112" t="n"/>
      <c r="D143" s="2" t="n"/>
      <c r="E143" s="2" t="n"/>
      <c r="F143" s="112" t="n"/>
      <c r="G143" s="2" t="n"/>
      <c r="H143" s="1" t="n"/>
      <c r="I143" s="171" t="n"/>
    </row>
    <row r="144" ht="15" customFormat="1" customHeight="1" s="59">
      <c r="B144" s="2" t="n"/>
      <c r="C144" s="112" t="n"/>
      <c r="D144" s="2" t="n"/>
      <c r="E144" s="2" t="n"/>
      <c r="F144" s="112" t="n"/>
      <c r="G144" s="2" t="n"/>
      <c r="H144" s="1" t="n"/>
      <c r="I144" s="171" t="n"/>
    </row>
    <row r="145" ht="15" customFormat="1" customHeight="1" s="59">
      <c r="B145" s="2" t="n"/>
      <c r="C145" s="112" t="n"/>
      <c r="D145" s="2" t="n"/>
      <c r="E145" s="2" t="n"/>
      <c r="F145" s="112" t="n"/>
      <c r="G145" s="2" t="n"/>
      <c r="H145" s="1" t="n"/>
      <c r="I145" s="171" t="n"/>
    </row>
    <row r="146" ht="15" customFormat="1" customHeight="1" s="59">
      <c r="B146" s="2" t="n"/>
      <c r="C146" s="112" t="n"/>
      <c r="D146" s="2" t="n"/>
      <c r="E146" s="2" t="n"/>
      <c r="F146" s="112" t="n"/>
      <c r="G146" s="2" t="n"/>
      <c r="H146" s="1" t="n"/>
      <c r="I146" s="171" t="n"/>
    </row>
    <row r="147" ht="15" customFormat="1" customHeight="1" s="59">
      <c r="B147" s="2" t="n"/>
      <c r="C147" s="112" t="n"/>
      <c r="D147" s="2" t="n"/>
      <c r="E147" s="2" t="n"/>
      <c r="F147" s="112" t="n"/>
      <c r="G147" s="2" t="n"/>
      <c r="H147" s="1" t="n"/>
      <c r="I147" s="171" t="n"/>
    </row>
    <row r="148" ht="15" customFormat="1" customHeight="1" s="59">
      <c r="B148" s="2" t="n"/>
      <c r="C148" s="112" t="n"/>
      <c r="D148" s="2" t="n"/>
      <c r="E148" s="2" t="n"/>
      <c r="F148" s="112" t="n"/>
      <c r="G148" s="2" t="n"/>
      <c r="H148" s="1" t="n"/>
      <c r="I148" s="171" t="n"/>
    </row>
    <row r="149" ht="15" customFormat="1" customHeight="1" s="59">
      <c r="B149" s="2" t="n"/>
      <c r="C149" s="112" t="n"/>
      <c r="D149" s="2" t="n"/>
      <c r="E149" s="2" t="n"/>
      <c r="F149" s="112" t="n"/>
      <c r="G149" s="2" t="n"/>
      <c r="H149" s="1" t="n"/>
      <c r="I149" s="171" t="n"/>
    </row>
    <row r="150" ht="15" customFormat="1" customHeight="1" s="59">
      <c r="B150" s="2" t="n"/>
      <c r="C150" s="112" t="n"/>
      <c r="D150" s="2" t="n"/>
      <c r="E150" s="2" t="n"/>
      <c r="F150" s="112" t="n"/>
      <c r="G150" s="2" t="n"/>
      <c r="H150" s="1" t="n"/>
      <c r="I150" s="171" t="n"/>
    </row>
    <row r="151" ht="15" customFormat="1" customHeight="1" s="59">
      <c r="B151" s="2" t="n"/>
      <c r="C151" s="112" t="n"/>
      <c r="D151" s="2" t="n"/>
      <c r="E151" s="2" t="n"/>
      <c r="F151" s="112" t="n"/>
      <c r="G151" s="2" t="n"/>
      <c r="H151" s="1" t="n"/>
      <c r="I151" s="171" t="n"/>
    </row>
    <row r="152" ht="15" customFormat="1" customHeight="1" s="59">
      <c r="B152" s="2" t="n"/>
      <c r="C152" s="112" t="n"/>
      <c r="D152" s="2" t="n"/>
      <c r="E152" s="2" t="n"/>
      <c r="F152" s="112" t="n"/>
      <c r="G152" s="2" t="n"/>
      <c r="H152" s="1" t="n"/>
      <c r="I152" s="171" t="n"/>
    </row>
    <row r="153" ht="15" customFormat="1" customHeight="1" s="59">
      <c r="B153" s="2" t="n"/>
      <c r="C153" s="112" t="n"/>
      <c r="D153" s="2" t="n"/>
      <c r="E153" s="2" t="n"/>
      <c r="F153" s="112" t="n"/>
      <c r="G153" s="2" t="n"/>
      <c r="H153" s="1" t="n"/>
      <c r="I153" s="171" t="n"/>
    </row>
    <row r="154" ht="15" customFormat="1" customHeight="1" s="59">
      <c r="B154" s="2" t="n"/>
      <c r="C154" s="112" t="n"/>
      <c r="D154" s="2" t="n"/>
      <c r="E154" s="2" t="n"/>
      <c r="F154" s="112" t="n"/>
      <c r="G154" s="2" t="n"/>
      <c r="H154" s="1" t="n"/>
      <c r="I154" s="171" t="n"/>
    </row>
    <row r="155" ht="15" customFormat="1" customHeight="1" s="59">
      <c r="B155" s="2" t="n"/>
      <c r="C155" s="112" t="n"/>
      <c r="D155" s="2" t="n"/>
      <c r="E155" s="2" t="n"/>
      <c r="F155" s="112" t="n"/>
      <c r="G155" s="2" t="n"/>
      <c r="H155" s="1" t="n"/>
      <c r="I155" s="171" t="n"/>
    </row>
    <row r="156" ht="15" customFormat="1" customHeight="1" s="59">
      <c r="B156" s="2" t="n"/>
      <c r="C156" s="112" t="n"/>
      <c r="D156" s="2" t="n"/>
      <c r="E156" s="2" t="n"/>
      <c r="F156" s="112" t="n"/>
      <c r="G156" s="2" t="n"/>
      <c r="H156" s="1" t="n"/>
      <c r="I156" s="171" t="n"/>
    </row>
    <row r="157" ht="15" customFormat="1" customHeight="1" s="59">
      <c r="B157" s="2" t="n"/>
      <c r="C157" s="112" t="n"/>
      <c r="D157" s="2" t="n"/>
      <c r="E157" s="2" t="n"/>
      <c r="F157" s="112" t="n"/>
      <c r="G157" s="2" t="n"/>
      <c r="H157" s="1" t="n"/>
      <c r="I157" s="171" t="n"/>
    </row>
    <row r="158" ht="15" customFormat="1" customHeight="1" s="59">
      <c r="B158" s="2" t="n"/>
      <c r="C158" s="112" t="n"/>
      <c r="D158" s="2" t="n"/>
      <c r="E158" s="2" t="n"/>
      <c r="F158" s="112" t="n"/>
      <c r="G158" s="2" t="n"/>
      <c r="H158" s="1" t="n"/>
      <c r="I158" s="171" t="n"/>
    </row>
    <row r="159" ht="15" customFormat="1" customHeight="1" s="59">
      <c r="B159" s="2" t="n"/>
      <c r="C159" s="112" t="n"/>
      <c r="D159" s="2" t="n"/>
      <c r="E159" s="2" t="n"/>
      <c r="F159" s="112" t="n"/>
      <c r="G159" s="2" t="n"/>
      <c r="H159" s="1" t="n"/>
      <c r="I159" s="171" t="n"/>
    </row>
    <row r="160" ht="15" customFormat="1" customHeight="1" s="59">
      <c r="B160" s="2" t="n"/>
      <c r="C160" s="112" t="n"/>
      <c r="D160" s="2" t="n"/>
      <c r="E160" s="2" t="n"/>
      <c r="F160" s="112" t="n"/>
      <c r="G160" s="2" t="n"/>
      <c r="H160" s="1" t="n"/>
      <c r="I160" s="171" t="n"/>
    </row>
    <row r="161" ht="15" customFormat="1" customHeight="1" s="59">
      <c r="B161" s="2" t="n"/>
      <c r="C161" s="112" t="n"/>
      <c r="D161" s="2" t="n"/>
      <c r="E161" s="2" t="n"/>
      <c r="F161" s="112" t="n"/>
      <c r="G161" s="2" t="n"/>
      <c r="H161" s="1" t="n"/>
      <c r="I161" s="171" t="n"/>
    </row>
    <row r="162" ht="15" customFormat="1" customHeight="1" s="59">
      <c r="B162" s="2" t="n"/>
      <c r="C162" s="112" t="n"/>
      <c r="D162" s="2" t="n"/>
      <c r="E162" s="2" t="n"/>
      <c r="F162" s="112" t="n"/>
      <c r="G162" s="2" t="n"/>
      <c r="H162" s="1" t="n"/>
      <c r="I162" s="171" t="n"/>
    </row>
    <row r="163" ht="15" customHeight="1"/>
    <row r="164" ht="15" customHeight="1"/>
    <row r="165" ht="15" customHeight="1"/>
    <row r="166" ht="15" customHeight="1"/>
    <row r="167" ht="15" customFormat="1" customHeight="1" s="59">
      <c r="B167" s="2" t="n"/>
      <c r="C167" s="112" t="n"/>
      <c r="D167" s="2" t="n"/>
      <c r="E167" s="2" t="n"/>
      <c r="F167" s="112" t="n"/>
      <c r="G167" s="2" t="n"/>
      <c r="H167" s="1" t="n"/>
      <c r="I167" s="171" t="n"/>
    </row>
    <row r="168" ht="15" customFormat="1" customHeight="1" s="59">
      <c r="B168" s="2" t="n"/>
      <c r="C168" s="112" t="n"/>
      <c r="D168" s="2" t="n"/>
      <c r="E168" s="2" t="n"/>
      <c r="F168" s="112" t="n"/>
      <c r="G168" s="2" t="n"/>
      <c r="H168" s="1" t="n"/>
      <c r="I168" s="171" t="n"/>
    </row>
    <row r="169" ht="15" customFormat="1" customHeight="1" s="59">
      <c r="B169" s="2" t="n"/>
      <c r="C169" s="112" t="n"/>
      <c r="D169" s="2" t="n"/>
      <c r="E169" s="2" t="n"/>
      <c r="F169" s="112" t="n"/>
      <c r="G169" s="2" t="n"/>
      <c r="H169" s="1" t="n"/>
      <c r="I169" s="171" t="n"/>
    </row>
    <row r="170" ht="15" customFormat="1" customHeight="1" s="59">
      <c r="B170" s="2" t="n"/>
      <c r="C170" s="112" t="n"/>
      <c r="D170" s="2" t="n"/>
      <c r="E170" s="2" t="n"/>
      <c r="F170" s="112" t="n"/>
      <c r="G170" s="2" t="n"/>
      <c r="H170" s="1" t="n"/>
      <c r="I170" s="171" t="n"/>
    </row>
    <row r="171" ht="15" customFormat="1" customHeight="1" s="59">
      <c r="B171" s="2" t="n"/>
      <c r="C171" s="112" t="n"/>
      <c r="D171" s="2" t="n"/>
      <c r="E171" s="2" t="n"/>
      <c r="F171" s="112" t="n"/>
      <c r="G171" s="2" t="n"/>
      <c r="H171" s="1" t="n"/>
      <c r="I171" s="171" t="n"/>
    </row>
    <row r="172" ht="15" customFormat="1" customHeight="1" s="59">
      <c r="B172" s="2" t="n"/>
      <c r="C172" s="112" t="n"/>
      <c r="D172" s="2" t="n"/>
      <c r="E172" s="2" t="n"/>
      <c r="F172" s="112" t="n"/>
      <c r="G172" s="2" t="n"/>
      <c r="H172" s="1" t="n"/>
      <c r="I172" s="171" t="n"/>
    </row>
    <row r="173" ht="15" customFormat="1" customHeight="1" s="59">
      <c r="B173" s="2" t="n"/>
      <c r="C173" s="112" t="n"/>
      <c r="D173" s="2" t="n"/>
      <c r="E173" s="2" t="n"/>
      <c r="F173" s="112" t="n"/>
      <c r="G173" s="2" t="n"/>
      <c r="H173" s="1" t="n"/>
      <c r="I173" s="171" t="n"/>
    </row>
    <row r="174" ht="15" customFormat="1" customHeight="1" s="59">
      <c r="B174" s="2" t="n"/>
      <c r="C174" s="112" t="n"/>
      <c r="D174" s="2" t="n"/>
      <c r="E174" s="2" t="n"/>
      <c r="F174" s="112" t="n"/>
      <c r="G174" s="2" t="n"/>
      <c r="H174" s="1" t="n"/>
      <c r="I174" s="171" t="n"/>
    </row>
    <row r="175" ht="15" customFormat="1" customHeight="1" s="59">
      <c r="B175" s="2" t="n"/>
      <c r="C175" s="112" t="n"/>
      <c r="D175" s="2" t="n"/>
      <c r="E175" s="2" t="n"/>
      <c r="F175" s="112" t="n"/>
      <c r="G175" s="2" t="n"/>
      <c r="H175" s="1" t="n"/>
      <c r="I175" s="171" t="n"/>
    </row>
    <row r="176" ht="15" customFormat="1" customHeight="1" s="59">
      <c r="B176" s="2" t="n"/>
      <c r="C176" s="112" t="n"/>
      <c r="D176" s="2" t="n"/>
      <c r="E176" s="2" t="n"/>
      <c r="F176" s="112" t="n"/>
      <c r="G176" s="2" t="n"/>
      <c r="H176" s="1" t="n"/>
      <c r="I176" s="171" t="n"/>
    </row>
    <row r="177" ht="15" customFormat="1" customHeight="1" s="59">
      <c r="B177" s="2" t="n"/>
      <c r="C177" s="112" t="n"/>
      <c r="D177" s="2" t="n"/>
      <c r="E177" s="2" t="n"/>
      <c r="F177" s="112" t="n"/>
      <c r="G177" s="2" t="n"/>
      <c r="H177" s="1" t="n"/>
      <c r="I177" s="171" t="n"/>
    </row>
    <row r="178" ht="15" customFormat="1" customHeight="1" s="59">
      <c r="B178" s="2" t="n"/>
      <c r="C178" s="112" t="n"/>
      <c r="D178" s="2" t="n"/>
      <c r="E178" s="2" t="n"/>
      <c r="F178" s="112" t="n"/>
      <c r="G178" s="2" t="n"/>
      <c r="H178" s="1" t="n"/>
      <c r="I178" s="171" t="n"/>
    </row>
    <row r="179" ht="15" customFormat="1" customHeight="1" s="59">
      <c r="B179" s="2" t="n"/>
      <c r="C179" s="112" t="n"/>
      <c r="D179" s="2" t="n"/>
      <c r="E179" s="2" t="n"/>
      <c r="F179" s="112" t="n"/>
      <c r="G179" s="2" t="n"/>
      <c r="H179" s="1" t="n"/>
      <c r="I179" s="171" t="n"/>
    </row>
    <row r="180" ht="15" customFormat="1" customHeight="1" s="59">
      <c r="B180" s="2" t="n"/>
      <c r="C180" s="112" t="n"/>
      <c r="D180" s="2" t="n"/>
      <c r="E180" s="2" t="n"/>
      <c r="F180" s="112" t="n"/>
      <c r="G180" s="2" t="n"/>
      <c r="H180" s="1" t="n"/>
      <c r="I180" s="171" t="n"/>
    </row>
    <row r="181" ht="15" customFormat="1" customHeight="1" s="59">
      <c r="B181" s="2" t="n"/>
      <c r="C181" s="112" t="n"/>
      <c r="D181" s="2" t="n"/>
      <c r="E181" s="2" t="n"/>
      <c r="F181" s="112" t="n"/>
      <c r="G181" s="2" t="n"/>
      <c r="H181" s="1" t="n"/>
      <c r="I181" s="171" t="n"/>
    </row>
    <row r="182" ht="15" customFormat="1" customHeight="1" s="59">
      <c r="B182" s="2" t="n"/>
      <c r="C182" s="112" t="n"/>
      <c r="D182" s="2" t="n"/>
      <c r="E182" s="2" t="n"/>
      <c r="F182" s="112" t="n"/>
      <c r="G182" s="2" t="n"/>
      <c r="H182" s="1" t="n"/>
      <c r="I182" s="171" t="n"/>
    </row>
    <row r="183" ht="15" customFormat="1" customHeight="1" s="59">
      <c r="B183" s="2" t="n"/>
      <c r="C183" s="112" t="n"/>
      <c r="D183" s="2" t="n"/>
      <c r="E183" s="2" t="n"/>
      <c r="F183" s="112" t="n"/>
      <c r="G183" s="2" t="n"/>
      <c r="H183" s="1" t="n"/>
      <c r="I183" s="171" t="n"/>
    </row>
    <row r="184" ht="15" customFormat="1" customHeight="1" s="59">
      <c r="B184" s="2" t="n"/>
      <c r="C184" s="112" t="n"/>
      <c r="D184" s="2" t="n"/>
      <c r="E184" s="2" t="n"/>
      <c r="F184" s="112" t="n"/>
      <c r="G184" s="2" t="n"/>
      <c r="H184" s="1" t="n"/>
      <c r="I184" s="171" t="n"/>
    </row>
    <row r="185" ht="15" customFormat="1" customHeight="1" s="59">
      <c r="B185" s="2" t="n"/>
      <c r="C185" s="112" t="n"/>
      <c r="D185" s="2" t="n"/>
      <c r="E185" s="2" t="n"/>
      <c r="F185" s="112" t="n"/>
      <c r="G185" s="2" t="n"/>
      <c r="H185" s="1" t="n"/>
      <c r="I185" s="171" t="n"/>
    </row>
    <row r="186" ht="15" customFormat="1" customHeight="1" s="59">
      <c r="B186" s="2" t="n"/>
      <c r="C186" s="112" t="n"/>
      <c r="D186" s="2" t="n"/>
      <c r="E186" s="2" t="n"/>
      <c r="F186" s="112" t="n"/>
      <c r="G186" s="2" t="n"/>
      <c r="H186" s="1" t="n"/>
      <c r="I186" s="171" t="n"/>
    </row>
    <row r="187" ht="15" customFormat="1" customHeight="1" s="59">
      <c r="B187" s="2" t="n"/>
      <c r="C187" s="112" t="n"/>
      <c r="D187" s="2" t="n"/>
      <c r="E187" s="2" t="n"/>
      <c r="F187" s="112" t="n"/>
      <c r="G187" s="2" t="n"/>
      <c r="H187" s="1" t="n"/>
      <c r="I187" s="171" t="n"/>
    </row>
    <row r="188" ht="15" customFormat="1" customHeight="1" s="59">
      <c r="B188" s="2" t="n"/>
      <c r="C188" s="112" t="n"/>
      <c r="D188" s="2" t="n"/>
      <c r="E188" s="2" t="n"/>
      <c r="F188" s="112" t="n"/>
      <c r="G188" s="2" t="n"/>
      <c r="H188" s="1" t="n"/>
      <c r="I188" s="171" t="n"/>
    </row>
    <row r="189" ht="15" customFormat="1" customHeight="1" s="59">
      <c r="B189" s="2" t="n"/>
      <c r="C189" s="112" t="n"/>
      <c r="D189" s="2" t="n"/>
      <c r="E189" s="2" t="n"/>
      <c r="F189" s="112" t="n"/>
      <c r="G189" s="2" t="n"/>
      <c r="H189" s="1" t="n"/>
      <c r="I189" s="171" t="n"/>
    </row>
    <row r="190" ht="15" customFormat="1" customHeight="1" s="59">
      <c r="B190" s="2" t="n"/>
      <c r="C190" s="112" t="n"/>
      <c r="D190" s="2" t="n"/>
      <c r="E190" s="2" t="n"/>
      <c r="F190" s="112" t="n"/>
      <c r="G190" s="2" t="n"/>
      <c r="H190" s="1" t="n"/>
      <c r="I190" s="171" t="n"/>
    </row>
    <row r="191" ht="15" customFormat="1" customHeight="1" s="59">
      <c r="B191" s="2" t="n"/>
      <c r="C191" s="112" t="n"/>
      <c r="D191" s="2" t="n"/>
      <c r="E191" s="2" t="n"/>
      <c r="F191" s="112" t="n"/>
      <c r="G191" s="2" t="n"/>
      <c r="H191" s="1" t="n"/>
      <c r="I191" s="171" t="n"/>
    </row>
    <row r="192" ht="15" customFormat="1" customHeight="1" s="59">
      <c r="B192" s="2" t="n"/>
      <c r="C192" s="112" t="n"/>
      <c r="D192" s="2" t="n"/>
      <c r="E192" s="2" t="n"/>
      <c r="F192" s="112" t="n"/>
      <c r="G192" s="2" t="n"/>
      <c r="H192" s="1" t="n"/>
      <c r="I192" s="171" t="n"/>
    </row>
    <row r="193" ht="15" customFormat="1" customHeight="1" s="59">
      <c r="B193" s="2" t="n"/>
      <c r="C193" s="112" t="n"/>
      <c r="D193" s="2" t="n"/>
      <c r="E193" s="2" t="n"/>
      <c r="F193" s="112" t="n"/>
      <c r="G193" s="2" t="n"/>
      <c r="H193" s="1" t="n"/>
      <c r="I193" s="171" t="n"/>
    </row>
    <row r="194" ht="15" customFormat="1" customHeight="1" s="59">
      <c r="B194" s="2" t="n"/>
      <c r="C194" s="112" t="n"/>
      <c r="D194" s="2" t="n"/>
      <c r="E194" s="2" t="n"/>
      <c r="F194" s="112" t="n"/>
      <c r="G194" s="2" t="n"/>
      <c r="H194" s="1" t="n"/>
      <c r="I194" s="171" t="n"/>
    </row>
    <row r="195" ht="15" customFormat="1" customHeight="1" s="59">
      <c r="B195" s="2" t="n"/>
      <c r="C195" s="112" t="n"/>
      <c r="D195" s="2" t="n"/>
      <c r="E195" s="2" t="n"/>
      <c r="F195" s="112" t="n"/>
      <c r="G195" s="2" t="n"/>
      <c r="H195" s="1" t="n"/>
      <c r="I195" s="171" t="n"/>
    </row>
    <row r="196" ht="15" customFormat="1" customHeight="1" s="59">
      <c r="B196" s="2" t="n"/>
      <c r="C196" s="112" t="n"/>
      <c r="D196" s="2" t="n"/>
      <c r="E196" s="2" t="n"/>
      <c r="F196" s="112" t="n"/>
      <c r="G196" s="2" t="n"/>
      <c r="H196" s="1" t="n"/>
      <c r="I196" s="171" t="n"/>
    </row>
    <row r="197" ht="15" customFormat="1" customHeight="1" s="59">
      <c r="B197" s="2" t="n"/>
      <c r="C197" s="112" t="n"/>
      <c r="D197" s="2" t="n"/>
      <c r="E197" s="2" t="n"/>
      <c r="F197" s="112" t="n"/>
      <c r="G197" s="2" t="n"/>
      <c r="H197" s="1" t="n"/>
      <c r="I197" s="171" t="n"/>
    </row>
    <row r="198" ht="15" customFormat="1" customHeight="1" s="59">
      <c r="B198" s="2" t="n"/>
      <c r="C198" s="112" t="n"/>
      <c r="D198" s="2" t="n"/>
      <c r="E198" s="2" t="n"/>
      <c r="F198" s="112" t="n"/>
      <c r="G198" s="2" t="n"/>
      <c r="H198" s="1" t="n"/>
      <c r="I198" s="171" t="n"/>
    </row>
    <row r="199" ht="15" customFormat="1" customHeight="1" s="59">
      <c r="B199" s="2" t="n"/>
      <c r="C199" s="112" t="n"/>
      <c r="D199" s="2" t="n"/>
      <c r="E199" s="2" t="n"/>
      <c r="F199" s="112" t="n"/>
      <c r="G199" s="2" t="n"/>
      <c r="H199" s="1" t="n"/>
      <c r="I199" s="171" t="n"/>
    </row>
    <row r="200" ht="15" customFormat="1" customHeight="1" s="59">
      <c r="B200" s="2" t="n"/>
      <c r="C200" s="112" t="n"/>
      <c r="D200" s="2" t="n"/>
      <c r="E200" s="2" t="n"/>
      <c r="F200" s="112" t="n"/>
      <c r="G200" s="2" t="n"/>
      <c r="H200" s="1" t="n"/>
      <c r="I200" s="171" t="n"/>
    </row>
    <row r="201" ht="15" customFormat="1" customHeight="1" s="59">
      <c r="B201" s="2" t="n"/>
      <c r="C201" s="112" t="n"/>
      <c r="D201" s="2" t="n"/>
      <c r="E201" s="2" t="n"/>
      <c r="F201" s="112" t="n"/>
      <c r="G201" s="2" t="n"/>
      <c r="H201" s="1" t="n"/>
      <c r="I201" s="171" t="n"/>
    </row>
    <row r="202" ht="15" customFormat="1" customHeight="1" s="59">
      <c r="B202" s="2" t="n"/>
      <c r="C202" s="112" t="n"/>
      <c r="D202" s="2" t="n"/>
      <c r="E202" s="2" t="n"/>
      <c r="F202" s="112" t="n"/>
      <c r="G202" s="2" t="n"/>
      <c r="H202" s="1" t="n"/>
      <c r="I202" s="171" t="n"/>
    </row>
    <row r="203" ht="15" customFormat="1" customHeight="1" s="59">
      <c r="B203" s="2" t="n"/>
      <c r="C203" s="112" t="n"/>
      <c r="D203" s="2" t="n"/>
      <c r="E203" s="2" t="n"/>
      <c r="F203" s="112" t="n"/>
      <c r="G203" s="2" t="n"/>
      <c r="H203" s="1" t="n"/>
      <c r="I203" s="171" t="n"/>
    </row>
    <row r="204" ht="15" customFormat="1" customHeight="1" s="59">
      <c r="B204" s="2" t="n"/>
      <c r="C204" s="112" t="n"/>
      <c r="D204" s="2" t="n"/>
      <c r="E204" s="2" t="n"/>
      <c r="F204" s="112" t="n"/>
      <c r="G204" s="2" t="n"/>
      <c r="H204" s="1" t="n"/>
      <c r="I204" s="171" t="n"/>
    </row>
    <row r="205" ht="15" customFormat="1" customHeight="1" s="59">
      <c r="B205" s="2" t="n"/>
      <c r="C205" s="112" t="n"/>
      <c r="D205" s="2" t="n"/>
      <c r="E205" s="2" t="n"/>
      <c r="F205" s="112" t="n"/>
      <c r="G205" s="2" t="n"/>
      <c r="H205" s="1" t="n"/>
      <c r="I205" s="171" t="n"/>
    </row>
    <row r="206" ht="15" customFormat="1" customHeight="1" s="59">
      <c r="B206" s="2" t="n"/>
      <c r="C206" s="112" t="n"/>
      <c r="D206" s="2" t="n"/>
      <c r="E206" s="2" t="n"/>
      <c r="F206" s="112" t="n"/>
      <c r="G206" s="2" t="n"/>
      <c r="H206" s="1" t="n"/>
      <c r="I206" s="171" t="n"/>
    </row>
    <row r="207" ht="15" customFormat="1" customHeight="1" s="59">
      <c r="B207" s="2" t="n"/>
      <c r="C207" s="112" t="n"/>
      <c r="D207" s="2" t="n"/>
      <c r="E207" s="2" t="n"/>
      <c r="F207" s="112" t="n"/>
      <c r="G207" s="2" t="n"/>
      <c r="H207" s="1" t="n"/>
      <c r="I207" s="171" t="n"/>
    </row>
    <row r="208" ht="15" customFormat="1" customHeight="1" s="59">
      <c r="B208" s="2" t="n"/>
      <c r="C208" s="112" t="n"/>
      <c r="D208" s="2" t="n"/>
      <c r="E208" s="2" t="n"/>
      <c r="F208" s="112" t="n"/>
      <c r="G208" s="2" t="n"/>
      <c r="H208" s="1" t="n"/>
      <c r="I208" s="171" t="n"/>
    </row>
    <row r="209" ht="15" customFormat="1" customHeight="1" s="59">
      <c r="B209" s="2" t="n"/>
      <c r="C209" s="112" t="n"/>
      <c r="D209" s="2" t="n"/>
      <c r="E209" s="2" t="n"/>
      <c r="F209" s="112" t="n"/>
      <c r="G209" s="2" t="n"/>
      <c r="H209" s="1" t="n"/>
      <c r="I209" s="171" t="n"/>
    </row>
    <row r="210" ht="15" customFormat="1" customHeight="1" s="59">
      <c r="B210" s="2" t="n"/>
      <c r="C210" s="112" t="n"/>
      <c r="D210" s="2" t="n"/>
      <c r="E210" s="2" t="n"/>
      <c r="F210" s="112" t="n"/>
      <c r="G210" s="2" t="n"/>
      <c r="H210" s="1" t="n"/>
      <c r="I210" s="171" t="n"/>
    </row>
    <row r="211" ht="15" customFormat="1" customHeight="1" s="59">
      <c r="B211" s="2" t="n"/>
      <c r="C211" s="112" t="n"/>
      <c r="D211" s="2" t="n"/>
      <c r="E211" s="2" t="n"/>
      <c r="F211" s="112" t="n"/>
      <c r="G211" s="2" t="n"/>
      <c r="H211" s="1" t="n"/>
      <c r="I211" s="171" t="n"/>
    </row>
    <row r="212" ht="15" customFormat="1" customHeight="1" s="59">
      <c r="B212" s="2" t="n"/>
      <c r="C212" s="112" t="n"/>
      <c r="D212" s="2" t="n"/>
      <c r="E212" s="2" t="n"/>
      <c r="F212" s="112" t="n"/>
      <c r="G212" s="2" t="n"/>
      <c r="H212" s="1" t="n"/>
      <c r="I212" s="171" t="n"/>
    </row>
    <row r="213" ht="15" customFormat="1" customHeight="1" s="59">
      <c r="B213" s="2" t="n"/>
      <c r="C213" s="112" t="n"/>
      <c r="D213" s="2" t="n"/>
      <c r="E213" s="2" t="n"/>
      <c r="F213" s="112" t="n"/>
      <c r="G213" s="2" t="n"/>
      <c r="H213" s="1" t="n"/>
      <c r="I213" s="171" t="n"/>
    </row>
    <row r="214" ht="15" customFormat="1" customHeight="1" s="59">
      <c r="B214" s="2" t="n"/>
      <c r="C214" s="112" t="n"/>
      <c r="D214" s="2" t="n"/>
      <c r="E214" s="2" t="n"/>
      <c r="F214" s="112" t="n"/>
      <c r="G214" s="2" t="n"/>
      <c r="H214" s="1" t="n"/>
      <c r="I214" s="171" t="n"/>
    </row>
    <row r="215" ht="15" customFormat="1" customHeight="1" s="59">
      <c r="B215" s="2" t="n"/>
      <c r="C215" s="112" t="n"/>
      <c r="D215" s="2" t="n"/>
      <c r="E215" s="2" t="n"/>
      <c r="F215" s="112" t="n"/>
      <c r="G215" s="2" t="n"/>
      <c r="H215" s="1" t="n"/>
      <c r="I215" s="171" t="n"/>
    </row>
    <row r="216" ht="15" customFormat="1" customHeight="1" s="59">
      <c r="B216" s="2" t="n"/>
      <c r="C216" s="112" t="n"/>
      <c r="D216" s="2" t="n"/>
      <c r="E216" s="2" t="n"/>
      <c r="F216" s="112" t="n"/>
      <c r="G216" s="2" t="n"/>
      <c r="H216" s="1" t="n"/>
      <c r="I216" s="171" t="n"/>
    </row>
    <row r="217" ht="15" customFormat="1" customHeight="1" s="59">
      <c r="B217" s="2" t="n"/>
      <c r="C217" s="112" t="n"/>
      <c r="D217" s="2" t="n"/>
      <c r="E217" s="2" t="n"/>
      <c r="F217" s="112" t="n"/>
      <c r="G217" s="2" t="n"/>
      <c r="H217" s="1" t="n"/>
      <c r="I217" s="171" t="n"/>
    </row>
    <row r="218" ht="15" customFormat="1" customHeight="1" s="59">
      <c r="B218" s="2" t="n"/>
      <c r="C218" s="112" t="n"/>
      <c r="D218" s="2" t="n"/>
      <c r="E218" s="2" t="n"/>
      <c r="F218" s="112" t="n"/>
      <c r="G218" s="2" t="n"/>
      <c r="H218" s="1" t="n"/>
      <c r="I218" s="171" t="n"/>
    </row>
    <row r="219" ht="15" customFormat="1" customHeight="1" s="59">
      <c r="B219" s="2" t="n"/>
      <c r="C219" s="112" t="n"/>
      <c r="D219" s="2" t="n"/>
      <c r="E219" s="2" t="n"/>
      <c r="F219" s="112" t="n"/>
      <c r="G219" s="2" t="n"/>
      <c r="H219" s="1" t="n"/>
      <c r="I219" s="171" t="n"/>
    </row>
    <row r="220" ht="15" customFormat="1" customHeight="1" s="59">
      <c r="B220" s="2" t="n"/>
      <c r="C220" s="112" t="n"/>
      <c r="D220" s="2" t="n"/>
      <c r="E220" s="2" t="n"/>
      <c r="F220" s="112" t="n"/>
      <c r="G220" s="2" t="n"/>
      <c r="H220" s="1" t="n"/>
      <c r="I220" s="171" t="n"/>
    </row>
    <row r="221" ht="15" customFormat="1" customHeight="1" s="59">
      <c r="B221" s="2" t="n"/>
      <c r="C221" s="112" t="n"/>
      <c r="D221" s="2" t="n"/>
      <c r="E221" s="2" t="n"/>
      <c r="F221" s="112" t="n"/>
      <c r="G221" s="2" t="n"/>
      <c r="H221" s="1" t="n"/>
      <c r="I221" s="171" t="n"/>
    </row>
    <row r="222" ht="15" customFormat="1" customHeight="1" s="59">
      <c r="B222" s="2" t="n"/>
      <c r="C222" s="112" t="n"/>
      <c r="D222" s="2" t="n"/>
      <c r="E222" s="2" t="n"/>
      <c r="F222" s="112" t="n"/>
      <c r="G222" s="2" t="n"/>
      <c r="H222" s="1" t="n"/>
      <c r="I222" s="171" t="n"/>
    </row>
    <row r="223" ht="15" customFormat="1" customHeight="1" s="59">
      <c r="B223" s="2" t="n"/>
      <c r="C223" s="112" t="n"/>
      <c r="D223" s="2" t="n"/>
      <c r="E223" s="2" t="n"/>
      <c r="F223" s="112" t="n"/>
      <c r="G223" s="2" t="n"/>
      <c r="H223" s="1" t="n"/>
      <c r="I223" s="171" t="n"/>
    </row>
    <row r="224" ht="15" customFormat="1" customHeight="1" s="59">
      <c r="B224" s="2" t="n"/>
      <c r="C224" s="112" t="n"/>
      <c r="D224" s="2" t="n"/>
      <c r="E224" s="2" t="n"/>
      <c r="F224" s="112" t="n"/>
      <c r="G224" s="2" t="n"/>
      <c r="H224" s="1" t="n"/>
      <c r="I224" s="171" t="n"/>
    </row>
    <row r="225" ht="15" customFormat="1" customHeight="1" s="59">
      <c r="B225" s="2" t="n"/>
      <c r="C225" s="112" t="n"/>
      <c r="D225" s="2" t="n"/>
      <c r="E225" s="2" t="n"/>
      <c r="F225" s="112" t="n"/>
      <c r="G225" s="2" t="n"/>
      <c r="H225" s="1" t="n"/>
      <c r="I225" s="171" t="n"/>
    </row>
    <row r="226" ht="15" customFormat="1" customHeight="1" s="59">
      <c r="B226" s="2" t="n"/>
      <c r="C226" s="112" t="n"/>
      <c r="D226" s="2" t="n"/>
      <c r="E226" s="2" t="n"/>
      <c r="F226" s="112" t="n"/>
      <c r="G226" s="2" t="n"/>
      <c r="H226" s="1" t="n"/>
      <c r="I226" s="171" t="n"/>
    </row>
    <row r="227" ht="15" customFormat="1" customHeight="1" s="59">
      <c r="B227" s="2" t="n"/>
      <c r="C227" s="112" t="n"/>
      <c r="D227" s="2" t="n"/>
      <c r="E227" s="2" t="n"/>
      <c r="F227" s="112" t="n"/>
      <c r="G227" s="2" t="n"/>
      <c r="H227" s="1" t="n"/>
      <c r="I227" s="171" t="n"/>
    </row>
    <row r="228" ht="15" customFormat="1" customHeight="1" s="59">
      <c r="B228" s="2" t="n"/>
      <c r="C228" s="112" t="n"/>
      <c r="D228" s="2" t="n"/>
      <c r="E228" s="2" t="n"/>
      <c r="F228" s="112" t="n"/>
      <c r="G228" s="2" t="n"/>
      <c r="H228" s="1" t="n"/>
      <c r="I228" s="171" t="n"/>
    </row>
    <row r="229" ht="15" customFormat="1" customHeight="1" s="59">
      <c r="B229" s="2" t="n"/>
      <c r="C229" s="112" t="n"/>
      <c r="D229" s="2" t="n"/>
      <c r="E229" s="2" t="n"/>
      <c r="F229" s="112" t="n"/>
      <c r="G229" s="2" t="n"/>
      <c r="H229" s="1" t="n"/>
      <c r="I229" s="171" t="n"/>
    </row>
    <row r="230" ht="15" customFormat="1" customHeight="1" s="59">
      <c r="B230" s="2" t="n"/>
      <c r="C230" s="112" t="n"/>
      <c r="D230" s="2" t="n"/>
      <c r="E230" s="2" t="n"/>
      <c r="F230" s="112" t="n"/>
      <c r="G230" s="2" t="n"/>
      <c r="H230" s="1" t="n"/>
      <c r="I230" s="171" t="n"/>
    </row>
    <row r="231" ht="15" customFormat="1" customHeight="1" s="59">
      <c r="B231" s="2" t="n"/>
      <c r="C231" s="112" t="n"/>
      <c r="D231" s="2" t="n"/>
      <c r="E231" s="2" t="n"/>
      <c r="F231" s="112" t="n"/>
      <c r="G231" s="2" t="n"/>
      <c r="H231" s="1" t="n"/>
      <c r="I231" s="171" t="n"/>
    </row>
    <row r="232" ht="15" customFormat="1" customHeight="1" s="59">
      <c r="B232" s="2" t="n"/>
      <c r="C232" s="112" t="n"/>
      <c r="D232" s="2" t="n"/>
      <c r="E232" s="2" t="n"/>
      <c r="F232" s="112" t="n"/>
      <c r="G232" s="2" t="n"/>
      <c r="H232" s="1" t="n"/>
      <c r="I232" s="171" t="n"/>
    </row>
    <row r="233" ht="15" customFormat="1" customHeight="1" s="59">
      <c r="B233" s="2" t="n"/>
      <c r="C233" s="112" t="n"/>
      <c r="D233" s="2" t="n"/>
      <c r="E233" s="2" t="n"/>
      <c r="F233" s="112" t="n"/>
      <c r="G233" s="2" t="n"/>
      <c r="H233" s="1" t="n"/>
      <c r="I233" s="171" t="n"/>
    </row>
    <row r="234" ht="15" customFormat="1" customHeight="1" s="59">
      <c r="B234" s="2" t="n"/>
      <c r="C234" s="112" t="n"/>
      <c r="D234" s="2" t="n"/>
      <c r="E234" s="2" t="n"/>
      <c r="F234" s="112" t="n"/>
      <c r="G234" s="2" t="n"/>
      <c r="H234" s="1" t="n"/>
      <c r="I234" s="171" t="n"/>
    </row>
    <row r="235" ht="15" customFormat="1" customHeight="1" s="59">
      <c r="B235" s="2" t="n"/>
      <c r="C235" s="112" t="n"/>
      <c r="D235" s="2" t="n"/>
      <c r="E235" s="2" t="n"/>
      <c r="F235" s="112" t="n"/>
      <c r="G235" s="2" t="n"/>
      <c r="H235" s="1" t="n"/>
      <c r="I235" s="171" t="n"/>
    </row>
    <row r="236" ht="15" customFormat="1" customHeight="1" s="59">
      <c r="B236" s="2" t="n"/>
      <c r="C236" s="112" t="n"/>
      <c r="D236" s="2" t="n"/>
      <c r="E236" s="2" t="n"/>
      <c r="F236" s="112" t="n"/>
      <c r="G236" s="2" t="n"/>
      <c r="H236" s="1" t="n"/>
      <c r="I236" s="171" t="n"/>
    </row>
    <row r="237" ht="15" customFormat="1" customHeight="1" s="59">
      <c r="B237" s="2" t="n"/>
      <c r="C237" s="112" t="n"/>
      <c r="D237" s="2" t="n"/>
      <c r="E237" s="2" t="n"/>
      <c r="F237" s="112" t="n"/>
      <c r="G237" s="2" t="n"/>
      <c r="H237" s="1" t="n"/>
      <c r="I237" s="171" t="n"/>
    </row>
    <row r="238" ht="15" customFormat="1" customHeight="1" s="59">
      <c r="B238" s="2" t="n"/>
      <c r="C238" s="112" t="n"/>
      <c r="D238" s="2" t="n"/>
      <c r="E238" s="2" t="n"/>
      <c r="F238" s="112" t="n"/>
      <c r="G238" s="2" t="n"/>
      <c r="H238" s="1" t="n"/>
      <c r="I238" s="171" t="n"/>
    </row>
    <row r="239" ht="15" customFormat="1" customHeight="1" s="59">
      <c r="B239" s="2" t="n"/>
      <c r="C239" s="112" t="n"/>
      <c r="D239" s="2" t="n"/>
      <c r="E239" s="2" t="n"/>
      <c r="F239" s="112" t="n"/>
      <c r="G239" s="2" t="n"/>
      <c r="H239" s="1" t="n"/>
      <c r="I239" s="171" t="n"/>
    </row>
    <row r="240" ht="15" customFormat="1" customHeight="1" s="59">
      <c r="B240" s="2" t="n"/>
      <c r="C240" s="112" t="n"/>
      <c r="D240" s="2" t="n"/>
      <c r="E240" s="2" t="n"/>
      <c r="F240" s="112" t="n"/>
      <c r="G240" s="2" t="n"/>
      <c r="H240" s="1" t="n"/>
      <c r="I240" s="171" t="n"/>
    </row>
    <row r="241" ht="15" customFormat="1" customHeight="1" s="59">
      <c r="B241" s="2" t="n"/>
      <c r="C241" s="112" t="n"/>
      <c r="D241" s="2" t="n"/>
      <c r="E241" s="2" t="n"/>
      <c r="F241" s="112" t="n"/>
      <c r="G241" s="2" t="n"/>
      <c r="H241" s="1" t="n"/>
      <c r="I241" s="171" t="n"/>
    </row>
    <row r="242" ht="15" customFormat="1" customHeight="1" s="59">
      <c r="B242" s="2" t="n"/>
      <c r="C242" s="112" t="n"/>
      <c r="D242" s="2" t="n"/>
      <c r="E242" s="2" t="n"/>
      <c r="F242" s="112" t="n"/>
      <c r="G242" s="2" t="n"/>
      <c r="H242" s="1" t="n"/>
      <c r="I242" s="171" t="n"/>
    </row>
    <row r="243" ht="15" customFormat="1" customHeight="1" s="59">
      <c r="B243" s="2" t="n"/>
      <c r="C243" s="112" t="n"/>
      <c r="D243" s="2" t="n"/>
      <c r="E243" s="2" t="n"/>
      <c r="F243" s="112" t="n"/>
      <c r="G243" s="2" t="n"/>
      <c r="H243" s="1" t="n"/>
      <c r="I243" s="171" t="n"/>
    </row>
    <row r="244" ht="15" customFormat="1" customHeight="1" s="59">
      <c r="B244" s="2" t="n"/>
      <c r="C244" s="112" t="n"/>
      <c r="D244" s="2" t="n"/>
      <c r="E244" s="2" t="n"/>
      <c r="F244" s="112" t="n"/>
      <c r="G244" s="2" t="n"/>
      <c r="H244" s="1" t="n"/>
      <c r="I244" s="171" t="n"/>
    </row>
    <row r="245" ht="15" customFormat="1" customHeight="1" s="59">
      <c r="B245" s="2" t="n"/>
      <c r="C245" s="112" t="n"/>
      <c r="D245" s="2" t="n"/>
      <c r="E245" s="2" t="n"/>
      <c r="F245" s="112" t="n"/>
      <c r="G245" s="2" t="n"/>
      <c r="H245" s="1" t="n"/>
      <c r="I245" s="171" t="n"/>
    </row>
    <row r="246" ht="15" customFormat="1" customHeight="1" s="59">
      <c r="B246" s="2" t="n"/>
      <c r="C246" s="112" t="n"/>
      <c r="D246" s="2" t="n"/>
      <c r="E246" s="2" t="n"/>
      <c r="F246" s="112" t="n"/>
      <c r="G246" s="2" t="n"/>
      <c r="H246" s="1" t="n"/>
      <c r="I246" s="171" t="n"/>
    </row>
    <row r="247" ht="15" customFormat="1" customHeight="1" s="59">
      <c r="B247" s="2" t="n"/>
      <c r="C247" s="112" t="n"/>
      <c r="D247" s="2" t="n"/>
      <c r="E247" s="2" t="n"/>
      <c r="F247" s="112" t="n"/>
      <c r="G247" s="2" t="n"/>
      <c r="H247" s="1" t="n"/>
      <c r="I247" s="171" t="n"/>
    </row>
    <row r="248" ht="15" customFormat="1" customHeight="1" s="59">
      <c r="B248" s="2" t="n"/>
      <c r="C248" s="112" t="n"/>
      <c r="D248" s="2" t="n"/>
      <c r="E248" s="2" t="n"/>
      <c r="F248" s="112" t="n"/>
      <c r="G248" s="2" t="n"/>
      <c r="H248" s="1" t="n"/>
      <c r="I248" s="171" t="n"/>
    </row>
    <row r="249" ht="15" customFormat="1" customHeight="1" s="59">
      <c r="B249" s="2" t="n"/>
      <c r="C249" s="112" t="n"/>
      <c r="D249" s="2" t="n"/>
      <c r="E249" s="2" t="n"/>
      <c r="F249" s="112" t="n"/>
      <c r="G249" s="2" t="n"/>
      <c r="H249" s="1" t="n"/>
      <c r="I249" s="171" t="n"/>
    </row>
    <row r="250" ht="15" customFormat="1" customHeight="1" s="59">
      <c r="B250" s="2" t="n"/>
      <c r="C250" s="112" t="n"/>
      <c r="D250" s="2" t="n"/>
      <c r="E250" s="2" t="n"/>
      <c r="F250" s="112" t="n"/>
      <c r="G250" s="2" t="n"/>
      <c r="H250" s="1" t="n"/>
      <c r="I250" s="171" t="n"/>
    </row>
    <row r="251" ht="15" customFormat="1" customHeight="1" s="59">
      <c r="B251" s="2" t="n"/>
      <c r="C251" s="112" t="n"/>
      <c r="D251" s="2" t="n"/>
      <c r="E251" s="2" t="n"/>
      <c r="F251" s="112" t="n"/>
      <c r="G251" s="2" t="n"/>
      <c r="H251" s="1" t="n"/>
      <c r="I251" s="171" t="n"/>
    </row>
    <row r="252" ht="15" customFormat="1" customHeight="1" s="59">
      <c r="B252" s="2" t="n"/>
      <c r="C252" s="112" t="n"/>
      <c r="D252" s="2" t="n"/>
      <c r="E252" s="2" t="n"/>
      <c r="F252" s="112" t="n"/>
      <c r="G252" s="2" t="n"/>
      <c r="H252" s="1" t="n"/>
      <c r="I252" s="171" t="n"/>
    </row>
    <row r="253" ht="15" customFormat="1" customHeight="1" s="59">
      <c r="B253" s="2" t="n"/>
      <c r="C253" s="112" t="n"/>
      <c r="D253" s="2" t="n"/>
      <c r="E253" s="2" t="n"/>
      <c r="F253" s="112" t="n"/>
      <c r="G253" s="2" t="n"/>
      <c r="H253" s="1" t="n"/>
      <c r="I253" s="171" t="n"/>
    </row>
    <row r="254" ht="15" customFormat="1" customHeight="1" s="59">
      <c r="B254" s="2" t="n"/>
      <c r="C254" s="112" t="n"/>
      <c r="D254" s="2" t="n"/>
      <c r="E254" s="2" t="n"/>
      <c r="F254" s="112" t="n"/>
      <c r="G254" s="2" t="n"/>
      <c r="H254" s="1" t="n"/>
      <c r="I254" s="171" t="n"/>
    </row>
    <row r="255" ht="15" customFormat="1" customHeight="1" s="59">
      <c r="B255" s="2" t="n"/>
      <c r="C255" s="112" t="n"/>
      <c r="D255" s="2" t="n"/>
      <c r="E255" s="2" t="n"/>
      <c r="F255" s="112" t="n"/>
      <c r="G255" s="2" t="n"/>
      <c r="H255" s="1" t="n"/>
      <c r="I255" s="171" t="n"/>
    </row>
    <row r="256" ht="15" customFormat="1" customHeight="1" s="59">
      <c r="B256" s="2" t="n"/>
      <c r="C256" s="112" t="n"/>
      <c r="D256" s="2" t="n"/>
      <c r="E256" s="2" t="n"/>
      <c r="F256" s="112" t="n"/>
      <c r="G256" s="2" t="n"/>
      <c r="H256" s="1" t="n"/>
      <c r="I256" s="171" t="n"/>
    </row>
    <row r="257" ht="15" customFormat="1" customHeight="1" s="59">
      <c r="B257" s="2" t="n"/>
      <c r="C257" s="112" t="n"/>
      <c r="D257" s="2" t="n"/>
      <c r="E257" s="2" t="n"/>
      <c r="F257" s="112" t="n"/>
      <c r="G257" s="2" t="n"/>
      <c r="H257" s="1" t="n"/>
      <c r="I257" s="171" t="n"/>
    </row>
    <row r="258" ht="15" customFormat="1" customHeight="1" s="59">
      <c r="B258" s="2" t="n"/>
      <c r="C258" s="112" t="n"/>
      <c r="D258" s="2" t="n"/>
      <c r="E258" s="2" t="n"/>
      <c r="F258" s="112" t="n"/>
      <c r="G258" s="2" t="n"/>
      <c r="H258" s="1" t="n"/>
      <c r="I258" s="171" t="n"/>
    </row>
    <row r="259" ht="15" customFormat="1" customHeight="1" s="59">
      <c r="B259" s="2" t="n"/>
      <c r="C259" s="112" t="n"/>
      <c r="D259" s="2" t="n"/>
      <c r="E259" s="2" t="n"/>
      <c r="F259" s="112" t="n"/>
      <c r="G259" s="2" t="n"/>
      <c r="H259" s="1" t="n"/>
      <c r="I259" s="171" t="n"/>
    </row>
    <row r="260" ht="15" customFormat="1" customHeight="1" s="59">
      <c r="B260" s="2" t="n"/>
      <c r="C260" s="112" t="n"/>
      <c r="D260" s="2" t="n"/>
      <c r="E260" s="2" t="n"/>
      <c r="F260" s="112" t="n"/>
      <c r="G260" s="2" t="n"/>
      <c r="H260" s="1" t="n"/>
      <c r="I260" s="171" t="n"/>
    </row>
    <row r="261" ht="15" customFormat="1" customHeight="1" s="59">
      <c r="B261" s="2" t="n"/>
      <c r="C261" s="112" t="n"/>
      <c r="D261" s="2" t="n"/>
      <c r="E261" s="2" t="n"/>
      <c r="F261" s="112" t="n"/>
      <c r="G261" s="2" t="n"/>
      <c r="H261" s="1" t="n"/>
      <c r="I261" s="171" t="n"/>
    </row>
    <row r="262" ht="15" customFormat="1" customHeight="1" s="59">
      <c r="B262" s="2" t="n"/>
      <c r="C262" s="112" t="n"/>
      <c r="D262" s="2" t="n"/>
      <c r="E262" s="2" t="n"/>
      <c r="F262" s="112" t="n"/>
      <c r="G262" s="2" t="n"/>
      <c r="H262" s="1" t="n"/>
      <c r="I262" s="171" t="n"/>
    </row>
    <row r="263" ht="15" customFormat="1" customHeight="1" s="59">
      <c r="B263" s="2" t="n"/>
      <c r="C263" s="112" t="n"/>
      <c r="D263" s="2" t="n"/>
      <c r="E263" s="2" t="n"/>
      <c r="F263" s="112" t="n"/>
      <c r="G263" s="2" t="n"/>
      <c r="H263" s="1" t="n"/>
      <c r="I263" s="171" t="n"/>
    </row>
    <row r="264" ht="15" customFormat="1" customHeight="1" s="59">
      <c r="B264" s="2" t="n"/>
      <c r="C264" s="112" t="n"/>
      <c r="D264" s="2" t="n"/>
      <c r="E264" s="2" t="n"/>
      <c r="F264" s="112" t="n"/>
      <c r="G264" s="2" t="n"/>
      <c r="H264" s="1" t="n"/>
      <c r="I264" s="171" t="n"/>
    </row>
    <row r="265" ht="15" customFormat="1" customHeight="1" s="59">
      <c r="B265" s="2" t="n"/>
      <c r="C265" s="112" t="n"/>
      <c r="D265" s="2" t="n"/>
      <c r="E265" s="2" t="n"/>
      <c r="F265" s="112" t="n"/>
      <c r="G265" s="2" t="n"/>
      <c r="H265" s="1" t="n"/>
      <c r="I265" s="171" t="n"/>
    </row>
    <row r="266" ht="15" customFormat="1" customHeight="1" s="59">
      <c r="B266" s="2" t="n"/>
      <c r="C266" s="112" t="n"/>
      <c r="D266" s="2" t="n"/>
      <c r="E266" s="2" t="n"/>
      <c r="F266" s="112" t="n"/>
      <c r="G266" s="2" t="n"/>
      <c r="H266" s="1" t="n"/>
      <c r="I266" s="171" t="n"/>
    </row>
    <row r="267" ht="15" customFormat="1" customHeight="1" s="59">
      <c r="B267" s="2" t="n"/>
      <c r="C267" s="112" t="n"/>
      <c r="D267" s="2" t="n"/>
      <c r="E267" s="2" t="n"/>
      <c r="F267" s="112" t="n"/>
      <c r="G267" s="2" t="n"/>
      <c r="H267" s="1" t="n"/>
      <c r="I267" s="171" t="n"/>
    </row>
    <row r="268" ht="15" customFormat="1" customHeight="1" s="59">
      <c r="B268" s="2" t="n"/>
      <c r="C268" s="112" t="n"/>
      <c r="D268" s="2" t="n"/>
      <c r="E268" s="2" t="n"/>
      <c r="F268" s="112" t="n"/>
      <c r="G268" s="2" t="n"/>
      <c r="H268" s="1" t="n"/>
      <c r="I268" s="171" t="n"/>
    </row>
    <row r="269" ht="15" customFormat="1" customHeight="1" s="59">
      <c r="B269" s="2" t="n"/>
      <c r="C269" s="112" t="n"/>
      <c r="D269" s="2" t="n"/>
      <c r="E269" s="2" t="n"/>
      <c r="F269" s="112" t="n"/>
      <c r="G269" s="2" t="n"/>
      <c r="H269" s="1" t="n"/>
      <c r="I269" s="171" t="n"/>
    </row>
    <row r="270" ht="15" customFormat="1" customHeight="1" s="59">
      <c r="B270" s="2" t="n"/>
      <c r="C270" s="112" t="n"/>
      <c r="D270" s="2" t="n"/>
      <c r="E270" s="2" t="n"/>
      <c r="F270" s="112" t="n"/>
      <c r="G270" s="2" t="n"/>
      <c r="H270" s="1" t="n"/>
      <c r="I270" s="171" t="n"/>
    </row>
    <row r="271" ht="15" customFormat="1" customHeight="1" s="59">
      <c r="B271" s="2" t="n"/>
      <c r="C271" s="112" t="n"/>
      <c r="D271" s="2" t="n"/>
      <c r="E271" s="2" t="n"/>
      <c r="F271" s="112" t="n"/>
      <c r="G271" s="2" t="n"/>
      <c r="H271" s="1" t="n"/>
      <c r="I271" s="171" t="n"/>
    </row>
    <row r="272" ht="15" customFormat="1" customHeight="1" s="59">
      <c r="B272" s="2" t="n"/>
      <c r="C272" s="112" t="n"/>
      <c r="D272" s="2" t="n"/>
      <c r="E272" s="2" t="n"/>
      <c r="F272" s="112" t="n"/>
      <c r="G272" s="2" t="n"/>
      <c r="H272" s="1" t="n"/>
      <c r="I272" s="171" t="n"/>
    </row>
    <row r="273" ht="15" customFormat="1" customHeight="1" s="59">
      <c r="B273" s="2" t="n"/>
      <c r="C273" s="112" t="n"/>
      <c r="D273" s="2" t="n"/>
      <c r="E273" s="2" t="n"/>
      <c r="F273" s="112" t="n"/>
      <c r="G273" s="2" t="n"/>
      <c r="H273" s="1" t="n"/>
      <c r="I273" s="171" t="n"/>
    </row>
    <row r="274" ht="15" customFormat="1" customHeight="1" s="59">
      <c r="B274" s="2" t="n"/>
      <c r="C274" s="112" t="n"/>
      <c r="D274" s="2" t="n"/>
      <c r="E274" s="2" t="n"/>
      <c r="F274" s="112" t="n"/>
      <c r="G274" s="2" t="n"/>
      <c r="H274" s="1" t="n"/>
      <c r="I274" s="171" t="n"/>
    </row>
    <row r="275" ht="15" customFormat="1" customHeight="1" s="59">
      <c r="B275" s="2" t="n"/>
      <c r="C275" s="112" t="n"/>
      <c r="D275" s="2" t="n"/>
      <c r="E275" s="2" t="n"/>
      <c r="F275" s="112" t="n"/>
      <c r="G275" s="2" t="n"/>
      <c r="H275" s="1" t="n"/>
      <c r="I275" s="171" t="n"/>
    </row>
    <row r="276" ht="15" customFormat="1" customHeight="1" s="59">
      <c r="B276" s="2" t="n"/>
      <c r="C276" s="112" t="n"/>
      <c r="D276" s="2" t="n"/>
      <c r="E276" s="2" t="n"/>
      <c r="F276" s="112" t="n"/>
      <c r="G276" s="2" t="n"/>
      <c r="H276" s="1" t="n"/>
      <c r="I276" s="171" t="n"/>
    </row>
    <row r="277" ht="15" customFormat="1" customHeight="1" s="59">
      <c r="B277" s="2" t="n"/>
      <c r="C277" s="112" t="n"/>
      <c r="D277" s="2" t="n"/>
      <c r="E277" s="2" t="n"/>
      <c r="F277" s="112" t="n"/>
      <c r="G277" s="2" t="n"/>
      <c r="H277" s="1" t="n"/>
      <c r="I277" s="171" t="n"/>
    </row>
    <row r="278" ht="15" customFormat="1" customHeight="1" s="59">
      <c r="B278" s="2" t="n"/>
      <c r="C278" s="112" t="n"/>
      <c r="D278" s="2" t="n"/>
      <c r="E278" s="2" t="n"/>
      <c r="F278" s="112" t="n"/>
      <c r="G278" s="2" t="n"/>
      <c r="H278" s="1" t="n"/>
      <c r="I278" s="171" t="n"/>
    </row>
    <row r="279" ht="15" customFormat="1" customHeight="1" s="59">
      <c r="B279" s="2" t="n"/>
      <c r="C279" s="112" t="n"/>
      <c r="D279" s="2" t="n"/>
      <c r="E279" s="2" t="n"/>
      <c r="F279" s="112" t="n"/>
      <c r="G279" s="2" t="n"/>
      <c r="H279" s="1" t="n"/>
      <c r="I279" s="171" t="n"/>
    </row>
    <row r="280" ht="15" customFormat="1" customHeight="1" s="59">
      <c r="B280" s="2" t="n"/>
      <c r="C280" s="112" t="n"/>
      <c r="D280" s="2" t="n"/>
      <c r="E280" s="2" t="n"/>
      <c r="F280" s="112" t="n"/>
      <c r="G280" s="2" t="n"/>
      <c r="H280" s="1" t="n"/>
      <c r="I280" s="171" t="n"/>
    </row>
    <row r="281" ht="15" customFormat="1" customHeight="1" s="59">
      <c r="B281" s="2" t="n"/>
      <c r="C281" s="112" t="n"/>
      <c r="D281" s="2" t="n"/>
      <c r="E281" s="2" t="n"/>
      <c r="F281" s="112" t="n"/>
      <c r="G281" s="2" t="n"/>
      <c r="H281" s="1" t="n"/>
      <c r="I281" s="171" t="n"/>
    </row>
    <row r="282" ht="15" customFormat="1" customHeight="1" s="59">
      <c r="B282" s="2" t="n"/>
      <c r="C282" s="112" t="n"/>
      <c r="D282" s="2" t="n"/>
      <c r="E282" s="2" t="n"/>
      <c r="F282" s="112" t="n"/>
      <c r="G282" s="2" t="n"/>
      <c r="H282" s="1" t="n"/>
      <c r="I282" s="171" t="n"/>
    </row>
    <row r="283" ht="15" customFormat="1" customHeight="1" s="59">
      <c r="B283" s="2" t="n"/>
      <c r="C283" s="112" t="n"/>
      <c r="D283" s="2" t="n"/>
      <c r="E283" s="2" t="n"/>
      <c r="F283" s="112" t="n"/>
      <c r="G283" s="2" t="n"/>
      <c r="H283" s="1" t="n"/>
      <c r="I283" s="171" t="n"/>
    </row>
    <row r="284" ht="15" customFormat="1" customHeight="1" s="59">
      <c r="B284" s="2" t="n"/>
      <c r="C284" s="112" t="n"/>
      <c r="D284" s="2" t="n"/>
      <c r="E284" s="2" t="n"/>
      <c r="F284" s="112" t="n"/>
      <c r="G284" s="2" t="n"/>
      <c r="H284" s="1" t="n"/>
      <c r="I284" s="171" t="n"/>
    </row>
    <row r="285" ht="15" customFormat="1" customHeight="1" s="59">
      <c r="B285" s="2" t="n"/>
      <c r="C285" s="112" t="n"/>
      <c r="D285" s="2" t="n"/>
      <c r="E285" s="2" t="n"/>
      <c r="F285" s="112" t="n"/>
      <c r="G285" s="2" t="n"/>
      <c r="H285" s="1" t="n"/>
      <c r="I285" s="171" t="n"/>
    </row>
    <row r="286" ht="15" customFormat="1" customHeight="1" s="59">
      <c r="B286" s="2" t="n"/>
      <c r="C286" s="112" t="n"/>
      <c r="D286" s="2" t="n"/>
      <c r="E286" s="2" t="n"/>
      <c r="F286" s="112" t="n"/>
      <c r="G286" s="2" t="n"/>
      <c r="H286" s="1" t="n"/>
      <c r="I286" s="171" t="n"/>
    </row>
    <row r="287" ht="15" customFormat="1" customHeight="1" s="59">
      <c r="B287" s="2" t="n"/>
      <c r="C287" s="112" t="n"/>
      <c r="D287" s="2" t="n"/>
      <c r="E287" s="2" t="n"/>
      <c r="F287" s="112" t="n"/>
      <c r="G287" s="2" t="n"/>
      <c r="H287" s="1" t="n"/>
      <c r="I287" s="171" t="n"/>
    </row>
    <row r="288" ht="15" customFormat="1" customHeight="1" s="59">
      <c r="B288" s="2" t="n"/>
      <c r="C288" s="112" t="n"/>
      <c r="D288" s="2" t="n"/>
      <c r="E288" s="2" t="n"/>
      <c r="F288" s="112" t="n"/>
      <c r="G288" s="2" t="n"/>
      <c r="H288" s="1" t="n"/>
      <c r="I288" s="171" t="n"/>
    </row>
    <row r="289" ht="15" customFormat="1" customHeight="1" s="59">
      <c r="B289" s="2" t="n"/>
      <c r="C289" s="112" t="n"/>
      <c r="D289" s="2" t="n"/>
      <c r="E289" s="2" t="n"/>
      <c r="F289" s="112" t="n"/>
      <c r="G289" s="2" t="n"/>
      <c r="H289" s="1" t="n"/>
      <c r="I289" s="171" t="n"/>
    </row>
    <row r="290" ht="15" customFormat="1" customHeight="1" s="59">
      <c r="B290" s="2" t="n"/>
      <c r="C290" s="112" t="n"/>
      <c r="D290" s="2" t="n"/>
      <c r="E290" s="2" t="n"/>
      <c r="F290" s="112" t="n"/>
      <c r="G290" s="2" t="n"/>
      <c r="H290" s="1" t="n"/>
      <c r="I290" s="171" t="n"/>
    </row>
    <row r="291" ht="15" customFormat="1" customHeight="1" s="59">
      <c r="B291" s="2" t="n"/>
      <c r="C291" s="112" t="n"/>
      <c r="D291" s="2" t="n"/>
      <c r="E291" s="2" t="n"/>
      <c r="F291" s="112" t="n"/>
      <c r="G291" s="2" t="n"/>
      <c r="H291" s="1" t="n"/>
      <c r="I291" s="171" t="n"/>
    </row>
    <row r="292" ht="15" customFormat="1" customHeight="1" s="59">
      <c r="B292" s="2" t="n"/>
      <c r="C292" s="112" t="n"/>
      <c r="D292" s="2" t="n"/>
      <c r="E292" s="2" t="n"/>
      <c r="F292" s="112" t="n"/>
      <c r="G292" s="2" t="n"/>
      <c r="H292" s="1" t="n"/>
      <c r="I292" s="171" t="n"/>
    </row>
    <row r="293" ht="15" customFormat="1" customHeight="1" s="59">
      <c r="B293" s="2" t="n"/>
      <c r="C293" s="112" t="n"/>
      <c r="D293" s="2" t="n"/>
      <c r="E293" s="2" t="n"/>
      <c r="F293" s="112" t="n"/>
      <c r="G293" s="2" t="n"/>
      <c r="H293" s="1" t="n"/>
      <c r="I293" s="171" t="n"/>
    </row>
    <row r="294" ht="15" customFormat="1" customHeight="1" s="59">
      <c r="B294" s="2" t="n"/>
      <c r="C294" s="112" t="n"/>
      <c r="D294" s="2" t="n"/>
      <c r="E294" s="2" t="n"/>
      <c r="F294" s="112" t="n"/>
      <c r="G294" s="2" t="n"/>
      <c r="H294" s="1" t="n"/>
      <c r="I294" s="171" t="n"/>
    </row>
    <row r="295" ht="15" customFormat="1" customHeight="1" s="59">
      <c r="B295" s="2" t="n"/>
      <c r="C295" s="112" t="n"/>
      <c r="D295" s="2" t="n"/>
      <c r="E295" s="2" t="n"/>
      <c r="F295" s="112" t="n"/>
      <c r="G295" s="2" t="n"/>
      <c r="H295" s="1" t="n"/>
      <c r="I295" s="171" t="n"/>
    </row>
    <row r="296" ht="15" customFormat="1" customHeight="1" s="59">
      <c r="B296" s="2" t="n"/>
      <c r="C296" s="112" t="n"/>
      <c r="D296" s="2" t="n"/>
      <c r="E296" s="2" t="n"/>
      <c r="F296" s="112" t="n"/>
      <c r="G296" s="2" t="n"/>
      <c r="H296" s="1" t="n"/>
      <c r="I296" s="171" t="n"/>
    </row>
    <row r="297" ht="15" customFormat="1" customHeight="1" s="59">
      <c r="B297" s="2" t="n"/>
      <c r="C297" s="112" t="n"/>
      <c r="D297" s="2" t="n"/>
      <c r="E297" s="2" t="n"/>
      <c r="F297" s="112" t="n"/>
      <c r="G297" s="2" t="n"/>
      <c r="H297" s="1" t="n"/>
      <c r="I297" s="171" t="n"/>
    </row>
    <row r="298" ht="15" customFormat="1" customHeight="1" s="59">
      <c r="B298" s="2" t="n"/>
      <c r="C298" s="112" t="n"/>
      <c r="D298" s="2" t="n"/>
      <c r="E298" s="2" t="n"/>
      <c r="F298" s="112" t="n"/>
      <c r="G298" s="2" t="n"/>
      <c r="H298" s="1" t="n"/>
      <c r="I298" s="171" t="n"/>
    </row>
    <row r="299" ht="15" customFormat="1" customHeight="1" s="59">
      <c r="B299" s="2" t="n"/>
      <c r="C299" s="112" t="n"/>
      <c r="D299" s="2" t="n"/>
      <c r="E299" s="2" t="n"/>
      <c r="F299" s="112" t="n"/>
      <c r="G299" s="2" t="n"/>
      <c r="H299" s="1" t="n"/>
      <c r="I299" s="171" t="n"/>
    </row>
    <row r="300" ht="15" customFormat="1" customHeight="1" s="59">
      <c r="B300" s="2" t="n"/>
      <c r="C300" s="112" t="n"/>
      <c r="D300" s="2" t="n"/>
      <c r="E300" s="2" t="n"/>
      <c r="F300" s="112" t="n"/>
      <c r="G300" s="2" t="n"/>
      <c r="H300" s="1" t="n"/>
      <c r="I300" s="171" t="n"/>
    </row>
    <row r="301" ht="15" customFormat="1" customHeight="1" s="59">
      <c r="B301" s="2" t="n"/>
      <c r="C301" s="112" t="n"/>
      <c r="D301" s="2" t="n"/>
      <c r="E301" s="2" t="n"/>
      <c r="F301" s="112" t="n"/>
      <c r="G301" s="2" t="n"/>
      <c r="H301" s="1" t="n"/>
      <c r="I301" s="171" t="n"/>
    </row>
    <row r="302" ht="15" customFormat="1" customHeight="1" s="59">
      <c r="B302" s="2" t="n"/>
      <c r="C302" s="112" t="n"/>
      <c r="D302" s="2" t="n"/>
      <c r="E302" s="2" t="n"/>
      <c r="F302" s="112" t="n"/>
      <c r="G302" s="2" t="n"/>
      <c r="H302" s="1" t="n"/>
      <c r="I302" s="171" t="n"/>
    </row>
    <row r="303" ht="15" customFormat="1" customHeight="1" s="59">
      <c r="B303" s="2" t="n"/>
      <c r="C303" s="112" t="n"/>
      <c r="D303" s="2" t="n"/>
      <c r="E303" s="2" t="n"/>
      <c r="F303" s="112" t="n"/>
      <c r="G303" s="2" t="n"/>
      <c r="H303" s="1" t="n"/>
      <c r="I303" s="171" t="n"/>
    </row>
    <row r="304" ht="15" customFormat="1" customHeight="1" s="59">
      <c r="B304" s="2" t="n"/>
      <c r="C304" s="112" t="n"/>
      <c r="D304" s="2" t="n"/>
      <c r="E304" s="2" t="n"/>
      <c r="F304" s="112" t="n"/>
      <c r="G304" s="2" t="n"/>
      <c r="H304" s="1" t="n"/>
      <c r="I304" s="171" t="n"/>
    </row>
    <row r="305" ht="15" customFormat="1" customHeight="1" s="59">
      <c r="B305" s="2" t="n"/>
      <c r="C305" s="112" t="n"/>
      <c r="D305" s="2" t="n"/>
      <c r="E305" s="2" t="n"/>
      <c r="F305" s="112" t="n"/>
      <c r="G305" s="2" t="n"/>
      <c r="H305" s="1" t="n"/>
      <c r="I305" s="171" t="n"/>
    </row>
    <row r="306" ht="15" customFormat="1" customHeight="1" s="59">
      <c r="B306" s="2" t="n"/>
      <c r="C306" s="112" t="n"/>
      <c r="D306" s="2" t="n"/>
      <c r="E306" s="2" t="n"/>
      <c r="F306" s="112" t="n"/>
      <c r="G306" s="2" t="n"/>
      <c r="H306" s="1" t="n"/>
      <c r="I306" s="171" t="n"/>
    </row>
    <row r="307" ht="15" customFormat="1" customHeight="1" s="59">
      <c r="B307" s="2" t="n"/>
      <c r="C307" s="112" t="n"/>
      <c r="D307" s="2" t="n"/>
      <c r="E307" s="2" t="n"/>
      <c r="F307" s="112" t="n"/>
      <c r="G307" s="2" t="n"/>
      <c r="H307" s="1" t="n"/>
      <c r="I307" s="171" t="n"/>
    </row>
    <row r="308" ht="15" customFormat="1" customHeight="1" s="59">
      <c r="B308" s="2" t="n"/>
      <c r="C308" s="112" t="n"/>
      <c r="D308" s="2" t="n"/>
      <c r="E308" s="2" t="n"/>
      <c r="F308" s="112" t="n"/>
      <c r="G308" s="2" t="n"/>
      <c r="H308" s="1" t="n"/>
      <c r="I308" s="171" t="n"/>
    </row>
    <row r="309" ht="15" customFormat="1" customHeight="1" s="59">
      <c r="B309" s="2" t="n"/>
      <c r="C309" s="112" t="n"/>
      <c r="D309" s="2" t="n"/>
      <c r="E309" s="2" t="n"/>
      <c r="F309" s="112" t="n"/>
      <c r="G309" s="2" t="n"/>
      <c r="H309" s="1" t="n"/>
      <c r="I309" s="171" t="n"/>
    </row>
    <row r="310" ht="15" customFormat="1" customHeight="1" s="59">
      <c r="B310" s="2" t="n"/>
      <c r="C310" s="112" t="n"/>
      <c r="D310" s="2" t="n"/>
      <c r="E310" s="2" t="n"/>
      <c r="F310" s="112" t="n"/>
      <c r="G310" s="2" t="n"/>
      <c r="H310" s="1" t="n"/>
      <c r="I310" s="171" t="n"/>
    </row>
    <row r="311" ht="15" customFormat="1" customHeight="1" s="59">
      <c r="B311" s="2" t="n"/>
      <c r="C311" s="112" t="n"/>
      <c r="D311" s="2" t="n"/>
      <c r="E311" s="2" t="n"/>
      <c r="F311" s="112" t="n"/>
      <c r="G311" s="2" t="n"/>
      <c r="H311" s="1" t="n"/>
      <c r="I311" s="171" t="n"/>
    </row>
    <row r="312" ht="15" customFormat="1" customHeight="1" s="59">
      <c r="B312" s="2" t="n"/>
      <c r="C312" s="112" t="n"/>
      <c r="D312" s="2" t="n"/>
      <c r="E312" s="2" t="n"/>
      <c r="F312" s="112" t="n"/>
      <c r="G312" s="2" t="n"/>
      <c r="H312" s="1" t="n"/>
      <c r="I312" s="171" t="n"/>
    </row>
    <row r="313" ht="15" customFormat="1" customHeight="1" s="59">
      <c r="B313" s="2" t="n"/>
      <c r="C313" s="112" t="n"/>
      <c r="D313" s="2" t="n"/>
      <c r="E313" s="2" t="n"/>
      <c r="F313" s="112" t="n"/>
      <c r="G313" s="2" t="n"/>
      <c r="H313" s="1" t="n"/>
      <c r="I313" s="171" t="n"/>
    </row>
    <row r="314" ht="15" customFormat="1" customHeight="1" s="59">
      <c r="B314" s="2" t="n"/>
      <c r="C314" s="112" t="n"/>
      <c r="D314" s="2" t="n"/>
      <c r="E314" s="2" t="n"/>
      <c r="F314" s="112" t="n"/>
      <c r="G314" s="2" t="n"/>
      <c r="H314" s="1" t="n"/>
      <c r="I314" s="171" t="n"/>
    </row>
    <row r="315" ht="15" customFormat="1" customHeight="1" s="59">
      <c r="B315" s="2" t="n"/>
      <c r="C315" s="112" t="n"/>
      <c r="D315" s="2" t="n"/>
      <c r="E315" s="2" t="n"/>
      <c r="F315" s="112" t="n"/>
      <c r="G315" s="2" t="n"/>
      <c r="H315" s="1" t="n"/>
      <c r="I315" s="171" t="n"/>
    </row>
    <row r="316" ht="15" customFormat="1" customHeight="1" s="59">
      <c r="B316" s="2" t="n"/>
      <c r="C316" s="112" t="n"/>
      <c r="D316" s="2" t="n"/>
      <c r="E316" s="2" t="n"/>
      <c r="F316" s="112" t="n"/>
      <c r="G316" s="2" t="n"/>
      <c r="H316" s="1" t="n"/>
      <c r="I316" s="171" t="n"/>
    </row>
    <row r="317" ht="15" customFormat="1" customHeight="1" s="59">
      <c r="B317" s="2" t="n"/>
      <c r="C317" s="112" t="n"/>
      <c r="D317" s="2" t="n"/>
      <c r="E317" s="2" t="n"/>
      <c r="F317" s="112" t="n"/>
      <c r="G317" s="2" t="n"/>
      <c r="H317" s="1" t="n"/>
      <c r="I317" s="171" t="n"/>
    </row>
    <row r="318" ht="15" customFormat="1" customHeight="1" s="59">
      <c r="B318" s="2" t="n"/>
      <c r="C318" s="112" t="n"/>
      <c r="D318" s="2" t="n"/>
      <c r="E318" s="2" t="n"/>
      <c r="F318" s="112" t="n"/>
      <c r="G318" s="2" t="n"/>
      <c r="H318" s="1" t="n"/>
      <c r="I318" s="171" t="n"/>
    </row>
    <row r="319" ht="15" customFormat="1" customHeight="1" s="59">
      <c r="B319" s="2" t="n"/>
      <c r="C319" s="112" t="n"/>
      <c r="D319" s="2" t="n"/>
      <c r="E319" s="2" t="n"/>
      <c r="F319" s="112" t="n"/>
      <c r="G319" s="2" t="n"/>
      <c r="H319" s="1" t="n"/>
      <c r="I319" s="171" t="n"/>
    </row>
    <row r="320" ht="15" customFormat="1" customHeight="1" s="59">
      <c r="B320" s="2" t="n"/>
      <c r="C320" s="112" t="n"/>
      <c r="D320" s="2" t="n"/>
      <c r="E320" s="2" t="n"/>
      <c r="F320" s="112" t="n"/>
      <c r="G320" s="2" t="n"/>
      <c r="H320" s="1" t="n"/>
      <c r="I320" s="171" t="n"/>
    </row>
    <row r="321" ht="15" customFormat="1" customHeight="1" s="59">
      <c r="B321" s="2" t="n"/>
      <c r="C321" s="112" t="n"/>
      <c r="D321" s="2" t="n"/>
      <c r="E321" s="2" t="n"/>
      <c r="F321" s="112" t="n"/>
      <c r="G321" s="2" t="n"/>
      <c r="H321" s="1" t="n"/>
      <c r="I321" s="171" t="n"/>
    </row>
    <row r="322" ht="15" customFormat="1" customHeight="1" s="59">
      <c r="B322" s="2" t="n"/>
      <c r="C322" s="112" t="n"/>
      <c r="D322" s="2" t="n"/>
      <c r="E322" s="2" t="n"/>
      <c r="F322" s="112" t="n"/>
      <c r="G322" s="2" t="n"/>
      <c r="H322" s="1" t="n"/>
      <c r="I322" s="171" t="n"/>
    </row>
    <row r="323" ht="15" customFormat="1" customHeight="1" s="59">
      <c r="B323" s="2" t="n"/>
      <c r="C323" s="112" t="n"/>
      <c r="D323" s="2" t="n"/>
      <c r="E323" s="2" t="n"/>
      <c r="F323" s="112" t="n"/>
      <c r="G323" s="2" t="n"/>
      <c r="H323" s="1" t="n"/>
      <c r="I323" s="171" t="n"/>
    </row>
    <row r="324" ht="15" customFormat="1" customHeight="1" s="59">
      <c r="B324" s="2" t="n"/>
      <c r="C324" s="112" t="n"/>
      <c r="D324" s="2" t="n"/>
      <c r="E324" s="2" t="n"/>
      <c r="F324" s="112" t="n"/>
      <c r="G324" s="2" t="n"/>
      <c r="H324" s="1" t="n"/>
      <c r="I324" s="171" t="n"/>
    </row>
    <row r="325" ht="15" customFormat="1" customHeight="1" s="59">
      <c r="B325" s="2" t="n"/>
      <c r="C325" s="112" t="n"/>
      <c r="D325" s="2" t="n"/>
      <c r="E325" s="2" t="n"/>
      <c r="F325" s="112" t="n"/>
      <c r="G325" s="2" t="n"/>
      <c r="H325" s="1" t="n"/>
      <c r="I325" s="171" t="n"/>
    </row>
    <row r="326" ht="15" customFormat="1" customHeight="1" s="59">
      <c r="B326" s="2" t="n"/>
      <c r="C326" s="112" t="n"/>
      <c r="D326" s="2" t="n"/>
      <c r="E326" s="2" t="n"/>
      <c r="F326" s="112" t="n"/>
      <c r="G326" s="2" t="n"/>
      <c r="H326" s="1" t="n"/>
      <c r="I326" s="171" t="n"/>
    </row>
    <row r="327" ht="15" customFormat="1" customHeight="1" s="59">
      <c r="B327" s="2" t="n"/>
      <c r="C327" s="112" t="n"/>
      <c r="D327" s="2" t="n"/>
      <c r="E327" s="2" t="n"/>
      <c r="F327" s="112" t="n"/>
      <c r="G327" s="2" t="n"/>
      <c r="H327" s="1" t="n"/>
      <c r="I327" s="171" t="n"/>
    </row>
    <row r="328" ht="15" customFormat="1" customHeight="1" s="59">
      <c r="B328" s="2" t="n"/>
      <c r="C328" s="112" t="n"/>
      <c r="D328" s="2" t="n"/>
      <c r="E328" s="2" t="n"/>
      <c r="F328" s="112" t="n"/>
      <c r="G328" s="2" t="n"/>
      <c r="H328" s="1" t="n"/>
      <c r="I328" s="171" t="n"/>
    </row>
    <row r="329" ht="15" customFormat="1" customHeight="1" s="59">
      <c r="B329" s="2" t="n"/>
      <c r="C329" s="112" t="n"/>
      <c r="D329" s="2" t="n"/>
      <c r="E329" s="2" t="n"/>
      <c r="F329" s="112" t="n"/>
      <c r="G329" s="2" t="n"/>
      <c r="H329" s="1" t="n"/>
      <c r="I329" s="171" t="n"/>
    </row>
    <row r="330" ht="15" customFormat="1" customHeight="1" s="59">
      <c r="B330" s="2" t="n"/>
      <c r="C330" s="112" t="n"/>
      <c r="D330" s="2" t="n"/>
      <c r="E330" s="2" t="n"/>
      <c r="F330" s="112" t="n"/>
      <c r="G330" s="2" t="n"/>
      <c r="H330" s="1" t="n"/>
      <c r="I330" s="171" t="n"/>
    </row>
    <row r="331" ht="15" customFormat="1" customHeight="1" s="59">
      <c r="B331" s="2" t="n"/>
      <c r="C331" s="112" t="n"/>
      <c r="D331" s="2" t="n"/>
      <c r="E331" s="2" t="n"/>
      <c r="F331" s="112" t="n"/>
      <c r="G331" s="2" t="n"/>
      <c r="H331" s="1" t="n"/>
      <c r="I331" s="171" t="n"/>
    </row>
    <row r="332" ht="15" customFormat="1" customHeight="1" s="59">
      <c r="B332" s="2" t="n"/>
      <c r="C332" s="112" t="n"/>
      <c r="D332" s="2" t="n"/>
      <c r="E332" s="2" t="n"/>
      <c r="F332" s="112" t="n"/>
      <c r="G332" s="2" t="n"/>
      <c r="H332" s="1" t="n"/>
      <c r="I332" s="171" t="n"/>
    </row>
    <row r="333" ht="15" customFormat="1" customHeight="1" s="59">
      <c r="B333" s="2" t="n"/>
      <c r="C333" s="112" t="n"/>
      <c r="D333" s="2" t="n"/>
      <c r="E333" s="2" t="n"/>
      <c r="F333" s="112" t="n"/>
      <c r="G333" s="2" t="n"/>
      <c r="H333" s="1" t="n"/>
      <c r="I333" s="171" t="n"/>
    </row>
    <row r="334" ht="15" customFormat="1" customHeight="1" s="59">
      <c r="B334" s="2" t="n"/>
      <c r="C334" s="112" t="n"/>
      <c r="D334" s="2" t="n"/>
      <c r="E334" s="2" t="n"/>
      <c r="F334" s="112" t="n"/>
      <c r="G334" s="2" t="n"/>
      <c r="H334" s="1" t="n"/>
      <c r="I334" s="171" t="n"/>
    </row>
    <row r="335" ht="15" customFormat="1" customHeight="1" s="59">
      <c r="B335" s="2" t="n"/>
      <c r="C335" s="112" t="n"/>
      <c r="D335" s="2" t="n"/>
      <c r="E335" s="2" t="n"/>
      <c r="F335" s="112" t="n"/>
      <c r="G335" s="2" t="n"/>
      <c r="H335" s="1" t="n"/>
      <c r="I335" s="171" t="n"/>
    </row>
    <row r="336" ht="15" customFormat="1" customHeight="1" s="59">
      <c r="B336" s="2" t="n"/>
      <c r="C336" s="112" t="n"/>
      <c r="D336" s="2" t="n"/>
      <c r="E336" s="2" t="n"/>
      <c r="F336" s="112" t="n"/>
      <c r="G336" s="2" t="n"/>
      <c r="H336" s="1" t="n"/>
      <c r="I336" s="171" t="n"/>
    </row>
    <row r="337" ht="15" customFormat="1" customHeight="1" s="59">
      <c r="B337" s="2" t="n"/>
      <c r="C337" s="112" t="n"/>
      <c r="D337" s="2" t="n"/>
      <c r="E337" s="2" t="n"/>
      <c r="F337" s="112" t="n"/>
      <c r="G337" s="2" t="n"/>
      <c r="H337" s="1" t="n"/>
      <c r="I337" s="171" t="n"/>
    </row>
    <row r="338" ht="15" customFormat="1" customHeight="1" s="59">
      <c r="B338" s="2" t="n"/>
      <c r="C338" s="112" t="n"/>
      <c r="D338" s="2" t="n"/>
      <c r="E338" s="2" t="n"/>
      <c r="F338" s="112" t="n"/>
      <c r="G338" s="2" t="n"/>
      <c r="H338" s="1" t="n"/>
      <c r="I338" s="171" t="n"/>
    </row>
    <row r="339" ht="15" customFormat="1" customHeight="1" s="59">
      <c r="B339" s="2" t="n"/>
      <c r="C339" s="112" t="n"/>
      <c r="D339" s="2" t="n"/>
      <c r="E339" s="2" t="n"/>
      <c r="F339" s="112" t="n"/>
      <c r="G339" s="2" t="n"/>
      <c r="H339" s="1" t="n"/>
      <c r="I339" s="171" t="n"/>
    </row>
    <row r="340" ht="15" customFormat="1" customHeight="1" s="59">
      <c r="B340" s="2" t="n"/>
      <c r="C340" s="112" t="n"/>
      <c r="D340" s="2" t="n"/>
      <c r="E340" s="2" t="n"/>
      <c r="F340" s="112" t="n"/>
      <c r="G340" s="2" t="n"/>
      <c r="H340" s="1" t="n"/>
      <c r="I340" s="171" t="n"/>
    </row>
    <row r="341" ht="15" customFormat="1" customHeight="1" s="59">
      <c r="B341" s="2" t="n"/>
      <c r="C341" s="112" t="n"/>
      <c r="D341" s="2" t="n"/>
      <c r="E341" s="2" t="n"/>
      <c r="F341" s="112" t="n"/>
      <c r="G341" s="2" t="n"/>
      <c r="H341" s="1" t="n"/>
      <c r="I341" s="171" t="n"/>
    </row>
    <row r="342" ht="15" customFormat="1" customHeight="1" s="59">
      <c r="B342" s="2" t="n"/>
      <c r="C342" s="112" t="n"/>
      <c r="D342" s="2" t="n"/>
      <c r="E342" s="2" t="n"/>
      <c r="F342" s="112" t="n"/>
      <c r="G342" s="2" t="n"/>
      <c r="H342" s="1" t="n"/>
      <c r="I342" s="171" t="n"/>
    </row>
    <row r="343" ht="15" customFormat="1" customHeight="1" s="59">
      <c r="B343" s="2" t="n"/>
      <c r="C343" s="112" t="n"/>
      <c r="D343" s="2" t="n"/>
      <c r="E343" s="2" t="n"/>
      <c r="F343" s="112" t="n"/>
      <c r="G343" s="2" t="n"/>
      <c r="H343" s="1" t="n"/>
      <c r="I343" s="171" t="n"/>
    </row>
    <row r="344" ht="15" customFormat="1" customHeight="1" s="59">
      <c r="B344" s="2" t="n"/>
      <c r="C344" s="112" t="n"/>
      <c r="D344" s="2" t="n"/>
      <c r="E344" s="2" t="n"/>
      <c r="F344" s="112" t="n"/>
      <c r="G344" s="2" t="n"/>
      <c r="H344" s="1" t="n"/>
      <c r="I344" s="171" t="n"/>
    </row>
    <row r="345" ht="15" customFormat="1" customHeight="1" s="59">
      <c r="B345" s="2" t="n"/>
      <c r="C345" s="112" t="n"/>
      <c r="D345" s="2" t="n"/>
      <c r="E345" s="2" t="n"/>
      <c r="F345" s="112" t="n"/>
      <c r="G345" s="2" t="n"/>
      <c r="H345" s="1" t="n"/>
      <c r="I345" s="171" t="n"/>
    </row>
    <row r="346" ht="15" customFormat="1" customHeight="1" s="59">
      <c r="B346" s="2" t="n"/>
      <c r="C346" s="112" t="n"/>
      <c r="D346" s="2" t="n"/>
      <c r="E346" s="2" t="n"/>
      <c r="F346" s="112" t="n"/>
      <c r="G346" s="2" t="n"/>
      <c r="H346" s="1" t="n"/>
      <c r="I346" s="171" t="n"/>
    </row>
    <row r="347" ht="15" customFormat="1" customHeight="1" s="59">
      <c r="B347" s="2" t="n"/>
      <c r="C347" s="112" t="n"/>
      <c r="D347" s="2" t="n"/>
      <c r="E347" s="2" t="n"/>
      <c r="F347" s="112" t="n"/>
      <c r="G347" s="2" t="n"/>
      <c r="H347" s="1" t="n"/>
      <c r="I347" s="171" t="n"/>
    </row>
    <row r="348" ht="15" customFormat="1" customHeight="1" s="59">
      <c r="B348" s="2" t="n"/>
      <c r="C348" s="112" t="n"/>
      <c r="D348" s="2" t="n"/>
      <c r="E348" s="2" t="n"/>
      <c r="F348" s="112" t="n"/>
      <c r="G348" s="2" t="n"/>
      <c r="H348" s="1" t="n"/>
      <c r="I348" s="171" t="n"/>
    </row>
    <row r="349" ht="15" customFormat="1" customHeight="1" s="59">
      <c r="B349" s="2" t="n"/>
      <c r="C349" s="112" t="n"/>
      <c r="D349" s="2" t="n"/>
      <c r="E349" s="2" t="n"/>
      <c r="F349" s="112" t="n"/>
      <c r="G349" s="2" t="n"/>
      <c r="H349" s="1" t="n"/>
      <c r="I349" s="171" t="n"/>
    </row>
    <row r="350" ht="15" customFormat="1" customHeight="1" s="59">
      <c r="B350" s="2" t="n"/>
      <c r="C350" s="112" t="n"/>
      <c r="D350" s="2" t="n"/>
      <c r="E350" s="2" t="n"/>
      <c r="F350" s="112" t="n"/>
      <c r="G350" s="2" t="n"/>
      <c r="H350" s="1" t="n"/>
      <c r="I350" s="171" t="n"/>
    </row>
    <row r="351" ht="15" customFormat="1" customHeight="1" s="59">
      <c r="B351" s="2" t="n"/>
      <c r="C351" s="112" t="n"/>
      <c r="D351" s="2" t="n"/>
      <c r="E351" s="2" t="n"/>
      <c r="F351" s="112" t="n"/>
      <c r="G351" s="2" t="n"/>
      <c r="H351" s="1" t="n"/>
      <c r="I351" s="171" t="n"/>
    </row>
    <row r="352" ht="15" customFormat="1" customHeight="1" s="59">
      <c r="B352" s="2" t="n"/>
      <c r="C352" s="112" t="n"/>
      <c r="D352" s="2" t="n"/>
      <c r="E352" s="2" t="n"/>
      <c r="F352" s="112" t="n"/>
      <c r="G352" s="2" t="n"/>
      <c r="H352" s="1" t="n"/>
      <c r="I352" s="171" t="n"/>
    </row>
    <row r="353" ht="15" customFormat="1" customHeight="1" s="59">
      <c r="B353" s="2" t="n"/>
      <c r="C353" s="112" t="n"/>
      <c r="D353" s="2" t="n"/>
      <c r="E353" s="2" t="n"/>
      <c r="F353" s="112" t="n"/>
      <c r="G353" s="2" t="n"/>
      <c r="H353" s="1" t="n"/>
      <c r="I353" s="171" t="n"/>
    </row>
    <row r="354" ht="15" customFormat="1" customHeight="1" s="59">
      <c r="B354" s="2" t="n"/>
      <c r="C354" s="112" t="n"/>
      <c r="D354" s="2" t="n"/>
      <c r="E354" s="2" t="n"/>
      <c r="F354" s="112" t="n"/>
      <c r="G354" s="2" t="n"/>
      <c r="H354" s="1" t="n"/>
      <c r="I354" s="171" t="n"/>
    </row>
    <row r="355" ht="15" customFormat="1" customHeight="1" s="59">
      <c r="B355" s="2" t="n"/>
      <c r="C355" s="112" t="n"/>
      <c r="D355" s="2" t="n"/>
      <c r="E355" s="2" t="n"/>
      <c r="F355" s="112" t="n"/>
      <c r="G355" s="2" t="n"/>
      <c r="H355" s="1" t="n"/>
      <c r="I355" s="171" t="n"/>
    </row>
    <row r="356" ht="15" customFormat="1" customHeight="1" s="59">
      <c r="B356" s="2" t="n"/>
      <c r="C356" s="112" t="n"/>
      <c r="D356" s="2" t="n"/>
      <c r="E356" s="2" t="n"/>
      <c r="F356" s="112" t="n"/>
      <c r="G356" s="2" t="n"/>
      <c r="H356" s="1" t="n"/>
      <c r="I356" s="171" t="n"/>
    </row>
    <row r="357" ht="15" customFormat="1" customHeight="1" s="59">
      <c r="B357" s="2" t="n"/>
      <c r="C357" s="112" t="n"/>
      <c r="D357" s="2" t="n"/>
      <c r="E357" s="2" t="n"/>
      <c r="F357" s="112" t="n"/>
      <c r="G357" s="2" t="n"/>
      <c r="H357" s="1" t="n"/>
      <c r="I357" s="171" t="n"/>
    </row>
    <row r="358" ht="15" customFormat="1" customHeight="1" s="59">
      <c r="B358" s="2" t="n"/>
      <c r="C358" s="112" t="n"/>
      <c r="D358" s="2" t="n"/>
      <c r="E358" s="2" t="n"/>
      <c r="F358" s="112" t="n"/>
      <c r="G358" s="2" t="n"/>
      <c r="H358" s="1" t="n"/>
      <c r="I358" s="171" t="n"/>
    </row>
    <row r="359" ht="15" customFormat="1" customHeight="1" s="59">
      <c r="B359" s="2" t="n"/>
      <c r="C359" s="112" t="n"/>
      <c r="D359" s="2" t="n"/>
      <c r="E359" s="2" t="n"/>
      <c r="F359" s="112" t="n"/>
      <c r="G359" s="2" t="n"/>
      <c r="H359" s="1" t="n"/>
      <c r="I359" s="171" t="n"/>
    </row>
    <row r="360" ht="15" customFormat="1" customHeight="1" s="59">
      <c r="B360" s="2" t="n"/>
      <c r="C360" s="112" t="n"/>
      <c r="D360" s="2" t="n"/>
      <c r="E360" s="2" t="n"/>
      <c r="F360" s="112" t="n"/>
      <c r="G360" s="2" t="n"/>
      <c r="H360" s="1" t="n"/>
      <c r="I360" s="171" t="n"/>
    </row>
    <row r="361" ht="15" customFormat="1" customHeight="1" s="59">
      <c r="B361" s="2" t="n"/>
      <c r="C361" s="112" t="n"/>
      <c r="D361" s="2" t="n"/>
      <c r="E361" s="2" t="n"/>
      <c r="F361" s="112" t="n"/>
      <c r="G361" s="2" t="n"/>
      <c r="H361" s="1" t="n"/>
      <c r="I361" s="171" t="n"/>
    </row>
    <row r="362" ht="15" customFormat="1" customHeight="1" s="59">
      <c r="B362" s="2" t="n"/>
      <c r="C362" s="112" t="n"/>
      <c r="D362" s="2" t="n"/>
      <c r="E362" s="2" t="n"/>
      <c r="F362" s="112" t="n"/>
      <c r="G362" s="2" t="n"/>
      <c r="H362" s="1" t="n"/>
      <c r="I362" s="171" t="n"/>
    </row>
    <row r="363" ht="15" customFormat="1" customHeight="1" s="59">
      <c r="B363" s="2" t="n"/>
      <c r="C363" s="112" t="n"/>
      <c r="D363" s="2" t="n"/>
      <c r="E363" s="2" t="n"/>
      <c r="F363" s="112" t="n"/>
      <c r="G363" s="2" t="n"/>
      <c r="H363" s="1" t="n"/>
      <c r="I363" s="171" t="n"/>
    </row>
    <row r="364" ht="15" customFormat="1" customHeight="1" s="59">
      <c r="B364" s="2" t="n"/>
      <c r="C364" s="112" t="n"/>
      <c r="D364" s="2" t="n"/>
      <c r="E364" s="2" t="n"/>
      <c r="F364" s="112" t="n"/>
      <c r="G364" s="2" t="n"/>
      <c r="H364" s="1" t="n"/>
      <c r="I364" s="171" t="n"/>
    </row>
    <row r="365" ht="15" customFormat="1" customHeight="1" s="59">
      <c r="B365" s="2" t="n"/>
      <c r="C365" s="112" t="n"/>
      <c r="D365" s="2" t="n"/>
      <c r="E365" s="2" t="n"/>
      <c r="F365" s="112" t="n"/>
      <c r="G365" s="2" t="n"/>
      <c r="H365" s="1" t="n"/>
      <c r="I365" s="171" t="n"/>
    </row>
    <row r="366" ht="15" customFormat="1" customHeight="1" s="59">
      <c r="B366" s="2" t="n"/>
      <c r="C366" s="112" t="n"/>
      <c r="D366" s="2" t="n"/>
      <c r="E366" s="2" t="n"/>
      <c r="F366" s="112" t="n"/>
      <c r="G366" s="2" t="n"/>
      <c r="H366" s="1" t="n"/>
      <c r="I366" s="171" t="n"/>
    </row>
    <row r="367" ht="15" customFormat="1" customHeight="1" s="59">
      <c r="B367" s="2" t="n"/>
      <c r="C367" s="112" t="n"/>
      <c r="D367" s="2" t="n"/>
      <c r="E367" s="2" t="n"/>
      <c r="F367" s="112" t="n"/>
      <c r="G367" s="2" t="n"/>
      <c r="H367" s="1" t="n"/>
      <c r="I367" s="171" t="n"/>
    </row>
    <row r="368" ht="15" customFormat="1" customHeight="1" s="59">
      <c r="B368" s="2" t="n"/>
      <c r="C368" s="112" t="n"/>
      <c r="D368" s="2" t="n"/>
      <c r="E368" s="2" t="n"/>
      <c r="F368" s="112" t="n"/>
      <c r="G368" s="2" t="n"/>
      <c r="H368" s="1" t="n"/>
      <c r="I368" s="171" t="n"/>
    </row>
    <row r="369" ht="15" customFormat="1" customHeight="1" s="59">
      <c r="B369" s="2" t="n"/>
      <c r="C369" s="112" t="n"/>
      <c r="D369" s="2" t="n"/>
      <c r="E369" s="2" t="n"/>
      <c r="F369" s="112" t="n"/>
      <c r="G369" s="2" t="n"/>
      <c r="H369" s="1" t="n"/>
      <c r="I369" s="171" t="n"/>
    </row>
    <row r="370" ht="15" customFormat="1" customHeight="1" s="59">
      <c r="B370" s="2" t="n"/>
      <c r="C370" s="112" t="n"/>
      <c r="D370" s="2" t="n"/>
      <c r="E370" s="2" t="n"/>
      <c r="F370" s="112" t="n"/>
      <c r="G370" s="2" t="n"/>
      <c r="H370" s="1" t="n"/>
      <c r="I370" s="171" t="n"/>
    </row>
    <row r="371" ht="15" customFormat="1" customHeight="1" s="59">
      <c r="B371" s="2" t="n"/>
      <c r="C371" s="112" t="n"/>
      <c r="D371" s="2" t="n"/>
      <c r="E371" s="2" t="n"/>
      <c r="F371" s="112" t="n"/>
      <c r="G371" s="2" t="n"/>
      <c r="H371" s="1" t="n"/>
      <c r="I371" s="171" t="n"/>
    </row>
    <row r="372" ht="15" customFormat="1" customHeight="1" s="59">
      <c r="B372" s="2" t="n"/>
      <c r="C372" s="112" t="n"/>
      <c r="D372" s="2" t="n"/>
      <c r="E372" s="2" t="n"/>
      <c r="F372" s="112" t="n"/>
      <c r="G372" s="2" t="n"/>
      <c r="H372" s="1" t="n"/>
      <c r="I372" s="171" t="n"/>
    </row>
    <row r="373" ht="15" customFormat="1" customHeight="1" s="59">
      <c r="B373" s="2" t="n"/>
      <c r="C373" s="112" t="n"/>
      <c r="D373" s="2" t="n"/>
      <c r="E373" s="2" t="n"/>
      <c r="F373" s="112" t="n"/>
      <c r="G373" s="2" t="n"/>
      <c r="H373" s="1" t="n"/>
      <c r="I373" s="171" t="n"/>
    </row>
    <row r="374" ht="15" customFormat="1" customHeight="1" s="59">
      <c r="B374" s="2" t="n"/>
      <c r="C374" s="112" t="n"/>
      <c r="D374" s="2" t="n"/>
      <c r="E374" s="2" t="n"/>
      <c r="F374" s="112" t="n"/>
      <c r="G374" s="2" t="n"/>
      <c r="H374" s="1" t="n"/>
      <c r="I374" s="171" t="n"/>
    </row>
    <row r="375" ht="15" customFormat="1" customHeight="1" s="59">
      <c r="B375" s="2" t="n"/>
      <c r="C375" s="112" t="n"/>
      <c r="D375" s="2" t="n"/>
      <c r="E375" s="2" t="n"/>
      <c r="F375" s="112" t="n"/>
      <c r="G375" s="2" t="n"/>
      <c r="H375" s="1" t="n"/>
      <c r="I375" s="171" t="n"/>
    </row>
    <row r="376" ht="15" customFormat="1" customHeight="1" s="59">
      <c r="B376" s="2" t="n"/>
      <c r="C376" s="112" t="n"/>
      <c r="D376" s="2" t="n"/>
      <c r="E376" s="2" t="n"/>
      <c r="F376" s="112" t="n"/>
      <c r="G376" s="2" t="n"/>
      <c r="H376" s="1" t="n"/>
      <c r="I376" s="171" t="n"/>
    </row>
    <row r="377" ht="15" customFormat="1" customHeight="1" s="59">
      <c r="B377" s="2" t="n"/>
      <c r="C377" s="112" t="n"/>
      <c r="D377" s="2" t="n"/>
      <c r="E377" s="2" t="n"/>
      <c r="F377" s="112" t="n"/>
      <c r="G377" s="2" t="n"/>
      <c r="H377" s="1" t="n"/>
      <c r="I377" s="171" t="n"/>
    </row>
    <row r="378" ht="15" customFormat="1" customHeight="1" s="59">
      <c r="B378" s="2" t="n"/>
      <c r="C378" s="112" t="n"/>
      <c r="D378" s="2" t="n"/>
      <c r="E378" s="2" t="n"/>
      <c r="F378" s="112" t="n"/>
      <c r="G378" s="2" t="n"/>
      <c r="H378" s="1" t="n"/>
      <c r="I378" s="171" t="n"/>
    </row>
    <row r="379" ht="15" customFormat="1" customHeight="1" s="59">
      <c r="B379" s="2" t="n"/>
      <c r="C379" s="112" t="n"/>
      <c r="D379" s="2" t="n"/>
      <c r="E379" s="2" t="n"/>
      <c r="F379" s="112" t="n"/>
      <c r="G379" s="2" t="n"/>
      <c r="H379" s="1" t="n"/>
      <c r="I379" s="171" t="n"/>
    </row>
    <row r="380" ht="15" customFormat="1" customHeight="1" s="59">
      <c r="B380" s="2" t="n"/>
      <c r="C380" s="112" t="n"/>
      <c r="D380" s="2" t="n"/>
      <c r="E380" s="2" t="n"/>
      <c r="F380" s="112" t="n"/>
      <c r="G380" s="2" t="n"/>
      <c r="H380" s="1" t="n"/>
      <c r="I380" s="171" t="n"/>
    </row>
    <row r="381" ht="15" customFormat="1" customHeight="1" s="59">
      <c r="B381" s="2" t="n"/>
      <c r="C381" s="112" t="n"/>
      <c r="D381" s="2" t="n"/>
      <c r="E381" s="2" t="n"/>
      <c r="F381" s="112" t="n"/>
      <c r="G381" s="2" t="n"/>
      <c r="H381" s="1" t="n"/>
      <c r="I381" s="171" t="n"/>
    </row>
    <row r="382" ht="15" customFormat="1" customHeight="1" s="59">
      <c r="B382" s="2" t="n"/>
      <c r="C382" s="112" t="n"/>
      <c r="D382" s="2" t="n"/>
      <c r="E382" s="2" t="n"/>
      <c r="F382" s="112" t="n"/>
      <c r="G382" s="2" t="n"/>
      <c r="H382" s="1" t="n"/>
      <c r="I382" s="171" t="n"/>
    </row>
    <row r="383" ht="15" customFormat="1" customHeight="1" s="59">
      <c r="B383" s="2" t="n"/>
      <c r="C383" s="112" t="n"/>
      <c r="D383" s="2" t="n"/>
      <c r="E383" s="2" t="n"/>
      <c r="F383" s="112" t="n"/>
      <c r="G383" s="2" t="n"/>
      <c r="H383" s="1" t="n"/>
      <c r="I383" s="171" t="n"/>
    </row>
    <row r="384" ht="15" customFormat="1" customHeight="1" s="59">
      <c r="B384" s="2" t="n"/>
      <c r="C384" s="112" t="n"/>
      <c r="D384" s="2" t="n"/>
      <c r="E384" s="2" t="n"/>
      <c r="F384" s="112" t="n"/>
      <c r="G384" s="2" t="n"/>
      <c r="H384" s="1" t="n"/>
      <c r="I384" s="171" t="n"/>
    </row>
    <row r="385" ht="15" customFormat="1" customHeight="1" s="59">
      <c r="B385" s="2" t="n"/>
      <c r="C385" s="112" t="n"/>
      <c r="D385" s="2" t="n"/>
      <c r="E385" s="2" t="n"/>
      <c r="F385" s="112" t="n"/>
      <c r="G385" s="2" t="n"/>
      <c r="H385" s="1" t="n"/>
      <c r="I385" s="171" t="n"/>
    </row>
    <row r="386" ht="15" customFormat="1" customHeight="1" s="59">
      <c r="B386" s="2" t="n"/>
      <c r="C386" s="112" t="n"/>
      <c r="D386" s="2" t="n"/>
      <c r="E386" s="2" t="n"/>
      <c r="F386" s="112" t="n"/>
      <c r="G386" s="2" t="n"/>
      <c r="H386" s="1" t="n"/>
      <c r="I386" s="171" t="n"/>
    </row>
    <row r="387" ht="15" customFormat="1" customHeight="1" s="59">
      <c r="B387" s="2" t="n"/>
      <c r="C387" s="112" t="n"/>
      <c r="D387" s="2" t="n"/>
      <c r="E387" s="2" t="n"/>
      <c r="F387" s="112" t="n"/>
      <c r="G387" s="2" t="n"/>
      <c r="H387" s="1" t="n"/>
      <c r="I387" s="171" t="n"/>
    </row>
    <row r="388" ht="15" customFormat="1" customHeight="1" s="59">
      <c r="B388" s="2" t="n"/>
      <c r="C388" s="112" t="n"/>
      <c r="D388" s="2" t="n"/>
      <c r="E388" s="2" t="n"/>
      <c r="F388" s="112" t="n"/>
      <c r="G388" s="2" t="n"/>
      <c r="H388" s="1" t="n"/>
      <c r="I388" s="171" t="n"/>
    </row>
    <row r="389" ht="15" customFormat="1" customHeight="1" s="59">
      <c r="B389" s="2" t="n"/>
      <c r="C389" s="112" t="n"/>
      <c r="D389" s="2" t="n"/>
      <c r="E389" s="2" t="n"/>
      <c r="F389" s="112" t="n"/>
      <c r="G389" s="2" t="n"/>
      <c r="H389" s="1" t="n"/>
      <c r="I389" s="171" t="n"/>
    </row>
    <row r="390" ht="15" customFormat="1" customHeight="1" s="59">
      <c r="B390" s="2" t="n"/>
      <c r="C390" s="112" t="n"/>
      <c r="D390" s="2" t="n"/>
      <c r="E390" s="2" t="n"/>
      <c r="F390" s="112" t="n"/>
      <c r="G390" s="2" t="n"/>
      <c r="H390" s="1" t="n"/>
      <c r="I390" s="171" t="n"/>
    </row>
    <row r="391" ht="15" customFormat="1" customHeight="1" s="59">
      <c r="B391" s="2" t="n"/>
      <c r="C391" s="112" t="n"/>
      <c r="D391" s="2" t="n"/>
      <c r="E391" s="2" t="n"/>
      <c r="F391" s="112" t="n"/>
      <c r="G391" s="2" t="n"/>
      <c r="H391" s="1" t="n"/>
      <c r="I391" s="171" t="n"/>
    </row>
    <row r="392" ht="15" customFormat="1" customHeight="1" s="59">
      <c r="B392" s="2" t="n"/>
      <c r="C392" s="112" t="n"/>
      <c r="D392" s="2" t="n"/>
      <c r="E392" s="2" t="n"/>
      <c r="F392" s="112" t="n"/>
      <c r="G392" s="2" t="n"/>
      <c r="H392" s="1" t="n"/>
      <c r="I392" s="171" t="n"/>
    </row>
    <row r="393" ht="15" customFormat="1" customHeight="1" s="59">
      <c r="B393" s="2" t="n"/>
      <c r="C393" s="112" t="n"/>
      <c r="D393" s="2" t="n"/>
      <c r="E393" s="2" t="n"/>
      <c r="F393" s="112" t="n"/>
      <c r="G393" s="2" t="n"/>
      <c r="H393" s="1" t="n"/>
      <c r="I393" s="171" t="n"/>
    </row>
    <row r="394" ht="15" customFormat="1" customHeight="1" s="59">
      <c r="B394" s="2" t="n"/>
      <c r="C394" s="112" t="n"/>
      <c r="D394" s="2" t="n"/>
      <c r="E394" s="2" t="n"/>
      <c r="F394" s="112" t="n"/>
      <c r="G394" s="2" t="n"/>
      <c r="H394" s="1" t="n"/>
      <c r="I394" s="171" t="n"/>
    </row>
    <row r="395" ht="15" customFormat="1" customHeight="1" s="59">
      <c r="B395" s="2" t="n"/>
      <c r="C395" s="112" t="n"/>
      <c r="D395" s="2" t="n"/>
      <c r="E395" s="2" t="n"/>
      <c r="F395" s="112" t="n"/>
      <c r="G395" s="2" t="n"/>
      <c r="H395" s="1" t="n"/>
      <c r="I395" s="171" t="n"/>
    </row>
    <row r="396" ht="15" customFormat="1" customHeight="1" s="59">
      <c r="B396" s="2" t="n"/>
      <c r="C396" s="112" t="n"/>
      <c r="D396" s="2" t="n"/>
      <c r="E396" s="2" t="n"/>
      <c r="F396" s="112" t="n"/>
      <c r="G396" s="2" t="n"/>
      <c r="H396" s="1" t="n"/>
      <c r="I396" s="171" t="n"/>
    </row>
    <row r="397" ht="15" customFormat="1" customHeight="1" s="59">
      <c r="B397" s="2" t="n"/>
      <c r="C397" s="112" t="n"/>
      <c r="D397" s="2" t="n"/>
      <c r="E397" s="2" t="n"/>
      <c r="F397" s="112" t="n"/>
      <c r="G397" s="2" t="n"/>
      <c r="H397" s="1" t="n"/>
      <c r="I397" s="171" t="n"/>
    </row>
    <row r="398" ht="15" customFormat="1" customHeight="1" s="59">
      <c r="B398" s="2" t="n"/>
      <c r="C398" s="112" t="n"/>
      <c r="D398" s="2" t="n"/>
      <c r="E398" s="2" t="n"/>
      <c r="F398" s="112" t="n"/>
      <c r="G398" s="2" t="n"/>
      <c r="H398" s="1" t="n"/>
      <c r="I398" s="171" t="n"/>
    </row>
    <row r="399" ht="15" customFormat="1" customHeight="1" s="59">
      <c r="B399" s="2" t="n"/>
      <c r="C399" s="112" t="n"/>
      <c r="D399" s="2" t="n"/>
      <c r="E399" s="2" t="n"/>
      <c r="F399" s="112" t="n"/>
      <c r="G399" s="2" t="n"/>
      <c r="H399" s="1" t="n"/>
      <c r="I399" s="171" t="n"/>
    </row>
    <row r="400" ht="15" customFormat="1" customHeight="1" s="59">
      <c r="B400" s="2" t="n"/>
      <c r="C400" s="112" t="n"/>
      <c r="D400" s="2" t="n"/>
      <c r="E400" s="2" t="n"/>
      <c r="F400" s="112" t="n"/>
      <c r="G400" s="2" t="n"/>
      <c r="H400" s="1" t="n"/>
      <c r="I400" s="171" t="n"/>
    </row>
    <row r="401" ht="15" customFormat="1" customHeight="1" s="59">
      <c r="B401" s="2" t="n"/>
      <c r="C401" s="112" t="n"/>
      <c r="D401" s="2" t="n"/>
      <c r="E401" s="2" t="n"/>
      <c r="F401" s="112" t="n"/>
      <c r="G401" s="2" t="n"/>
      <c r="H401" s="1" t="n"/>
      <c r="I401" s="171" t="n"/>
    </row>
    <row r="402" ht="15" customFormat="1" customHeight="1" s="59">
      <c r="B402" s="2" t="n"/>
      <c r="C402" s="112" t="n"/>
      <c r="D402" s="2" t="n"/>
      <c r="E402" s="2" t="n"/>
      <c r="F402" s="112" t="n"/>
      <c r="G402" s="2" t="n"/>
      <c r="H402" s="1" t="n"/>
      <c r="I402" s="171" t="n"/>
    </row>
    <row r="403" ht="15" customFormat="1" customHeight="1" s="59">
      <c r="B403" s="2" t="n"/>
      <c r="C403" s="112" t="n"/>
      <c r="D403" s="2" t="n"/>
      <c r="E403" s="2" t="n"/>
      <c r="F403" s="112" t="n"/>
      <c r="G403" s="2" t="n"/>
      <c r="H403" s="1" t="n"/>
      <c r="I403" s="171" t="n"/>
    </row>
    <row r="404" ht="15" customFormat="1" customHeight="1" s="59">
      <c r="B404" s="2" t="n"/>
      <c r="C404" s="112" t="n"/>
      <c r="D404" s="2" t="n"/>
      <c r="E404" s="2" t="n"/>
      <c r="F404" s="112" t="n"/>
      <c r="G404" s="2" t="n"/>
      <c r="H404" s="1" t="n"/>
      <c r="I404" s="171" t="n"/>
    </row>
    <row r="405" ht="15" customFormat="1" customHeight="1" s="59">
      <c r="B405" s="2" t="n"/>
      <c r="C405" s="112" t="n"/>
      <c r="D405" s="2" t="n"/>
      <c r="E405" s="2" t="n"/>
      <c r="F405" s="112" t="n"/>
      <c r="G405" s="2" t="n"/>
      <c r="H405" s="1" t="n"/>
      <c r="I405" s="171" t="n"/>
    </row>
    <row r="406" ht="15" customFormat="1" customHeight="1" s="59">
      <c r="B406" s="2" t="n"/>
      <c r="C406" s="112" t="n"/>
      <c r="D406" s="2" t="n"/>
      <c r="E406" s="2" t="n"/>
      <c r="F406" s="112" t="n"/>
      <c r="G406" s="2" t="n"/>
      <c r="H406" s="1" t="n"/>
      <c r="I406" s="171" t="n"/>
    </row>
    <row r="407" ht="15" customFormat="1" customHeight="1" s="59">
      <c r="B407" s="2" t="n"/>
      <c r="C407" s="112" t="n"/>
      <c r="D407" s="2" t="n"/>
      <c r="E407" s="2" t="n"/>
      <c r="F407" s="112" t="n"/>
      <c r="G407" s="2" t="n"/>
      <c r="H407" s="1" t="n"/>
      <c r="I407" s="171" t="n"/>
    </row>
    <row r="408" ht="15" customFormat="1" customHeight="1" s="59">
      <c r="B408" s="2" t="n"/>
      <c r="C408" s="112" t="n"/>
      <c r="D408" s="2" t="n"/>
      <c r="E408" s="2" t="n"/>
      <c r="F408" s="112" t="n"/>
      <c r="G408" s="2" t="n"/>
      <c r="H408" s="1" t="n"/>
      <c r="I408" s="171" t="n"/>
    </row>
    <row r="409" ht="15" customFormat="1" customHeight="1" s="59">
      <c r="B409" s="2" t="n"/>
      <c r="C409" s="112" t="n"/>
      <c r="D409" s="2" t="n"/>
      <c r="E409" s="2" t="n"/>
      <c r="F409" s="112" t="n"/>
      <c r="G409" s="2" t="n"/>
      <c r="H409" s="1" t="n"/>
      <c r="I409" s="171" t="n"/>
    </row>
    <row r="410" ht="15" customFormat="1" customHeight="1" s="59">
      <c r="B410" s="2" t="n"/>
      <c r="C410" s="112" t="n"/>
      <c r="D410" s="2" t="n"/>
      <c r="E410" s="2" t="n"/>
      <c r="F410" s="112" t="n"/>
      <c r="G410" s="2" t="n"/>
      <c r="H410" s="1" t="n"/>
      <c r="I410" s="171" t="n"/>
    </row>
    <row r="411" ht="15" customFormat="1" customHeight="1" s="59">
      <c r="B411" s="2" t="n"/>
      <c r="C411" s="112" t="n"/>
      <c r="D411" s="2" t="n"/>
      <c r="E411" s="2" t="n"/>
      <c r="F411" s="112" t="n"/>
      <c r="G411" s="2" t="n"/>
      <c r="H411" s="1" t="n"/>
      <c r="I411" s="171" t="n"/>
    </row>
    <row r="412" ht="15" customFormat="1" customHeight="1" s="59">
      <c r="B412" s="2" t="n"/>
      <c r="C412" s="112" t="n"/>
      <c r="D412" s="2" t="n"/>
      <c r="E412" s="2" t="n"/>
      <c r="F412" s="112" t="n"/>
      <c r="G412" s="2" t="n"/>
      <c r="H412" s="1" t="n"/>
      <c r="I412" s="171" t="n"/>
    </row>
    <row r="413" ht="15" customFormat="1" customHeight="1" s="59">
      <c r="B413" s="2" t="n"/>
      <c r="C413" s="112" t="n"/>
      <c r="D413" s="2" t="n"/>
      <c r="E413" s="2" t="n"/>
      <c r="F413" s="112" t="n"/>
      <c r="G413" s="2" t="n"/>
      <c r="H413" s="1" t="n"/>
      <c r="I413" s="171" t="n"/>
    </row>
    <row r="414" ht="15" customFormat="1" customHeight="1" s="59">
      <c r="B414" s="2" t="n"/>
      <c r="C414" s="112" t="n"/>
      <c r="D414" s="2" t="n"/>
      <c r="E414" s="2" t="n"/>
      <c r="F414" s="112" t="n"/>
      <c r="G414" s="2" t="n"/>
      <c r="H414" s="1" t="n"/>
      <c r="I414" s="171" t="n"/>
    </row>
    <row r="415" ht="15" customFormat="1" customHeight="1" s="59">
      <c r="B415" s="2" t="n"/>
      <c r="C415" s="112" t="n"/>
      <c r="D415" s="2" t="n"/>
      <c r="E415" s="2" t="n"/>
      <c r="F415" s="112" t="n"/>
      <c r="G415" s="2" t="n"/>
      <c r="H415" s="1" t="n"/>
      <c r="I415" s="171" t="n"/>
    </row>
    <row r="416" ht="15" customFormat="1" customHeight="1" s="59">
      <c r="B416" s="2" t="n"/>
      <c r="C416" s="112" t="n"/>
      <c r="D416" s="2" t="n"/>
      <c r="E416" s="2" t="n"/>
      <c r="F416" s="112" t="n"/>
      <c r="G416" s="2" t="n"/>
      <c r="H416" s="1" t="n"/>
      <c r="I416" s="171" t="n"/>
    </row>
    <row r="417" ht="15" customFormat="1" customHeight="1" s="59">
      <c r="B417" s="2" t="n"/>
      <c r="C417" s="112" t="n"/>
      <c r="D417" s="2" t="n"/>
      <c r="E417" s="2" t="n"/>
      <c r="F417" s="112" t="n"/>
      <c r="G417" s="2" t="n"/>
      <c r="H417" s="1" t="n"/>
      <c r="I417" s="171" t="n"/>
    </row>
    <row r="418" ht="15" customFormat="1" customHeight="1" s="59">
      <c r="B418" s="2" t="n"/>
      <c r="C418" s="112" t="n"/>
      <c r="D418" s="2" t="n"/>
      <c r="E418" s="2" t="n"/>
      <c r="F418" s="112" t="n"/>
      <c r="G418" s="2" t="n"/>
      <c r="H418" s="1" t="n"/>
      <c r="I418" s="171" t="n"/>
    </row>
    <row r="419" ht="15" customFormat="1" customHeight="1" s="59">
      <c r="B419" s="2" t="n"/>
      <c r="C419" s="112" t="n"/>
      <c r="D419" s="2" t="n"/>
      <c r="E419" s="2" t="n"/>
      <c r="F419" s="112" t="n"/>
      <c r="G419" s="2" t="n"/>
      <c r="H419" s="1" t="n"/>
      <c r="I419" s="171" t="n"/>
    </row>
    <row r="420" ht="15" customFormat="1" customHeight="1" s="59">
      <c r="B420" s="2" t="n"/>
      <c r="C420" s="112" t="n"/>
      <c r="D420" s="2" t="n"/>
      <c r="E420" s="2" t="n"/>
      <c r="F420" s="112" t="n"/>
      <c r="G420" s="2" t="n"/>
      <c r="H420" s="1" t="n"/>
      <c r="I420" s="171" t="n"/>
    </row>
    <row r="421" ht="15" customFormat="1" customHeight="1" s="59">
      <c r="B421" s="2" t="n"/>
      <c r="C421" s="112" t="n"/>
      <c r="D421" s="2" t="n"/>
      <c r="E421" s="2" t="n"/>
      <c r="F421" s="112" t="n"/>
      <c r="G421" s="2" t="n"/>
      <c r="H421" s="1" t="n"/>
      <c r="I421" s="171" t="n"/>
    </row>
    <row r="422" ht="15" customFormat="1" customHeight="1" s="59">
      <c r="B422" s="2" t="n"/>
      <c r="C422" s="112" t="n"/>
      <c r="D422" s="2" t="n"/>
      <c r="E422" s="2" t="n"/>
      <c r="F422" s="112" t="n"/>
      <c r="G422" s="2" t="n"/>
      <c r="H422" s="1" t="n"/>
      <c r="I422" s="171" t="n"/>
    </row>
    <row r="423" ht="15" customFormat="1" customHeight="1" s="59">
      <c r="B423" s="2" t="n"/>
      <c r="C423" s="112" t="n"/>
      <c r="D423" s="2" t="n"/>
      <c r="E423" s="2" t="n"/>
      <c r="F423" s="112" t="n"/>
      <c r="G423" s="2" t="n"/>
      <c r="H423" s="1" t="n"/>
      <c r="I423" s="171" t="n"/>
    </row>
    <row r="424" ht="15" customFormat="1" customHeight="1" s="59">
      <c r="B424" s="2" t="n"/>
      <c r="C424" s="112" t="n"/>
      <c r="D424" s="2" t="n"/>
      <c r="E424" s="2" t="n"/>
      <c r="F424" s="112" t="n"/>
      <c r="G424" s="2" t="n"/>
      <c r="H424" s="1" t="n"/>
      <c r="I424" s="171" t="n"/>
    </row>
    <row r="425" ht="15" customFormat="1" customHeight="1" s="59">
      <c r="B425" s="2" t="n"/>
      <c r="C425" s="112" t="n"/>
      <c r="D425" s="2" t="n"/>
      <c r="E425" s="2" t="n"/>
      <c r="F425" s="112" t="n"/>
      <c r="G425" s="2" t="n"/>
      <c r="H425" s="1" t="n"/>
      <c r="I425" s="171" t="n"/>
    </row>
    <row r="426" ht="15" customFormat="1" customHeight="1" s="59">
      <c r="B426" s="2" t="n"/>
      <c r="C426" s="112" t="n"/>
      <c r="D426" s="2" t="n"/>
      <c r="E426" s="2" t="n"/>
      <c r="F426" s="112" t="n"/>
      <c r="G426" s="2" t="n"/>
      <c r="H426" s="1" t="n"/>
      <c r="I426" s="171" t="n"/>
    </row>
    <row r="427" ht="15" customFormat="1" customHeight="1" s="59">
      <c r="B427" s="2" t="n"/>
      <c r="C427" s="112" t="n"/>
      <c r="D427" s="2" t="n"/>
      <c r="E427" s="2" t="n"/>
      <c r="F427" s="112" t="n"/>
      <c r="G427" s="2" t="n"/>
      <c r="H427" s="1" t="n"/>
      <c r="I427" s="171" t="n"/>
    </row>
    <row r="428" ht="15" customFormat="1" customHeight="1" s="59">
      <c r="B428" s="2" t="n"/>
      <c r="C428" s="112" t="n"/>
      <c r="D428" s="2" t="n"/>
      <c r="E428" s="2" t="n"/>
      <c r="F428" s="112" t="n"/>
      <c r="G428" s="2" t="n"/>
      <c r="H428" s="1" t="n"/>
      <c r="I428" s="171" t="n"/>
    </row>
    <row r="429" ht="15" customFormat="1" customHeight="1" s="59">
      <c r="B429" s="2" t="n"/>
      <c r="C429" s="112" t="n"/>
      <c r="D429" s="2" t="n"/>
      <c r="E429" s="2" t="n"/>
      <c r="F429" s="112" t="n"/>
      <c r="G429" s="2" t="n"/>
      <c r="H429" s="1" t="n"/>
      <c r="I429" s="171" t="n"/>
    </row>
    <row r="430" ht="15" customFormat="1" customHeight="1" s="59">
      <c r="B430" s="2" t="n"/>
      <c r="C430" s="112" t="n"/>
      <c r="D430" s="2" t="n"/>
      <c r="E430" s="2" t="n"/>
      <c r="F430" s="112" t="n"/>
      <c r="G430" s="2" t="n"/>
      <c r="H430" s="1" t="n"/>
      <c r="I430" s="171" t="n"/>
    </row>
    <row r="431" ht="15" customFormat="1" customHeight="1" s="59">
      <c r="B431" s="2" t="n"/>
      <c r="C431" s="112" t="n"/>
      <c r="D431" s="2" t="n"/>
      <c r="E431" s="2" t="n"/>
      <c r="F431" s="112" t="n"/>
      <c r="G431" s="2" t="n"/>
      <c r="H431" s="1" t="n"/>
      <c r="I431" s="171" t="n"/>
    </row>
    <row r="432" ht="15" customFormat="1" customHeight="1" s="59">
      <c r="B432" s="2" t="n"/>
      <c r="C432" s="112" t="n"/>
      <c r="D432" s="2" t="n"/>
      <c r="E432" s="2" t="n"/>
      <c r="F432" s="112" t="n"/>
      <c r="G432" s="2" t="n"/>
      <c r="H432" s="1" t="n"/>
      <c r="I432" s="171" t="n"/>
    </row>
    <row r="433" ht="15" customFormat="1" customHeight="1" s="59">
      <c r="B433" s="2" t="n"/>
      <c r="C433" s="112" t="n"/>
      <c r="D433" s="2" t="n"/>
      <c r="E433" s="2" t="n"/>
      <c r="F433" s="112" t="n"/>
      <c r="G433" s="2" t="n"/>
      <c r="H433" s="1" t="n"/>
      <c r="I433" s="171" t="n"/>
    </row>
    <row r="434" ht="15" customFormat="1" customHeight="1" s="59">
      <c r="B434" s="2" t="n"/>
      <c r="C434" s="112" t="n"/>
      <c r="D434" s="2" t="n"/>
      <c r="E434" s="2" t="n"/>
      <c r="F434" s="112" t="n"/>
      <c r="G434" s="2" t="n"/>
      <c r="H434" s="1" t="n"/>
      <c r="I434" s="171" t="n"/>
    </row>
    <row r="435" ht="15" customFormat="1" customHeight="1" s="59">
      <c r="B435" s="2" t="n"/>
      <c r="C435" s="112" t="n"/>
      <c r="D435" s="2" t="n"/>
      <c r="E435" s="2" t="n"/>
      <c r="F435" s="112" t="n"/>
      <c r="G435" s="2" t="n"/>
      <c r="H435" s="1" t="n"/>
      <c r="I435" s="171" t="n"/>
    </row>
    <row r="436" ht="15" customFormat="1" customHeight="1" s="59">
      <c r="B436" s="2" t="n"/>
      <c r="C436" s="112" t="n"/>
      <c r="D436" s="2" t="n"/>
      <c r="E436" s="2" t="n"/>
      <c r="F436" s="112" t="n"/>
      <c r="G436" s="2" t="n"/>
      <c r="H436" s="1" t="n"/>
      <c r="I436" s="171" t="n"/>
    </row>
    <row r="437" ht="15" customFormat="1" customHeight="1" s="59">
      <c r="B437" s="2" t="n"/>
      <c r="C437" s="112" t="n"/>
      <c r="D437" s="2" t="n"/>
      <c r="E437" s="2" t="n"/>
      <c r="F437" s="112" t="n"/>
      <c r="G437" s="2" t="n"/>
      <c r="H437" s="1" t="n"/>
      <c r="I437" s="171" t="n"/>
    </row>
    <row r="438" ht="15" customFormat="1" customHeight="1" s="59">
      <c r="B438" s="2" t="n"/>
      <c r="C438" s="112" t="n"/>
      <c r="D438" s="2" t="n"/>
      <c r="E438" s="2" t="n"/>
      <c r="F438" s="112" t="n"/>
      <c r="G438" s="2" t="n"/>
      <c r="H438" s="1" t="n"/>
      <c r="I438" s="171" t="n"/>
    </row>
    <row r="439" ht="15" customFormat="1" customHeight="1" s="59">
      <c r="B439" s="2" t="n"/>
      <c r="C439" s="112" t="n"/>
      <c r="D439" s="2" t="n"/>
      <c r="E439" s="2" t="n"/>
      <c r="F439" s="112" t="n"/>
      <c r="G439" s="2" t="n"/>
      <c r="H439" s="1" t="n"/>
      <c r="I439" s="171" t="n"/>
    </row>
    <row r="440" ht="15" customFormat="1" customHeight="1" s="59">
      <c r="B440" s="2" t="n"/>
      <c r="C440" s="112" t="n"/>
      <c r="D440" s="2" t="n"/>
      <c r="E440" s="2" t="n"/>
      <c r="F440" s="112" t="n"/>
      <c r="G440" s="2" t="n"/>
      <c r="H440" s="1" t="n"/>
      <c r="I440" s="171" t="n"/>
    </row>
    <row r="441" ht="15" customFormat="1" customHeight="1" s="59">
      <c r="B441" s="2" t="n"/>
      <c r="C441" s="112" t="n"/>
      <c r="D441" s="2" t="n"/>
      <c r="E441" s="2" t="n"/>
      <c r="F441" s="112" t="n"/>
      <c r="G441" s="2" t="n"/>
      <c r="H441" s="1" t="n"/>
      <c r="I441" s="171" t="n"/>
    </row>
    <row r="442" ht="15" customFormat="1" customHeight="1" s="59">
      <c r="B442" s="2" t="n"/>
      <c r="C442" s="112" t="n"/>
      <c r="D442" s="2" t="n"/>
      <c r="E442" s="2" t="n"/>
      <c r="F442" s="112" t="n"/>
      <c r="G442" s="2" t="n"/>
      <c r="H442" s="1" t="n"/>
      <c r="I442" s="171" t="n"/>
    </row>
    <row r="443" ht="15" customFormat="1" customHeight="1" s="59">
      <c r="B443" s="2" t="n"/>
      <c r="C443" s="112" t="n"/>
      <c r="D443" s="2" t="n"/>
      <c r="E443" s="2" t="n"/>
      <c r="F443" s="112" t="n"/>
      <c r="G443" s="2" t="n"/>
      <c r="H443" s="1" t="n"/>
      <c r="I443" s="171" t="n"/>
    </row>
    <row r="444" ht="15" customHeight="1"/>
    <row r="445" ht="15" customHeight="1">
      <c r="K445" s="59" t="n"/>
    </row>
    <row r="446" ht="15" customHeight="1"/>
    <row r="447" ht="15" customFormat="1" customHeight="1" s="27">
      <c r="A447" s="59" t="n"/>
      <c r="B447" s="2" t="n"/>
      <c r="C447" s="112" t="n"/>
      <c r="D447" s="2" t="n"/>
      <c r="E447" s="2" t="n"/>
      <c r="F447" s="112" t="n"/>
      <c r="G447" s="2" t="n"/>
      <c r="H447" s="1" t="n"/>
      <c r="I447" s="171" t="n"/>
      <c r="K447" s="59" t="n"/>
    </row>
    <row r="448" ht="15" customFormat="1" customHeight="1" s="27">
      <c r="A448" s="59" t="n"/>
      <c r="B448" s="2" t="n"/>
      <c r="C448" s="112" t="n"/>
      <c r="D448" s="2" t="n"/>
      <c r="E448" s="2" t="n"/>
      <c r="F448" s="112" t="n"/>
      <c r="G448" s="2" t="n"/>
      <c r="H448" s="1" t="n"/>
      <c r="I448" s="171" t="n"/>
      <c r="K448" s="1" t="n"/>
    </row>
    <row r="449" ht="15" customHeight="1">
      <c r="K449" s="59" t="n"/>
    </row>
    <row r="450" ht="15" customHeight="1"/>
    <row r="451" ht="15" customHeight="1"/>
    <row r="452" ht="15" customHeight="1">
      <c r="K452" s="59" t="n"/>
    </row>
    <row r="453" ht="15" customHeight="1"/>
    <row r="454" ht="15" customHeight="1">
      <c r="K454" s="59" t="n"/>
    </row>
    <row r="455" ht="15" customHeight="1"/>
    <row r="456" ht="15" customHeight="1">
      <c r="K456" s="59" t="n"/>
    </row>
    <row r="457" ht="15" customHeight="1"/>
    <row r="458" ht="15" customHeight="1">
      <c r="K458" s="59" t="n"/>
    </row>
    <row r="459" ht="15" customHeight="1"/>
    <row r="460" ht="15" customHeight="1"/>
    <row r="461" ht="15" customHeight="1">
      <c r="K461" s="59" t="n"/>
    </row>
    <row r="462" ht="15" customHeight="1"/>
    <row r="463" ht="15" customHeight="1">
      <c r="K463" s="59" t="n"/>
    </row>
    <row r="464" ht="15" customHeight="1"/>
    <row r="465" ht="15" customHeight="1">
      <c r="K465" s="59" t="n"/>
    </row>
    <row r="466" ht="15" customHeight="1"/>
    <row r="467" ht="15" customHeight="1">
      <c r="K467" s="59" t="n"/>
    </row>
    <row r="468" ht="15" customHeight="1"/>
    <row r="469" ht="15" customHeight="1"/>
    <row r="470" ht="15" customHeight="1">
      <c r="K470" s="59" t="n"/>
    </row>
    <row r="471" ht="15" customHeight="1"/>
    <row r="472" ht="15" customHeight="1">
      <c r="K472" s="59" t="n"/>
    </row>
    <row r="473" ht="15" customHeight="1"/>
    <row r="474" ht="15" customHeight="1">
      <c r="K474" s="59" t="n"/>
    </row>
    <row r="475" ht="15" customHeight="1"/>
    <row r="476" ht="15" customHeight="1">
      <c r="K476" s="59" t="n"/>
    </row>
    <row r="477" ht="15" customHeight="1"/>
    <row r="478" ht="15" customHeight="1"/>
    <row r="479" ht="15" customHeight="1">
      <c r="K479" s="59" t="n"/>
    </row>
    <row r="480" ht="15" customHeight="1"/>
    <row r="481" ht="15" customHeight="1">
      <c r="K481" s="59" t="n"/>
    </row>
    <row r="482" ht="15" customHeight="1"/>
    <row r="483" ht="15" customHeight="1">
      <c r="K483" s="59" t="n"/>
    </row>
    <row r="484" ht="15" customHeight="1"/>
    <row r="485" ht="15" customHeight="1">
      <c r="K485" s="59" t="n"/>
    </row>
    <row r="486" ht="15" customHeight="1"/>
    <row r="487" ht="15" customHeight="1"/>
    <row r="488" ht="15" customHeight="1">
      <c r="K488" s="59" t="n"/>
    </row>
    <row r="489" ht="15" customHeight="1"/>
    <row r="490" ht="15" customHeight="1">
      <c r="K490" s="59" t="n"/>
    </row>
    <row r="491" ht="15" customHeight="1"/>
    <row r="492" ht="15" customHeight="1">
      <c r="K492" s="59" t="n"/>
    </row>
    <row r="493" ht="15" customHeight="1"/>
    <row r="494" ht="15" customHeight="1">
      <c r="K494" s="59" t="n"/>
    </row>
    <row r="495" ht="15" customHeight="1"/>
    <row r="496" ht="15" customHeight="1"/>
    <row r="497" ht="15" customHeight="1">
      <c r="K497" s="59" t="n"/>
    </row>
    <row r="498" ht="15" customHeight="1"/>
    <row r="499" ht="15" customHeight="1">
      <c r="K499" s="59" t="n"/>
    </row>
    <row r="500" ht="15" customHeight="1"/>
    <row r="501" ht="15" customHeight="1">
      <c r="K501" s="59" t="n"/>
    </row>
    <row r="502" ht="15" customHeight="1"/>
    <row r="503" ht="15" customHeight="1">
      <c r="K503" s="59" t="n"/>
    </row>
    <row r="504" ht="15" customHeight="1"/>
    <row r="505" ht="15" customHeight="1"/>
    <row r="506" ht="15" customHeight="1">
      <c r="K506" s="59" t="n"/>
    </row>
    <row r="507" ht="15" customHeight="1"/>
    <row r="508" ht="15" customHeight="1">
      <c r="K508" s="59" t="n"/>
    </row>
    <row r="509" ht="15" customHeight="1"/>
    <row r="510" ht="15" customHeight="1">
      <c r="K510" s="59" t="n"/>
    </row>
    <row r="511" ht="15" customHeight="1"/>
    <row r="512" ht="15" customHeight="1">
      <c r="K512" s="59" t="n"/>
    </row>
    <row r="513" ht="15" customHeight="1"/>
    <row r="514" ht="15" customHeight="1"/>
    <row r="515" ht="15" customHeight="1">
      <c r="K515" s="59" t="n"/>
    </row>
    <row r="516" ht="15" customHeight="1"/>
    <row r="517" ht="15" customHeight="1">
      <c r="K517" s="59" t="n"/>
    </row>
    <row r="518" ht="15" customHeight="1"/>
    <row r="519" ht="15" customHeight="1">
      <c r="K519" s="59" t="n"/>
    </row>
    <row r="520" ht="15" customHeight="1"/>
    <row r="521" ht="15" customHeight="1">
      <c r="K521" s="59" t="n"/>
    </row>
    <row r="522" ht="15" customHeight="1"/>
    <row r="523" ht="15" customHeight="1"/>
    <row r="524" ht="15" customHeight="1">
      <c r="K524" s="59" t="n"/>
    </row>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sheetData>
  <sheetProtection selectLockedCells="0" selectUnlockedCells="0" algorithmName="SHA-512" sheet="1" objects="1" insertRows="1" insertHyperlinks="1" autoFilter="1" scenarios="1" formatColumns="1" deleteColumns="1" insertColumns="1" pivotTables="1" deleteRows="1" formatCells="1" saltValue="zRKmp1O16w5eMhEa1V6uUA==" formatRows="1" sort="1" spinCount="100000" hashValue="b5l1P8eOssSLxKS+7g/qkmxpWFg6qouVYUqjO3M4dAN7MMDBVf0uNpq2jJbSK8ky6sKiASKf067J6yaQJruUyA=="/>
  <mergeCells count="5">
    <mergeCell ref="E2:G2"/>
    <mergeCell ref="A5:I5"/>
    <mergeCell ref="A46:I46"/>
    <mergeCell ref="B2:D2"/>
    <mergeCell ref="E1:G1"/>
  </mergeCells>
  <dataValidations count="1">
    <dataValidation sqref="B9:B16 B18 B20 B22 B23 B24 B26 B27 B28 B29 B30 B32 B33 B34 B35 B36 E9 E10 E11 E12 E13 E14 E15 E16 E18 E20 E22 E23 E24 E26 E27 E28 E29 E30 E32 E33 E34 E35 E36" showDropDown="0" showInputMessage="1" showErrorMessage="1" allowBlank="1" type="decimal" errorStyle="information" operator="greaterThanOrEqual">
      <formula1>0</formula1>
    </dataValidation>
  </dataValidations>
  <hyperlinks>
    <hyperlink ref="C1" location="'BE Template'!A84" tooltip="Go to &quot;Summary&quot; section" display="View Summary"/>
  </hyperlinks>
  <pageMargins left="0.2362204724409449" right="0.2362204724409449" top="0.7480314960629921" bottom="0.7480314960629921" header="0.3149606299212598" footer="0.3149606299212598"/>
  <pageSetup orientation="landscape" paperSize="8" scale="96" fitToHeight="0"/>
  <legacyDrawing xmlns:r="http://schemas.openxmlformats.org/officeDocument/2006/relationships" r:id="anysvml"/>
</worksheet>
</file>

<file path=xl/worksheets/sheet11.xml><?xml version="1.0" encoding="utf-8"?>
<worksheet xmlns="http://schemas.openxmlformats.org/spreadsheetml/2006/main">
  <sheetPr codeName="Sheet2">
    <tabColor rgb="FFCCFF66"/>
    <outlinePr summaryBelow="1" summaryRight="1"/>
    <pageSetUpPr/>
  </sheetPr>
  <dimension ref="A1:D330"/>
  <sheetViews>
    <sheetView zoomScale="80" zoomScaleNormal="80" workbookViewId="0">
      <pane xSplit="1" ySplit="3" topLeftCell="B295" activePane="bottomRight" state="frozenSplit"/>
      <selection pane="bottomRight" activeCell="B21" sqref="B21"/>
      <selection pane="bottomLeft" activeCell="A576" sqref="A576"/>
      <selection pane="topRight" activeCell="B1" sqref="B1"/>
    </sheetView>
  </sheetViews>
  <sheetFormatPr baseColWidth="8" defaultColWidth="8.7109375" defaultRowHeight="14.45"/>
  <cols>
    <col width="111.7109375" customWidth="1" min="1" max="1"/>
    <col width="8.7109375" customWidth="1" min="2" max="2"/>
    <col width="15.28515625" customWidth="1" min="3" max="3"/>
    <col width="16.28515625" bestFit="1" customWidth="1" min="4" max="4"/>
  </cols>
  <sheetData>
    <row r="1" ht="24" customHeight="1" thickBot="1">
      <c r="A1" s="54" t="inlineStr">
        <is>
          <t>Coordinator: BE1 - BUDGET SHEET</t>
        </is>
      </c>
      <c r="B1" s="33" t="n"/>
      <c r="C1" s="242" t="inlineStr">
        <is>
          <t>View Summary</t>
        </is>
      </c>
      <c r="D1" s="34" t="n"/>
    </row>
    <row r="2" ht="18.6" customHeight="1">
      <c r="A2" s="264" t="inlineStr">
        <is>
          <t>00000001-0001-0001-0001-000000000001</t>
        </is>
      </c>
      <c r="B2" s="303" t="inlineStr">
        <is>
          <t>SINTEF AS</t>
        </is>
      </c>
      <c r="C2" s="315" t="n"/>
      <c r="D2" s="316"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","Management, IP and Innovation Management")</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6</v>
      </c>
      <c r="C9" s="248" t="n">
        <v>11000</v>
      </c>
      <c r="D9" s="232">
        <f>B9*C9</f>
        <v/>
      </c>
    </row>
    <row r="10">
      <c r="A10" s="48" t="inlineStr">
        <is>
          <t>JUNIOR SCIENTISTS (or equivalent in the private sector)</t>
        </is>
      </c>
      <c r="B10" s="358" t="n">
        <v>4</v>
      </c>
      <c r="C10" s="248" t="n">
        <v>9000</v>
      </c>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v>0</v>
      </c>
      <c r="C12" s="248" t="n">
        <v>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11858.7624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1500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5">
      <c r="A45" s="190" t="n"/>
      <c r="B45" s="185" t="n"/>
      <c r="C45" s="186" t="n"/>
      <c r="D45" s="187" t="n"/>
    </row>
    <row r="46" ht="21" customHeight="1">
      <c r="A46" s="306">
        <f>CONCATENATE("COSTS WORK PACKAGE 2:"," ","Site Characterisation and Demonstrator Engineering")</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1</v>
      </c>
      <c r="C50" s="248" t="n">
        <v>11000</v>
      </c>
      <c r="D50" s="232">
        <f>B50*C50</f>
        <v/>
      </c>
    </row>
    <row r="51">
      <c r="A51" s="48" t="inlineStr">
        <is>
          <t>JUNIOR SCIENTISTS (or equivalent in the private sector)</t>
        </is>
      </c>
      <c r="B51" s="358" t="n"/>
      <c r="C51" s="248" t="n"/>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11858.7624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v>0</v>
      </c>
      <c r="C61" s="248" t="n">
        <v>0</v>
      </c>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6">
      <c r="A86" s="190" t="n"/>
      <c r="B86" s="185" t="n"/>
      <c r="C86" s="186" t="n"/>
      <c r="D86" s="187" t="n"/>
    </row>
    <row r="87" ht="21" customHeight="1">
      <c r="A87" s="306">
        <f>CONCATENATE("COSTS WORK PACKAGE 3:"," ","Integrated Design Verification and Monitoring Specification")</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7</v>
      </c>
      <c r="C91" s="248" t="n">
        <v>11000</v>
      </c>
      <c r="D91" s="232">
        <f>B91*C91</f>
        <v/>
      </c>
    </row>
    <row r="92">
      <c r="A92" s="48" t="inlineStr">
        <is>
          <t>JUNIOR SCIENTISTS (or equivalent in the private sector)</t>
        </is>
      </c>
      <c r="B92" s="358" t="n">
        <v>4</v>
      </c>
      <c r="C92" s="248" t="n">
        <v>9000</v>
      </c>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11858.7624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v>6</v>
      </c>
      <c r="C104" s="248" t="n">
        <v>10000</v>
      </c>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v>0</v>
      </c>
      <c r="C108" s="248" t="n">
        <v>0</v>
      </c>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","Performance, Durability and Model Validation")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4</v>
      </c>
      <c r="C132" s="248" t="n">
        <v>11000</v>
      </c>
      <c r="D132" s="232">
        <f>B132*C132</f>
        <v/>
      </c>
    </row>
    <row r="133">
      <c r="A133" s="48" t="inlineStr">
        <is>
          <t>JUNIOR SCIENTISTS (or equivalent in the private sector)</t>
        </is>
      </c>
      <c r="B133" s="358" t="n">
        <v>2</v>
      </c>
      <c r="C133" s="248" t="n">
        <v>9000</v>
      </c>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11858.7624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v>0</v>
      </c>
      <c r="D149" s="362">
        <f>B149*C149</f>
        <v/>
      </c>
    </row>
    <row r="150">
      <c r="A150" s="49" t="inlineStr">
        <is>
          <t>Services for meetings, seminars</t>
        </is>
      </c>
      <c r="B150" s="358" t="n">
        <v>0</v>
      </c>
      <c r="C150" s="248" t="n">
        <v>0</v>
      </c>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","Manufacturing, Instrumentation and Factory Acceptance")</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1</v>
      </c>
      <c r="C173" s="248" t="n">
        <v>11000</v>
      </c>
      <c r="D173" s="232">
        <f>B173*C173</f>
        <v/>
      </c>
    </row>
    <row r="174">
      <c r="A174" s="48" t="inlineStr">
        <is>
          <t>JUNIOR SCIENTISTS (or equivalent in the private sector)</t>
        </is>
      </c>
      <c r="B174" s="358" t="n">
        <v>5</v>
      </c>
      <c r="C174" s="248" t="n">
        <v>9000</v>
      </c>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11858.7624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9">
      <c r="A209" s="190" t="n"/>
      <c r="B209" s="185" t="n"/>
      <c r="C209" s="186" t="n"/>
      <c r="D209" s="187" t="n"/>
    </row>
    <row r="210" ht="21" customHeight="1">
      <c r="A210" s="306">
        <f>CONCATENATE("COSTS WORK PACKAGE 6:"," ","Deployment, Operation and Validation Campaign")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1</v>
      </c>
      <c r="C214" s="248" t="n">
        <v>11000</v>
      </c>
      <c r="D214" s="232">
        <f>B214*C214</f>
        <v/>
      </c>
    </row>
    <row r="215">
      <c r="A215" s="48" t="inlineStr">
        <is>
          <t>JUNIOR SCIENTISTS (or equivalent in the private sector)</t>
        </is>
      </c>
      <c r="B215" s="358" t="n">
        <v>2</v>
      </c>
      <c r="C215" s="248" t="n">
        <v>9000</v>
      </c>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11858.7624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v>2</v>
      </c>
      <c r="C225" s="248" t="n">
        <v>1500</v>
      </c>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v>0</v>
      </c>
      <c r="C233" s="248" t="n">
        <v>0</v>
      </c>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","Market Validation, Exploitation and Investment Readiness")</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v>
      </c>
      <c r="C255" s="248" t="n">
        <v>11000</v>
      </c>
      <c r="D255" s="232">
        <f>B255*C255</f>
        <v/>
      </c>
    </row>
    <row r="256">
      <c r="A256" s="48" t="inlineStr">
        <is>
          <t>JUNIOR SCIENTISTS (or equivalent in the private sector)</t>
        </is>
      </c>
      <c r="B256" s="358" t="n">
        <v>1</v>
      </c>
      <c r="C256" s="248" t="n">
        <v>9000</v>
      </c>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11858.7624</v>
      </c>
      <c r="D262" s="232">
        <f>B262*C262</f>
        <v/>
      </c>
    </row>
    <row r="263">
      <c r="A263" s="29" t="inlineStr">
        <is>
          <t>B. DIRECT SUBCONTRACTING COSTS</t>
        </is>
      </c>
      <c r="B263" s="359" t="n"/>
      <c r="C263" s="110" t="n"/>
      <c r="D263" s="360" t="n"/>
    </row>
    <row r="264">
      <c r="A264" s="53" t="n"/>
      <c r="B264" s="358" t="n">
        <v>1</v>
      </c>
      <c r="C264" s="248" t="n">
        <v>6000</v>
      </c>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v>2</v>
      </c>
      <c r="C273" s="248" t="n">
        <v>5100</v>
      </c>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1">
      <c r="A291" s="190" t="n"/>
      <c r="B291" s="185" t="n"/>
      <c r="C291" s="186" t="n"/>
      <c r="D291" s="187" t="n"/>
    </row>
    <row r="292" ht="21" customHeight="1">
      <c r="A292" s="306" t="inlineStr">
        <is>
          <t>SUMMARY</t>
        </is>
      </c>
      <c r="B292" s="315" t="n"/>
      <c r="C292" s="315" t="n"/>
      <c r="D292" s="316" t="n"/>
    </row>
    <row r="293">
      <c r="A293" s="56" t="n"/>
      <c r="B293" s="174" t="n"/>
      <c r="C293" s="175" t="n"/>
      <c r="D293" s="174"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79">
        <f>B9+B50+B91+B132+B173+B214+B255</f>
        <v/>
      </c>
      <c r="C296" s="249">
        <f>IF(B296&gt;0,D296/B296," ")</f>
        <v/>
      </c>
      <c r="D296" s="362">
        <f>D9+D50+D91+D132+D173+D214+D255</f>
        <v/>
      </c>
    </row>
    <row r="297">
      <c r="A297" s="48" t="inlineStr">
        <is>
          <t>JUNIOR SCIENTISTS (or equivalent in the private sector)</t>
        </is>
      </c>
      <c r="B297" s="379">
        <f>B10+B51+B92+B133+B174+B215+B256</f>
        <v/>
      </c>
      <c r="C297" s="249">
        <f>IF(B297&gt;0,D297/B297," ")</f>
        <v/>
      </c>
      <c r="D297" s="362">
        <f>D10+D51+D92+D133+D174+D215+D256</f>
        <v/>
      </c>
    </row>
    <row r="298">
      <c r="A298" s="48" t="inlineStr">
        <is>
          <t>TECHNICAL PERSONNEL (or equivalent in the private sector)</t>
        </is>
      </c>
      <c r="B298" s="379">
        <f>B11+B52+B93+B134+B175+B216+B257</f>
        <v/>
      </c>
      <c r="C298" s="249">
        <f>IF(B298&gt;0,D298/B298," ")</f>
        <v/>
      </c>
      <c r="D298" s="362">
        <f>D11+D52+D93+D134+D175+D216+D257</f>
        <v/>
      </c>
    </row>
    <row r="299">
      <c r="A299" s="48" t="inlineStr">
        <is>
          <t>ADMINISTRATIVE PERSONNEL (or equivalent in the private sector)</t>
        </is>
      </c>
      <c r="B299" s="379">
        <f>B12+B53+B94+B135+B176+B217+B258</f>
        <v/>
      </c>
      <c r="C299" s="249">
        <f>IF(B299&gt;0,D299/B299," ")</f>
        <v/>
      </c>
      <c r="D299" s="362">
        <f>D12+D53+D94+D135+D176+D217+D258</f>
        <v/>
      </c>
    </row>
    <row r="300">
      <c r="A300" s="48" t="inlineStr">
        <is>
          <t>OTHERS</t>
        </is>
      </c>
      <c r="B300" s="379">
        <f>B13+B54+B95+B136+B177+B218+B259</f>
        <v/>
      </c>
      <c r="C300" s="249">
        <f>IF(B300&gt;0,D300/B300," ")</f>
        <v/>
      </c>
      <c r="D300" s="362">
        <f>D13+D54+D95+D136+D177+D218+D259</f>
        <v/>
      </c>
    </row>
    <row r="301">
      <c r="A301" s="28" t="inlineStr">
        <is>
          <t>A.2 Natural Persons under direct contract</t>
        </is>
      </c>
      <c r="B301" s="379">
        <f>B14+B55+B96+B137+B178+B219+B260</f>
        <v/>
      </c>
      <c r="C301" s="249">
        <f>IF(B301&gt;0,D301/B301," ")</f>
        <v/>
      </c>
      <c r="D301" s="362">
        <f>D14+D55+D96+D137+D178+D219+D260</f>
        <v/>
      </c>
    </row>
    <row r="302">
      <c r="A302" s="28" t="inlineStr">
        <is>
          <t>A.3 Seconded Persons</t>
        </is>
      </c>
      <c r="B302" s="379">
        <f>B15+B56+B97+B138+B179+B220+B261</f>
        <v/>
      </c>
      <c r="C302" s="249">
        <f>IF(B302&gt;0,D302/B302," ")</f>
        <v/>
      </c>
      <c r="D302" s="362">
        <f>D15+D56+D97+D138+D179+D220+D261</f>
        <v/>
      </c>
    </row>
    <row r="303">
      <c r="A303" s="28" t="inlineStr">
        <is>
          <t>A.4 SME owners and natural person beneficiaries</t>
        </is>
      </c>
      <c r="B303" s="379">
        <f>B16+B57+B98+B139+B180+B221+B262</f>
        <v/>
      </c>
      <c r="C303" s="249">
        <f>IF(B303&gt;0,D303/B303," ")</f>
        <v/>
      </c>
      <c r="D303" s="362">
        <f>D16+D57+D98+D139+D180+D221+D262</f>
        <v/>
      </c>
    </row>
    <row r="304">
      <c r="A304" s="29" t="inlineStr">
        <is>
          <t>B. DIRECT SUBCONTRACTING COSTS</t>
        </is>
      </c>
      <c r="B304" s="381" t="n"/>
      <c r="C304" s="250" t="n"/>
      <c r="D304" s="360" t="n"/>
    </row>
    <row r="305">
      <c r="A305" s="28" t="n"/>
      <c r="B305" s="379">
        <f>B18+B59+B100+B141+B182+B223+B264</f>
        <v/>
      </c>
      <c r="C305" s="249">
        <f>IF(B305&gt;0,D305/B305," ")</f>
        <v/>
      </c>
      <c r="D305" s="362">
        <f>D18+D59+D100+D141+D182+D223+D264</f>
        <v/>
      </c>
    </row>
    <row r="306">
      <c r="A306" s="29" t="inlineStr">
        <is>
          <t>C. DIRECT PURCHASE COSTS</t>
        </is>
      </c>
      <c r="B306" s="381" t="n"/>
      <c r="C306" s="250" t="n"/>
      <c r="D306" s="360" t="n"/>
    </row>
    <row r="307">
      <c r="A307" s="28" t="inlineStr">
        <is>
          <t>C.1 Travel and subsistence</t>
        </is>
      </c>
      <c r="B307" s="379">
        <f>B20+B61+B102+B143+B184+B225+B266</f>
        <v/>
      </c>
      <c r="C307" s="249">
        <f>IF(B307&gt;0,D307/B307," ")</f>
        <v/>
      </c>
      <c r="D307" s="362">
        <f>D20+D61+D102+D143+D184+D225+D266</f>
        <v/>
      </c>
    </row>
    <row r="308">
      <c r="A308" s="28" t="inlineStr">
        <is>
          <t>C.2 Equipment (complete 'Depreciation costs' sheet)</t>
        </is>
      </c>
      <c r="B308" s="382" t="n"/>
      <c r="C308" s="251" t="n"/>
      <c r="D308" s="365" t="n"/>
    </row>
    <row r="309">
      <c r="A309" s="49" t="inlineStr">
        <is>
          <t>Equipment</t>
        </is>
      </c>
      <c r="B309" s="379">
        <f>B22+B63+B104+B145+B186+B227+B268</f>
        <v/>
      </c>
      <c r="C309" s="249">
        <f>IF(B309&gt;0,D309/B309," ")</f>
        <v/>
      </c>
      <c r="D309" s="362">
        <f>D22+D63+D104+D145+D186+D227+D268</f>
        <v/>
      </c>
    </row>
    <row r="310">
      <c r="A310" s="49" t="inlineStr">
        <is>
          <t>Infrastructure</t>
        </is>
      </c>
      <c r="B310" s="379">
        <f>B23+B64+B105+B146+B187+B228+B269</f>
        <v/>
      </c>
      <c r="C310" s="249">
        <f>IF(B310&gt;0,D310/B310," ")</f>
        <v/>
      </c>
      <c r="D310" s="362">
        <f>D23+D64+D105+D146+D187+D228+D269</f>
        <v/>
      </c>
    </row>
    <row r="311">
      <c r="A311" s="49" t="inlineStr">
        <is>
          <t>Other assets</t>
        </is>
      </c>
      <c r="B311" s="379">
        <f>B24+B65+B106+B147+B188+B229+B270</f>
        <v/>
      </c>
      <c r="C311" s="249">
        <f>IF(B311&gt;0,D311/B311," ")</f>
        <v/>
      </c>
      <c r="D311" s="362">
        <f>D24+D65+D106+D147+D188+D229+D270</f>
        <v/>
      </c>
    </row>
    <row r="312">
      <c r="A312" s="28" t="inlineStr">
        <is>
          <t>C.3 Other goods, works and services</t>
        </is>
      </c>
      <c r="B312" s="382" t="n"/>
      <c r="C312" s="251" t="n"/>
      <c r="D312" s="365" t="n"/>
    </row>
    <row r="313">
      <c r="A313" s="49" t="inlineStr">
        <is>
          <t>Consumables</t>
        </is>
      </c>
      <c r="B313" s="379">
        <f>B26+B67+B108+B149+B190+B231+B272</f>
        <v/>
      </c>
      <c r="C313" s="249">
        <f>IF(B313&gt;0,D313/B313," ")</f>
        <v/>
      </c>
      <c r="D313" s="362">
        <f>D26+D67+D108+D149+D190+D231+D272</f>
        <v/>
      </c>
    </row>
    <row r="314">
      <c r="A314" s="49" t="inlineStr">
        <is>
          <t>Services for meetings, seminars</t>
        </is>
      </c>
      <c r="B314" s="379">
        <f>B27+B68+B109+B150+B191+B232+B273</f>
        <v/>
      </c>
      <c r="C314" s="249">
        <f>IF(B314&gt;0,D314/B314," ")</f>
        <v/>
      </c>
      <c r="D314" s="362">
        <f>D27+D68+D109+D150+D191+D232+D273</f>
        <v/>
      </c>
    </row>
    <row r="315">
      <c r="A315" s="49" t="inlineStr">
        <is>
          <t>Services for dissemination activities (including website)</t>
        </is>
      </c>
      <c r="B315" s="379">
        <f>B28+B69+B110+B151+B192+B233+B274</f>
        <v/>
      </c>
      <c r="C315" s="249">
        <f>IF(B315&gt;0,D315/B315," ")</f>
        <v/>
      </c>
      <c r="D315" s="362">
        <f>D28+D69+D110+D151+D192+D233+D274</f>
        <v/>
      </c>
    </row>
    <row r="316">
      <c r="A316" s="49" t="inlineStr">
        <is>
          <t>Publication fees</t>
        </is>
      </c>
      <c r="B316" s="379">
        <f>B29+B70+B111+B152+B193+B234+B275</f>
        <v/>
      </c>
      <c r="C316" s="249">
        <f>IF(B316&gt;0,D316/B316," ")</f>
        <v/>
      </c>
      <c r="D316" s="362">
        <f>D29+D70+D111+D152+D193+D234+D275</f>
        <v/>
      </c>
    </row>
    <row r="317">
      <c r="A317" s="49" t="inlineStr">
        <is>
          <t>Other (shipment, insurance, translation, etc.)</t>
        </is>
      </c>
      <c r="B317" s="379">
        <f>B30+B71+B112+B153+B194+B235+B276</f>
        <v/>
      </c>
      <c r="C317" s="249">
        <f>IF(B317&gt;0,D317/B317," ")</f>
        <v/>
      </c>
      <c r="D317" s="362">
        <f>D30+D71+D112+D153+D194+D235+D276</f>
        <v/>
      </c>
    </row>
    <row r="318">
      <c r="A318" s="29" t="inlineStr">
        <is>
          <t>D. OTHER COST CATEGORIES</t>
        </is>
      </c>
      <c r="B318" s="381" t="n"/>
      <c r="C318" s="250" t="n"/>
      <c r="D318" s="360" t="n"/>
    </row>
    <row r="319">
      <c r="A319" s="50" t="inlineStr">
        <is>
          <t>D.1 Financial support to third parties (if applicable in the topic specific conditions)</t>
        </is>
      </c>
      <c r="B319" s="379">
        <f>B32+B73+B114+B155+B196+B237+B278</f>
        <v/>
      </c>
      <c r="C319" s="249">
        <f>IF(B319&gt;0,D319/B319," ")</f>
        <v/>
      </c>
      <c r="D319" s="362">
        <f>D32+D73+D114+D155+D196+D237+D278</f>
        <v/>
      </c>
    </row>
    <row r="320">
      <c r="A320" s="50" t="inlineStr">
        <is>
          <t>D.2 Internally invoiced goods and services</t>
        </is>
      </c>
      <c r="B320" s="379">
        <f>B33+B74+B115+B156+B197+B238+B279</f>
        <v/>
      </c>
      <c r="C320" s="249">
        <f>IF(B320&gt;0,D320/B320," ")</f>
        <v/>
      </c>
      <c r="D320" s="362">
        <f>D33+D74+D115+D156+D197+D238+D279</f>
        <v/>
      </c>
    </row>
    <row r="321">
      <c r="A321" s="50" t="inlineStr">
        <is>
          <t>D.3 Transnational access to research infrastructure unit costs (if mentioned as eligible in the topic specific conditions)</t>
        </is>
      </c>
      <c r="B321" s="379">
        <f>B34+B75+B116+B157+B198+B239+B280</f>
        <v/>
      </c>
      <c r="C321" s="249">
        <f>IF(B321&gt;0,D321/B321," ")</f>
        <v/>
      </c>
      <c r="D321" s="362">
        <f>D34+D75+D116+D157+D198+D239+D280</f>
        <v/>
      </c>
    </row>
    <row r="322">
      <c r="A322" s="50" t="inlineStr">
        <is>
          <t>D.4 Virtual access to research infrastructure unit costs (if mentioned as eligible in the topic specific conditions)</t>
        </is>
      </c>
      <c r="B322" s="379">
        <f>B35+B76+B117+B158+B199+B240+B281</f>
        <v/>
      </c>
      <c r="C322" s="249">
        <f>IF(B322&gt;0,D322/B322," ")</f>
        <v/>
      </c>
      <c r="D322" s="362">
        <f>D35+D76+D117+D158+D199+D240+D281</f>
        <v/>
      </c>
    </row>
    <row r="323">
      <c r="A323" s="50" t="inlineStr">
        <is>
          <t>D.5 PCP/PPI procurement costs (if mentioned as eligible in the topic specific conditions)</t>
        </is>
      </c>
      <c r="B323" s="379">
        <f>B36+B77+B118+B159+B200+B241+B282</f>
        <v/>
      </c>
      <c r="C323" s="249">
        <f>IF(B323&gt;0,D323/B323," ")</f>
        <v/>
      </c>
      <c r="D323" s="362">
        <f>D36+D77+D118+D159+D200+D241+D282</f>
        <v/>
      </c>
    </row>
    <row r="324">
      <c r="A324" s="51" t="n"/>
      <c r="B324" s="347" t="n"/>
      <c r="C324" s="111" t="n"/>
      <c r="D324" s="366" t="n"/>
    </row>
    <row r="325">
      <c r="A325" s="52" t="inlineStr">
        <is>
          <t>TOTAL DIRECT PERSONNEL COSTS AND PURCHASE COSTS (A+C)</t>
        </is>
      </c>
      <c r="B325" s="370" t="n"/>
      <c r="C325" s="230" t="n"/>
      <c r="D325" s="383">
        <f>D38+D79+D120+D161+D202+D243+D284</f>
        <v/>
      </c>
    </row>
    <row r="326">
      <c r="A326" s="52" t="inlineStr">
        <is>
          <t>TOTAL DIRECT COSTS  (A+B+C+D)</t>
        </is>
      </c>
      <c r="B326" s="370" t="n"/>
      <c r="C326" s="230" t="n"/>
      <c r="D326" s="383">
        <f>D39+D80+D121+D162+D203+D244+D285</f>
        <v/>
      </c>
    </row>
    <row r="327">
      <c r="A327" s="182" t="n"/>
      <c r="B327" s="384" t="n"/>
      <c r="C327" s="192" t="n"/>
      <c r="D327" s="191" t="n"/>
    </row>
    <row r="328">
      <c r="A328" s="29" t="inlineStr">
        <is>
          <t>E. INDIRECT COSTS (25% * (A+C))</t>
        </is>
      </c>
      <c r="B328" s="370" t="n"/>
      <c r="C328" s="230" t="n"/>
      <c r="D328" s="383">
        <f>D41+D82+D123+D164+D205+D246+D287</f>
        <v/>
      </c>
    </row>
    <row r="329">
      <c r="A329" s="182" t="n"/>
      <c r="B329" s="384" t="n"/>
      <c r="C329" s="192" t="n"/>
      <c r="D329" s="191" t="n"/>
    </row>
    <row r="330">
      <c r="A330" s="29" t="inlineStr">
        <is>
          <t>F. TOTAL COSTS (A+B+C+D+E)</t>
        </is>
      </c>
      <c r="B330" s="370" t="n"/>
      <c r="C330" s="230" t="n"/>
      <c r="D330" s="383">
        <f>D43+D84+D125+D166+D207+D248+D289</f>
        <v/>
      </c>
    </row>
  </sheetData>
  <sheetProtection selectLockedCells="0" selectUnlockedCells="0" algorithmName="SHA-512" sheet="1" objects="1" insertRows="1" insertHyperlinks="1" autoFilter="1" scenarios="1" formatColumns="1" deleteColumns="1" insertColumns="1" pivotTables="1" deleteRows="1" formatCells="1" saltValue="7yGuyWn2FIAAhcjX6gXQ3w==" formatRows="1" sort="1" spinCount="100000" hashValue="uGBMBhz0q5g5kIGKtLjbJodwQ0T/4+2TYh1MiL6aKvOpJSuFhSOAPGPyyeOsaZ5hrEA1rt/jNwV8fconjIR5ww=="/>
  <mergeCells count="9">
    <mergeCell ref="A5:D5"/>
    <mergeCell ref="A210:D210"/>
    <mergeCell ref="A87:D87"/>
    <mergeCell ref="B2:D2"/>
    <mergeCell ref="A251:D251"/>
    <mergeCell ref="A128:D128"/>
    <mergeCell ref="A292:D292"/>
    <mergeCell ref="A169:D169"/>
    <mergeCell ref="A46:D46"/>
  </mergeCells>
  <hyperlinks>
    <hyperlink ref="C1" location="A330" tooltip="Go to Summary section" display="A330"/>
  </hyperlinks>
  <pageMargins left="0.7" right="0.7" top="0.75" bottom="0.75" header="0.3" footer="0.3"/>
  <pageSetup orientation="portrait" paperSize="9"/>
</worksheet>
</file>

<file path=xl/worksheets/sheet12.xml><?xml version="1.0" encoding="utf-8"?>
<worksheet xmlns="http://schemas.openxmlformats.org/spreadsheetml/2006/main">
  <sheetPr>
    <tabColor rgb="FFCCFF66"/>
    <outlinePr summaryBelow="1" summaryRight="1"/>
    <pageSetUpPr/>
  </sheetPr>
  <dimension ref="A1:D330"/>
  <sheetViews>
    <sheetView zoomScale="80" zoomScaleNormal="80" workbookViewId="0">
      <pane xSplit="1" ySplit="3" topLeftCell="B84" activePane="bottomRight" state="frozenSplit"/>
      <selection pane="bottomRight" activeCell="D91" sqref="D91"/>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BE2 - BUDGET SHEET</t>
        </is>
      </c>
      <c r="B1" s="33" t="n"/>
      <c r="C1" s="242" t="inlineStr">
        <is>
          <t>View Summary</t>
        </is>
      </c>
      <c r="D1" s="34" t="n"/>
    </row>
    <row r="2" ht="18.6" customHeight="1">
      <c r="A2" s="264" t="inlineStr">
        <is>
          <t>31d41e36-11c8-417b-8afb-c410d4391898</t>
        </is>
      </c>
      <c r="B2" s="303" t="inlineStr">
        <is>
          <t>Sunlit Sea AS</t>
        </is>
      </c>
      <c r="C2" s="315" t="n"/>
      <c r="D2" s="316"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","Management, IP and Innovation Management")</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2</v>
      </c>
      <c r="C9" s="248" t="n">
        <v>13076.7</v>
      </c>
      <c r="D9" s="232">
        <f>B9*C9</f>
        <v/>
      </c>
    </row>
    <row r="10">
      <c r="A10" s="48" t="inlineStr">
        <is>
          <t>JUNIOR SCIENTISTS (or equivalent in the private sector)</t>
        </is>
      </c>
      <c r="B10" s="358" t="n"/>
      <c r="C10" s="248" t="n"/>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c r="C12" s="248" t="n"/>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11858.7624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2</v>
      </c>
      <c r="C20" s="248" t="n">
        <v>1500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v>1</v>
      </c>
      <c r="C27" s="248" t="n">
        <v>1000</v>
      </c>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v>1</v>
      </c>
      <c r="C30" s="248" t="n">
        <v>4000</v>
      </c>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5">
      <c r="A45" s="190" t="n"/>
      <c r="B45" s="185" t="n"/>
      <c r="C45" s="186" t="n"/>
      <c r="D45" s="187" t="n"/>
    </row>
    <row r="46" ht="21" customHeight="1">
      <c r="A46" s="306">
        <f>CONCATENATE("COSTS WORK PACKAGE 2:"," ","Site Characterisation and Demonstrator Engineering")</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2</v>
      </c>
      <c r="C50" s="248" t="n">
        <v>10349.59</v>
      </c>
      <c r="D50" s="232">
        <f>B50*C50</f>
        <v/>
      </c>
    </row>
    <row r="51">
      <c r="A51" s="48" t="inlineStr">
        <is>
          <t>JUNIOR SCIENTISTS (or equivalent in the private sector)</t>
        </is>
      </c>
      <c r="B51" s="358" t="n">
        <v>1</v>
      </c>
      <c r="C51" s="248" t="n">
        <v>8129.42</v>
      </c>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11858.7624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v>1</v>
      </c>
      <c r="C61" s="248" t="n">
        <v>1500</v>
      </c>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6">
      <c r="A86" s="190" t="n"/>
      <c r="B86" s="185" t="n"/>
      <c r="C86" s="186" t="n"/>
      <c r="D86" s="187" t="n"/>
    </row>
    <row r="87" ht="21" customHeight="1">
      <c r="A87" s="306">
        <f>CONCATENATE("COSTS WORK PACKAGE 3:"," ","Integrated Design Verification and Monitoring Specification")</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1</v>
      </c>
      <c r="C91" s="248" t="n">
        <v>13076.7</v>
      </c>
      <c r="D91" s="232">
        <f>B91*C91</f>
        <v/>
      </c>
    </row>
    <row r="92">
      <c r="A92" s="48" t="inlineStr">
        <is>
          <t>JUNIOR SCIENTISTS (or equivalent in the private sector)</t>
        </is>
      </c>
      <c r="B92" s="358" t="n">
        <v>1</v>
      </c>
      <c r="C92" s="248" t="n">
        <v>8129</v>
      </c>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11858.7624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v>0</v>
      </c>
      <c r="C102" s="248" t="n">
        <v>0</v>
      </c>
      <c r="D102" s="362">
        <f>B102*C102</f>
        <v/>
      </c>
    </row>
    <row r="103">
      <c r="A103" s="28" t="inlineStr">
        <is>
          <t>C.2 Equipment (complete 'Depreciation costs' sheet)</t>
        </is>
      </c>
      <c r="B103" s="347" t="n"/>
      <c r="C103" s="111" t="n"/>
      <c r="D103" s="365" t="n"/>
    </row>
    <row r="104">
      <c r="A104" s="49" t="inlineStr">
        <is>
          <t>Equipment</t>
        </is>
      </c>
      <c r="B104" s="358" t="n">
        <v>0</v>
      </c>
      <c r="C104" s="248" t="n">
        <v>0</v>
      </c>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","Performance, Durability and Model Validation")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1</v>
      </c>
      <c r="C132" s="248" t="n">
        <v>13077</v>
      </c>
      <c r="D132" s="232">
        <f>B132*C132</f>
        <v/>
      </c>
    </row>
    <row r="133">
      <c r="A133" s="48" t="inlineStr">
        <is>
          <t>JUNIOR SCIENTISTS (or equivalent in the private sector)</t>
        </is>
      </c>
      <c r="B133" s="358" t="n">
        <v>1</v>
      </c>
      <c r="C133" s="248" t="n">
        <v>8129</v>
      </c>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11858.7624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v>1</v>
      </c>
      <c r="C143" s="248" t="n">
        <v>2000</v>
      </c>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","Manufacturing, Instrumentation and Factory Acceptance")</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3</v>
      </c>
      <c r="C173" s="248" t="n">
        <v>13077</v>
      </c>
      <c r="D173" s="232">
        <f>B173*C173</f>
        <v/>
      </c>
    </row>
    <row r="174">
      <c r="A174" s="48" t="inlineStr">
        <is>
          <t>JUNIOR SCIENTISTS (or equivalent in the private sector)</t>
        </is>
      </c>
      <c r="B174" s="358" t="n">
        <v>6</v>
      </c>
      <c r="C174" s="248" t="n">
        <v>8129</v>
      </c>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11858.7624</v>
      </c>
      <c r="D180" s="232">
        <f>B180*C180</f>
        <v/>
      </c>
    </row>
    <row r="181">
      <c r="A181" s="29" t="inlineStr">
        <is>
          <t>B. DIRECT SUBCONTRACTING COSTS</t>
        </is>
      </c>
      <c r="B181" s="359" t="n"/>
      <c r="C181" s="110" t="n"/>
      <c r="D181" s="360" t="n"/>
    </row>
    <row r="182">
      <c r="A182" s="53" t="n"/>
      <c r="B182" s="358" t="n">
        <v>2</v>
      </c>
      <c r="C182" s="248" t="n">
        <v>35000</v>
      </c>
      <c r="D182" s="362">
        <f>B182*C182</f>
        <v/>
      </c>
    </row>
    <row r="183">
      <c r="A183" s="29" t="inlineStr">
        <is>
          <t>C. DIRECT PURCHASE COSTS</t>
        </is>
      </c>
      <c r="B183" s="359" t="n"/>
      <c r="C183" s="110" t="n"/>
      <c r="D183" s="360" t="n"/>
    </row>
    <row r="184">
      <c r="A184" s="28" t="inlineStr">
        <is>
          <t>C.1 Travel and subsistence</t>
        </is>
      </c>
      <c r="B184" s="358" t="n">
        <v>2</v>
      </c>
      <c r="C184" s="248" t="n">
        <v>2000</v>
      </c>
      <c r="D184" s="362">
        <f>B184*C184</f>
        <v/>
      </c>
    </row>
    <row r="185">
      <c r="A185" s="28" t="inlineStr">
        <is>
          <t>C.2 Equipment (complete 'Depreciation costs' sheet)</t>
        </is>
      </c>
      <c r="B185" s="347" t="n"/>
      <c r="C185" s="111" t="n"/>
      <c r="D185" s="365" t="n"/>
    </row>
    <row r="186">
      <c r="A186" s="49" t="inlineStr">
        <is>
          <t>Equipment</t>
        </is>
      </c>
      <c r="B186" s="358" t="n">
        <v>1</v>
      </c>
      <c r="C186" s="248" t="n">
        <v>140000</v>
      </c>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v>1</v>
      </c>
      <c r="C190" s="248" t="n">
        <v>20492</v>
      </c>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9">
      <c r="A209" s="190" t="n"/>
      <c r="B209" s="185" t="n"/>
      <c r="C209" s="186" t="n"/>
      <c r="D209" s="187" t="n"/>
    </row>
    <row r="210" ht="21" customHeight="1">
      <c r="A210" s="306">
        <f>CONCATENATE("COSTS WORK PACKAGE 6:"," ","Deployment, Operation and Validation Campaign")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3</v>
      </c>
      <c r="C214" s="248" t="n">
        <v>10349.59</v>
      </c>
      <c r="D214" s="232">
        <f>B214*C214</f>
        <v/>
      </c>
    </row>
    <row r="215">
      <c r="A215" s="48" t="inlineStr">
        <is>
          <t>JUNIOR SCIENTISTS (or equivalent in the private sector)</t>
        </is>
      </c>
      <c r="B215" s="358" t="n">
        <v>3</v>
      </c>
      <c r="C215" s="248" t="n">
        <v>8129</v>
      </c>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11858.7624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v>2</v>
      </c>
      <c r="C225" s="248" t="n">
        <v>2000</v>
      </c>
      <c r="D225" s="362">
        <f>B225*C225</f>
        <v/>
      </c>
    </row>
    <row r="226">
      <c r="A226" s="28" t="inlineStr">
        <is>
          <t>C.2 Equipment (complete 'Depreciation costs' sheet)</t>
        </is>
      </c>
      <c r="B226" s="347" t="n"/>
      <c r="C226" s="111" t="n"/>
      <c r="D226" s="365" t="n"/>
    </row>
    <row r="227">
      <c r="A227" s="49" t="inlineStr">
        <is>
          <t>Equipment</t>
        </is>
      </c>
      <c r="B227" s="358" t="n">
        <v>0</v>
      </c>
      <c r="C227" s="248" t="n">
        <v>0</v>
      </c>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v>1</v>
      </c>
      <c r="C235" s="248" t="n">
        <v>30000</v>
      </c>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","Market Validation, Exploitation and Investment Readiness")</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4</v>
      </c>
      <c r="C255" s="248" t="n">
        <v>10350</v>
      </c>
      <c r="D255" s="232">
        <f>B255*C255</f>
        <v/>
      </c>
    </row>
    <row r="256">
      <c r="A256" s="48" t="inlineStr">
        <is>
          <t>JUNIOR SCIENTISTS (or equivalent in the private sector)</t>
        </is>
      </c>
      <c r="B256" s="358" t="n">
        <v>6</v>
      </c>
      <c r="C256" s="248" t="n">
        <v>8129</v>
      </c>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11858.7624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v>2</v>
      </c>
      <c r="C266" s="248" t="n">
        <v>1500</v>
      </c>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1">
      <c r="A291" s="190" t="n"/>
      <c r="B291" s="185" t="n"/>
      <c r="C291" s="186" t="n"/>
      <c r="D291" s="187" t="n"/>
    </row>
    <row r="292" ht="21" customHeight="1">
      <c r="A292" s="306" t="inlineStr">
        <is>
          <t>SUMMARY</t>
        </is>
      </c>
      <c r="B292" s="315" t="n"/>
      <c r="C292" s="315" t="n"/>
      <c r="D292" s="316" t="n"/>
    </row>
    <row r="293">
      <c r="A293" s="56" t="n"/>
      <c r="B293" s="174" t="n"/>
      <c r="C293" s="175" t="n"/>
      <c r="D293" s="174"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79">
        <f>B9+B50+B91+B132+B173+B214+B255</f>
        <v/>
      </c>
      <c r="C296" s="249">
        <f>IF(B296&gt;0,D296/B296," ")</f>
        <v/>
      </c>
      <c r="D296" s="362">
        <f>D9+D50+D91+D132+D173+D214+D255</f>
        <v/>
      </c>
    </row>
    <row r="297">
      <c r="A297" s="48" t="inlineStr">
        <is>
          <t>JUNIOR SCIENTISTS (or equivalent in the private sector)</t>
        </is>
      </c>
      <c r="B297" s="379">
        <f>B10+B51+B92+B133+B174+B215+B256</f>
        <v/>
      </c>
      <c r="C297" s="249">
        <f>IF(B297&gt;0,D297/B297," ")</f>
        <v/>
      </c>
      <c r="D297" s="362">
        <f>D10+D51+D92+D133+D174+D215+D256</f>
        <v/>
      </c>
    </row>
    <row r="298">
      <c r="A298" s="48" t="inlineStr">
        <is>
          <t>TECHNICAL PERSONNEL (or equivalent in the private sector)</t>
        </is>
      </c>
      <c r="B298" s="379">
        <f>B11+B52+B93+B134+B175+B216+B257</f>
        <v/>
      </c>
      <c r="C298" s="249">
        <f>IF(B298&gt;0,D298/B298," ")</f>
        <v/>
      </c>
      <c r="D298" s="362">
        <f>D11+D52+D93+D134+D175+D216+D257</f>
        <v/>
      </c>
    </row>
    <row r="299">
      <c r="A299" s="48" t="inlineStr">
        <is>
          <t>ADMINISTRATIVE PERSONNEL (or equivalent in the private sector)</t>
        </is>
      </c>
      <c r="B299" s="379">
        <f>B12+B53+B94+B135+B176+B217+B258</f>
        <v/>
      </c>
      <c r="C299" s="249">
        <f>IF(B299&gt;0,D299/B299," ")</f>
        <v/>
      </c>
      <c r="D299" s="362">
        <f>D12+D53+D94+D135+D176+D217+D258</f>
        <v/>
      </c>
    </row>
    <row r="300">
      <c r="A300" s="48" t="inlineStr">
        <is>
          <t>OTHERS</t>
        </is>
      </c>
      <c r="B300" s="379">
        <f>B13+B54+B95+B136+B177+B218+B259</f>
        <v/>
      </c>
      <c r="C300" s="249">
        <f>IF(B300&gt;0,D300/B300," ")</f>
        <v/>
      </c>
      <c r="D300" s="362">
        <f>D13+D54+D95+D136+D177+D218+D259</f>
        <v/>
      </c>
    </row>
    <row r="301">
      <c r="A301" s="28" t="inlineStr">
        <is>
          <t>A.2 Natural Persons under direct contract</t>
        </is>
      </c>
      <c r="B301" s="379">
        <f>B14+B55+B96+B137+B178+B219+B260</f>
        <v/>
      </c>
      <c r="C301" s="249">
        <f>IF(B301&gt;0,D301/B301," ")</f>
        <v/>
      </c>
      <c r="D301" s="362">
        <f>D14+D55+D96+D137+D178+D219+D260</f>
        <v/>
      </c>
    </row>
    <row r="302">
      <c r="A302" s="28" t="inlineStr">
        <is>
          <t>A.3 Seconded Persons</t>
        </is>
      </c>
      <c r="B302" s="379">
        <f>B15+B56+B97+B138+B179+B220+B261</f>
        <v/>
      </c>
      <c r="C302" s="249">
        <f>IF(B302&gt;0,D302/B302," ")</f>
        <v/>
      </c>
      <c r="D302" s="362">
        <f>D15+D56+D97+D138+D179+D220+D261</f>
        <v/>
      </c>
    </row>
    <row r="303">
      <c r="A303" s="28" t="inlineStr">
        <is>
          <t>A.4 SME owners and natural person beneficiaries</t>
        </is>
      </c>
      <c r="B303" s="379">
        <f>B16+B57+B98+B139+B180+B221+B262</f>
        <v/>
      </c>
      <c r="C303" s="249">
        <f>IF(B303&gt;0,D303/B303," ")</f>
        <v/>
      </c>
      <c r="D303" s="362">
        <f>D16+D57+D98+D139+D180+D221+D262</f>
        <v/>
      </c>
    </row>
    <row r="304">
      <c r="A304" s="29" t="inlineStr">
        <is>
          <t>B. DIRECT SUBCONTRACTING COSTS</t>
        </is>
      </c>
      <c r="B304" s="381" t="n"/>
      <c r="C304" s="250" t="n"/>
      <c r="D304" s="360" t="n"/>
    </row>
    <row r="305">
      <c r="A305" s="28" t="n"/>
      <c r="B305" s="379">
        <f>B18+B59+B100+B141+B182+B223+B264</f>
        <v/>
      </c>
      <c r="C305" s="249">
        <f>IF(B305&gt;0,D305/B305," ")</f>
        <v/>
      </c>
      <c r="D305" s="362">
        <f>D18+D59+D100+D141+D182+D223+D264</f>
        <v/>
      </c>
    </row>
    <row r="306">
      <c r="A306" s="29" t="inlineStr">
        <is>
          <t>C. DIRECT PURCHASE COSTS</t>
        </is>
      </c>
      <c r="B306" s="381" t="n"/>
      <c r="C306" s="250" t="n"/>
      <c r="D306" s="360" t="n"/>
    </row>
    <row r="307">
      <c r="A307" s="28" t="inlineStr">
        <is>
          <t>C.1 Travel and subsistence</t>
        </is>
      </c>
      <c r="B307" s="379">
        <f>B20+B61+B102+B143+B184+B225+B266</f>
        <v/>
      </c>
      <c r="C307" s="249">
        <f>IF(B307&gt;0,D307/B307," ")</f>
        <v/>
      </c>
      <c r="D307" s="362">
        <f>D20+D61+D102+D143+D184+D225+D266</f>
        <v/>
      </c>
    </row>
    <row r="308">
      <c r="A308" s="28" t="inlineStr">
        <is>
          <t>C.2 Equipment (complete 'Depreciation costs' sheet)</t>
        </is>
      </c>
      <c r="B308" s="382" t="n"/>
      <c r="C308" s="251" t="n"/>
      <c r="D308" s="365" t="n"/>
    </row>
    <row r="309">
      <c r="A309" s="49" t="inlineStr">
        <is>
          <t>Equipment</t>
        </is>
      </c>
      <c r="B309" s="379">
        <f>B22+B63+B104+B145+B186+B227+B268</f>
        <v/>
      </c>
      <c r="C309" s="249">
        <f>IF(B309&gt;0,D309/B309," ")</f>
        <v/>
      </c>
      <c r="D309" s="362">
        <f>D22+D63+D104+D145+D186+D227+D268</f>
        <v/>
      </c>
    </row>
    <row r="310">
      <c r="A310" s="49" t="inlineStr">
        <is>
          <t>Infrastructure</t>
        </is>
      </c>
      <c r="B310" s="379">
        <f>B23+B64+B105+B146+B187+B228+B269</f>
        <v/>
      </c>
      <c r="C310" s="249">
        <f>IF(B310&gt;0,D310/B310," ")</f>
        <v/>
      </c>
      <c r="D310" s="362">
        <f>D23+D64+D105+D146+D187+D228+D269</f>
        <v/>
      </c>
    </row>
    <row r="311">
      <c r="A311" s="49" t="inlineStr">
        <is>
          <t>Other assets</t>
        </is>
      </c>
      <c r="B311" s="379">
        <f>B24+B65+B106+B147+B188+B229+B270</f>
        <v/>
      </c>
      <c r="C311" s="249">
        <f>IF(B311&gt;0,D311/B311," ")</f>
        <v/>
      </c>
      <c r="D311" s="362">
        <f>D24+D65+D106+D147+D188+D229+D270</f>
        <v/>
      </c>
    </row>
    <row r="312">
      <c r="A312" s="28" t="inlineStr">
        <is>
          <t>C.3 Other goods, works and services</t>
        </is>
      </c>
      <c r="B312" s="382" t="n"/>
      <c r="C312" s="251" t="n"/>
      <c r="D312" s="365" t="n"/>
    </row>
    <row r="313">
      <c r="A313" s="49" t="inlineStr">
        <is>
          <t>Consumables</t>
        </is>
      </c>
      <c r="B313" s="379">
        <f>B26+B67+B108+B149+B190+B231+B272</f>
        <v/>
      </c>
      <c r="C313" s="249">
        <f>IF(B313&gt;0,D313/B313," ")</f>
        <v/>
      </c>
      <c r="D313" s="362">
        <f>D26+D67+D108+D149+D190+D231+D272</f>
        <v/>
      </c>
    </row>
    <row r="314">
      <c r="A314" s="49" t="inlineStr">
        <is>
          <t>Services for meetings, seminars</t>
        </is>
      </c>
      <c r="B314" s="379">
        <f>B27+B68+B109+B150+B191+B232+B273</f>
        <v/>
      </c>
      <c r="C314" s="249">
        <f>IF(B314&gt;0,D314/B314," ")</f>
        <v/>
      </c>
      <c r="D314" s="362">
        <f>D27+D68+D109+D150+D191+D232+D273</f>
        <v/>
      </c>
    </row>
    <row r="315">
      <c r="A315" s="49" t="inlineStr">
        <is>
          <t>Services for dissemination activities (including website)</t>
        </is>
      </c>
      <c r="B315" s="379">
        <f>B28+B69+B110+B151+B192+B233+B274</f>
        <v/>
      </c>
      <c r="C315" s="249">
        <f>IF(B315&gt;0,D315/B315," ")</f>
        <v/>
      </c>
      <c r="D315" s="362">
        <f>D28+D69+D110+D151+D192+D233+D274</f>
        <v/>
      </c>
    </row>
    <row r="316">
      <c r="A316" s="49" t="inlineStr">
        <is>
          <t>Publication fees</t>
        </is>
      </c>
      <c r="B316" s="379">
        <f>B29+B70+B111+B152+B193+B234+B275</f>
        <v/>
      </c>
      <c r="C316" s="249">
        <f>IF(B316&gt;0,D316/B316," ")</f>
        <v/>
      </c>
      <c r="D316" s="362">
        <f>D29+D70+D111+D152+D193+D234+D275</f>
        <v/>
      </c>
    </row>
    <row r="317">
      <c r="A317" s="49" t="inlineStr">
        <is>
          <t>Other (shipment, insurance, translation, etc.)</t>
        </is>
      </c>
      <c r="B317" s="379">
        <f>B30+B71+B112+B153+B194+B235+B276</f>
        <v/>
      </c>
      <c r="C317" s="249">
        <f>IF(B317&gt;0,D317/B317," ")</f>
        <v/>
      </c>
      <c r="D317" s="362">
        <f>D30+D71+D112+D153+D194+D235+D276</f>
        <v/>
      </c>
    </row>
    <row r="318">
      <c r="A318" s="29" t="inlineStr">
        <is>
          <t>D. OTHER COST CATEGORIES</t>
        </is>
      </c>
      <c r="B318" s="381" t="n"/>
      <c r="C318" s="250" t="n"/>
      <c r="D318" s="360" t="n"/>
    </row>
    <row r="319">
      <c r="A319" s="50" t="inlineStr">
        <is>
          <t>D.1 Financial support to third parties (if applicable in the topic specific conditions)</t>
        </is>
      </c>
      <c r="B319" s="379">
        <f>B32+B73+B114+B155+B196+B237+B278</f>
        <v/>
      </c>
      <c r="C319" s="249">
        <f>IF(B319&gt;0,D319/B319," ")</f>
        <v/>
      </c>
      <c r="D319" s="362">
        <f>D32+D73+D114+D155+D196+D237+D278</f>
        <v/>
      </c>
    </row>
    <row r="320">
      <c r="A320" s="50" t="inlineStr">
        <is>
          <t>D.2 Internally invoiced goods and services</t>
        </is>
      </c>
      <c r="B320" s="379">
        <f>B33+B74+B115+B156+B197+B238+B279</f>
        <v/>
      </c>
      <c r="C320" s="249">
        <f>IF(B320&gt;0,D320/B320," ")</f>
        <v/>
      </c>
      <c r="D320" s="362">
        <f>D33+D74+D115+D156+D197+D238+D279</f>
        <v/>
      </c>
    </row>
    <row r="321">
      <c r="A321" s="50" t="inlineStr">
        <is>
          <t>D.3 Transnational access to research infrastructure unit costs (if mentioned as eligible in the topic specific conditions)</t>
        </is>
      </c>
      <c r="B321" s="379">
        <f>B34+B75+B116+B157+B198+B239+B280</f>
        <v/>
      </c>
      <c r="C321" s="249">
        <f>IF(B321&gt;0,D321/B321," ")</f>
        <v/>
      </c>
      <c r="D321" s="362">
        <f>D34+D75+D116+D157+D198+D239+D280</f>
        <v/>
      </c>
    </row>
    <row r="322">
      <c r="A322" s="50" t="inlineStr">
        <is>
          <t>D.4 Virtual access to research infrastructure unit costs (if mentioned as eligible in the topic specific conditions)</t>
        </is>
      </c>
      <c r="B322" s="379">
        <f>B35+B76+B117+B158+B199+B240+B281</f>
        <v/>
      </c>
      <c r="C322" s="249">
        <f>IF(B322&gt;0,D322/B322," ")</f>
        <v/>
      </c>
      <c r="D322" s="362">
        <f>D35+D76+D117+D158+D199+D240+D281</f>
        <v/>
      </c>
    </row>
    <row r="323">
      <c r="A323" s="50" t="inlineStr">
        <is>
          <t>D.5 PCP/PPI procurement costs (if mentioned as eligible in the topic specific conditions)</t>
        </is>
      </c>
      <c r="B323" s="379">
        <f>B36+B77+B118+B159+B200+B241+B282</f>
        <v/>
      </c>
      <c r="C323" s="249">
        <f>IF(B323&gt;0,D323/B323," ")</f>
        <v/>
      </c>
      <c r="D323" s="362">
        <f>D36+D77+D118+D159+D200+D241+D282</f>
        <v/>
      </c>
    </row>
    <row r="324">
      <c r="A324" s="51" t="n"/>
      <c r="B324" s="347" t="n"/>
      <c r="C324" s="111" t="n"/>
      <c r="D324" s="366" t="n"/>
    </row>
    <row r="325">
      <c r="A325" s="52" t="inlineStr">
        <is>
          <t>TOTAL DIRECT PERSONNEL COSTS AND PURCHASE COSTS (A+C)</t>
        </is>
      </c>
      <c r="B325" s="370" t="n"/>
      <c r="C325" s="230" t="n"/>
      <c r="D325" s="383">
        <f>D38+D79+D120+D161+D202+D243+D284</f>
        <v/>
      </c>
    </row>
    <row r="326">
      <c r="A326" s="52" t="inlineStr">
        <is>
          <t>TOTAL DIRECT COSTS  (A+B+C+D)</t>
        </is>
      </c>
      <c r="B326" s="370" t="n"/>
      <c r="C326" s="230" t="n"/>
      <c r="D326" s="383">
        <f>D39+D80+D121+D162+D203+D244+D285</f>
        <v/>
      </c>
    </row>
    <row r="327">
      <c r="A327" s="182" t="n"/>
      <c r="B327" s="384" t="n"/>
      <c r="C327" s="192" t="n"/>
      <c r="D327" s="191" t="n"/>
    </row>
    <row r="328">
      <c r="A328" s="29" t="inlineStr">
        <is>
          <t>E. INDIRECT COSTS (25% * (A+C))</t>
        </is>
      </c>
      <c r="B328" s="370" t="n"/>
      <c r="C328" s="230" t="n"/>
      <c r="D328" s="383">
        <f>D41+D82+D123+D164+D205+D246+D287</f>
        <v/>
      </c>
    </row>
    <row r="329">
      <c r="A329" s="182" t="n"/>
      <c r="B329" s="384" t="n"/>
      <c r="C329" s="192" t="n"/>
      <c r="D329" s="191" t="n"/>
    </row>
    <row r="330">
      <c r="A330" s="29" t="inlineStr">
        <is>
          <t>F. TOTAL COSTS (A+B+C+D+E)</t>
        </is>
      </c>
      <c r="B330" s="370" t="n"/>
      <c r="C330" s="230" t="n"/>
      <c r="D330" s="383">
        <f>D43+D84+D125+D166+D207+D248+D289</f>
        <v/>
      </c>
    </row>
  </sheetData>
  <sheetProtection selectLockedCells="0" selectUnlockedCells="0" algorithmName="SHA-512" sheet="1" objects="1" insertRows="1" insertHyperlinks="1" autoFilter="1" scenarios="1" formatColumns="1" deleteColumns="1" insertColumns="1" pivotTables="1" deleteRows="1" formatCells="1" saltValue="tn5N/AzSq6fZTajBA4KfaQ==" formatRows="1" sort="1" spinCount="100000" hashValue="x5BGgSCsmN1LXZwPXVOFdJPykCS5ZWpNY9D8+d49c55eceHZ2v0JZJCTtLkOwEIgcUZOpVUG4S5RxnRZq58jMA=="/>
  <mergeCells count="9">
    <mergeCell ref="A5:D5"/>
    <mergeCell ref="A210:D210"/>
    <mergeCell ref="A87:D87"/>
    <mergeCell ref="B2:D2"/>
    <mergeCell ref="A251:D251"/>
    <mergeCell ref="A128:D128"/>
    <mergeCell ref="A292:D292"/>
    <mergeCell ref="A169:D169"/>
    <mergeCell ref="A46:D46"/>
  </mergeCells>
  <hyperlinks>
    <hyperlink ref="C1" location="A330" tooltip="Go to Summary section" display="A330"/>
  </hyperlinks>
  <pageMargins left="0.7" right="0.7" top="0.75" bottom="0.75" header="0.3" footer="0.3"/>
</worksheet>
</file>

<file path=xl/worksheets/sheet13.xml><?xml version="1.0" encoding="utf-8"?>
<worksheet xmlns="http://schemas.openxmlformats.org/spreadsheetml/2006/main">
  <sheetPr>
    <tabColor rgb="FFCCFF66"/>
    <outlinePr summaryBelow="1" summaryRight="1"/>
    <pageSetUpPr/>
  </sheetPr>
  <dimension ref="A1:D330"/>
  <sheetViews>
    <sheetView zoomScale="80" zoomScaleNormal="80" workbookViewId="0">
      <pane xSplit="1" ySplit="3" topLeftCell="B319" activePane="bottomRight" state="frozenSplit"/>
      <selection pane="bottomRight" activeCell="D296" sqref="D296"/>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BE3 - BUDGET SHEET</t>
        </is>
      </c>
      <c r="B1" s="33" t="n"/>
      <c r="C1" s="242" t="inlineStr">
        <is>
          <t>View Summary</t>
        </is>
      </c>
      <c r="D1" s="34" t="n"/>
    </row>
    <row r="2" ht="18.6" customHeight="1">
      <c r="A2" s="264" t="inlineStr">
        <is>
          <t>7dc3a242-67b2-4358-905a-1652beedfa8a</t>
        </is>
      </c>
      <c r="B2" s="303" t="inlineStr">
        <is>
          <t>Clement Gmbh</t>
        </is>
      </c>
      <c r="C2" s="315" t="n"/>
      <c r="D2" s="316"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","Management, IP and Innovation Management")</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1.8</v>
      </c>
      <c r="C9" s="248" t="n">
        <v>7400</v>
      </c>
      <c r="D9" s="232">
        <f>B9*C9</f>
        <v/>
      </c>
    </row>
    <row r="10">
      <c r="A10" s="48" t="inlineStr">
        <is>
          <t>JUNIOR SCIENTISTS (or equivalent in the private sector)</t>
        </is>
      </c>
      <c r="B10" s="358" t="n"/>
      <c r="C10" s="248" t="n">
        <v>0</v>
      </c>
      <c r="D10" s="232">
        <f>B10*C10</f>
        <v/>
      </c>
    </row>
    <row r="11">
      <c r="A11" s="48" t="inlineStr">
        <is>
          <t>TECHNICAL PERSONNEL (or equivalent in the private sector)</t>
        </is>
      </c>
      <c r="B11" s="358" t="n"/>
      <c r="C11" s="248" t="n">
        <v>0</v>
      </c>
      <c r="D11" s="232">
        <f>B11*C11</f>
        <v/>
      </c>
    </row>
    <row r="12">
      <c r="A12" s="48" t="inlineStr">
        <is>
          <t>ADMINISTRATIVE PERSONNEL (or equivalent in the private sector)</t>
        </is>
      </c>
      <c r="B12" s="358" t="n">
        <v>0</v>
      </c>
      <c r="C12" s="248" t="n">
        <v>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8850.344799999999</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1500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5">
      <c r="A45" s="190" t="n"/>
      <c r="B45" s="185" t="n"/>
      <c r="C45" s="186" t="n"/>
      <c r="D45" s="187" t="n"/>
    </row>
    <row r="46" ht="21" customHeight="1">
      <c r="A46" s="306">
        <f>CONCATENATE("COSTS WORK PACKAGE 2:"," ","Site Characterisation and Demonstrator Engineering")</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7.2</v>
      </c>
      <c r="C50" s="248" t="n">
        <v>7400</v>
      </c>
      <c r="D50" s="232">
        <f>B50*C50</f>
        <v/>
      </c>
    </row>
    <row r="51">
      <c r="A51" s="48" t="inlineStr">
        <is>
          <t>JUNIOR SCIENTISTS (or equivalent in the private sector)</t>
        </is>
      </c>
      <c r="B51" s="358" t="n">
        <v>0</v>
      </c>
      <c r="C51" s="248" t="n">
        <v>0</v>
      </c>
      <c r="D51" s="232">
        <f>B51*C51</f>
        <v/>
      </c>
    </row>
    <row r="52">
      <c r="A52" s="48" t="inlineStr">
        <is>
          <t>TECHNICAL PERSONNEL (or equivalent in the private sector)</t>
        </is>
      </c>
      <c r="B52" s="358" t="n"/>
      <c r="C52" s="248" t="n">
        <v>0</v>
      </c>
      <c r="D52" s="232">
        <f>B52*C52</f>
        <v/>
      </c>
    </row>
    <row r="53">
      <c r="A53" s="48" t="inlineStr">
        <is>
          <t>ADMINISTRATIVE PERSONNEL (or equivalent in the private sector)</t>
        </is>
      </c>
      <c r="B53" s="358" t="n">
        <v>0</v>
      </c>
      <c r="C53" s="248" t="n">
        <v>0</v>
      </c>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8850.344799999999</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v>0</v>
      </c>
      <c r="C61" s="248" t="n">
        <v>0</v>
      </c>
      <c r="D61" s="362">
        <f>B61*C61</f>
        <v/>
      </c>
    </row>
    <row r="62">
      <c r="A62" s="28" t="inlineStr">
        <is>
          <t>C.2 Equipment (complete 'Depreciation costs' sheet)</t>
        </is>
      </c>
      <c r="B62" s="347" t="n"/>
      <c r="C62" s="111" t="n"/>
      <c r="D62" s="365" t="n"/>
    </row>
    <row r="63">
      <c r="A63" s="49" t="inlineStr">
        <is>
          <t>Equipment</t>
        </is>
      </c>
      <c r="B63" s="358" t="n">
        <v>1</v>
      </c>
      <c r="C63" s="248" t="n">
        <v>5000</v>
      </c>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6">
      <c r="A86" s="190" t="n"/>
      <c r="B86" s="185" t="n"/>
      <c r="C86" s="186" t="n"/>
      <c r="D86" s="187" t="n"/>
    </row>
    <row r="87" ht="21" customHeight="1">
      <c r="A87" s="306">
        <f>CONCATENATE("COSTS WORK PACKAGE 3:"," ","Integrated Design Verification and Monitoring Specification")</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2</v>
      </c>
      <c r="C91" s="248" t="n">
        <v>7400</v>
      </c>
      <c r="D91" s="232">
        <f>B91*C91</f>
        <v/>
      </c>
    </row>
    <row r="92">
      <c r="A92" s="48" t="inlineStr">
        <is>
          <t>JUNIOR SCIENTISTS (or equivalent in the private sector)</t>
        </is>
      </c>
      <c r="B92" s="358" t="n">
        <v>0</v>
      </c>
      <c r="C92" s="248" t="n">
        <v>0</v>
      </c>
      <c r="D92" s="232">
        <f>B92*C92</f>
        <v/>
      </c>
    </row>
    <row r="93">
      <c r="A93" s="48" t="inlineStr">
        <is>
          <t>TECHNICAL PERSONNEL (or equivalent in the private sector)</t>
        </is>
      </c>
      <c r="B93" s="358" t="n"/>
      <c r="C93" s="248" t="n">
        <v>0</v>
      </c>
      <c r="D93" s="232">
        <f>B93*C93</f>
        <v/>
      </c>
    </row>
    <row r="94">
      <c r="A94" s="48" t="inlineStr">
        <is>
          <t>ADMINISTRATIVE PERSONNEL (or equivalent in the private sector)</t>
        </is>
      </c>
      <c r="B94" s="358" t="n"/>
      <c r="C94" s="248" t="n">
        <v>0</v>
      </c>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8850.344799999999</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v>0</v>
      </c>
      <c r="C104" s="248" t="n">
        <v>0</v>
      </c>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v>0</v>
      </c>
      <c r="C108" s="248" t="n">
        <v>0</v>
      </c>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","Performance, Durability and Model Validation")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1.6</v>
      </c>
      <c r="C132" s="248" t="n">
        <v>7400</v>
      </c>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8850.344799999999</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v>1</v>
      </c>
      <c r="C145" s="248" t="n">
        <v>5000</v>
      </c>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","Manufacturing, Instrumentation and Factory Acceptance")</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6.8</v>
      </c>
      <c r="C173" s="248" t="n">
        <v>7400</v>
      </c>
      <c r="D173" s="232">
        <f>B173*C173</f>
        <v/>
      </c>
    </row>
    <row r="174">
      <c r="A174" s="48" t="inlineStr">
        <is>
          <t>JUNIOR SCIENTISTS (or equivalent in the private sector)</t>
        </is>
      </c>
      <c r="B174" s="358" t="n">
        <v>0</v>
      </c>
      <c r="C174" s="248" t="n"/>
      <c r="D174" s="232">
        <f>B174*C174</f>
        <v/>
      </c>
    </row>
    <row r="175">
      <c r="A175" s="48" t="inlineStr">
        <is>
          <t>TECHNICAL PERSONNEL (or equivalent in the private sector)</t>
        </is>
      </c>
      <c r="B175" s="358" t="n"/>
      <c r="C175" s="248" t="n">
        <v>0</v>
      </c>
      <c r="D175" s="232">
        <f>B175*C175</f>
        <v/>
      </c>
    </row>
    <row r="176">
      <c r="A176" s="48" t="inlineStr">
        <is>
          <t>ADMINISTRATIVE PERSONNEL (or equivalent in the private sector)</t>
        </is>
      </c>
      <c r="B176" s="358" t="n"/>
      <c r="C176" s="248" t="n">
        <v>0</v>
      </c>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8850.344799999999</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v>5</v>
      </c>
      <c r="C184" s="248" t="n">
        <v>200</v>
      </c>
      <c r="D184" s="362">
        <f>B184*C184</f>
        <v/>
      </c>
    </row>
    <row r="185">
      <c r="A185" s="28" t="inlineStr">
        <is>
          <t>C.2 Equipment (complete 'Depreciation costs' sheet)</t>
        </is>
      </c>
      <c r="B185" s="347" t="n"/>
      <c r="C185" s="111" t="n"/>
      <c r="D185" s="365" t="n"/>
    </row>
    <row r="186">
      <c r="A186" s="49" t="inlineStr">
        <is>
          <t>Equipment</t>
        </is>
      </c>
      <c r="B186" s="358" t="n">
        <v>1</v>
      </c>
      <c r="C186" s="248" t="n">
        <v>30000</v>
      </c>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v>1</v>
      </c>
      <c r="C190" s="248" t="n">
        <v>320000</v>
      </c>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9">
      <c r="A209" s="190" t="n"/>
      <c r="B209" s="185" t="n"/>
      <c r="C209" s="186" t="n"/>
      <c r="D209" s="187" t="n"/>
    </row>
    <row r="210" ht="21" customHeight="1">
      <c r="A210" s="306">
        <f>CONCATENATE("COSTS WORK PACKAGE 6:"," ","Deployment, Operation and Validation Campaign")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8.800000000000001</v>
      </c>
      <c r="C214" s="248" t="n">
        <v>7400</v>
      </c>
      <c r="D214" s="232">
        <f>B214*C214</f>
        <v/>
      </c>
    </row>
    <row r="215">
      <c r="A215" s="48" t="inlineStr">
        <is>
          <t>JUNIOR SCIENTISTS (or equivalent in the private sector)</t>
        </is>
      </c>
      <c r="B215" s="358" t="n"/>
      <c r="C215" s="248" t="n">
        <v>0</v>
      </c>
      <c r="D215" s="232">
        <f>B215*C215</f>
        <v/>
      </c>
    </row>
    <row r="216">
      <c r="A216" s="48" t="inlineStr">
        <is>
          <t>TECHNICAL PERSONNEL (or equivalent in the private sector)</t>
        </is>
      </c>
      <c r="B216" s="358" t="n"/>
      <c r="C216" s="248" t="n">
        <v>0</v>
      </c>
      <c r="D216" s="232">
        <f>B216*C216</f>
        <v/>
      </c>
    </row>
    <row r="217">
      <c r="A217" s="48" t="inlineStr">
        <is>
          <t>ADMINISTRATIVE PERSONNEL (or equivalent in the private sector)</t>
        </is>
      </c>
      <c r="B217" s="358" t="n"/>
      <c r="C217" s="248" t="n">
        <v>0</v>
      </c>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8850.344799999999</v>
      </c>
      <c r="D221" s="232">
        <f>B221*C221</f>
        <v/>
      </c>
    </row>
    <row r="222">
      <c r="A222" s="29" t="inlineStr">
        <is>
          <t>B. DIRECT SUBCONTRACTING COSTS</t>
        </is>
      </c>
      <c r="B222" s="359" t="n"/>
      <c r="C222" s="110" t="n"/>
      <c r="D222" s="360" t="n"/>
    </row>
    <row r="223">
      <c r="A223" s="53" t="n"/>
      <c r="B223" s="358" t="n">
        <v>1</v>
      </c>
      <c r="C223" s="248" t="n">
        <v>50000</v>
      </c>
      <c r="D223" s="362">
        <f>B223*C223</f>
        <v/>
      </c>
    </row>
    <row r="224">
      <c r="A224" s="29" t="inlineStr">
        <is>
          <t>C. DIRECT PURCHASE COSTS</t>
        </is>
      </c>
      <c r="B224" s="359" t="n"/>
      <c r="C224" s="110" t="n"/>
      <c r="D224" s="360" t="n"/>
    </row>
    <row r="225">
      <c r="A225" s="28" t="inlineStr">
        <is>
          <t>C.1 Travel and subsistence</t>
        </is>
      </c>
      <c r="B225" s="358" t="n">
        <v>4</v>
      </c>
      <c r="C225" s="248" t="n">
        <v>500</v>
      </c>
      <c r="D225" s="362">
        <f>B225*C225</f>
        <v/>
      </c>
    </row>
    <row r="226">
      <c r="A226" s="28" t="inlineStr">
        <is>
          <t>C.2 Equipment (complete 'Depreciation costs' sheet)</t>
        </is>
      </c>
      <c r="B226" s="347" t="n"/>
      <c r="C226" s="111" t="n"/>
      <c r="D226" s="365" t="n"/>
    </row>
    <row r="227">
      <c r="A227" s="49" t="inlineStr">
        <is>
          <t>Equipment</t>
        </is>
      </c>
      <c r="B227" s="358" t="n">
        <v>1</v>
      </c>
      <c r="C227" s="248" t="n">
        <v>45000</v>
      </c>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","Market Validation, Exploitation and Investment Readiness")</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1.8</v>
      </c>
      <c r="C255" s="248" t="n">
        <v>7400</v>
      </c>
      <c r="D255" s="232">
        <f>B255*C255</f>
        <v/>
      </c>
    </row>
    <row r="256">
      <c r="A256" s="48" t="inlineStr">
        <is>
          <t>JUNIOR SCIENTISTS (or equivalent in the private sector)</t>
        </is>
      </c>
      <c r="B256" s="358" t="n"/>
      <c r="C256" s="248" t="n"/>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8850.344799999999</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v>1</v>
      </c>
      <c r="C266" s="248" t="n">
        <v>1000</v>
      </c>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1">
      <c r="A291" s="190" t="n"/>
      <c r="B291" s="185" t="n"/>
      <c r="C291" s="186" t="n"/>
      <c r="D291" s="187" t="n"/>
    </row>
    <row r="292" ht="21" customHeight="1">
      <c r="A292" s="306" t="inlineStr">
        <is>
          <t>SUMMARY</t>
        </is>
      </c>
      <c r="B292" s="315" t="n"/>
      <c r="C292" s="315" t="n"/>
      <c r="D292" s="316" t="n"/>
    </row>
    <row r="293">
      <c r="A293" s="56" t="n"/>
      <c r="B293" s="174" t="n"/>
      <c r="C293" s="175" t="n"/>
      <c r="D293" s="174"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79">
        <f>B9+B50+B91+B132+B173+B214+B255</f>
        <v/>
      </c>
      <c r="C296" s="249">
        <f>IF(B296&gt;0,D296/B296," ")</f>
        <v/>
      </c>
      <c r="D296" s="362">
        <f>D9+D50+D91+D132+D173+D214+D255</f>
        <v/>
      </c>
    </row>
    <row r="297">
      <c r="A297" s="48" t="inlineStr">
        <is>
          <t>JUNIOR SCIENTISTS (or equivalent in the private sector)</t>
        </is>
      </c>
      <c r="B297" s="379">
        <f>B10+B51+B92+B133+B174+B215+B256</f>
        <v/>
      </c>
      <c r="C297" s="249">
        <f>IF(B297&gt;0,D297/B297," ")</f>
        <v/>
      </c>
      <c r="D297" s="362">
        <f>D10+D51+D92+D133+D174+D215+D256</f>
        <v/>
      </c>
    </row>
    <row r="298">
      <c r="A298" s="48" t="inlineStr">
        <is>
          <t>TECHNICAL PERSONNEL (or equivalent in the private sector)</t>
        </is>
      </c>
      <c r="B298" s="379">
        <f>B11+B52+B93+B134+B175+B216+B257</f>
        <v/>
      </c>
      <c r="C298" s="249">
        <f>IF(B298&gt;0,D298/B298," ")</f>
        <v/>
      </c>
      <c r="D298" s="362">
        <f>D11+D52+D93+D134+D175+D216+D257</f>
        <v/>
      </c>
    </row>
    <row r="299">
      <c r="A299" s="48" t="inlineStr">
        <is>
          <t>ADMINISTRATIVE PERSONNEL (or equivalent in the private sector)</t>
        </is>
      </c>
      <c r="B299" s="379">
        <f>B12+B53+B94+B135+B176+B217+B258</f>
        <v/>
      </c>
      <c r="C299" s="249">
        <f>IF(B299&gt;0,D299/B299," ")</f>
        <v/>
      </c>
      <c r="D299" s="362">
        <f>D12+D53+D94+D135+D176+D217+D258</f>
        <v/>
      </c>
    </row>
    <row r="300">
      <c r="A300" s="48" t="inlineStr">
        <is>
          <t>OTHERS</t>
        </is>
      </c>
      <c r="B300" s="379">
        <f>B13+B54+B95+B136+B177+B218+B259</f>
        <v/>
      </c>
      <c r="C300" s="249">
        <f>IF(B300&gt;0,D300/B300," ")</f>
        <v/>
      </c>
      <c r="D300" s="362">
        <f>D13+D54+D95+D136+D177+D218+D259</f>
        <v/>
      </c>
    </row>
    <row r="301">
      <c r="A301" s="28" t="inlineStr">
        <is>
          <t>A.2 Natural Persons under direct contract</t>
        </is>
      </c>
      <c r="B301" s="379">
        <f>B14+B55+B96+B137+B178+B219+B260</f>
        <v/>
      </c>
      <c r="C301" s="249">
        <f>IF(B301&gt;0,D301/B301," ")</f>
        <v/>
      </c>
      <c r="D301" s="362">
        <f>D14+D55+D96+D137+D178+D219+D260</f>
        <v/>
      </c>
    </row>
    <row r="302">
      <c r="A302" s="28" t="inlineStr">
        <is>
          <t>A.3 Seconded Persons</t>
        </is>
      </c>
      <c r="B302" s="379">
        <f>B15+B56+B97+B138+B179+B220+B261</f>
        <v/>
      </c>
      <c r="C302" s="249">
        <f>IF(B302&gt;0,D302/B302," ")</f>
        <v/>
      </c>
      <c r="D302" s="362">
        <f>D15+D56+D97+D138+D179+D220+D261</f>
        <v/>
      </c>
    </row>
    <row r="303">
      <c r="A303" s="28" t="inlineStr">
        <is>
          <t>A.4 SME owners and natural person beneficiaries</t>
        </is>
      </c>
      <c r="B303" s="379">
        <f>B16+B57+B98+B139+B180+B221+B262</f>
        <v/>
      </c>
      <c r="C303" s="249">
        <f>IF(B303&gt;0,D303/B303," ")</f>
        <v/>
      </c>
      <c r="D303" s="362">
        <f>D16+D57+D98+D139+D180+D221+D262</f>
        <v/>
      </c>
    </row>
    <row r="304">
      <c r="A304" s="29" t="inlineStr">
        <is>
          <t>B. DIRECT SUBCONTRACTING COSTS</t>
        </is>
      </c>
      <c r="B304" s="381" t="n"/>
      <c r="C304" s="250" t="n"/>
      <c r="D304" s="360" t="n"/>
    </row>
    <row r="305">
      <c r="A305" s="28" t="n"/>
      <c r="B305" s="379">
        <f>B18+B59+B100+B141+B182+B223+B264</f>
        <v/>
      </c>
      <c r="C305" s="249">
        <f>IF(B305&gt;0,D305/B305," ")</f>
        <v/>
      </c>
      <c r="D305" s="362">
        <f>D18+D59+D100+D141+D182+D223+D264</f>
        <v/>
      </c>
    </row>
    <row r="306">
      <c r="A306" s="29" t="inlineStr">
        <is>
          <t>C. DIRECT PURCHASE COSTS</t>
        </is>
      </c>
      <c r="B306" s="381" t="n"/>
      <c r="C306" s="250" t="n"/>
      <c r="D306" s="360" t="n"/>
    </row>
    <row r="307">
      <c r="A307" s="28" t="inlineStr">
        <is>
          <t>C.1 Travel and subsistence</t>
        </is>
      </c>
      <c r="B307" s="379">
        <f>B20+B61+B102+B143+B184+B225+B266</f>
        <v/>
      </c>
      <c r="C307" s="249">
        <f>IF(B307&gt;0,D307/B307," ")</f>
        <v/>
      </c>
      <c r="D307" s="362">
        <f>D20+D61+D102+D143+D184+D225+D266</f>
        <v/>
      </c>
    </row>
    <row r="308">
      <c r="A308" s="28" t="inlineStr">
        <is>
          <t>C.2 Equipment (complete 'Depreciation costs' sheet)</t>
        </is>
      </c>
      <c r="B308" s="382" t="n"/>
      <c r="C308" s="251" t="n"/>
      <c r="D308" s="365" t="n"/>
    </row>
    <row r="309">
      <c r="A309" s="49" t="inlineStr">
        <is>
          <t>Equipment</t>
        </is>
      </c>
      <c r="B309" s="379">
        <f>B22+B63+B104+B145+B186+B227+B268</f>
        <v/>
      </c>
      <c r="C309" s="249">
        <f>IF(B309&gt;0,D309/B309," ")</f>
        <v/>
      </c>
      <c r="D309" s="362">
        <f>D22+D63+D104+D145+D186+D227+D268</f>
        <v/>
      </c>
    </row>
    <row r="310">
      <c r="A310" s="49" t="inlineStr">
        <is>
          <t>Infrastructure</t>
        </is>
      </c>
      <c r="B310" s="379">
        <f>B23+B64+B105+B146+B187+B228+B269</f>
        <v/>
      </c>
      <c r="C310" s="249">
        <f>IF(B310&gt;0,D310/B310," ")</f>
        <v/>
      </c>
      <c r="D310" s="362">
        <f>D23+D64+D105+D146+D187+D228+D269</f>
        <v/>
      </c>
    </row>
    <row r="311">
      <c r="A311" s="49" t="inlineStr">
        <is>
          <t>Other assets</t>
        </is>
      </c>
      <c r="B311" s="379">
        <f>B24+B65+B106+B147+B188+B229+B270</f>
        <v/>
      </c>
      <c r="C311" s="249">
        <f>IF(B311&gt;0,D311/B311," ")</f>
        <v/>
      </c>
      <c r="D311" s="362">
        <f>D24+D65+D106+D147+D188+D229+D270</f>
        <v/>
      </c>
    </row>
    <row r="312">
      <c r="A312" s="28" t="inlineStr">
        <is>
          <t>C.3 Other goods, works and services</t>
        </is>
      </c>
      <c r="B312" s="382" t="n"/>
      <c r="C312" s="251" t="n"/>
      <c r="D312" s="365" t="n"/>
    </row>
    <row r="313">
      <c r="A313" s="49" t="inlineStr">
        <is>
          <t>Consumables</t>
        </is>
      </c>
      <c r="B313" s="379">
        <f>B26+B67+B108+B149+B190+B231+B272</f>
        <v/>
      </c>
      <c r="C313" s="249">
        <f>IF(B313&gt;0,D313/B313," ")</f>
        <v/>
      </c>
      <c r="D313" s="362">
        <f>D26+D67+D108+D149+D190+D231+D272</f>
        <v/>
      </c>
    </row>
    <row r="314">
      <c r="A314" s="49" t="inlineStr">
        <is>
          <t>Services for meetings, seminars</t>
        </is>
      </c>
      <c r="B314" s="379">
        <f>B27+B68+B109+B150+B191+B232+B273</f>
        <v/>
      </c>
      <c r="C314" s="249">
        <f>IF(B314&gt;0,D314/B314," ")</f>
        <v/>
      </c>
      <c r="D314" s="362">
        <f>D27+D68+D109+D150+D191+D232+D273</f>
        <v/>
      </c>
    </row>
    <row r="315">
      <c r="A315" s="49" t="inlineStr">
        <is>
          <t>Services for dissemination activities (including website)</t>
        </is>
      </c>
      <c r="B315" s="379">
        <f>B28+B69+B110+B151+B192+B233+B274</f>
        <v/>
      </c>
      <c r="C315" s="249">
        <f>IF(B315&gt;0,D315/B315," ")</f>
        <v/>
      </c>
      <c r="D315" s="362">
        <f>D28+D69+D110+D151+D192+D233+D274</f>
        <v/>
      </c>
    </row>
    <row r="316">
      <c r="A316" s="49" t="inlineStr">
        <is>
          <t>Publication fees</t>
        </is>
      </c>
      <c r="B316" s="379">
        <f>B29+B70+B111+B152+B193+B234+B275</f>
        <v/>
      </c>
      <c r="C316" s="249">
        <f>IF(B316&gt;0,D316/B316," ")</f>
        <v/>
      </c>
      <c r="D316" s="362">
        <f>D29+D70+D111+D152+D193+D234+D275</f>
        <v/>
      </c>
    </row>
    <row r="317">
      <c r="A317" s="49" t="inlineStr">
        <is>
          <t>Other (shipment, insurance, translation, etc.)</t>
        </is>
      </c>
      <c r="B317" s="379">
        <f>B30+B71+B112+B153+B194+B235+B276</f>
        <v/>
      </c>
      <c r="C317" s="249">
        <f>IF(B317&gt;0,D317/B317," ")</f>
        <v/>
      </c>
      <c r="D317" s="362">
        <f>D30+D71+D112+D153+D194+D235+D276</f>
        <v/>
      </c>
    </row>
    <row r="318">
      <c r="A318" s="29" t="inlineStr">
        <is>
          <t>D. OTHER COST CATEGORIES</t>
        </is>
      </c>
      <c r="B318" s="381" t="n"/>
      <c r="C318" s="250" t="n"/>
      <c r="D318" s="360" t="n"/>
    </row>
    <row r="319">
      <c r="A319" s="50" t="inlineStr">
        <is>
          <t>D.1 Financial support to third parties (if applicable in the topic specific conditions)</t>
        </is>
      </c>
      <c r="B319" s="379">
        <f>B32+B73+B114+B155+B196+B237+B278</f>
        <v/>
      </c>
      <c r="C319" s="249">
        <f>IF(B319&gt;0,D319/B319," ")</f>
        <v/>
      </c>
      <c r="D319" s="362">
        <f>D32+D73+D114+D155+D196+D237+D278</f>
        <v/>
      </c>
    </row>
    <row r="320">
      <c r="A320" s="50" t="inlineStr">
        <is>
          <t>D.2 Internally invoiced goods and services</t>
        </is>
      </c>
      <c r="B320" s="379">
        <f>B33+B74+B115+B156+B197+B238+B279</f>
        <v/>
      </c>
      <c r="C320" s="249">
        <f>IF(B320&gt;0,D320/B320," ")</f>
        <v/>
      </c>
      <c r="D320" s="362">
        <f>D33+D74+D115+D156+D197+D238+D279</f>
        <v/>
      </c>
    </row>
    <row r="321">
      <c r="A321" s="50" t="inlineStr">
        <is>
          <t>D.3 Transnational access to research infrastructure unit costs (if mentioned as eligible in the topic specific conditions)</t>
        </is>
      </c>
      <c r="B321" s="379">
        <f>B34+B75+B116+B157+B198+B239+B280</f>
        <v/>
      </c>
      <c r="C321" s="249">
        <f>IF(B321&gt;0,D321/B321," ")</f>
        <v/>
      </c>
      <c r="D321" s="362">
        <f>D34+D75+D116+D157+D198+D239+D280</f>
        <v/>
      </c>
    </row>
    <row r="322">
      <c r="A322" s="50" t="inlineStr">
        <is>
          <t>D.4 Virtual access to research infrastructure unit costs (if mentioned as eligible in the topic specific conditions)</t>
        </is>
      </c>
      <c r="B322" s="379">
        <f>B35+B76+B117+B158+B199+B240+B281</f>
        <v/>
      </c>
      <c r="C322" s="249">
        <f>IF(B322&gt;0,D322/B322," ")</f>
        <v/>
      </c>
      <c r="D322" s="362">
        <f>D35+D76+D117+D158+D199+D240+D281</f>
        <v/>
      </c>
    </row>
    <row r="323">
      <c r="A323" s="50" t="inlineStr">
        <is>
          <t>D.5 PCP/PPI procurement costs (if mentioned as eligible in the topic specific conditions)</t>
        </is>
      </c>
      <c r="B323" s="379">
        <f>B36+B77+B118+B159+B200+B241+B282</f>
        <v/>
      </c>
      <c r="C323" s="249">
        <f>IF(B323&gt;0,D323/B323," ")</f>
        <v/>
      </c>
      <c r="D323" s="362">
        <f>D36+D77+D118+D159+D200+D241+D282</f>
        <v/>
      </c>
    </row>
    <row r="324">
      <c r="A324" s="51" t="n"/>
      <c r="B324" s="347" t="n"/>
      <c r="C324" s="111" t="n"/>
      <c r="D324" s="366" t="n"/>
    </row>
    <row r="325">
      <c r="A325" s="52" t="inlineStr">
        <is>
          <t>TOTAL DIRECT PERSONNEL COSTS AND PURCHASE COSTS (A+C)</t>
        </is>
      </c>
      <c r="B325" s="370" t="n"/>
      <c r="C325" s="230" t="n"/>
      <c r="D325" s="383">
        <f>D38+D79+D120+D161+D202+D243+D284</f>
        <v/>
      </c>
    </row>
    <row r="326">
      <c r="A326" s="52" t="inlineStr">
        <is>
          <t>TOTAL DIRECT COSTS  (A+B+C+D)</t>
        </is>
      </c>
      <c r="B326" s="370" t="n"/>
      <c r="C326" s="230" t="n"/>
      <c r="D326" s="383">
        <f>D39+D80+D121+D162+D203+D244+D285</f>
        <v/>
      </c>
    </row>
    <row r="327">
      <c r="A327" s="182" t="n"/>
      <c r="B327" s="384" t="n"/>
      <c r="C327" s="192" t="n"/>
      <c r="D327" s="191" t="n"/>
    </row>
    <row r="328">
      <c r="A328" s="29" t="inlineStr">
        <is>
          <t>E. INDIRECT COSTS (25% * (A+C))</t>
        </is>
      </c>
      <c r="B328" s="370" t="n"/>
      <c r="C328" s="230" t="n"/>
      <c r="D328" s="383">
        <f>D41+D82+D123+D164+D205+D246+D287</f>
        <v/>
      </c>
    </row>
    <row r="329">
      <c r="A329" s="182" t="n"/>
      <c r="B329" s="384" t="n"/>
      <c r="C329" s="192" t="n"/>
      <c r="D329" s="191" t="n"/>
    </row>
    <row r="330">
      <c r="A330" s="29" t="inlineStr">
        <is>
          <t>F. TOTAL COSTS (A+B+C+D+E)</t>
        </is>
      </c>
      <c r="B330" s="370" t="n"/>
      <c r="C330" s="230" t="n"/>
      <c r="D330" s="383">
        <f>D43+D84+D125+D166+D207+D248+D289</f>
        <v/>
      </c>
    </row>
  </sheetData>
  <sheetProtection selectLockedCells="0" selectUnlockedCells="0" algorithmName="SHA-512" sheet="1" objects="1" insertRows="1" insertHyperlinks="1" autoFilter="1" scenarios="1" formatColumns="1" deleteColumns="1" insertColumns="1" pivotTables="1" deleteRows="1" formatCells="1" saltValue="JeAqZ2rxq6QxL+Q+Zs2b2g==" formatRows="1" sort="1" spinCount="100000" hashValue="mVZu6vWRnwU/dn70bEW8bUDFQ8VEWmjhroPkB19x1Yv4jA+uWm/VwUKSyEozkCOpyfTQRfVv/gZAPlN6kvKDiQ=="/>
  <mergeCells count="9">
    <mergeCell ref="A5:D5"/>
    <mergeCell ref="A210:D210"/>
    <mergeCell ref="A87:D87"/>
    <mergeCell ref="B2:D2"/>
    <mergeCell ref="A251:D251"/>
    <mergeCell ref="A128:D128"/>
    <mergeCell ref="A292:D292"/>
    <mergeCell ref="A169:D169"/>
    <mergeCell ref="A46:D46"/>
  </mergeCells>
  <hyperlinks>
    <hyperlink ref="C1" location="A330" tooltip="Go to Summary section" display="A330"/>
  </hyperlinks>
  <pageMargins left="0.7" right="0.7" top="0.75" bottom="0.75" header="0.3" footer="0.3"/>
</worksheet>
</file>

<file path=xl/worksheets/sheet14.xml><?xml version="1.0" encoding="utf-8"?>
<worksheet xmlns="http://schemas.openxmlformats.org/spreadsheetml/2006/main">
  <sheetPr>
    <tabColor rgb="FFCCFF66"/>
    <outlinePr summaryBelow="1" summaryRight="1"/>
    <pageSetUpPr/>
  </sheetPr>
  <dimension ref="A1:D330"/>
  <sheetViews>
    <sheetView zoomScale="80" zoomScaleNormal="80" workbookViewId="0">
      <pane xSplit="1" ySplit="3" topLeftCell="B145" activePane="bottomRight" state="frozenSplit"/>
      <selection pane="bottomRight" activeCell="C61" sqref="C61"/>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BE4 - BUDGET SHEET</t>
        </is>
      </c>
      <c r="B1" s="33" t="n"/>
      <c r="C1" s="242" t="inlineStr">
        <is>
          <t>View Summary</t>
        </is>
      </c>
      <c r="D1" s="34" t="n"/>
    </row>
    <row r="2" ht="18.6" customHeight="1">
      <c r="A2" s="264" t="inlineStr">
        <is>
          <t>8739748b-662d-46c1-9f51-2965498f6dfd</t>
        </is>
      </c>
      <c r="B2" s="303" t="inlineStr">
        <is>
          <t>EDP</t>
        </is>
      </c>
      <c r="C2" s="315" t="n"/>
      <c r="D2" s="316"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","Management, IP and Innovation Management")</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2</v>
      </c>
      <c r="C9" s="248" t="n">
        <v>5500</v>
      </c>
      <c r="D9" s="232">
        <f>B9*C9</f>
        <v/>
      </c>
    </row>
    <row r="10">
      <c r="A10" s="48" t="inlineStr">
        <is>
          <t>JUNIOR SCIENTISTS (or equivalent in the private sector)</t>
        </is>
      </c>
      <c r="B10" s="358" t="n">
        <v>0</v>
      </c>
      <c r="C10" s="248" t="n">
        <v>0</v>
      </c>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c r="C12" s="248" t="n"/>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8194.4398</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1500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","Site Characterisation and Demonstrator Engineering")</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2</v>
      </c>
      <c r="C50" s="248" t="n">
        <v>5500</v>
      </c>
      <c r="D50" s="232">
        <f>B50*C50</f>
        <v/>
      </c>
    </row>
    <row r="51">
      <c r="A51" s="48" t="inlineStr">
        <is>
          <t>JUNIOR SCIENTISTS (or equivalent in the private sector)</t>
        </is>
      </c>
      <c r="B51" s="358" t="n">
        <v>0</v>
      </c>
      <c r="C51" s="248" t="n">
        <v>0</v>
      </c>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8194.4398</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v>0</v>
      </c>
      <c r="C61" s="248" t="n">
        <v>0</v>
      </c>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","Integrated Design Verification and Monitoring Specification")</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4</v>
      </c>
      <c r="C91" s="248" t="n">
        <v>5500</v>
      </c>
      <c r="D91" s="232">
        <f>B91*C91</f>
        <v/>
      </c>
    </row>
    <row r="92">
      <c r="A92" s="48" t="inlineStr">
        <is>
          <t>JUNIOR SCIENTISTS (or equivalent in the private sector)</t>
        </is>
      </c>
      <c r="B92" s="358" t="n"/>
      <c r="C92" s="248" t="n"/>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8194.4398</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","Performance, Durability and Model Validation")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8</v>
      </c>
      <c r="C132" s="248" t="n">
        <v>5500</v>
      </c>
      <c r="D132" s="232">
        <f>B132*C132</f>
        <v/>
      </c>
    </row>
    <row r="133">
      <c r="A133" s="48" t="inlineStr">
        <is>
          <t>JUNIOR SCIENTISTS (or equivalent in the private sector)</t>
        </is>
      </c>
      <c r="B133" s="358" t="n">
        <v>0</v>
      </c>
      <c r="C133" s="248" t="n">
        <v>0</v>
      </c>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8194.4398</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v>1</v>
      </c>
      <c r="C149" s="248" t="n">
        <v>2000</v>
      </c>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","Manufacturing, Instrumentation and Factory Acceptance")</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4</v>
      </c>
      <c r="C173" s="248" t="n">
        <v>5500</v>
      </c>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8194.4398</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v>1</v>
      </c>
      <c r="C186" s="248" t="n">
        <v>20000</v>
      </c>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","Deployment, Operation and Validation Campaign")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4</v>
      </c>
      <c r="C214" s="248" t="n">
        <v>5500</v>
      </c>
      <c r="D214" s="232">
        <f>B214*C214</f>
        <v/>
      </c>
    </row>
    <row r="215">
      <c r="A215" s="48" t="inlineStr">
        <is>
          <t>JUNIOR SCIENTISTS (or equivalent in the private sector)</t>
        </is>
      </c>
      <c r="B215" s="358" t="n"/>
      <c r="C215" s="248" t="n"/>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8194.4398</v>
      </c>
      <c r="D221" s="232">
        <f>B221*C221</f>
        <v/>
      </c>
    </row>
    <row r="222">
      <c r="A222" s="29" t="inlineStr">
        <is>
          <t>B. DIRECT SUBCONTRACTING COSTS</t>
        </is>
      </c>
      <c r="B222" s="359" t="n"/>
      <c r="C222" s="110" t="n"/>
      <c r="D222" s="360" t="n"/>
    </row>
    <row r="223">
      <c r="A223" s="53" t="n"/>
      <c r="B223" s="358" t="n">
        <v>2</v>
      </c>
      <c r="C223" s="248" t="n">
        <v>1500</v>
      </c>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","Market Validation, Exploitation and Investment Readiness")</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13</v>
      </c>
      <c r="C255" s="248" t="n">
        <v>5500</v>
      </c>
      <c r="D255" s="232">
        <f>B255*C255</f>
        <v/>
      </c>
    </row>
    <row r="256">
      <c r="A256" s="48" t="inlineStr">
        <is>
          <t>JUNIOR SCIENTISTS (or equivalent in the private sector)</t>
        </is>
      </c>
      <c r="B256" s="358" t="n"/>
      <c r="C256" s="248" t="n"/>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8194.4398</v>
      </c>
      <c r="D262" s="232">
        <f>B262*C262</f>
        <v/>
      </c>
    </row>
    <row r="263">
      <c r="A263" s="29" t="inlineStr">
        <is>
          <t>B. DIRECT SUBCONTRACTING COSTS</t>
        </is>
      </c>
      <c r="B263" s="359" t="n"/>
      <c r="C263" s="110" t="n"/>
      <c r="D263" s="360" t="n"/>
    </row>
    <row r="264">
      <c r="A264" s="53" t="n"/>
      <c r="B264" s="358" t="n"/>
      <c r="C264" s="248" t="n">
        <v>12000</v>
      </c>
      <c r="D264" s="362">
        <f>B264*C264</f>
        <v/>
      </c>
    </row>
    <row r="265">
      <c r="A265" s="29" t="inlineStr">
        <is>
          <t>C. DIRECT PURCHASE COSTS</t>
        </is>
      </c>
      <c r="B265" s="359" t="n"/>
      <c r="C265" s="110" t="n"/>
      <c r="D265" s="360" t="n"/>
    </row>
    <row r="266">
      <c r="A266" s="28" t="inlineStr">
        <is>
          <t>C.1 Travel and subsistence</t>
        </is>
      </c>
      <c r="B266" s="358" t="n">
        <v>2</v>
      </c>
      <c r="C266" s="248" t="n">
        <v>1500</v>
      </c>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1">
      <c r="A291" s="190" t="n"/>
      <c r="B291" s="185" t="n"/>
      <c r="C291" s="186" t="n"/>
      <c r="D291" s="187" t="n"/>
    </row>
    <row r="292" ht="21" customHeight="1">
      <c r="A292" s="306" t="inlineStr">
        <is>
          <t>SUMMARY</t>
        </is>
      </c>
      <c r="B292" s="315" t="n"/>
      <c r="C292" s="315" t="n"/>
      <c r="D292" s="316" t="n"/>
    </row>
    <row r="293">
      <c r="A293" s="56" t="n"/>
      <c r="B293" s="174" t="n"/>
      <c r="C293" s="175" t="n"/>
      <c r="D293" s="174"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79">
        <f>B9+B50+B91+B132+B173+B214+B255</f>
        <v/>
      </c>
      <c r="C296" s="249">
        <f>IF(B296&gt;0,D296/B296," ")</f>
        <v/>
      </c>
      <c r="D296" s="362">
        <f>D9+D50+D91+D132+D173+D214+D255</f>
        <v/>
      </c>
    </row>
    <row r="297">
      <c r="A297" s="48" t="inlineStr">
        <is>
          <t>JUNIOR SCIENTISTS (or equivalent in the private sector)</t>
        </is>
      </c>
      <c r="B297" s="379">
        <f>B10+B51+B92+B133+B174+B215+B256</f>
        <v/>
      </c>
      <c r="C297" s="249">
        <f>IF(B297&gt;0,D297/B297," ")</f>
        <v/>
      </c>
      <c r="D297" s="362">
        <f>D10+D51+D92+D133+D174+D215+D256</f>
        <v/>
      </c>
    </row>
    <row r="298">
      <c r="A298" s="48" t="inlineStr">
        <is>
          <t>TECHNICAL PERSONNEL (or equivalent in the private sector)</t>
        </is>
      </c>
      <c r="B298" s="379">
        <f>B11+B52+B93+B134+B175+B216+B257</f>
        <v/>
      </c>
      <c r="C298" s="249">
        <f>IF(B298&gt;0,D298/B298," ")</f>
        <v/>
      </c>
      <c r="D298" s="362">
        <f>D11+D52+D93+D134+D175+D216+D257</f>
        <v/>
      </c>
    </row>
    <row r="299">
      <c r="A299" s="48" t="inlineStr">
        <is>
          <t>ADMINISTRATIVE PERSONNEL (or equivalent in the private sector)</t>
        </is>
      </c>
      <c r="B299" s="379">
        <f>B12+B53+B94+B135+B176+B217+B258</f>
        <v/>
      </c>
      <c r="C299" s="249">
        <f>IF(B299&gt;0,D299/B299," ")</f>
        <v/>
      </c>
      <c r="D299" s="362">
        <f>D12+D53+D94+D135+D176+D217+D258</f>
        <v/>
      </c>
    </row>
    <row r="300">
      <c r="A300" s="48" t="inlineStr">
        <is>
          <t>OTHERS</t>
        </is>
      </c>
      <c r="B300" s="379">
        <f>B13+B54+B95+B136+B177+B218+B259</f>
        <v/>
      </c>
      <c r="C300" s="249">
        <f>IF(B300&gt;0,D300/B300," ")</f>
        <v/>
      </c>
      <c r="D300" s="362">
        <f>D13+D54+D95+D136+D177+D218+D259</f>
        <v/>
      </c>
    </row>
    <row r="301">
      <c r="A301" s="28" t="inlineStr">
        <is>
          <t>A.2 Natural Persons under direct contract</t>
        </is>
      </c>
      <c r="B301" s="379">
        <f>B14+B55+B96+B137+B178+B219+B260</f>
        <v/>
      </c>
      <c r="C301" s="249">
        <f>IF(B301&gt;0,D301/B301," ")</f>
        <v/>
      </c>
      <c r="D301" s="362">
        <f>D14+D55+D96+D137+D178+D219+D260</f>
        <v/>
      </c>
    </row>
    <row r="302">
      <c r="A302" s="28" t="inlineStr">
        <is>
          <t>A.3 Seconded Persons</t>
        </is>
      </c>
      <c r="B302" s="379">
        <f>B15+B56+B97+B138+B179+B220+B261</f>
        <v/>
      </c>
      <c r="C302" s="249">
        <f>IF(B302&gt;0,D302/B302," ")</f>
        <v/>
      </c>
      <c r="D302" s="362">
        <f>D15+D56+D97+D138+D179+D220+D261</f>
        <v/>
      </c>
    </row>
    <row r="303">
      <c r="A303" s="28" t="inlineStr">
        <is>
          <t>A.4 SME owners and natural person beneficiaries</t>
        </is>
      </c>
      <c r="B303" s="379">
        <f>B16+B57+B98+B139+B180+B221+B262</f>
        <v/>
      </c>
      <c r="C303" s="249">
        <f>IF(B303&gt;0,D303/B303," ")</f>
        <v/>
      </c>
      <c r="D303" s="362">
        <f>D16+D57+D98+D139+D180+D221+D262</f>
        <v/>
      </c>
    </row>
    <row r="304">
      <c r="A304" s="29" t="inlineStr">
        <is>
          <t>B. DIRECT SUBCONTRACTING COSTS</t>
        </is>
      </c>
      <c r="B304" s="381" t="n"/>
      <c r="C304" s="250" t="n"/>
      <c r="D304" s="360" t="n"/>
    </row>
    <row r="305">
      <c r="A305" s="28" t="n"/>
      <c r="B305" s="379">
        <f>B18+B59+B100+B141+B182+B223+B264</f>
        <v/>
      </c>
      <c r="C305" s="249">
        <f>IF(B305&gt;0,D305/B305," ")</f>
        <v/>
      </c>
      <c r="D305" s="362">
        <f>D18+D59+D100+D141+D182+D223+D264</f>
        <v/>
      </c>
    </row>
    <row r="306">
      <c r="A306" s="29" t="inlineStr">
        <is>
          <t>C. DIRECT PURCHASE COSTS</t>
        </is>
      </c>
      <c r="B306" s="381" t="n"/>
      <c r="C306" s="250" t="n"/>
      <c r="D306" s="360" t="n"/>
    </row>
    <row r="307">
      <c r="A307" s="28" t="inlineStr">
        <is>
          <t>C.1 Travel and subsistence</t>
        </is>
      </c>
      <c r="B307" s="379">
        <f>B20+B61+B102+B143+B184+B225+B266</f>
        <v/>
      </c>
      <c r="C307" s="249">
        <f>IF(B307&gt;0,D307/B307," ")</f>
        <v/>
      </c>
      <c r="D307" s="362">
        <f>D20+D61+D102+D143+D184+D225+D266</f>
        <v/>
      </c>
    </row>
    <row r="308">
      <c r="A308" s="28" t="inlineStr">
        <is>
          <t>C.2 Equipment (complete 'Depreciation costs' sheet)</t>
        </is>
      </c>
      <c r="B308" s="382" t="n"/>
      <c r="C308" s="251" t="n"/>
      <c r="D308" s="365" t="n"/>
    </row>
    <row r="309">
      <c r="A309" s="49" t="inlineStr">
        <is>
          <t>Equipment</t>
        </is>
      </c>
      <c r="B309" s="379">
        <f>B22+B63+B104+B145+B186+B227+B268</f>
        <v/>
      </c>
      <c r="C309" s="249">
        <f>IF(B309&gt;0,D309/B309," ")</f>
        <v/>
      </c>
      <c r="D309" s="362">
        <f>D22+D63+D104+D145+D186+D227+D268</f>
        <v/>
      </c>
    </row>
    <row r="310">
      <c r="A310" s="49" t="inlineStr">
        <is>
          <t>Infrastructure</t>
        </is>
      </c>
      <c r="B310" s="379">
        <f>B23+B64+B105+B146+B187+B228+B269</f>
        <v/>
      </c>
      <c r="C310" s="249">
        <f>IF(B310&gt;0,D310/B310," ")</f>
        <v/>
      </c>
      <c r="D310" s="362">
        <f>D23+D64+D105+D146+D187+D228+D269</f>
        <v/>
      </c>
    </row>
    <row r="311">
      <c r="A311" s="49" t="inlineStr">
        <is>
          <t>Other assets</t>
        </is>
      </c>
      <c r="B311" s="379">
        <f>B24+B65+B106+B147+B188+B229+B270</f>
        <v/>
      </c>
      <c r="C311" s="249">
        <f>IF(B311&gt;0,D311/B311," ")</f>
        <v/>
      </c>
      <c r="D311" s="362">
        <f>D24+D65+D106+D147+D188+D229+D270</f>
        <v/>
      </c>
    </row>
    <row r="312">
      <c r="A312" s="28" t="inlineStr">
        <is>
          <t>C.3 Other goods, works and services</t>
        </is>
      </c>
      <c r="B312" s="382" t="n"/>
      <c r="C312" s="251" t="n"/>
      <c r="D312" s="365" t="n"/>
    </row>
    <row r="313">
      <c r="A313" s="49" t="inlineStr">
        <is>
          <t>Consumables</t>
        </is>
      </c>
      <c r="B313" s="379">
        <f>B26+B67+B108+B149+B190+B231+B272</f>
        <v/>
      </c>
      <c r="C313" s="249">
        <f>IF(B313&gt;0,D313/B313," ")</f>
        <v/>
      </c>
      <c r="D313" s="362">
        <f>D26+D67+D108+D149+D190+D231+D272</f>
        <v/>
      </c>
    </row>
    <row r="314">
      <c r="A314" s="49" t="inlineStr">
        <is>
          <t>Services for meetings, seminars</t>
        </is>
      </c>
      <c r="B314" s="379">
        <f>B27+B68+B109+B150+B191+B232+B273</f>
        <v/>
      </c>
      <c r="C314" s="249">
        <f>IF(B314&gt;0,D314/B314," ")</f>
        <v/>
      </c>
      <c r="D314" s="362">
        <f>D27+D68+D109+D150+D191+D232+D273</f>
        <v/>
      </c>
    </row>
    <row r="315">
      <c r="A315" s="49" t="inlineStr">
        <is>
          <t>Services for dissemination activities (including website)</t>
        </is>
      </c>
      <c r="B315" s="379">
        <f>B28+B69+B110+B151+B192+B233+B274</f>
        <v/>
      </c>
      <c r="C315" s="249">
        <f>IF(B315&gt;0,D315/B315," ")</f>
        <v/>
      </c>
      <c r="D315" s="362">
        <f>D28+D69+D110+D151+D192+D233+D274</f>
        <v/>
      </c>
    </row>
    <row r="316">
      <c r="A316" s="49" t="inlineStr">
        <is>
          <t>Publication fees</t>
        </is>
      </c>
      <c r="B316" s="379">
        <f>B29+B70+B111+B152+B193+B234+B275</f>
        <v/>
      </c>
      <c r="C316" s="249">
        <f>IF(B316&gt;0,D316/B316," ")</f>
        <v/>
      </c>
      <c r="D316" s="362">
        <f>D29+D70+D111+D152+D193+D234+D275</f>
        <v/>
      </c>
    </row>
    <row r="317">
      <c r="A317" s="49" t="inlineStr">
        <is>
          <t>Other (shipment, insurance, translation, etc.)</t>
        </is>
      </c>
      <c r="B317" s="379">
        <f>B30+B71+B112+B153+B194+B235+B276</f>
        <v/>
      </c>
      <c r="C317" s="249">
        <f>IF(B317&gt;0,D317/B317," ")</f>
        <v/>
      </c>
      <c r="D317" s="362">
        <f>D30+D71+D112+D153+D194+D235+D276</f>
        <v/>
      </c>
    </row>
    <row r="318">
      <c r="A318" s="29" t="inlineStr">
        <is>
          <t>D. OTHER COST CATEGORIES</t>
        </is>
      </c>
      <c r="B318" s="381" t="n"/>
      <c r="C318" s="250" t="n"/>
      <c r="D318" s="360" t="n"/>
    </row>
    <row r="319">
      <c r="A319" s="50" t="inlineStr">
        <is>
          <t>D.1 Financial support to third parties (if applicable in the topic specific conditions)</t>
        </is>
      </c>
      <c r="B319" s="379">
        <f>B32+B73+B114+B155+B196+B237+B278</f>
        <v/>
      </c>
      <c r="C319" s="249">
        <f>IF(B319&gt;0,D319/B319," ")</f>
        <v/>
      </c>
      <c r="D319" s="362">
        <f>D32+D73+D114+D155+D196+D237+D278</f>
        <v/>
      </c>
    </row>
    <row r="320">
      <c r="A320" s="50" t="inlineStr">
        <is>
          <t>D.2 Internally invoiced goods and services</t>
        </is>
      </c>
      <c r="B320" s="379">
        <f>B33+B74+B115+B156+B197+B238+B279</f>
        <v/>
      </c>
      <c r="C320" s="249">
        <f>IF(B320&gt;0,D320/B320," ")</f>
        <v/>
      </c>
      <c r="D320" s="362">
        <f>D33+D74+D115+D156+D197+D238+D279</f>
        <v/>
      </c>
    </row>
    <row r="321">
      <c r="A321" s="50" t="inlineStr">
        <is>
          <t>D.3 Transnational access to research infrastructure unit costs (if mentioned as eligible in the topic specific conditions)</t>
        </is>
      </c>
      <c r="B321" s="379">
        <f>B34+B75+B116+B157+B198+B239+B280</f>
        <v/>
      </c>
      <c r="C321" s="249">
        <f>IF(B321&gt;0,D321/B321," ")</f>
        <v/>
      </c>
      <c r="D321" s="362">
        <f>D34+D75+D116+D157+D198+D239+D280</f>
        <v/>
      </c>
    </row>
    <row r="322">
      <c r="A322" s="50" t="inlineStr">
        <is>
          <t>D.4 Virtual access to research infrastructure unit costs (if mentioned as eligible in the topic specific conditions)</t>
        </is>
      </c>
      <c r="B322" s="379">
        <f>B35+B76+B117+B158+B199+B240+B281</f>
        <v/>
      </c>
      <c r="C322" s="249">
        <f>IF(B322&gt;0,D322/B322," ")</f>
        <v/>
      </c>
      <c r="D322" s="362">
        <f>D35+D76+D117+D158+D199+D240+D281</f>
        <v/>
      </c>
    </row>
    <row r="323">
      <c r="A323" s="50" t="inlineStr">
        <is>
          <t>D.5 PCP/PPI procurement costs (if mentioned as eligible in the topic specific conditions)</t>
        </is>
      </c>
      <c r="B323" s="379">
        <f>B36+B77+B118+B159+B200+B241+B282</f>
        <v/>
      </c>
      <c r="C323" s="249">
        <f>IF(B323&gt;0,D323/B323," ")</f>
        <v/>
      </c>
      <c r="D323" s="362">
        <f>D36+D77+D118+D159+D200+D241+D282</f>
        <v/>
      </c>
    </row>
    <row r="324">
      <c r="A324" s="51" t="n"/>
      <c r="B324" s="347" t="n"/>
      <c r="C324" s="111" t="n"/>
      <c r="D324" s="366" t="n"/>
    </row>
    <row r="325">
      <c r="A325" s="52" t="inlineStr">
        <is>
          <t>TOTAL DIRECT PERSONNEL COSTS AND PURCHASE COSTS (A+C)</t>
        </is>
      </c>
      <c r="B325" s="370" t="n"/>
      <c r="C325" s="230" t="n"/>
      <c r="D325" s="383">
        <f>D38+D79+D120+D161+D202+D243+D284</f>
        <v/>
      </c>
    </row>
    <row r="326">
      <c r="A326" s="52" t="inlineStr">
        <is>
          <t>TOTAL DIRECT COSTS  (A+B+C+D)</t>
        </is>
      </c>
      <c r="B326" s="370" t="n"/>
      <c r="C326" s="230" t="n"/>
      <c r="D326" s="383">
        <f>D39+D80+D121+D162+D203+D244+D285</f>
        <v/>
      </c>
    </row>
    <row r="327">
      <c r="A327" s="182" t="n"/>
      <c r="B327" s="384" t="n"/>
      <c r="C327" s="192" t="n"/>
      <c r="D327" s="191" t="n"/>
    </row>
    <row r="328">
      <c r="A328" s="29" t="inlineStr">
        <is>
          <t>E. INDIRECT COSTS (25% * (A+C))</t>
        </is>
      </c>
      <c r="B328" s="370" t="n"/>
      <c r="C328" s="230" t="n"/>
      <c r="D328" s="383">
        <f>D41+D82+D123+D164+D205+D246+D287</f>
        <v/>
      </c>
    </row>
    <row r="329">
      <c r="A329" s="182" t="n"/>
      <c r="B329" s="384" t="n"/>
      <c r="C329" s="192" t="n"/>
      <c r="D329" s="191" t="n"/>
    </row>
    <row r="330">
      <c r="A330" s="29" t="inlineStr">
        <is>
          <t>F. TOTAL COSTS (A+B+C+D+E)</t>
        </is>
      </c>
      <c r="B330" s="370" t="n"/>
      <c r="C330" s="230" t="n"/>
      <c r="D330" s="383">
        <f>D43+D84+D125+D166+D207+D248+D289</f>
        <v/>
      </c>
    </row>
  </sheetData>
  <sheetProtection selectLockedCells="0" selectUnlockedCells="0" algorithmName="SHA-512" sheet="1" objects="1" insertRows="1" insertHyperlinks="1" autoFilter="1" scenarios="1" formatColumns="1" deleteColumns="1" insertColumns="1" pivotTables="1" deleteRows="1" formatCells="1" saltValue="POtAPVMEf3qzF10yygUYYg==" formatRows="1" sort="1" spinCount="100000" hashValue="OZZdJb1HFwqJw2K0S5FW2g4B1yWqM4W+OYRmMhUiu7eej5y1xi0+FACwdQxS7icXyGLPqP8IKbWLtfu3XJU5dQ=="/>
  <mergeCells count="9">
    <mergeCell ref="A5:D5"/>
    <mergeCell ref="A210:D210"/>
    <mergeCell ref="A87:D87"/>
    <mergeCell ref="B2:D2"/>
    <mergeCell ref="A251:D251"/>
    <mergeCell ref="A128:D128"/>
    <mergeCell ref="A292:D292"/>
    <mergeCell ref="A169:D169"/>
    <mergeCell ref="A46:D46"/>
  </mergeCells>
  <hyperlinks>
    <hyperlink ref="C1" location="A330" tooltip="Go to Summary section" display="A330"/>
  </hyperlinks>
  <pageMargins left="0.7" right="0.7" top="0.75" bottom="0.75" header="0.3" footer="0.3"/>
</worksheet>
</file>

<file path=xl/worksheets/sheet15.xml><?xml version="1.0" encoding="utf-8"?>
<worksheet xmlns="http://schemas.openxmlformats.org/spreadsheetml/2006/main">
  <sheetPr codeName="Sheet109">
    <tabColor theme="6" tint="0.5999938962981048"/>
    <outlinePr summaryBelow="1" summaryRight="1"/>
    <pageSetUpPr fitToPage="1"/>
  </sheetPr>
  <dimension ref="A1:L209"/>
  <sheetViews>
    <sheetView tabSelected="1" zoomScale="80" zoomScaleNormal="80" workbookViewId="0">
      <pane ySplit="2" topLeftCell="A3" activePane="bottomLeft" state="frozen"/>
      <selection pane="bottomLeft" activeCell="E8" sqref="E8"/>
      <selection activeCell="B7" sqref="B7"/>
    </sheetView>
  </sheetViews>
  <sheetFormatPr baseColWidth="8" defaultColWidth="9.28515625" defaultRowHeight="14.45"/>
  <cols>
    <col width="10.7109375" customWidth="1" min="1" max="1"/>
    <col width="33.7109375" customWidth="1" min="2" max="2"/>
    <col width="8.7109375" customWidth="1" min="3" max="3"/>
    <col width="33.7109375" customWidth="1" min="4" max="4"/>
    <col width="15.7109375" bestFit="1" customWidth="1" min="5" max="5"/>
    <col width="28.5703125" customWidth="1" min="6" max="6"/>
    <col width="14.7109375" customWidth="1" min="7" max="7"/>
    <col width="15.28515625" bestFit="1" customWidth="1" style="136" min="8" max="8"/>
    <col width="14.7109375" customWidth="1" style="143" min="9" max="10"/>
    <col width="19.7109375" bestFit="1" customWidth="1" min="11" max="11"/>
    <col width="50.7109375" customWidth="1" min="12" max="12"/>
  </cols>
  <sheetData>
    <row r="1" ht="24" customHeight="1" thickBot="1">
      <c r="A1" s="273" t="inlineStr">
        <is>
          <t>TOOL:   DEPRECIATION COSTS LIST</t>
        </is>
      </c>
    </row>
    <row r="2" ht="77.45" customFormat="1" customHeight="1" s="121">
      <c r="A2" s="117" t="inlineStr">
        <is>
          <t>BE nr</t>
        </is>
      </c>
      <c r="B2" s="118" t="inlineStr">
        <is>
          <t>Beneficiary name</t>
        </is>
      </c>
      <c r="C2" s="119" t="inlineStr">
        <is>
          <t>WP nr</t>
        </is>
      </c>
      <c r="D2" s="118" t="inlineStr">
        <is>
          <t>Work Package name</t>
        </is>
      </c>
      <c r="E2" s="118" t="inlineStr">
        <is>
          <t>Resource type</t>
        </is>
      </c>
      <c r="F2" s="118" t="inlineStr">
        <is>
          <t>Short name of the investments</t>
        </is>
      </c>
      <c r="G2" s="118" t="inlineStr">
        <is>
          <t>Date of purchase (real or planned date of purchase)</t>
        </is>
      </c>
      <c r="H2" s="133" t="inlineStr">
        <is>
          <t>Purchase cost</t>
        </is>
      </c>
      <c r="I2" s="137" t="inlineStr">
        <is>
          <t>% used for the project</t>
        </is>
      </c>
      <c r="J2" s="137" t="inlineStr">
        <is>
          <t>% of useful life of the equipment in the project</t>
        </is>
      </c>
      <c r="K2" s="118" t="inlineStr">
        <is>
          <t>Charged 
depreciation costs 
per investment</t>
        </is>
      </c>
      <c r="L2" s="120" t="inlineStr">
        <is>
          <t>Justification: Needed info for depreciation</t>
        </is>
      </c>
    </row>
    <row r="3">
      <c r="A3" s="122" t="inlineStr">
        <is>
          <t>BE2</t>
        </is>
      </c>
      <c r="B3" s="1">
        <f>IF($A3="","",VLOOKUP($A3,'BE list'!A:C,3,0))</f>
        <v/>
      </c>
      <c r="C3" s="8" t="inlineStr">
        <is>
          <t>WP5</t>
        </is>
      </c>
      <c r="D3" s="1">
        <f>IF($C3="","",VLOOKUP($C3,'WP list'!A:B,2,0))</f>
        <v/>
      </c>
      <c r="E3" s="10" t="inlineStr">
        <is>
          <t>Equipment</t>
        </is>
      </c>
      <c r="F3" s="8" t="inlineStr">
        <is>
          <t>production tooling (moulds, jigs, hinge-placement fixtures, fluid-forming rig)</t>
        </is>
      </c>
      <c r="G3" s="123" t="n">
        <v>46539</v>
      </c>
      <c r="H3" s="134" t="n">
        <v>100000</v>
      </c>
      <c r="I3" s="138" t="n">
        <v>1</v>
      </c>
      <c r="J3" s="139" t="n">
        <v>1</v>
      </c>
      <c r="K3" s="385">
        <f>+H3*I3*J3</f>
        <v/>
      </c>
      <c r="L3" s="125" t="inlineStr">
        <is>
          <t>Production-quality tooling sized for the demonstrator FPV manufacturing run under WP5 (moulds, jigs, hinge-placement fixtures, fluid-forming rig for the aluminium bottom plate). Cast-PU moulds degrade with cure cycles; the demonstrator run consumes the tool set. Dedicated to the project.</t>
        </is>
      </c>
    </row>
    <row r="4">
      <c r="A4" s="122" t="inlineStr">
        <is>
          <t>BE1</t>
        </is>
      </c>
      <c r="B4" s="1">
        <f>IF($A4="","",VLOOKUP($A4,'BE list'!A:C,3,0))</f>
        <v/>
      </c>
      <c r="C4" s="8" t="inlineStr">
        <is>
          <t>WP3</t>
        </is>
      </c>
      <c r="D4" s="1">
        <f>IF($C4="","",VLOOKUP($C4,'WP list'!A:B,2,0))</f>
        <v/>
      </c>
      <c r="E4" s="10" t="inlineStr">
        <is>
          <t>Equipment</t>
        </is>
      </c>
      <c r="F4" s="20" t="inlineStr">
        <is>
          <t>Mooring and anchoring load cells</t>
        </is>
      </c>
      <c r="G4" s="123" t="n">
        <v>46600</v>
      </c>
      <c r="H4" s="134" t="n">
        <v>16000</v>
      </c>
      <c r="I4" s="138" t="n">
        <v>1</v>
      </c>
      <c r="J4" s="140" t="n">
        <v>1</v>
      </c>
      <c r="K4" s="385">
        <f>+H4*I4*J4</f>
        <v/>
      </c>
      <c r="L4" s="125" t="n"/>
    </row>
    <row r="5">
      <c r="A5" s="122" t="inlineStr">
        <is>
          <t>BE1</t>
        </is>
      </c>
      <c r="B5" s="1">
        <f>IF($A5="","",VLOOKUP($A5,'BE list'!A:C,3,0))</f>
        <v/>
      </c>
      <c r="C5" s="8" t="inlineStr">
        <is>
          <t>WP3</t>
        </is>
      </c>
      <c r="D5" s="1">
        <f>IF($C5="","",VLOOKUP($C5,'WP list'!A:B,2,0))</f>
        <v/>
      </c>
      <c r="E5" s="10" t="inlineStr">
        <is>
          <t>Equipment</t>
        </is>
      </c>
      <c r="F5" s="20" t="inlineStr">
        <is>
          <t>Data-acquisition units and telemetry gateway</t>
        </is>
      </c>
      <c r="G5" s="123" t="n">
        <v>46539</v>
      </c>
      <c r="H5" s="134" t="n">
        <v>10000</v>
      </c>
      <c r="I5" s="138" t="n">
        <v>1</v>
      </c>
      <c r="J5" s="140" t="n">
        <v>1</v>
      </c>
      <c r="K5" s="385">
        <f>+H5*I5*J5</f>
        <v/>
      </c>
      <c r="L5" s="125" t="n"/>
    </row>
    <row r="6">
      <c r="A6" s="122" t="inlineStr">
        <is>
          <t>BE1</t>
        </is>
      </c>
      <c r="B6" s="1">
        <f>IF($A6="","",VLOOKUP($A6,'BE list'!A:C,3,0))</f>
        <v/>
      </c>
      <c r="C6" s="8" t="inlineStr">
        <is>
          <t>WP3</t>
        </is>
      </c>
      <c r="D6" s="1">
        <f>IF($C6="","",VLOOKUP($C6,'WP list'!A:B,2,0))</f>
        <v/>
      </c>
      <c r="E6" s="10" t="inlineStr">
        <is>
          <t>Equipment</t>
        </is>
      </c>
      <c r="F6" s="20" t="inlineStr">
        <is>
          <t>Electrical-performance monitoring equipment</t>
        </is>
      </c>
      <c r="G6" s="123" t="n">
        <v>46539</v>
      </c>
      <c r="H6" s="134" t="n">
        <v>10000</v>
      </c>
      <c r="I6" s="138" t="n">
        <v>1</v>
      </c>
      <c r="J6" s="140" t="n">
        <v>1</v>
      </c>
      <c r="K6" s="385">
        <f>+H6*I6*J6</f>
        <v/>
      </c>
      <c r="L6" s="125" t="n"/>
    </row>
    <row r="7">
      <c r="A7" s="122" t="inlineStr">
        <is>
          <t>BE1</t>
        </is>
      </c>
      <c r="B7" s="1">
        <f>IF($A7="","",VLOOKUP($A7,'BE list'!A:C,3,0))</f>
        <v/>
      </c>
      <c r="C7" s="8" t="inlineStr">
        <is>
          <t>WP3</t>
        </is>
      </c>
      <c r="D7" s="1">
        <f>IF($C7="","",VLOOKUP($C7,'WP list'!A:B,2,0))</f>
        <v/>
      </c>
      <c r="E7" s="10" t="inlineStr">
        <is>
          <t>Equipment</t>
        </is>
      </c>
      <c r="F7" s="20" t="inlineStr">
        <is>
          <t>Sensor fixtures, cabling and protective enclosures</t>
        </is>
      </c>
      <c r="G7" s="123" t="n">
        <v>46573</v>
      </c>
      <c r="H7" s="134" t="n">
        <v>4000</v>
      </c>
      <c r="I7" s="138" t="n">
        <v>1</v>
      </c>
      <c r="J7" s="140" t="n">
        <v>1</v>
      </c>
      <c r="K7" s="385">
        <f>+H7*I7*J7</f>
        <v/>
      </c>
      <c r="L7" s="125" t="n"/>
    </row>
    <row r="8" ht="15" customHeight="1">
      <c r="A8" s="122" t="inlineStr">
        <is>
          <t>BE2</t>
        </is>
      </c>
      <c r="B8" s="1">
        <f>IF($A8="","",VLOOKUP($A8,'BE list'!A:C,3,0))</f>
        <v/>
      </c>
      <c r="C8" s="8" t="inlineStr">
        <is>
          <t>WP5</t>
        </is>
      </c>
      <c r="D8" s="1">
        <f>IF($C8="","",VLOOKUP($C8,'WP list'!A:B,2,0))</f>
        <v/>
      </c>
      <c r="E8" s="10" t="inlineStr">
        <is>
          <t>Equipment</t>
        </is>
      </c>
      <c r="F8" s="20" t="inlineStr">
        <is>
          <t>standard commercial PV modules (glass/glass 710–740 Wp)</t>
        </is>
      </c>
      <c r="G8" s="123" t="n">
        <v>46539</v>
      </c>
      <c r="H8" s="134" t="n">
        <v>40000</v>
      </c>
      <c r="I8" s="138" t="n">
        <v>1</v>
      </c>
      <c r="J8" s="140" t="n">
        <v>1</v>
      </c>
      <c r="K8" s="385" t="n"/>
      <c r="L8" s="125" t="inlineStr">
        <is>
          <t>Standard commercial glass/glass PV modules (710–740 Wp) integrated into the demonstrator FPV units for the operational validation campaign under WP6. Modules become part of the deployed array; operational life consumed within the project period.</t>
        </is>
      </c>
    </row>
    <row r="9">
      <c r="A9" s="122" t="inlineStr">
        <is>
          <t>BE3</t>
        </is>
      </c>
      <c r="B9" s="1">
        <f>IF($A9="","",VLOOKUP($A9,'BE list'!A:C,3,0))</f>
        <v/>
      </c>
      <c r="C9" s="8" t="inlineStr">
        <is>
          <t>WP5</t>
        </is>
      </c>
      <c r="D9" s="1">
        <f>IF($C9="","",VLOOKUP($C9,'WP list'!A:B,2,0))</f>
        <v/>
      </c>
      <c r="E9" s="10" t="inlineStr">
        <is>
          <t>Equipment</t>
        </is>
      </c>
      <c r="F9" s="20" t="inlineStr">
        <is>
          <t>Boat Equipment, Safety Equipment, Generators</t>
        </is>
      </c>
      <c r="G9" s="123" t="n">
        <v>46569</v>
      </c>
      <c r="H9" s="134" t="n">
        <v>30000</v>
      </c>
      <c r="I9" s="138" t="n">
        <v>1</v>
      </c>
      <c r="J9" s="140" t="n">
        <v>1</v>
      </c>
      <c r="K9" s="385">
        <f>+H9*I9*J9</f>
        <v/>
      </c>
      <c r="L9" s="125" t="inlineStr">
        <is>
          <t>Equipment is purchased for the project, used exclusively for the project, or is earmarked for the project, and is fully depreciated over the project's duration.</t>
        </is>
      </c>
    </row>
    <row r="10">
      <c r="A10" s="122" t="inlineStr">
        <is>
          <t>BE4</t>
        </is>
      </c>
      <c r="B10" s="1">
        <f>IF($A10="","",VLOOKUP($A10,'BE list'!A:C,3,0))</f>
        <v/>
      </c>
      <c r="C10" s="8" t="inlineStr">
        <is>
          <t>WP3</t>
        </is>
      </c>
      <c r="D10" s="1">
        <f>IF($C10="","",VLOOKUP($C10,'WP list'!A:B,2,0))</f>
        <v/>
      </c>
      <c r="E10" s="10" t="inlineStr">
        <is>
          <t>Equipment</t>
        </is>
      </c>
      <c r="F10" s="20" t="inlineStr">
        <is>
          <t>Videos camera and temperature monitoring devices</t>
        </is>
      </c>
      <c r="G10" s="123" t="n">
        <v>46569</v>
      </c>
      <c r="H10" s="134" t="n">
        <v>20000</v>
      </c>
      <c r="I10" s="138" t="n">
        <v>1</v>
      </c>
      <c r="J10" s="140" t="n">
        <v>1</v>
      </c>
      <c r="K10" s="385">
        <f>+H10*I10*J10</f>
        <v/>
      </c>
      <c r="L10" s="125" t="n"/>
    </row>
    <row r="11">
      <c r="A11" s="122" t="n"/>
      <c r="B11" s="1">
        <f>IF($A11="","",VLOOKUP($A11,'BE list'!A:C,3,0))</f>
        <v/>
      </c>
      <c r="C11" s="8" t="n"/>
      <c r="D11" s="1">
        <f>IF($C11="","",VLOOKUP($C11,'WP list'!A:B,2,0))</f>
        <v/>
      </c>
      <c r="E11" s="10" t="n"/>
      <c r="F11" s="20" t="n"/>
      <c r="G11" s="123" t="n"/>
      <c r="H11" s="134" t="n"/>
      <c r="I11" s="138" t="n"/>
      <c r="J11" s="140" t="n"/>
      <c r="K11" s="385" t="n"/>
      <c r="L11" s="125" t="n"/>
    </row>
    <row r="12">
      <c r="A12" s="122" t="n"/>
      <c r="B12" s="1">
        <f>IF($A12="","",VLOOKUP($A12,'BE list'!A:C,3,0))</f>
        <v/>
      </c>
      <c r="C12" s="8" t="n"/>
      <c r="D12" s="1">
        <f>IF($C12="","",VLOOKUP($C12,'WP list'!A:B,2,0))</f>
        <v/>
      </c>
      <c r="E12" s="10" t="n"/>
      <c r="F12" s="20" t="n"/>
      <c r="G12" s="123" t="n"/>
      <c r="H12" s="134" t="n"/>
      <c r="I12" s="138" t="n"/>
      <c r="J12" s="140" t="n"/>
      <c r="K12" s="385">
        <f>+H12*I12*J12</f>
        <v/>
      </c>
      <c r="L12" s="125" t="n"/>
    </row>
    <row r="13">
      <c r="A13" s="122" t="n"/>
      <c r="B13" s="1">
        <f>IF($A13="","",VLOOKUP($A13,'BE list'!A:C,3,0))</f>
        <v/>
      </c>
      <c r="C13" s="8" t="n"/>
      <c r="D13" s="1">
        <f>IF($C13="","",VLOOKUP($C13,'WP list'!A:B,2,0))</f>
        <v/>
      </c>
      <c r="E13" s="10" t="n"/>
      <c r="F13" s="20" t="n"/>
      <c r="G13" s="123" t="n"/>
      <c r="H13" s="134" t="n"/>
      <c r="I13" s="138" t="n"/>
      <c r="J13" s="140" t="n"/>
      <c r="K13" s="385">
        <f>+H13*I13*J13</f>
        <v/>
      </c>
      <c r="L13" s="125" t="n"/>
    </row>
    <row r="14">
      <c r="A14" s="122" t="n"/>
      <c r="B14" s="1">
        <f>IF($A14="","",VLOOKUP($A14,'BE list'!A:C,3,0))</f>
        <v/>
      </c>
      <c r="C14" s="8" t="n"/>
      <c r="D14" s="1">
        <f>IF($C14="","",VLOOKUP($C14,'WP list'!A:B,2,0))</f>
        <v/>
      </c>
      <c r="E14" s="10" t="n"/>
      <c r="F14" s="20" t="n"/>
      <c r="G14" s="123" t="n"/>
      <c r="H14" s="134" t="n"/>
      <c r="I14" s="138" t="n"/>
      <c r="J14" s="140" t="n"/>
      <c r="K14" s="385">
        <f>+H14*I14*J14</f>
        <v/>
      </c>
      <c r="L14" s="125" t="n"/>
    </row>
    <row r="15">
      <c r="A15" s="122" t="n"/>
      <c r="B15" s="1">
        <f>IF($A15="","",VLOOKUP($A15,'BE list'!A:C,3,0))</f>
        <v/>
      </c>
      <c r="C15" s="8" t="n"/>
      <c r="D15" s="1">
        <f>IF($C15="","",VLOOKUP($C15,'WP list'!A:B,2,0))</f>
        <v/>
      </c>
      <c r="E15" s="10" t="n"/>
      <c r="F15" s="20" t="n"/>
      <c r="G15" s="123" t="n"/>
      <c r="H15" s="134" t="n"/>
      <c r="I15" s="138" t="n"/>
      <c r="J15" s="140" t="n"/>
      <c r="K15" s="385">
        <f>+H15*I15*J15</f>
        <v/>
      </c>
      <c r="L15" s="125" t="n"/>
    </row>
    <row r="16">
      <c r="A16" s="122" t="n"/>
      <c r="B16" s="1">
        <f>IF($A16="","",VLOOKUP($A16,'BE list'!A:C,3,0))</f>
        <v/>
      </c>
      <c r="C16" s="8" t="n"/>
      <c r="D16" s="1">
        <f>IF($C16="","",VLOOKUP($C16,'WP list'!A:B,2,0))</f>
        <v/>
      </c>
      <c r="E16" s="10" t="n"/>
      <c r="F16" s="20" t="n"/>
      <c r="G16" s="123" t="n"/>
      <c r="H16" s="134" t="n"/>
      <c r="I16" s="138" t="n"/>
      <c r="J16" s="140" t="n"/>
      <c r="K16" s="385">
        <f>+H16*I16*J16</f>
        <v/>
      </c>
      <c r="L16" s="125" t="n"/>
    </row>
    <row r="17">
      <c r="A17" s="122" t="n"/>
      <c r="B17" s="1">
        <f>IF($A17="","",VLOOKUP($A17,'BE list'!A:C,3,0))</f>
        <v/>
      </c>
      <c r="C17" s="8" t="n"/>
      <c r="D17" s="1">
        <f>IF($C17="","",VLOOKUP($C17,'WP list'!A:B,2,0))</f>
        <v/>
      </c>
      <c r="E17" s="10" t="n"/>
      <c r="F17" s="20" t="n"/>
      <c r="G17" s="123" t="n"/>
      <c r="H17" s="134" t="n"/>
      <c r="I17" s="138" t="n"/>
      <c r="J17" s="140" t="n"/>
      <c r="K17" s="385">
        <f>+H17*I17*J17</f>
        <v/>
      </c>
      <c r="L17" s="125" t="n"/>
    </row>
    <row r="18">
      <c r="A18" s="122" t="n"/>
      <c r="B18" s="1">
        <f>IF($A18="","",VLOOKUP($A18,'BE list'!A:C,3,0))</f>
        <v/>
      </c>
      <c r="C18" s="8" t="n"/>
      <c r="D18" s="1">
        <f>IF($C18="","",VLOOKUP($C18,'WP list'!A:B,2,0))</f>
        <v/>
      </c>
      <c r="E18" s="10" t="n"/>
      <c r="F18" s="20" t="n"/>
      <c r="G18" s="123" t="n"/>
      <c r="H18" s="134" t="n"/>
      <c r="I18" s="138" t="n"/>
      <c r="J18" s="140" t="n"/>
      <c r="K18" s="385">
        <f>+H18*I18*J18</f>
        <v/>
      </c>
      <c r="L18" s="125" t="n"/>
    </row>
    <row r="19">
      <c r="A19" s="122" t="n"/>
      <c r="B19" s="1">
        <f>IF($A19="","",VLOOKUP($A19,'BE list'!A:C,3,0))</f>
        <v/>
      </c>
      <c r="C19" s="8" t="n"/>
      <c r="D19" s="1">
        <f>IF($C19="","",VLOOKUP($C19,'WP list'!A:B,2,0))</f>
        <v/>
      </c>
      <c r="E19" s="10" t="n"/>
      <c r="F19" s="20" t="n"/>
      <c r="G19" s="123" t="n"/>
      <c r="H19" s="134" t="n"/>
      <c r="I19" s="138" t="n"/>
      <c r="J19" s="140" t="n"/>
      <c r="K19" s="385">
        <f>+H19*I19*J19</f>
        <v/>
      </c>
      <c r="L19" s="125" t="n"/>
    </row>
    <row r="20">
      <c r="A20" s="122" t="n"/>
      <c r="B20" s="1">
        <f>IF($A20="","",VLOOKUP($A20,'BE list'!A:C,3,0))</f>
        <v/>
      </c>
      <c r="C20" s="8" t="n"/>
      <c r="D20" s="1">
        <f>IF($C20="","",VLOOKUP($C20,'WP list'!A:B,2,0))</f>
        <v/>
      </c>
      <c r="E20" s="10" t="n"/>
      <c r="F20" s="20" t="n"/>
      <c r="G20" s="123" t="n"/>
      <c r="H20" s="134" t="n"/>
      <c r="I20" s="138" t="n"/>
      <c r="J20" s="140" t="n"/>
      <c r="K20" s="385">
        <f>+H20*I20*J20</f>
        <v/>
      </c>
      <c r="L20" s="125" t="n"/>
    </row>
    <row r="21">
      <c r="A21" s="122" t="n"/>
      <c r="B21" s="1">
        <f>IF($A21="","",VLOOKUP($A21,'BE list'!A:C,3,0))</f>
        <v/>
      </c>
      <c r="C21" s="8" t="n"/>
      <c r="D21" s="1">
        <f>IF($C21="","",VLOOKUP($C21,'WP list'!A:B,2,0))</f>
        <v/>
      </c>
      <c r="E21" s="10" t="n"/>
      <c r="F21" s="20" t="n"/>
      <c r="G21" s="123" t="n"/>
      <c r="H21" s="134" t="n"/>
      <c r="I21" s="138" t="n"/>
      <c r="J21" s="140" t="n"/>
      <c r="K21" s="385">
        <f>+H21*I21*J21</f>
        <v/>
      </c>
      <c r="L21" s="125" t="n"/>
    </row>
    <row r="22">
      <c r="A22" s="122" t="n"/>
      <c r="B22" s="1">
        <f>IF($A22="","",VLOOKUP($A22,'BE list'!A:C,3,0))</f>
        <v/>
      </c>
      <c r="C22" s="8" t="n"/>
      <c r="D22" s="1">
        <f>IF($C22="","",VLOOKUP($C22,'WP list'!A:B,2,0))</f>
        <v/>
      </c>
      <c r="E22" s="10" t="n"/>
      <c r="F22" s="20" t="n"/>
      <c r="G22" s="123" t="n"/>
      <c r="H22" s="134" t="n"/>
      <c r="I22" s="138" t="n"/>
      <c r="J22" s="140" t="n"/>
      <c r="K22" s="385">
        <f>+H22*I22*J22</f>
        <v/>
      </c>
      <c r="L22" s="125" t="n"/>
    </row>
    <row r="23">
      <c r="A23" s="122" t="n"/>
      <c r="B23" s="1">
        <f>IF($A23="","",VLOOKUP($A23,'BE list'!A:C,3,0))</f>
        <v/>
      </c>
      <c r="C23" s="8" t="n"/>
      <c r="D23" s="1">
        <f>IF($C23="","",VLOOKUP($C23,'WP list'!A:B,2,0))</f>
        <v/>
      </c>
      <c r="E23" s="10" t="n"/>
      <c r="F23" s="20" t="n"/>
      <c r="G23" s="123" t="n"/>
      <c r="H23" s="134" t="n"/>
      <c r="I23" s="138" t="n"/>
      <c r="J23" s="140" t="n"/>
      <c r="K23" s="385">
        <f>+H23*I23*J23</f>
        <v/>
      </c>
      <c r="L23" s="125" t="n"/>
    </row>
    <row r="24">
      <c r="A24" s="122" t="n"/>
      <c r="B24" s="1">
        <f>IF($A24="","",VLOOKUP($A24,'BE list'!A:C,3,0))</f>
        <v/>
      </c>
      <c r="C24" s="8" t="n"/>
      <c r="D24" s="1">
        <f>IF($C24="","",VLOOKUP($C24,'WP list'!A:B,2,0))</f>
        <v/>
      </c>
      <c r="E24" s="10" t="n"/>
      <c r="F24" s="20" t="n"/>
      <c r="G24" s="123" t="n"/>
      <c r="H24" s="134" t="n"/>
      <c r="I24" s="138" t="n"/>
      <c r="J24" s="140" t="n"/>
      <c r="K24" s="385">
        <f>+H24*I24*J24</f>
        <v/>
      </c>
      <c r="L24" s="125" t="n"/>
    </row>
    <row r="25">
      <c r="A25" s="122" t="n"/>
      <c r="B25" s="1">
        <f>IF($A25="","",VLOOKUP($A25,'BE list'!A:C,3,0))</f>
        <v/>
      </c>
      <c r="C25" s="8" t="n"/>
      <c r="D25" s="1">
        <f>IF($C25="","",VLOOKUP($C25,'WP list'!A:B,2,0))</f>
        <v/>
      </c>
      <c r="E25" s="10" t="n"/>
      <c r="F25" s="20" t="n"/>
      <c r="G25" s="123" t="n"/>
      <c r="H25" s="134" t="n"/>
      <c r="I25" s="138" t="n"/>
      <c r="J25" s="140" t="n"/>
      <c r="K25" s="385">
        <f>+H25*I25*J25</f>
        <v/>
      </c>
      <c r="L25" s="125" t="n"/>
    </row>
    <row r="26">
      <c r="A26" s="122" t="n"/>
      <c r="B26" s="1">
        <f>IF($A26="","",VLOOKUP($A26,'BE list'!A:C,3,0))</f>
        <v/>
      </c>
      <c r="C26" s="8" t="n"/>
      <c r="D26" s="1">
        <f>IF($C26="","",VLOOKUP($C26,'WP list'!A:B,2,0))</f>
        <v/>
      </c>
      <c r="E26" s="10" t="n"/>
      <c r="F26" s="20" t="n"/>
      <c r="G26" s="123" t="n"/>
      <c r="H26" s="134" t="n"/>
      <c r="I26" s="138" t="n"/>
      <c r="J26" s="140" t="n"/>
      <c r="K26" s="385">
        <f>+H26*I26*J26</f>
        <v/>
      </c>
      <c r="L26" s="125" t="n"/>
    </row>
    <row r="27">
      <c r="A27" s="122" t="n"/>
      <c r="B27" s="1">
        <f>IF($A27="","",VLOOKUP($A27,'BE list'!A:C,3,0))</f>
        <v/>
      </c>
      <c r="C27" s="8" t="n"/>
      <c r="D27" s="1">
        <f>IF($C27="","",VLOOKUP($C27,'WP list'!A:B,2,0))</f>
        <v/>
      </c>
      <c r="E27" s="10" t="n"/>
      <c r="F27" s="20" t="n"/>
      <c r="G27" s="123" t="n"/>
      <c r="H27" s="134" t="n"/>
      <c r="I27" s="138" t="n"/>
      <c r="J27" s="140" t="n"/>
      <c r="K27" s="385">
        <f>+H27*I27*J27</f>
        <v/>
      </c>
      <c r="L27" s="125" t="n"/>
    </row>
    <row r="28">
      <c r="A28" s="122" t="n"/>
      <c r="B28" s="1">
        <f>IF($A28="","",VLOOKUP($A28,'BE list'!A:C,3,0))</f>
        <v/>
      </c>
      <c r="C28" s="8" t="n"/>
      <c r="D28" s="1">
        <f>IF($C28="","",VLOOKUP($C28,'WP list'!A:B,2,0))</f>
        <v/>
      </c>
      <c r="E28" s="10" t="n"/>
      <c r="F28" s="20" t="n"/>
      <c r="G28" s="123" t="n"/>
      <c r="H28" s="134" t="n"/>
      <c r="I28" s="138" t="n"/>
      <c r="J28" s="140" t="n"/>
      <c r="K28" s="385">
        <f>+H28*I28*J28</f>
        <v/>
      </c>
      <c r="L28" s="125" t="n"/>
    </row>
    <row r="29">
      <c r="A29" s="122" t="n"/>
      <c r="B29" s="1">
        <f>IF($A29="","",VLOOKUP($A29,'BE list'!A:C,3,0))</f>
        <v/>
      </c>
      <c r="C29" s="8" t="n"/>
      <c r="D29" s="1">
        <f>IF($C29="","",VLOOKUP($C29,'WP list'!A:B,2,0))</f>
        <v/>
      </c>
      <c r="E29" s="10" t="n"/>
      <c r="F29" s="20" t="n"/>
      <c r="G29" s="123" t="n"/>
      <c r="H29" s="134" t="n"/>
      <c r="I29" s="138" t="n"/>
      <c r="J29" s="140" t="n"/>
      <c r="K29" s="385">
        <f>+H29*I29*J29</f>
        <v/>
      </c>
      <c r="L29" s="125" t="n"/>
    </row>
    <row r="30">
      <c r="A30" s="122" t="n"/>
      <c r="B30" s="1">
        <f>IF($A30="","",VLOOKUP($A30,'BE list'!A:C,3,0))</f>
        <v/>
      </c>
      <c r="C30" s="8" t="n"/>
      <c r="D30" s="1">
        <f>IF($C30="","",VLOOKUP($C30,'WP list'!A:B,2,0))</f>
        <v/>
      </c>
      <c r="E30" s="10" t="n"/>
      <c r="F30" s="20" t="n"/>
      <c r="G30" s="123" t="n"/>
      <c r="H30" s="134" t="n"/>
      <c r="I30" s="138" t="n"/>
      <c r="J30" s="140" t="n"/>
      <c r="K30" s="385">
        <f>+H30*I30*J30</f>
        <v/>
      </c>
      <c r="L30" s="125" t="n"/>
    </row>
    <row r="31">
      <c r="A31" s="122" t="n"/>
      <c r="B31" s="1">
        <f>IF($A31="","",VLOOKUP($A31,'BE list'!A:C,3,0))</f>
        <v/>
      </c>
      <c r="C31" s="8" t="n"/>
      <c r="D31" s="1">
        <f>IF($C31="","",VLOOKUP($C31,'WP list'!A:B,2,0))</f>
        <v/>
      </c>
      <c r="E31" s="10" t="n"/>
      <c r="F31" s="20" t="n"/>
      <c r="G31" s="123" t="n"/>
      <c r="H31" s="134" t="n"/>
      <c r="I31" s="138" t="n"/>
      <c r="J31" s="140" t="n"/>
      <c r="K31" s="385">
        <f>+H31*I31*J31</f>
        <v/>
      </c>
      <c r="L31" s="125" t="n"/>
    </row>
    <row r="32">
      <c r="A32" s="122" t="n"/>
      <c r="B32" s="1">
        <f>IF($A32="","",VLOOKUP($A32,'BE list'!A:C,3,0))</f>
        <v/>
      </c>
      <c r="C32" s="8" t="n"/>
      <c r="D32" s="1">
        <f>IF($C32="","",VLOOKUP($C32,'WP list'!A:B,2,0))</f>
        <v/>
      </c>
      <c r="E32" s="10" t="n"/>
      <c r="F32" s="20" t="n"/>
      <c r="G32" s="123" t="n"/>
      <c r="H32" s="134" t="n"/>
      <c r="I32" s="138" t="n"/>
      <c r="J32" s="140" t="n"/>
      <c r="K32" s="385">
        <f>+H32*I32*J32</f>
        <v/>
      </c>
      <c r="L32" s="125" t="n"/>
    </row>
    <row r="33">
      <c r="A33" s="122" t="n"/>
      <c r="B33" s="1">
        <f>IF($A33="","",VLOOKUP($A33,'BE list'!A:C,3,0))</f>
        <v/>
      </c>
      <c r="C33" s="8" t="n"/>
      <c r="D33" s="1">
        <f>IF($C33="","",VLOOKUP($C33,'WP list'!A:B,2,0))</f>
        <v/>
      </c>
      <c r="E33" s="10" t="n"/>
      <c r="F33" s="20" t="n"/>
      <c r="G33" s="123" t="n"/>
      <c r="H33" s="134" t="n"/>
      <c r="I33" s="138" t="n"/>
      <c r="J33" s="140" t="n"/>
      <c r="K33" s="385">
        <f>+H33*I33*J33</f>
        <v/>
      </c>
      <c r="L33" s="125" t="n"/>
    </row>
    <row r="34">
      <c r="A34" s="122" t="n"/>
      <c r="B34" s="1">
        <f>IF($A34="","",VLOOKUP($A34,'BE list'!A:C,3,0))</f>
        <v/>
      </c>
      <c r="C34" s="8" t="n"/>
      <c r="D34" s="1">
        <f>IF($C34="","",VLOOKUP($C34,'WP list'!A:B,2,0))</f>
        <v/>
      </c>
      <c r="E34" s="10" t="n"/>
      <c r="F34" s="20" t="n"/>
      <c r="G34" s="123" t="n"/>
      <c r="H34" s="134" t="n"/>
      <c r="I34" s="138" t="n"/>
      <c r="J34" s="140" t="n"/>
      <c r="K34" s="385">
        <f>+H34*I34*J34</f>
        <v/>
      </c>
      <c r="L34" s="125" t="n"/>
    </row>
    <row r="35">
      <c r="A35" s="122" t="n"/>
      <c r="B35" s="1">
        <f>IF($A35="","",VLOOKUP($A35,'BE list'!A:C,3,0))</f>
        <v/>
      </c>
      <c r="C35" s="8" t="n"/>
      <c r="D35" s="1">
        <f>IF($C35="","",VLOOKUP($C35,'WP list'!A:B,2,0))</f>
        <v/>
      </c>
      <c r="E35" s="10" t="n"/>
      <c r="F35" s="20" t="n"/>
      <c r="G35" s="123" t="n"/>
      <c r="H35" s="134" t="n"/>
      <c r="I35" s="138" t="n"/>
      <c r="J35" s="140" t="n"/>
      <c r="K35" s="385">
        <f>+H35*I35*J35</f>
        <v/>
      </c>
      <c r="L35" s="125" t="n"/>
    </row>
    <row r="36">
      <c r="A36" s="122" t="n"/>
      <c r="B36" s="1">
        <f>IF($A36="","",VLOOKUP($A36,'BE list'!A:C,3,0))</f>
        <v/>
      </c>
      <c r="C36" s="8" t="n"/>
      <c r="D36" s="1">
        <f>IF($C36="","",VLOOKUP($C36,'WP list'!A:B,2,0))</f>
        <v/>
      </c>
      <c r="E36" s="10" t="n"/>
      <c r="F36" s="20" t="n"/>
      <c r="G36" s="123" t="n"/>
      <c r="H36" s="134" t="n"/>
      <c r="I36" s="138" t="n"/>
      <c r="J36" s="140" t="n"/>
      <c r="K36" s="385">
        <f>+H36*I36*J36</f>
        <v/>
      </c>
      <c r="L36" s="125" t="n"/>
    </row>
    <row r="37">
      <c r="A37" s="122" t="n"/>
      <c r="B37" s="1">
        <f>IF($A37="","",VLOOKUP($A37,'BE list'!A:C,3,0))</f>
        <v/>
      </c>
      <c r="C37" s="8" t="n"/>
      <c r="D37" s="1">
        <f>IF($C37="","",VLOOKUP($C37,'WP list'!A:B,2,0))</f>
        <v/>
      </c>
      <c r="E37" s="10" t="n"/>
      <c r="F37" s="20" t="n"/>
      <c r="G37" s="123" t="n"/>
      <c r="H37" s="134" t="n"/>
      <c r="I37" s="138" t="n"/>
      <c r="J37" s="140" t="n"/>
      <c r="K37" s="385">
        <f>+H37*I37*J37</f>
        <v/>
      </c>
      <c r="L37" s="125" t="n"/>
    </row>
    <row r="38">
      <c r="A38" s="122" t="n"/>
      <c r="B38" s="1">
        <f>IF($A38="","",VLOOKUP($A38,'BE list'!A:C,3,0))</f>
        <v/>
      </c>
      <c r="C38" s="8" t="n"/>
      <c r="D38" s="1">
        <f>IF($C38="","",VLOOKUP($C38,'WP list'!A:B,2,0))</f>
        <v/>
      </c>
      <c r="E38" s="10" t="n"/>
      <c r="F38" s="20" t="n"/>
      <c r="G38" s="123" t="n"/>
      <c r="H38" s="134" t="n"/>
      <c r="I38" s="138" t="n"/>
      <c r="J38" s="140" t="n"/>
      <c r="K38" s="385">
        <f>+H38*I38*J38</f>
        <v/>
      </c>
      <c r="L38" s="125" t="n"/>
    </row>
    <row r="39">
      <c r="A39" s="122" t="n"/>
      <c r="B39" s="1">
        <f>IF($A39="","",VLOOKUP($A39,'BE list'!A:C,3,0))</f>
        <v/>
      </c>
      <c r="C39" s="8" t="n"/>
      <c r="D39" s="1">
        <f>IF($C39="","",VLOOKUP($C39,'WP list'!A:B,2,0))</f>
        <v/>
      </c>
      <c r="E39" s="10" t="n"/>
      <c r="F39" s="20" t="n"/>
      <c r="G39" s="123" t="n"/>
      <c r="H39" s="134" t="n"/>
      <c r="I39" s="138" t="n"/>
      <c r="J39" s="140" t="n"/>
      <c r="K39" s="385">
        <f>+H39*I39*J39</f>
        <v/>
      </c>
      <c r="L39" s="125" t="n"/>
    </row>
    <row r="40">
      <c r="A40" s="122" t="n"/>
      <c r="B40" s="1">
        <f>IF($A40="","",VLOOKUP($A40,'BE list'!A:C,3,0))</f>
        <v/>
      </c>
      <c r="C40" s="8" t="n"/>
      <c r="D40" s="1">
        <f>IF($C40="","",VLOOKUP($C40,'WP list'!A:B,2,0))</f>
        <v/>
      </c>
      <c r="E40" s="10" t="n"/>
      <c r="F40" s="20" t="n"/>
      <c r="G40" s="123" t="n"/>
      <c r="H40" s="134" t="n"/>
      <c r="I40" s="138" t="n"/>
      <c r="J40" s="140" t="n"/>
      <c r="K40" s="385">
        <f>+H40*I40*J40</f>
        <v/>
      </c>
      <c r="L40" s="125" t="n"/>
    </row>
    <row r="41">
      <c r="A41" s="122" t="n"/>
      <c r="B41" s="1">
        <f>IF($A41="","",VLOOKUP($A41,'BE list'!A:C,3,0))</f>
        <v/>
      </c>
      <c r="C41" s="8" t="n"/>
      <c r="D41" s="1">
        <f>IF($C41="","",VLOOKUP($C41,'WP list'!A:B,2,0))</f>
        <v/>
      </c>
      <c r="E41" s="10" t="n"/>
      <c r="F41" s="20" t="n"/>
      <c r="G41" s="123" t="n"/>
      <c r="H41" s="134" t="n"/>
      <c r="I41" s="138" t="n"/>
      <c r="J41" s="140" t="n"/>
      <c r="K41" s="385">
        <f>+H41*I41*J41</f>
        <v/>
      </c>
      <c r="L41" s="125" t="n"/>
    </row>
    <row r="42">
      <c r="A42" s="122" t="n"/>
      <c r="B42" s="1">
        <f>IF($A42="","",VLOOKUP($A42,'BE list'!A:C,3,0))</f>
        <v/>
      </c>
      <c r="C42" s="8" t="n"/>
      <c r="D42" s="1">
        <f>IF($C42="","",VLOOKUP($C42,'WP list'!A:B,2,0))</f>
        <v/>
      </c>
      <c r="E42" s="10" t="n"/>
      <c r="F42" s="20" t="n"/>
      <c r="G42" s="123" t="n"/>
      <c r="H42" s="134" t="n"/>
      <c r="I42" s="138" t="n"/>
      <c r="J42" s="140" t="n"/>
      <c r="K42" s="385">
        <f>+H42*I42*J42</f>
        <v/>
      </c>
      <c r="L42" s="125" t="n"/>
    </row>
    <row r="43">
      <c r="A43" s="122" t="n"/>
      <c r="B43" s="1">
        <f>IF($A43="","",VLOOKUP($A43,'BE list'!A:C,3,0))</f>
        <v/>
      </c>
      <c r="C43" s="8" t="n"/>
      <c r="D43" s="1">
        <f>IF($C43="","",VLOOKUP($C43,'WP list'!A:B,2,0))</f>
        <v/>
      </c>
      <c r="E43" s="10" t="n"/>
      <c r="F43" s="20" t="n"/>
      <c r="G43" s="123" t="n"/>
      <c r="H43" s="134" t="n"/>
      <c r="I43" s="138" t="n"/>
      <c r="J43" s="140" t="n"/>
      <c r="K43" s="385">
        <f>+H43*I43*J43</f>
        <v/>
      </c>
      <c r="L43" s="125" t="n"/>
    </row>
    <row r="44">
      <c r="A44" s="122" t="n"/>
      <c r="B44" s="1">
        <f>IF($A44="","",VLOOKUP($A44,'BE list'!A:C,3,0))</f>
        <v/>
      </c>
      <c r="C44" s="8" t="n"/>
      <c r="D44" s="1">
        <f>IF($C44="","",VLOOKUP($C44,'WP list'!A:B,2,0))</f>
        <v/>
      </c>
      <c r="E44" s="10" t="n"/>
      <c r="F44" s="20" t="n"/>
      <c r="G44" s="123" t="n"/>
      <c r="H44" s="134" t="n"/>
      <c r="I44" s="138" t="n"/>
      <c r="J44" s="140" t="n"/>
      <c r="K44" s="385">
        <f>+H44*I44*J44</f>
        <v/>
      </c>
      <c r="L44" s="125" t="n"/>
    </row>
    <row r="45">
      <c r="A45" s="122" t="n"/>
      <c r="B45" s="1">
        <f>IF($A45="","",VLOOKUP($A45,'BE list'!A:C,3,0))</f>
        <v/>
      </c>
      <c r="C45" s="8" t="n"/>
      <c r="D45" s="1">
        <f>IF($C45="","",VLOOKUP($C45,'WP list'!A:B,2,0))</f>
        <v/>
      </c>
      <c r="E45" s="10" t="n"/>
      <c r="F45" s="20" t="n"/>
      <c r="G45" s="123" t="n"/>
      <c r="H45" s="134" t="n"/>
      <c r="I45" s="138" t="n"/>
      <c r="J45" s="140" t="n"/>
      <c r="K45" s="385">
        <f>+H45*I45*J45</f>
        <v/>
      </c>
      <c r="L45" s="125" t="n"/>
    </row>
    <row r="46">
      <c r="A46" s="122" t="n"/>
      <c r="B46" s="1">
        <f>IF($A46="","",VLOOKUP($A46,'BE list'!A:C,3,0))</f>
        <v/>
      </c>
      <c r="C46" s="8" t="n"/>
      <c r="D46" s="1">
        <f>IF($C46="","",VLOOKUP($C46,'WP list'!A:B,2,0))</f>
        <v/>
      </c>
      <c r="E46" s="10" t="n"/>
      <c r="F46" s="20" t="n"/>
      <c r="G46" s="123" t="n"/>
      <c r="H46" s="134" t="n"/>
      <c r="I46" s="138" t="n"/>
      <c r="J46" s="140" t="n"/>
      <c r="K46" s="385">
        <f>+H46*I46*J46</f>
        <v/>
      </c>
      <c r="L46" s="125" t="n"/>
    </row>
    <row r="47">
      <c r="A47" s="122" t="n"/>
      <c r="B47" s="1">
        <f>IF($A47="","",VLOOKUP($A47,'BE list'!A:C,3,0))</f>
        <v/>
      </c>
      <c r="C47" s="8" t="n"/>
      <c r="D47" s="1">
        <f>IF($C47="","",VLOOKUP($C47,'WP list'!A:B,2,0))</f>
        <v/>
      </c>
      <c r="E47" s="10" t="n"/>
      <c r="F47" s="20" t="n"/>
      <c r="G47" s="123" t="n"/>
      <c r="H47" s="134" t="n"/>
      <c r="I47" s="138" t="n"/>
      <c r="J47" s="140" t="n"/>
      <c r="K47" s="385">
        <f>+H47*I47*J47</f>
        <v/>
      </c>
      <c r="L47" s="125" t="n"/>
    </row>
    <row r="48">
      <c r="A48" s="122" t="n"/>
      <c r="B48" s="1">
        <f>IF($A48="","",VLOOKUP($A48,'BE list'!A:C,3,0))</f>
        <v/>
      </c>
      <c r="C48" s="8" t="n"/>
      <c r="D48" s="1">
        <f>IF($C48="","",VLOOKUP($C48,'WP list'!A:B,2,0))</f>
        <v/>
      </c>
      <c r="E48" s="10" t="n"/>
      <c r="F48" s="20" t="n"/>
      <c r="G48" s="123" t="n"/>
      <c r="H48" s="134" t="n"/>
      <c r="I48" s="138" t="n"/>
      <c r="J48" s="140" t="n"/>
      <c r="K48" s="385">
        <f>+H48*I48*J48</f>
        <v/>
      </c>
      <c r="L48" s="125" t="n"/>
    </row>
    <row r="49">
      <c r="A49" s="122" t="n"/>
      <c r="B49" s="1">
        <f>IF($A49="","",VLOOKUP($A49,'BE list'!A:C,3,0))</f>
        <v/>
      </c>
      <c r="C49" s="8" t="n"/>
      <c r="D49" s="1">
        <f>IF($C49="","",VLOOKUP($C49,'WP list'!A:B,2,0))</f>
        <v/>
      </c>
      <c r="E49" s="10" t="n"/>
      <c r="F49" s="20" t="n"/>
      <c r="G49" s="123" t="n"/>
      <c r="H49" s="134" t="n"/>
      <c r="I49" s="138" t="n"/>
      <c r="J49" s="140" t="n"/>
      <c r="K49" s="385">
        <f>+H49*I49*J49</f>
        <v/>
      </c>
      <c r="L49" s="125" t="n"/>
    </row>
    <row r="50">
      <c r="A50" s="122" t="n"/>
      <c r="B50" s="1">
        <f>IF($A50="","",VLOOKUP($A50,'BE list'!A:C,3,0))</f>
        <v/>
      </c>
      <c r="C50" s="8" t="n"/>
      <c r="D50" s="1">
        <f>IF($C50="","",VLOOKUP($C50,'WP list'!A:B,2,0))</f>
        <v/>
      </c>
      <c r="E50" s="10" t="n"/>
      <c r="F50" s="20" t="n"/>
      <c r="G50" s="123" t="n"/>
      <c r="H50" s="134" t="n"/>
      <c r="I50" s="138" t="n"/>
      <c r="J50" s="140" t="n"/>
      <c r="K50" s="385">
        <f>+H50*I50*J50</f>
        <v/>
      </c>
      <c r="L50" s="125" t="n"/>
    </row>
    <row r="51">
      <c r="A51" s="122" t="n"/>
      <c r="B51" s="1">
        <f>IF($A51="","",VLOOKUP($A51,'BE list'!A:C,3,0))</f>
        <v/>
      </c>
      <c r="C51" s="8" t="n"/>
      <c r="D51" s="1">
        <f>IF($C51="","",VLOOKUP($C51,'WP list'!A:B,2,0))</f>
        <v/>
      </c>
      <c r="E51" s="10" t="n"/>
      <c r="F51" s="20" t="n"/>
      <c r="G51" s="123" t="n"/>
      <c r="H51" s="134" t="n"/>
      <c r="I51" s="138" t="n"/>
      <c r="J51" s="140" t="n"/>
      <c r="K51" s="385">
        <f>+H51*I51*J51</f>
        <v/>
      </c>
      <c r="L51" s="125" t="n"/>
    </row>
    <row r="52">
      <c r="A52" s="122" t="n"/>
      <c r="B52" s="1">
        <f>IF($A52="","",VLOOKUP($A52,'BE list'!A:C,3,0))</f>
        <v/>
      </c>
      <c r="C52" s="8" t="n"/>
      <c r="D52" s="1">
        <f>IF($C52="","",VLOOKUP($C52,'WP list'!A:B,2,0))</f>
        <v/>
      </c>
      <c r="E52" s="10" t="n"/>
      <c r="F52" s="20" t="n"/>
      <c r="G52" s="123" t="n"/>
      <c r="H52" s="134" t="n"/>
      <c r="I52" s="138" t="n"/>
      <c r="J52" s="140" t="n"/>
      <c r="K52" s="385">
        <f>+H52*I52*J52</f>
        <v/>
      </c>
      <c r="L52" s="125" t="n"/>
    </row>
    <row r="53">
      <c r="A53" s="122" t="n"/>
      <c r="B53" s="1">
        <f>IF($A53="","",VLOOKUP($A53,'BE list'!A:C,3,0))</f>
        <v/>
      </c>
      <c r="C53" s="8" t="n"/>
      <c r="D53" s="1">
        <f>IF($C53="","",VLOOKUP($C53,'WP list'!A:B,2,0))</f>
        <v/>
      </c>
      <c r="E53" s="10" t="n"/>
      <c r="F53" s="20" t="n"/>
      <c r="G53" s="123" t="n"/>
      <c r="H53" s="134" t="n"/>
      <c r="I53" s="138" t="n"/>
      <c r="J53" s="140" t="n"/>
      <c r="K53" s="385">
        <f>+H53*I53*J53</f>
        <v/>
      </c>
      <c r="L53" s="125" t="n"/>
    </row>
    <row r="54">
      <c r="A54" s="122" t="n"/>
      <c r="B54" s="1">
        <f>IF($A54="","",VLOOKUP($A54,'BE list'!A:C,3,0))</f>
        <v/>
      </c>
      <c r="C54" s="8" t="n"/>
      <c r="D54" s="1">
        <f>IF($C54="","",VLOOKUP($C54,'WP list'!A:B,2,0))</f>
        <v/>
      </c>
      <c r="E54" s="10" t="n"/>
      <c r="F54" s="20" t="n"/>
      <c r="G54" s="123" t="n"/>
      <c r="H54" s="134" t="n"/>
      <c r="I54" s="138" t="n"/>
      <c r="J54" s="140" t="n"/>
      <c r="K54" s="385">
        <f>+H54*I54*J54</f>
        <v/>
      </c>
      <c r="L54" s="125" t="n"/>
    </row>
    <row r="55">
      <c r="A55" s="122" t="n"/>
      <c r="B55" s="1">
        <f>IF($A55="","",VLOOKUP($A55,'BE list'!A:C,3,0))</f>
        <v/>
      </c>
      <c r="C55" s="8" t="n"/>
      <c r="D55" s="1">
        <f>IF($C55="","",VLOOKUP($C55,'WP list'!A:B,2,0))</f>
        <v/>
      </c>
      <c r="E55" s="10" t="n"/>
      <c r="F55" s="20" t="n"/>
      <c r="G55" s="123" t="n"/>
      <c r="H55" s="134" t="n"/>
      <c r="I55" s="138" t="n"/>
      <c r="J55" s="140" t="n"/>
      <c r="K55" s="385">
        <f>+H55*I55*J55</f>
        <v/>
      </c>
      <c r="L55" s="125" t="n"/>
    </row>
    <row r="56">
      <c r="A56" s="122" t="n"/>
      <c r="B56" s="1">
        <f>IF($A56="","",VLOOKUP($A56,'BE list'!A:C,3,0))</f>
        <v/>
      </c>
      <c r="C56" s="8" t="n"/>
      <c r="D56" s="1">
        <f>IF($C56="","",VLOOKUP($C56,'WP list'!A:B,2,0))</f>
        <v/>
      </c>
      <c r="E56" s="10" t="n"/>
      <c r="F56" s="20" t="n"/>
      <c r="G56" s="123" t="n"/>
      <c r="H56" s="134" t="n"/>
      <c r="I56" s="138" t="n"/>
      <c r="J56" s="140" t="n"/>
      <c r="K56" s="385">
        <f>+H56*I56*J56</f>
        <v/>
      </c>
      <c r="L56" s="125" t="n"/>
    </row>
    <row r="57">
      <c r="A57" s="122" t="n"/>
      <c r="B57" s="1">
        <f>IF($A57="","",VLOOKUP($A57,'BE list'!A:C,3,0))</f>
        <v/>
      </c>
      <c r="C57" s="8" t="n"/>
      <c r="D57" s="1">
        <f>IF($C57="","",VLOOKUP($C57,'WP list'!A:B,2,0))</f>
        <v/>
      </c>
      <c r="E57" s="10" t="n"/>
      <c r="F57" s="20" t="n"/>
      <c r="G57" s="123" t="n"/>
      <c r="H57" s="134" t="n"/>
      <c r="I57" s="138" t="n"/>
      <c r="J57" s="140" t="n"/>
      <c r="K57" s="385">
        <f>+H57*I57*J57</f>
        <v/>
      </c>
      <c r="L57" s="125" t="n"/>
    </row>
    <row r="58">
      <c r="A58" s="122" t="n"/>
      <c r="B58" s="1">
        <f>IF($A58="","",VLOOKUP($A58,'BE list'!A:C,3,0))</f>
        <v/>
      </c>
      <c r="C58" s="8" t="n"/>
      <c r="D58" s="1">
        <f>IF($C58="","",VLOOKUP($C58,'WP list'!A:B,2,0))</f>
        <v/>
      </c>
      <c r="E58" s="10" t="n"/>
      <c r="F58" s="20" t="n"/>
      <c r="G58" s="123" t="n"/>
      <c r="H58" s="134" t="n"/>
      <c r="I58" s="138" t="n"/>
      <c r="J58" s="140" t="n"/>
      <c r="K58" s="385">
        <f>+H58*I58*J58</f>
        <v/>
      </c>
      <c r="L58" s="125" t="n"/>
    </row>
    <row r="59">
      <c r="A59" s="122" t="n"/>
      <c r="B59" s="1">
        <f>IF($A59="","",VLOOKUP($A59,'BE list'!A:C,3,0))</f>
        <v/>
      </c>
      <c r="C59" s="8" t="n"/>
      <c r="D59" s="1">
        <f>IF($C59="","",VLOOKUP($C59,'WP list'!A:B,2,0))</f>
        <v/>
      </c>
      <c r="E59" s="10" t="n"/>
      <c r="F59" s="20" t="n"/>
      <c r="G59" s="123" t="n"/>
      <c r="H59" s="134" t="n"/>
      <c r="I59" s="138" t="n"/>
      <c r="J59" s="140" t="n"/>
      <c r="K59" s="385">
        <f>+H59*I59*J59</f>
        <v/>
      </c>
      <c r="L59" s="125" t="n"/>
    </row>
    <row r="60">
      <c r="A60" s="122" t="n"/>
      <c r="B60" s="1">
        <f>IF($A60="","",VLOOKUP($A60,'BE list'!A:C,3,0))</f>
        <v/>
      </c>
      <c r="C60" s="8" t="n"/>
      <c r="D60" s="1">
        <f>IF($C60="","",VLOOKUP($C60,'WP list'!A:B,2,0))</f>
        <v/>
      </c>
      <c r="E60" s="10" t="n"/>
      <c r="F60" s="20" t="n"/>
      <c r="G60" s="123" t="n"/>
      <c r="H60" s="134" t="n"/>
      <c r="I60" s="138" t="n"/>
      <c r="J60" s="140" t="n"/>
      <c r="K60" s="385">
        <f>+H60*I60*J60</f>
        <v/>
      </c>
      <c r="L60" s="125" t="n"/>
    </row>
    <row r="61">
      <c r="A61" s="122" t="n"/>
      <c r="B61" s="1">
        <f>IF($A61="","",VLOOKUP($A61,'BE list'!A:C,3,0))</f>
        <v/>
      </c>
      <c r="C61" s="8" t="n"/>
      <c r="D61" s="1">
        <f>IF($C61="","",VLOOKUP($C61,'WP list'!A:B,2,0))</f>
        <v/>
      </c>
      <c r="E61" s="10" t="n"/>
      <c r="F61" s="20" t="n"/>
      <c r="G61" s="123" t="n"/>
      <c r="H61" s="134" t="n"/>
      <c r="I61" s="138" t="n"/>
      <c r="J61" s="140" t="n"/>
      <c r="K61" s="385">
        <f>+H61*I61*J61</f>
        <v/>
      </c>
      <c r="L61" s="125" t="n"/>
    </row>
    <row r="62">
      <c r="A62" s="122" t="n"/>
      <c r="B62" s="1">
        <f>IF($A62="","",VLOOKUP($A62,'BE list'!A:C,3,0))</f>
        <v/>
      </c>
      <c r="C62" s="8" t="n"/>
      <c r="D62" s="1">
        <f>IF($C62="","",VLOOKUP($C62,'WP list'!A:B,2,0))</f>
        <v/>
      </c>
      <c r="E62" s="10" t="n"/>
      <c r="F62" s="20" t="n"/>
      <c r="G62" s="123" t="n"/>
      <c r="H62" s="134" t="n"/>
      <c r="I62" s="138" t="n"/>
      <c r="J62" s="140" t="n"/>
      <c r="K62" s="385">
        <f>+H62*I62*J62</f>
        <v/>
      </c>
      <c r="L62" s="125" t="n"/>
    </row>
    <row r="63">
      <c r="A63" s="122" t="n"/>
      <c r="B63" s="1">
        <f>IF($A63="","",VLOOKUP($A63,'BE list'!A:C,3,0))</f>
        <v/>
      </c>
      <c r="C63" s="8" t="n"/>
      <c r="D63" s="1">
        <f>IF($C63="","",VLOOKUP($C63,'WP list'!A:B,2,0))</f>
        <v/>
      </c>
      <c r="E63" s="10" t="n"/>
      <c r="F63" s="20" t="n"/>
      <c r="G63" s="123" t="n"/>
      <c r="H63" s="134" t="n"/>
      <c r="I63" s="138" t="n"/>
      <c r="J63" s="140" t="n"/>
      <c r="K63" s="385">
        <f>+H63*I63*J63</f>
        <v/>
      </c>
      <c r="L63" s="125" t="n"/>
    </row>
    <row r="64">
      <c r="A64" s="122" t="n"/>
      <c r="B64" s="1">
        <f>IF($A64="","",VLOOKUP($A64,'BE list'!A:C,3,0))</f>
        <v/>
      </c>
      <c r="C64" s="8" t="n"/>
      <c r="D64" s="1">
        <f>IF($C64="","",VLOOKUP($C64,'WP list'!A:B,2,0))</f>
        <v/>
      </c>
      <c r="E64" s="10" t="n"/>
      <c r="F64" s="20" t="n"/>
      <c r="G64" s="123" t="n"/>
      <c r="H64" s="134" t="n"/>
      <c r="I64" s="138" t="n"/>
      <c r="J64" s="140" t="n"/>
      <c r="K64" s="385">
        <f>+H64*I64*J64</f>
        <v/>
      </c>
      <c r="L64" s="125" t="n"/>
    </row>
    <row r="65">
      <c r="A65" s="122" t="n"/>
      <c r="B65" s="1">
        <f>IF($A65="","",VLOOKUP($A65,'BE list'!A:C,3,0))</f>
        <v/>
      </c>
      <c r="C65" s="8" t="n"/>
      <c r="D65" s="1">
        <f>IF($C65="","",VLOOKUP($C65,'WP list'!A:B,2,0))</f>
        <v/>
      </c>
      <c r="E65" s="10" t="n"/>
      <c r="F65" s="20" t="n"/>
      <c r="G65" s="123" t="n"/>
      <c r="H65" s="134" t="n"/>
      <c r="I65" s="138" t="n"/>
      <c r="J65" s="140" t="n"/>
      <c r="K65" s="385">
        <f>+H65*I65*J65</f>
        <v/>
      </c>
      <c r="L65" s="125" t="n"/>
    </row>
    <row r="66">
      <c r="A66" s="122" t="n"/>
      <c r="B66" s="1">
        <f>IF($A66="","",VLOOKUP($A66,'BE list'!A:C,3,0))</f>
        <v/>
      </c>
      <c r="C66" s="8" t="n"/>
      <c r="D66" s="1">
        <f>IF($C66="","",VLOOKUP($C66,'WP list'!A:B,2,0))</f>
        <v/>
      </c>
      <c r="E66" s="10" t="n"/>
      <c r="F66" s="20" t="n"/>
      <c r="G66" s="123" t="n"/>
      <c r="H66" s="134" t="n"/>
      <c r="I66" s="138" t="n"/>
      <c r="J66" s="140" t="n"/>
      <c r="K66" s="385">
        <f>+H66*I66*J66</f>
        <v/>
      </c>
      <c r="L66" s="125" t="n"/>
    </row>
    <row r="67">
      <c r="A67" s="122" t="n"/>
      <c r="B67" s="1">
        <f>IF($A67="","",VLOOKUP($A67,'BE list'!A:C,3,0))</f>
        <v/>
      </c>
      <c r="C67" s="8" t="n"/>
      <c r="D67" s="1">
        <f>IF($C67="","",VLOOKUP($C67,'WP list'!A:B,2,0))</f>
        <v/>
      </c>
      <c r="E67" s="10" t="n"/>
      <c r="F67" s="20" t="n"/>
      <c r="G67" s="123" t="n"/>
      <c r="H67" s="134" t="n"/>
      <c r="I67" s="138" t="n"/>
      <c r="J67" s="140" t="n"/>
      <c r="K67" s="385">
        <f>+H67*I67*J67</f>
        <v/>
      </c>
      <c r="L67" s="125" t="n"/>
    </row>
    <row r="68">
      <c r="A68" s="122" t="n"/>
      <c r="B68" s="1">
        <f>IF($A68="","",VLOOKUP($A68,'BE list'!A:C,3,0))</f>
        <v/>
      </c>
      <c r="C68" s="8" t="n"/>
      <c r="D68" s="1">
        <f>IF($C68="","",VLOOKUP($C68,'WP list'!A:B,2,0))</f>
        <v/>
      </c>
      <c r="E68" s="10" t="n"/>
      <c r="F68" s="20" t="n"/>
      <c r="G68" s="123" t="n"/>
      <c r="H68" s="134" t="n"/>
      <c r="I68" s="138" t="n"/>
      <c r="J68" s="140" t="n"/>
      <c r="K68" s="385">
        <f>+H68*I68*J68</f>
        <v/>
      </c>
      <c r="L68" s="125" t="n"/>
    </row>
    <row r="69">
      <c r="A69" s="122" t="n"/>
      <c r="B69" s="1">
        <f>IF($A69="","",VLOOKUP($A69,'BE list'!A:C,3,0))</f>
        <v/>
      </c>
      <c r="C69" s="8" t="n"/>
      <c r="D69" s="1">
        <f>IF($C69="","",VLOOKUP($C69,'WP list'!A:B,2,0))</f>
        <v/>
      </c>
      <c r="E69" s="10" t="n"/>
      <c r="F69" s="20" t="n"/>
      <c r="G69" s="123" t="n"/>
      <c r="H69" s="134" t="n"/>
      <c r="I69" s="138" t="n"/>
      <c r="J69" s="140" t="n"/>
      <c r="K69" s="385">
        <f>+H69*I69*J69</f>
        <v/>
      </c>
      <c r="L69" s="125" t="n"/>
    </row>
    <row r="70">
      <c r="A70" s="122" t="n"/>
      <c r="B70" s="1">
        <f>IF($A70="","",VLOOKUP($A70,'BE list'!A:C,3,0))</f>
        <v/>
      </c>
      <c r="C70" s="8" t="n"/>
      <c r="D70" s="1">
        <f>IF($C70="","",VLOOKUP($C70,'WP list'!A:B,2,0))</f>
        <v/>
      </c>
      <c r="E70" s="10" t="n"/>
      <c r="F70" s="20" t="n"/>
      <c r="G70" s="123" t="n"/>
      <c r="H70" s="134" t="n"/>
      <c r="I70" s="138" t="n"/>
      <c r="J70" s="140" t="n"/>
      <c r="K70" s="385">
        <f>+H70*I70*J70</f>
        <v/>
      </c>
      <c r="L70" s="125" t="n"/>
    </row>
    <row r="71">
      <c r="A71" s="122" t="n"/>
      <c r="B71" s="1">
        <f>IF($A71="","",VLOOKUP($A71,'BE list'!A:C,3,0))</f>
        <v/>
      </c>
      <c r="C71" s="8" t="n"/>
      <c r="D71" s="1">
        <f>IF($C71="","",VLOOKUP($C71,'WP list'!A:B,2,0))</f>
        <v/>
      </c>
      <c r="E71" s="10" t="n"/>
      <c r="F71" s="20" t="n"/>
      <c r="G71" s="123" t="n"/>
      <c r="H71" s="134" t="n"/>
      <c r="I71" s="138" t="n"/>
      <c r="J71" s="140" t="n"/>
      <c r="K71" s="385">
        <f>+H71*I71*J71</f>
        <v/>
      </c>
      <c r="L71" s="125" t="n"/>
    </row>
    <row r="72">
      <c r="A72" s="122" t="n"/>
      <c r="B72" s="1">
        <f>IF($A72="","",VLOOKUP($A72,'BE list'!A:C,3,0))</f>
        <v/>
      </c>
      <c r="C72" s="8" t="n"/>
      <c r="D72" s="1">
        <f>IF($C72="","",VLOOKUP($C72,'WP list'!A:B,2,0))</f>
        <v/>
      </c>
      <c r="E72" s="10" t="n"/>
      <c r="F72" s="20" t="n"/>
      <c r="G72" s="123" t="n"/>
      <c r="H72" s="134" t="n"/>
      <c r="I72" s="138" t="n"/>
      <c r="J72" s="140" t="n"/>
      <c r="K72" s="385">
        <f>+H72*I72*J72</f>
        <v/>
      </c>
      <c r="L72" s="125" t="n"/>
    </row>
    <row r="73">
      <c r="A73" s="122" t="n"/>
      <c r="B73" s="1">
        <f>IF($A73="","",VLOOKUP($A73,'BE list'!A:C,3,0))</f>
        <v/>
      </c>
      <c r="C73" s="8" t="n"/>
      <c r="D73" s="1">
        <f>IF($C73="","",VLOOKUP($C73,'WP list'!A:B,2,0))</f>
        <v/>
      </c>
      <c r="E73" s="10" t="n"/>
      <c r="F73" s="20" t="n"/>
      <c r="G73" s="123" t="n"/>
      <c r="H73" s="134" t="n"/>
      <c r="I73" s="138" t="n"/>
      <c r="J73" s="140" t="n"/>
      <c r="K73" s="385">
        <f>+H73*I73*J73</f>
        <v/>
      </c>
      <c r="L73" s="125" t="n"/>
    </row>
    <row r="74">
      <c r="A74" s="122" t="n"/>
      <c r="B74" s="1">
        <f>IF($A74="","",VLOOKUP($A74,'BE list'!A:C,3,0))</f>
        <v/>
      </c>
      <c r="C74" s="8" t="n"/>
      <c r="D74" s="1">
        <f>IF($C74="","",VLOOKUP($C74,'WP list'!A:B,2,0))</f>
        <v/>
      </c>
      <c r="E74" s="10" t="n"/>
      <c r="F74" s="20" t="n"/>
      <c r="G74" s="123" t="n"/>
      <c r="H74" s="134" t="n"/>
      <c r="I74" s="138" t="n"/>
      <c r="J74" s="140" t="n"/>
      <c r="K74" s="385">
        <f>+H74*I74*J74</f>
        <v/>
      </c>
      <c r="L74" s="125" t="n"/>
    </row>
    <row r="75">
      <c r="A75" s="122" t="n"/>
      <c r="B75" s="1">
        <f>IF($A75="","",VLOOKUP($A75,'BE list'!A:C,3,0))</f>
        <v/>
      </c>
      <c r="C75" s="8" t="n"/>
      <c r="D75" s="1">
        <f>IF($C75="","",VLOOKUP($C75,'WP list'!A:B,2,0))</f>
        <v/>
      </c>
      <c r="E75" s="10" t="n"/>
      <c r="F75" s="20" t="n"/>
      <c r="G75" s="123" t="n"/>
      <c r="H75" s="134" t="n"/>
      <c r="I75" s="138" t="n"/>
      <c r="J75" s="140" t="n"/>
      <c r="K75" s="385">
        <f>+H75*I75*J75</f>
        <v/>
      </c>
      <c r="L75" s="125" t="n"/>
    </row>
    <row r="76">
      <c r="A76" s="122" t="n"/>
      <c r="B76" s="1">
        <f>IF($A76="","",VLOOKUP($A76,'BE list'!A:C,3,0))</f>
        <v/>
      </c>
      <c r="C76" s="8" t="n"/>
      <c r="D76" s="1">
        <f>IF($C76="","",VLOOKUP($C76,'WP list'!A:B,2,0))</f>
        <v/>
      </c>
      <c r="E76" s="10" t="n"/>
      <c r="F76" s="20" t="n"/>
      <c r="G76" s="123" t="n"/>
      <c r="H76" s="134" t="n"/>
      <c r="I76" s="138" t="n"/>
      <c r="J76" s="140" t="n"/>
      <c r="K76" s="385">
        <f>+H76*I76*J76</f>
        <v/>
      </c>
      <c r="L76" s="125" t="n"/>
    </row>
    <row r="77">
      <c r="A77" s="122" t="n"/>
      <c r="B77" s="1">
        <f>IF($A77="","",VLOOKUP($A77,'BE list'!A:C,3,0))</f>
        <v/>
      </c>
      <c r="C77" s="8" t="n"/>
      <c r="D77" s="1">
        <f>IF($C77="","",VLOOKUP($C77,'WP list'!A:B,2,0))</f>
        <v/>
      </c>
      <c r="E77" s="10" t="n"/>
      <c r="F77" s="20" t="n"/>
      <c r="G77" s="123" t="n"/>
      <c r="H77" s="134" t="n"/>
      <c r="I77" s="138" t="n"/>
      <c r="J77" s="140" t="n"/>
      <c r="K77" s="385">
        <f>+H77*I77*J77</f>
        <v/>
      </c>
      <c r="L77" s="125" t="n"/>
    </row>
    <row r="78">
      <c r="A78" s="122" t="n"/>
      <c r="B78" s="1">
        <f>IF($A78="","",VLOOKUP($A78,'BE list'!A:C,3,0))</f>
        <v/>
      </c>
      <c r="C78" s="8" t="n"/>
      <c r="D78" s="1">
        <f>IF($C78="","",VLOOKUP($C78,'WP list'!A:B,2,0))</f>
        <v/>
      </c>
      <c r="E78" s="10" t="n"/>
      <c r="F78" s="20" t="n"/>
      <c r="G78" s="123" t="n"/>
      <c r="H78" s="134" t="n"/>
      <c r="I78" s="138" t="n"/>
      <c r="J78" s="140" t="n"/>
      <c r="K78" s="385">
        <f>+H78*I78*J78</f>
        <v/>
      </c>
      <c r="L78" s="125" t="n"/>
    </row>
    <row r="79">
      <c r="A79" s="122" t="n"/>
      <c r="B79" s="1">
        <f>IF($A79="","",VLOOKUP($A79,'BE list'!A:C,3,0))</f>
        <v/>
      </c>
      <c r="C79" s="8" t="n"/>
      <c r="D79" s="1">
        <f>IF($C79="","",VLOOKUP($C79,'WP list'!A:B,2,0))</f>
        <v/>
      </c>
      <c r="E79" s="10" t="n"/>
      <c r="F79" s="20" t="n"/>
      <c r="G79" s="123" t="n"/>
      <c r="H79" s="134" t="n"/>
      <c r="I79" s="138" t="n"/>
      <c r="J79" s="140" t="n"/>
      <c r="K79" s="385">
        <f>+H79*I79*J79</f>
        <v/>
      </c>
      <c r="L79" s="125" t="n"/>
    </row>
    <row r="80">
      <c r="A80" s="122" t="n"/>
      <c r="B80" s="1">
        <f>IF($A80="","",VLOOKUP($A80,'BE list'!A:C,3,0))</f>
        <v/>
      </c>
      <c r="C80" s="8" t="n"/>
      <c r="D80" s="1">
        <f>IF($C80="","",VLOOKUP($C80,'WP list'!A:B,2,0))</f>
        <v/>
      </c>
      <c r="E80" s="10" t="n"/>
      <c r="F80" s="20" t="n"/>
      <c r="G80" s="123" t="n"/>
      <c r="H80" s="134" t="n"/>
      <c r="I80" s="138" t="n"/>
      <c r="J80" s="140" t="n"/>
      <c r="K80" s="385">
        <f>+H80*I80*J80</f>
        <v/>
      </c>
      <c r="L80" s="125" t="n"/>
    </row>
    <row r="81">
      <c r="A81" s="122" t="n"/>
      <c r="B81" s="1">
        <f>IF($A81="","",VLOOKUP($A81,'BE list'!A:C,3,0))</f>
        <v/>
      </c>
      <c r="C81" s="8" t="n"/>
      <c r="D81" s="1">
        <f>IF($C81="","",VLOOKUP($C81,'WP list'!A:B,2,0))</f>
        <v/>
      </c>
      <c r="E81" s="10" t="n"/>
      <c r="F81" s="20" t="n"/>
      <c r="G81" s="123" t="n"/>
      <c r="H81" s="134" t="n"/>
      <c r="I81" s="138" t="n"/>
      <c r="J81" s="140" t="n"/>
      <c r="K81" s="385">
        <f>+H81*I81*J81</f>
        <v/>
      </c>
      <c r="L81" s="125" t="n"/>
    </row>
    <row r="82">
      <c r="A82" s="122" t="n"/>
      <c r="B82" s="1">
        <f>IF($A82="","",VLOOKUP($A82,'BE list'!A:C,3,0))</f>
        <v/>
      </c>
      <c r="C82" s="8" t="n"/>
      <c r="D82" s="1">
        <f>IF($C82="","",VLOOKUP($C82,'WP list'!A:B,2,0))</f>
        <v/>
      </c>
      <c r="E82" s="10" t="n"/>
      <c r="F82" s="20" t="n"/>
      <c r="G82" s="123" t="n"/>
      <c r="H82" s="134" t="n"/>
      <c r="I82" s="138" t="n"/>
      <c r="J82" s="140" t="n"/>
      <c r="K82" s="385">
        <f>+H82*I82*J82</f>
        <v/>
      </c>
      <c r="L82" s="125" t="n"/>
    </row>
    <row r="83">
      <c r="A83" s="122" t="n"/>
      <c r="B83" s="1">
        <f>IF($A83="","",VLOOKUP($A83,'BE list'!A:C,3,0))</f>
        <v/>
      </c>
      <c r="C83" s="8" t="n"/>
      <c r="D83" s="1">
        <f>IF($C83="","",VLOOKUP($C83,'WP list'!A:B,2,0))</f>
        <v/>
      </c>
      <c r="E83" s="10" t="n"/>
      <c r="F83" s="20" t="n"/>
      <c r="G83" s="123" t="n"/>
      <c r="H83" s="134" t="n"/>
      <c r="I83" s="138" t="n"/>
      <c r="J83" s="140" t="n"/>
      <c r="K83" s="385">
        <f>+H83*I83*J83</f>
        <v/>
      </c>
      <c r="L83" s="125" t="n"/>
    </row>
    <row r="84">
      <c r="A84" s="122" t="n"/>
      <c r="B84" s="1">
        <f>IF($A84="","",VLOOKUP($A84,'BE list'!A:C,3,0))</f>
        <v/>
      </c>
      <c r="C84" s="8" t="n"/>
      <c r="D84" s="1">
        <f>IF($C84="","",VLOOKUP($C84,'WP list'!A:B,2,0))</f>
        <v/>
      </c>
      <c r="E84" s="10" t="n"/>
      <c r="F84" s="20" t="n"/>
      <c r="G84" s="123" t="n"/>
      <c r="H84" s="134" t="n"/>
      <c r="I84" s="138" t="n"/>
      <c r="J84" s="140" t="n"/>
      <c r="K84" s="385">
        <f>+H84*I84*J84</f>
        <v/>
      </c>
      <c r="L84" s="125" t="n"/>
    </row>
    <row r="85">
      <c r="A85" s="122" t="n"/>
      <c r="B85" s="1">
        <f>IF($A85="","",VLOOKUP($A85,'BE list'!A:C,3,0))</f>
        <v/>
      </c>
      <c r="C85" s="8" t="n"/>
      <c r="D85" s="1">
        <f>IF($C85="","",VLOOKUP($C85,'WP list'!A:B,2,0))</f>
        <v/>
      </c>
      <c r="E85" s="10" t="n"/>
      <c r="F85" s="20" t="n"/>
      <c r="G85" s="123" t="n"/>
      <c r="H85" s="134" t="n"/>
      <c r="I85" s="138" t="n"/>
      <c r="J85" s="140" t="n"/>
      <c r="K85" s="385">
        <f>+H85*I85*J85</f>
        <v/>
      </c>
      <c r="L85" s="125" t="n"/>
    </row>
    <row r="86">
      <c r="A86" s="122" t="n"/>
      <c r="B86" s="1">
        <f>IF($A86="","",VLOOKUP($A86,'BE list'!A:C,3,0))</f>
        <v/>
      </c>
      <c r="C86" s="8" t="n"/>
      <c r="D86" s="1">
        <f>IF($C86="","",VLOOKUP($C86,'WP list'!A:B,2,0))</f>
        <v/>
      </c>
      <c r="E86" s="10" t="n"/>
      <c r="F86" s="20" t="n"/>
      <c r="G86" s="123" t="n"/>
      <c r="H86" s="134" t="n"/>
      <c r="I86" s="138" t="n"/>
      <c r="J86" s="140" t="n"/>
      <c r="K86" s="385">
        <f>+H86*I86*J86</f>
        <v/>
      </c>
      <c r="L86" s="125" t="n"/>
    </row>
    <row r="87">
      <c r="A87" s="122" t="n"/>
      <c r="B87" s="1">
        <f>IF($A87="","",VLOOKUP($A87,'BE list'!A:C,3,0))</f>
        <v/>
      </c>
      <c r="C87" s="8" t="n"/>
      <c r="D87" s="1">
        <f>IF($C87="","",VLOOKUP($C87,'WP list'!A:B,2,0))</f>
        <v/>
      </c>
      <c r="E87" s="10" t="n"/>
      <c r="F87" s="20" t="n"/>
      <c r="G87" s="123" t="n"/>
      <c r="H87" s="134" t="n"/>
      <c r="I87" s="138" t="n"/>
      <c r="J87" s="140" t="n"/>
      <c r="K87" s="385">
        <f>+H87*I87*J87</f>
        <v/>
      </c>
      <c r="L87" s="125" t="n"/>
    </row>
    <row r="88">
      <c r="A88" s="122" t="n"/>
      <c r="B88" s="1">
        <f>IF($A88="","",VLOOKUP($A88,'BE list'!A:C,3,0))</f>
        <v/>
      </c>
      <c r="C88" s="8" t="n"/>
      <c r="D88" s="1">
        <f>IF($C88="","",VLOOKUP($C88,'WP list'!A:B,2,0))</f>
        <v/>
      </c>
      <c r="E88" s="10" t="n"/>
      <c r="F88" s="20" t="n"/>
      <c r="G88" s="123" t="n"/>
      <c r="H88" s="134" t="n"/>
      <c r="I88" s="138" t="n"/>
      <c r="J88" s="140" t="n"/>
      <c r="K88" s="385">
        <f>+H88*I88*J88</f>
        <v/>
      </c>
      <c r="L88" s="125" t="n"/>
    </row>
    <row r="89">
      <c r="A89" s="122" t="n"/>
      <c r="B89" s="1">
        <f>IF($A89="","",VLOOKUP($A89,'BE list'!A:C,3,0))</f>
        <v/>
      </c>
      <c r="C89" s="8" t="n"/>
      <c r="D89" s="1">
        <f>IF($C89="","",VLOOKUP($C89,'WP list'!A:B,2,0))</f>
        <v/>
      </c>
      <c r="E89" s="10" t="n"/>
      <c r="F89" s="20" t="n"/>
      <c r="G89" s="123" t="n"/>
      <c r="H89" s="134" t="n"/>
      <c r="I89" s="138" t="n"/>
      <c r="J89" s="140" t="n"/>
      <c r="K89" s="385">
        <f>+H89*I89*J89</f>
        <v/>
      </c>
      <c r="L89" s="125" t="n"/>
    </row>
    <row r="90">
      <c r="A90" s="122" t="n"/>
      <c r="B90" s="1">
        <f>IF($A90="","",VLOOKUP($A90,'BE list'!A:C,3,0))</f>
        <v/>
      </c>
      <c r="C90" s="8" t="n"/>
      <c r="D90" s="1">
        <f>IF($C90="","",VLOOKUP($C90,'WP list'!A:B,2,0))</f>
        <v/>
      </c>
      <c r="E90" s="10" t="n"/>
      <c r="F90" s="20" t="n"/>
      <c r="G90" s="123" t="n"/>
      <c r="H90" s="134" t="n"/>
      <c r="I90" s="138" t="n"/>
      <c r="J90" s="140" t="n"/>
      <c r="K90" s="385">
        <f>+H90*I90*J90</f>
        <v/>
      </c>
      <c r="L90" s="125" t="n"/>
    </row>
    <row r="91">
      <c r="A91" s="122" t="n"/>
      <c r="B91" s="1">
        <f>IF($A91="","",VLOOKUP($A91,'BE list'!A:C,3,0))</f>
        <v/>
      </c>
      <c r="C91" s="8" t="n"/>
      <c r="D91" s="1">
        <f>IF($C91="","",VLOOKUP($C91,'WP list'!A:B,2,0))</f>
        <v/>
      </c>
      <c r="E91" s="10" t="n"/>
      <c r="F91" s="20" t="n"/>
      <c r="G91" s="123" t="n"/>
      <c r="H91" s="134" t="n"/>
      <c r="I91" s="138" t="n"/>
      <c r="J91" s="140" t="n"/>
      <c r="K91" s="385">
        <f>+H91*I91*J91</f>
        <v/>
      </c>
      <c r="L91" s="125" t="n"/>
    </row>
    <row r="92">
      <c r="A92" s="122" t="n"/>
      <c r="B92" s="1">
        <f>IF($A92="","",VLOOKUP($A92,'BE list'!A:C,3,0))</f>
        <v/>
      </c>
      <c r="C92" s="8" t="n"/>
      <c r="D92" s="1">
        <f>IF($C92="","",VLOOKUP($C92,'WP list'!A:B,2,0))</f>
        <v/>
      </c>
      <c r="E92" s="10" t="n"/>
      <c r="F92" s="20" t="n"/>
      <c r="G92" s="123" t="n"/>
      <c r="H92" s="134" t="n"/>
      <c r="I92" s="138" t="n"/>
      <c r="J92" s="140" t="n"/>
      <c r="K92" s="385">
        <f>+H92*I92*J92</f>
        <v/>
      </c>
      <c r="L92" s="125" t="n"/>
    </row>
    <row r="93">
      <c r="A93" s="122" t="n"/>
      <c r="B93" s="1">
        <f>IF($A93="","",VLOOKUP($A93,'BE list'!A:C,3,0))</f>
        <v/>
      </c>
      <c r="C93" s="8" t="n"/>
      <c r="D93" s="1">
        <f>IF($C93="","",VLOOKUP($C93,'WP list'!A:B,2,0))</f>
        <v/>
      </c>
      <c r="E93" s="10" t="n"/>
      <c r="F93" s="20" t="n"/>
      <c r="G93" s="123" t="n"/>
      <c r="H93" s="134" t="n"/>
      <c r="I93" s="138" t="n"/>
      <c r="J93" s="140" t="n"/>
      <c r="K93" s="385">
        <f>+H93*I93*J93</f>
        <v/>
      </c>
      <c r="L93" s="125" t="n"/>
    </row>
    <row r="94">
      <c r="A94" s="122" t="n"/>
      <c r="B94" s="1">
        <f>IF($A94="","",VLOOKUP($A94,'BE list'!A:C,3,0))</f>
        <v/>
      </c>
      <c r="C94" s="8" t="n"/>
      <c r="D94" s="1">
        <f>IF($C94="","",VLOOKUP($C94,'WP list'!A:B,2,0))</f>
        <v/>
      </c>
      <c r="E94" s="10" t="n"/>
      <c r="F94" s="20" t="n"/>
      <c r="G94" s="123" t="n"/>
      <c r="H94" s="134" t="n"/>
      <c r="I94" s="138" t="n"/>
      <c r="J94" s="140" t="n"/>
      <c r="K94" s="385">
        <f>+H94*I94*J94</f>
        <v/>
      </c>
      <c r="L94" s="125" t="n"/>
    </row>
    <row r="95">
      <c r="A95" s="122" t="n"/>
      <c r="B95" s="1">
        <f>IF($A95="","",VLOOKUP($A95,'BE list'!A:C,3,0))</f>
        <v/>
      </c>
      <c r="C95" s="8" t="n"/>
      <c r="D95" s="1">
        <f>IF($C95="","",VLOOKUP($C95,'WP list'!A:B,2,0))</f>
        <v/>
      </c>
      <c r="E95" s="10" t="n"/>
      <c r="F95" s="20" t="n"/>
      <c r="G95" s="123" t="n"/>
      <c r="H95" s="134" t="n"/>
      <c r="I95" s="138" t="n"/>
      <c r="J95" s="140" t="n"/>
      <c r="K95" s="385">
        <f>+H95*I95*J95</f>
        <v/>
      </c>
      <c r="L95" s="125" t="n"/>
    </row>
    <row r="96">
      <c r="A96" s="122" t="n"/>
      <c r="B96" s="1">
        <f>IF($A96="","",VLOOKUP($A96,'BE list'!A:C,3,0))</f>
        <v/>
      </c>
      <c r="C96" s="8" t="n"/>
      <c r="D96" s="1">
        <f>IF($C96="","",VLOOKUP($C96,'WP list'!A:B,2,0))</f>
        <v/>
      </c>
      <c r="E96" s="10" t="n"/>
      <c r="F96" s="20" t="n"/>
      <c r="G96" s="123" t="n"/>
      <c r="H96" s="134" t="n"/>
      <c r="I96" s="138" t="n"/>
      <c r="J96" s="140" t="n"/>
      <c r="K96" s="385">
        <f>+H96*I96*J96</f>
        <v/>
      </c>
      <c r="L96" s="125" t="n"/>
    </row>
    <row r="97">
      <c r="A97" s="122" t="n"/>
      <c r="B97" s="1">
        <f>IF($A97="","",VLOOKUP($A97,'BE list'!A:C,3,0))</f>
        <v/>
      </c>
      <c r="C97" s="8" t="n"/>
      <c r="D97" s="1">
        <f>IF($C97="","",VLOOKUP($C97,'WP list'!A:B,2,0))</f>
        <v/>
      </c>
      <c r="E97" s="10" t="n"/>
      <c r="F97" s="20" t="n"/>
      <c r="G97" s="123" t="n"/>
      <c r="H97" s="134" t="n"/>
      <c r="I97" s="138" t="n"/>
      <c r="J97" s="140" t="n"/>
      <c r="K97" s="385">
        <f>+H97*I97*J97</f>
        <v/>
      </c>
      <c r="L97" s="125" t="n"/>
    </row>
    <row r="98">
      <c r="A98" s="122" t="n"/>
      <c r="B98" s="1">
        <f>IF($A98="","",VLOOKUP($A98,'BE list'!A:C,3,0))</f>
        <v/>
      </c>
      <c r="C98" s="8" t="n"/>
      <c r="D98" s="1">
        <f>IF($C98="","",VLOOKUP($C98,'WP list'!A:B,2,0))</f>
        <v/>
      </c>
      <c r="E98" s="10" t="n"/>
      <c r="F98" s="20" t="n"/>
      <c r="G98" s="123" t="n"/>
      <c r="H98" s="134" t="n"/>
      <c r="I98" s="138" t="n"/>
      <c r="J98" s="140" t="n"/>
      <c r="K98" s="385">
        <f>+H98*I98*J98</f>
        <v/>
      </c>
      <c r="L98" s="125" t="n"/>
    </row>
    <row r="99">
      <c r="A99" s="122" t="n"/>
      <c r="B99" s="1">
        <f>IF($A99="","",VLOOKUP($A99,'BE list'!A:C,3,0))</f>
        <v/>
      </c>
      <c r="C99" s="8" t="n"/>
      <c r="D99" s="1">
        <f>IF($C99="","",VLOOKUP($C99,'WP list'!A:B,2,0))</f>
        <v/>
      </c>
      <c r="E99" s="10" t="n"/>
      <c r="F99" s="20" t="n"/>
      <c r="G99" s="123" t="n"/>
      <c r="H99" s="134" t="n"/>
      <c r="I99" s="138" t="n"/>
      <c r="J99" s="140" t="n"/>
      <c r="K99" s="385">
        <f>+H99*I99*J99</f>
        <v/>
      </c>
      <c r="L99" s="125" t="n"/>
    </row>
    <row r="100">
      <c r="A100" s="122" t="n"/>
      <c r="B100" s="1">
        <f>IF($A100="","",VLOOKUP($A100,'BE list'!A:C,3,0))</f>
        <v/>
      </c>
      <c r="C100" s="8" t="n"/>
      <c r="D100" s="1">
        <f>IF($C100="","",VLOOKUP($C100,'WP list'!A:B,2,0))</f>
        <v/>
      </c>
      <c r="E100" s="10" t="n"/>
      <c r="F100" s="20" t="n"/>
      <c r="G100" s="123" t="n"/>
      <c r="H100" s="134" t="n"/>
      <c r="I100" s="138" t="n"/>
      <c r="J100" s="140" t="n"/>
      <c r="K100" s="385">
        <f>+H100*I100*J100</f>
        <v/>
      </c>
      <c r="L100" s="125" t="n"/>
    </row>
    <row r="101">
      <c r="A101" s="122" t="n"/>
      <c r="B101" s="1">
        <f>IF($A101="","",VLOOKUP($A101,'BE list'!A:C,3,0))</f>
        <v/>
      </c>
      <c r="C101" s="8" t="n"/>
      <c r="D101" s="1">
        <f>IF($C101="","",VLOOKUP($C101,'WP list'!A:B,2,0))</f>
        <v/>
      </c>
      <c r="E101" s="10" t="n"/>
      <c r="F101" s="20" t="n"/>
      <c r="G101" s="123" t="n"/>
      <c r="H101" s="134" t="n"/>
      <c r="I101" s="138" t="n"/>
      <c r="J101" s="140" t="n"/>
      <c r="K101" s="385">
        <f>+H101*I101*J101</f>
        <v/>
      </c>
      <c r="L101" s="125" t="n"/>
    </row>
    <row r="102">
      <c r="A102" s="122" t="n"/>
      <c r="B102" s="1">
        <f>IF($A102="","",VLOOKUP($A102,'BE list'!A:C,3,0))</f>
        <v/>
      </c>
      <c r="C102" s="8" t="n"/>
      <c r="D102" s="1">
        <f>IF($C102="","",VLOOKUP($C102,'WP list'!A:B,2,0))</f>
        <v/>
      </c>
      <c r="E102" s="10" t="n"/>
      <c r="F102" s="20" t="n"/>
      <c r="G102" s="123" t="n"/>
      <c r="H102" s="134" t="n"/>
      <c r="I102" s="138" t="n"/>
      <c r="J102" s="140" t="n"/>
      <c r="K102" s="385">
        <f>+H102*I102*J102</f>
        <v/>
      </c>
      <c r="L102" s="125" t="n"/>
    </row>
    <row r="103">
      <c r="A103" s="122" t="n"/>
      <c r="B103" s="1">
        <f>IF($A103="","",VLOOKUP($A103,'BE list'!A:C,3,0))</f>
        <v/>
      </c>
      <c r="C103" s="8" t="n"/>
      <c r="D103" s="1">
        <f>IF($C103="","",VLOOKUP($C103,'WP list'!A:B,2,0))</f>
        <v/>
      </c>
      <c r="E103" s="10" t="n"/>
      <c r="F103" s="20" t="n"/>
      <c r="G103" s="123" t="n"/>
      <c r="H103" s="134" t="n"/>
      <c r="I103" s="138" t="n"/>
      <c r="J103" s="140" t="n"/>
      <c r="K103" s="385">
        <f>+H103*I103*J103</f>
        <v/>
      </c>
      <c r="L103" s="125" t="n"/>
    </row>
    <row r="104">
      <c r="A104" s="122" t="n"/>
      <c r="B104" s="1">
        <f>IF($A104="","",VLOOKUP($A104,'BE list'!A:C,3,0))</f>
        <v/>
      </c>
      <c r="C104" s="8" t="n"/>
      <c r="D104" s="1">
        <f>IF($C104="","",VLOOKUP($C104,'WP list'!A:B,2,0))</f>
        <v/>
      </c>
      <c r="E104" s="10" t="n"/>
      <c r="F104" s="20" t="n"/>
      <c r="G104" s="123" t="n"/>
      <c r="H104" s="134" t="n"/>
      <c r="I104" s="138" t="n"/>
      <c r="J104" s="140" t="n"/>
      <c r="K104" s="385">
        <f>+H104*I104*J104</f>
        <v/>
      </c>
      <c r="L104" s="125" t="n"/>
    </row>
    <row r="105">
      <c r="A105" s="122" t="n"/>
      <c r="B105" s="1">
        <f>IF($A105="","",VLOOKUP($A105,'BE list'!A:C,3,0))</f>
        <v/>
      </c>
      <c r="C105" s="8" t="n"/>
      <c r="D105" s="1">
        <f>IF($C105="","",VLOOKUP($C105,'WP list'!A:B,2,0))</f>
        <v/>
      </c>
      <c r="E105" s="10" t="n"/>
      <c r="F105" s="20" t="n"/>
      <c r="G105" s="123" t="n"/>
      <c r="H105" s="134" t="n"/>
      <c r="I105" s="138" t="n"/>
      <c r="J105" s="140" t="n"/>
      <c r="K105" s="385">
        <f>+H105*I105*J105</f>
        <v/>
      </c>
      <c r="L105" s="125" t="n"/>
    </row>
    <row r="106">
      <c r="A106" s="122" t="n"/>
      <c r="B106" s="1">
        <f>IF($A106="","",VLOOKUP($A106,'BE list'!A:C,3,0))</f>
        <v/>
      </c>
      <c r="C106" s="8" t="n"/>
      <c r="D106" s="1">
        <f>IF($C106="","",VLOOKUP($C106,'WP list'!A:B,2,0))</f>
        <v/>
      </c>
      <c r="E106" s="10" t="n"/>
      <c r="F106" s="20" t="n"/>
      <c r="G106" s="123" t="n"/>
      <c r="H106" s="134" t="n"/>
      <c r="I106" s="138" t="n"/>
      <c r="J106" s="140" t="n"/>
      <c r="K106" s="385">
        <f>+H106*I106*J106</f>
        <v/>
      </c>
      <c r="L106" s="125" t="n"/>
    </row>
    <row r="107">
      <c r="A107" s="122" t="n"/>
      <c r="B107" s="1">
        <f>IF($A107="","",VLOOKUP($A107,'BE list'!A:C,3,0))</f>
        <v/>
      </c>
      <c r="C107" s="8" t="n"/>
      <c r="D107" s="1">
        <f>IF($C107="","",VLOOKUP($C107,'WP list'!A:B,2,0))</f>
        <v/>
      </c>
      <c r="E107" s="10" t="n"/>
      <c r="F107" s="20" t="n"/>
      <c r="G107" s="123" t="n"/>
      <c r="H107" s="134" t="n"/>
      <c r="I107" s="138" t="n"/>
      <c r="J107" s="140" t="n"/>
      <c r="K107" s="385">
        <f>+H107*I107*J107</f>
        <v/>
      </c>
      <c r="L107" s="125" t="n"/>
    </row>
    <row r="108">
      <c r="A108" s="122" t="n"/>
      <c r="B108" s="1">
        <f>IF($A108="","",VLOOKUP($A108,'BE list'!A:C,3,0))</f>
        <v/>
      </c>
      <c r="C108" s="8" t="n"/>
      <c r="D108" s="1">
        <f>IF($C108="","",VLOOKUP($C108,'WP list'!A:B,2,0))</f>
        <v/>
      </c>
      <c r="E108" s="10" t="n"/>
      <c r="F108" s="20" t="n"/>
      <c r="G108" s="123" t="n"/>
      <c r="H108" s="134" t="n"/>
      <c r="I108" s="138" t="n"/>
      <c r="J108" s="140" t="n"/>
      <c r="K108" s="385">
        <f>+H108*I108*J108</f>
        <v/>
      </c>
      <c r="L108" s="125" t="n"/>
    </row>
    <row r="109">
      <c r="A109" s="122" t="n"/>
      <c r="B109" s="1">
        <f>IF($A109="","",VLOOKUP($A109,'BE list'!A:C,3,0))</f>
        <v/>
      </c>
      <c r="C109" s="8" t="n"/>
      <c r="D109" s="1">
        <f>IF($C109="","",VLOOKUP($C109,'WP list'!A:B,2,0))</f>
        <v/>
      </c>
      <c r="E109" s="10" t="n"/>
      <c r="F109" s="20" t="n"/>
      <c r="G109" s="123" t="n"/>
      <c r="H109" s="134" t="n"/>
      <c r="I109" s="138" t="n"/>
      <c r="J109" s="140" t="n"/>
      <c r="K109" s="385">
        <f>+H109*I109*J109</f>
        <v/>
      </c>
      <c r="L109" s="125" t="n"/>
    </row>
    <row r="110">
      <c r="A110" s="122" t="n"/>
      <c r="B110" s="1">
        <f>IF($A110="","",VLOOKUP($A110,'BE list'!A:C,3,0))</f>
        <v/>
      </c>
      <c r="C110" s="8" t="n"/>
      <c r="D110" s="1">
        <f>IF($C110="","",VLOOKUP($C110,'WP list'!A:B,2,0))</f>
        <v/>
      </c>
      <c r="E110" s="10" t="n"/>
      <c r="F110" s="20" t="n"/>
      <c r="G110" s="123" t="n"/>
      <c r="H110" s="134" t="n"/>
      <c r="I110" s="138" t="n"/>
      <c r="J110" s="140" t="n"/>
      <c r="K110" s="385">
        <f>+H110*I110*J110</f>
        <v/>
      </c>
      <c r="L110" s="125" t="n"/>
    </row>
    <row r="111">
      <c r="A111" s="122" t="n"/>
      <c r="B111" s="1">
        <f>IF($A111="","",VLOOKUP($A111,'BE list'!A:C,3,0))</f>
        <v/>
      </c>
      <c r="C111" s="8" t="n"/>
      <c r="D111" s="1">
        <f>IF($C111="","",VLOOKUP($C111,'WP list'!A:B,2,0))</f>
        <v/>
      </c>
      <c r="E111" s="10" t="n"/>
      <c r="F111" s="20" t="n"/>
      <c r="G111" s="123" t="n"/>
      <c r="H111" s="134" t="n"/>
      <c r="I111" s="138" t="n"/>
      <c r="J111" s="140" t="n"/>
      <c r="K111" s="385">
        <f>+H111*I111*J111</f>
        <v/>
      </c>
      <c r="L111" s="125" t="n"/>
    </row>
    <row r="112">
      <c r="A112" s="122" t="n"/>
      <c r="B112" s="1">
        <f>IF($A112="","",VLOOKUP($A112,'BE list'!A:C,3,0))</f>
        <v/>
      </c>
      <c r="C112" s="8" t="n"/>
      <c r="D112" s="1">
        <f>IF($C112="","",VLOOKUP($C112,'WP list'!A:B,2,0))</f>
        <v/>
      </c>
      <c r="E112" s="10" t="n"/>
      <c r="F112" s="20" t="n"/>
      <c r="G112" s="123" t="n"/>
      <c r="H112" s="134" t="n"/>
      <c r="I112" s="138" t="n"/>
      <c r="J112" s="140" t="n"/>
      <c r="K112" s="385">
        <f>+H112*I112*J112</f>
        <v/>
      </c>
      <c r="L112" s="125" t="n"/>
    </row>
    <row r="113">
      <c r="A113" s="122" t="n"/>
      <c r="B113" s="1">
        <f>IF($A113="","",VLOOKUP($A113,'BE list'!A:C,3,0))</f>
        <v/>
      </c>
      <c r="C113" s="8" t="n"/>
      <c r="D113" s="1">
        <f>IF($C113="","",VLOOKUP($C113,'WP list'!A:B,2,0))</f>
        <v/>
      </c>
      <c r="E113" s="10" t="n"/>
      <c r="F113" s="20" t="n"/>
      <c r="G113" s="123" t="n"/>
      <c r="H113" s="134" t="n"/>
      <c r="I113" s="138" t="n"/>
      <c r="J113" s="140" t="n"/>
      <c r="K113" s="385">
        <f>+H113*I113*J113</f>
        <v/>
      </c>
      <c r="L113" s="125" t="n"/>
    </row>
    <row r="114">
      <c r="A114" s="122" t="n"/>
      <c r="B114" s="1">
        <f>IF($A114="","",VLOOKUP($A114,'BE list'!A:C,3,0))</f>
        <v/>
      </c>
      <c r="C114" s="8" t="n"/>
      <c r="D114" s="1">
        <f>IF($C114="","",VLOOKUP($C114,'WP list'!A:B,2,0))</f>
        <v/>
      </c>
      <c r="E114" s="10" t="n"/>
      <c r="F114" s="20" t="n"/>
      <c r="G114" s="123" t="n"/>
      <c r="H114" s="134" t="n"/>
      <c r="I114" s="138" t="n"/>
      <c r="J114" s="140" t="n"/>
      <c r="K114" s="385">
        <f>+H114*I114*J114</f>
        <v/>
      </c>
      <c r="L114" s="125" t="n"/>
    </row>
    <row r="115">
      <c r="A115" s="122" t="n"/>
      <c r="B115" s="1">
        <f>IF($A115="","",VLOOKUP($A115,'BE list'!A:C,3,0))</f>
        <v/>
      </c>
      <c r="C115" s="8" t="n"/>
      <c r="D115" s="1">
        <f>IF($C115="","",VLOOKUP($C115,'WP list'!A:B,2,0))</f>
        <v/>
      </c>
      <c r="E115" s="10" t="n"/>
      <c r="F115" s="20" t="n"/>
      <c r="G115" s="123" t="n"/>
      <c r="H115" s="134" t="n"/>
      <c r="I115" s="138" t="n"/>
      <c r="J115" s="140" t="n"/>
      <c r="K115" s="385">
        <f>+H115*I115*J115</f>
        <v/>
      </c>
      <c r="L115" s="125" t="n"/>
    </row>
    <row r="116">
      <c r="A116" s="122" t="n"/>
      <c r="B116" s="1">
        <f>IF($A116="","",VLOOKUP($A116,'BE list'!A:C,3,0))</f>
        <v/>
      </c>
      <c r="C116" s="8" t="n"/>
      <c r="D116" s="1">
        <f>IF($C116="","",VLOOKUP($C116,'WP list'!A:B,2,0))</f>
        <v/>
      </c>
      <c r="E116" s="10" t="n"/>
      <c r="F116" s="20" t="n"/>
      <c r="G116" s="123" t="n"/>
      <c r="H116" s="134" t="n"/>
      <c r="I116" s="138" t="n"/>
      <c r="J116" s="140" t="n"/>
      <c r="K116" s="385">
        <f>+H116*I116*J116</f>
        <v/>
      </c>
      <c r="L116" s="125" t="n"/>
    </row>
    <row r="117">
      <c r="A117" s="122" t="n"/>
      <c r="B117" s="1">
        <f>IF($A117="","",VLOOKUP($A117,'BE list'!A:C,3,0))</f>
        <v/>
      </c>
      <c r="C117" s="8" t="n"/>
      <c r="D117" s="1">
        <f>IF($C117="","",VLOOKUP($C117,'WP list'!A:B,2,0))</f>
        <v/>
      </c>
      <c r="E117" s="10" t="n"/>
      <c r="F117" s="20" t="n"/>
      <c r="G117" s="123" t="n"/>
      <c r="H117" s="134" t="n"/>
      <c r="I117" s="138" t="n"/>
      <c r="J117" s="140" t="n"/>
      <c r="K117" s="385">
        <f>+H117*I117*J117</f>
        <v/>
      </c>
      <c r="L117" s="125" t="n"/>
    </row>
    <row r="118">
      <c r="A118" s="122" t="n"/>
      <c r="B118" s="1">
        <f>IF($A118="","",VLOOKUP($A118,'BE list'!A:C,3,0))</f>
        <v/>
      </c>
      <c r="C118" s="8" t="n"/>
      <c r="D118" s="1">
        <f>IF($C118="","",VLOOKUP($C118,'WP list'!A:B,2,0))</f>
        <v/>
      </c>
      <c r="E118" s="10" t="n"/>
      <c r="F118" s="20" t="n"/>
      <c r="G118" s="123" t="n"/>
      <c r="H118" s="134" t="n"/>
      <c r="I118" s="138" t="n"/>
      <c r="J118" s="140" t="n"/>
      <c r="K118" s="385">
        <f>+H118*I118*J118</f>
        <v/>
      </c>
      <c r="L118" s="125" t="n"/>
    </row>
    <row r="119">
      <c r="A119" s="122" t="n"/>
      <c r="B119" s="1">
        <f>IF($A119="","",VLOOKUP($A119,'BE list'!A:C,3,0))</f>
        <v/>
      </c>
      <c r="C119" s="8" t="n"/>
      <c r="D119" s="1">
        <f>IF($C119="","",VLOOKUP($C119,'WP list'!A:B,2,0))</f>
        <v/>
      </c>
      <c r="E119" s="10" t="n"/>
      <c r="F119" s="20" t="n"/>
      <c r="G119" s="123" t="n"/>
      <c r="H119" s="134" t="n"/>
      <c r="I119" s="138" t="n"/>
      <c r="J119" s="140" t="n"/>
      <c r="K119" s="385">
        <f>+H119*I119*J119</f>
        <v/>
      </c>
      <c r="L119" s="125" t="n"/>
    </row>
    <row r="120">
      <c r="A120" s="122" t="n"/>
      <c r="B120" s="1">
        <f>IF($A120="","",VLOOKUP($A120,'BE list'!A:C,3,0))</f>
        <v/>
      </c>
      <c r="C120" s="8" t="n"/>
      <c r="D120" s="1">
        <f>IF($C120="","",VLOOKUP($C120,'WP list'!A:B,2,0))</f>
        <v/>
      </c>
      <c r="E120" s="10" t="n"/>
      <c r="F120" s="20" t="n"/>
      <c r="G120" s="123" t="n"/>
      <c r="H120" s="134" t="n"/>
      <c r="I120" s="138" t="n"/>
      <c r="J120" s="140" t="n"/>
      <c r="K120" s="385">
        <f>+H120*I120*J120</f>
        <v/>
      </c>
      <c r="L120" s="125" t="n"/>
    </row>
    <row r="121">
      <c r="A121" s="122" t="n"/>
      <c r="B121" s="1">
        <f>IF($A121="","",VLOOKUP($A121,'BE list'!A:C,3,0))</f>
        <v/>
      </c>
      <c r="C121" s="8" t="n"/>
      <c r="D121" s="1">
        <f>IF($C121="","",VLOOKUP($C121,'WP list'!A:B,2,0))</f>
        <v/>
      </c>
      <c r="E121" s="10" t="n"/>
      <c r="F121" s="20" t="n"/>
      <c r="G121" s="123" t="n"/>
      <c r="H121" s="134" t="n"/>
      <c r="I121" s="138" t="n"/>
      <c r="J121" s="140" t="n"/>
      <c r="K121" s="385">
        <f>+H121*I121*J121</f>
        <v/>
      </c>
      <c r="L121" s="125" t="n"/>
    </row>
    <row r="122">
      <c r="A122" s="122" t="n"/>
      <c r="B122" s="1">
        <f>IF($A122="","",VLOOKUP($A122,'BE list'!A:C,3,0))</f>
        <v/>
      </c>
      <c r="C122" s="8" t="n"/>
      <c r="D122" s="1">
        <f>IF($C122="","",VLOOKUP($C122,'WP list'!A:B,2,0))</f>
        <v/>
      </c>
      <c r="E122" s="10" t="n"/>
      <c r="F122" s="20" t="n"/>
      <c r="G122" s="123" t="n"/>
      <c r="H122" s="134" t="n"/>
      <c r="I122" s="138" t="n"/>
      <c r="J122" s="140" t="n"/>
      <c r="K122" s="385">
        <f>+H122*I122*J122</f>
        <v/>
      </c>
      <c r="L122" s="125" t="n"/>
    </row>
    <row r="123">
      <c r="A123" s="122" t="n"/>
      <c r="B123" s="1">
        <f>IF($A123="","",VLOOKUP($A123,'BE list'!A:C,3,0))</f>
        <v/>
      </c>
      <c r="C123" s="8" t="n"/>
      <c r="D123" s="1">
        <f>IF($C123="","",VLOOKUP($C123,'WP list'!A:B,2,0))</f>
        <v/>
      </c>
      <c r="E123" s="10" t="n"/>
      <c r="F123" s="20" t="n"/>
      <c r="G123" s="123" t="n"/>
      <c r="H123" s="134" t="n"/>
      <c r="I123" s="138" t="n"/>
      <c r="J123" s="140" t="n"/>
      <c r="K123" s="385">
        <f>+H123*I123*J123</f>
        <v/>
      </c>
      <c r="L123" s="125" t="n"/>
    </row>
    <row r="124">
      <c r="A124" s="122" t="n"/>
      <c r="B124" s="1">
        <f>IF($A124="","",VLOOKUP($A124,'BE list'!A:C,3,0))</f>
        <v/>
      </c>
      <c r="C124" s="8" t="n"/>
      <c r="D124" s="1">
        <f>IF($C124="","",VLOOKUP($C124,'WP list'!A:B,2,0))</f>
        <v/>
      </c>
      <c r="E124" s="10" t="n"/>
      <c r="F124" s="20" t="n"/>
      <c r="G124" s="123" t="n"/>
      <c r="H124" s="134" t="n"/>
      <c r="I124" s="138" t="n"/>
      <c r="J124" s="140" t="n"/>
      <c r="K124" s="385">
        <f>+H124*I124*J124</f>
        <v/>
      </c>
      <c r="L124" s="125" t="n"/>
    </row>
    <row r="125">
      <c r="A125" s="122" t="n"/>
      <c r="B125" s="1">
        <f>IF($A125="","",VLOOKUP($A125,'BE list'!A:C,3,0))</f>
        <v/>
      </c>
      <c r="C125" s="8" t="n"/>
      <c r="D125" s="1">
        <f>IF($C125="","",VLOOKUP($C125,'WP list'!A:B,2,0))</f>
        <v/>
      </c>
      <c r="E125" s="10" t="n"/>
      <c r="F125" s="20" t="n"/>
      <c r="G125" s="123" t="n"/>
      <c r="H125" s="134" t="n"/>
      <c r="I125" s="138" t="n"/>
      <c r="J125" s="140" t="n"/>
      <c r="K125" s="385">
        <f>+H125*I125*J125</f>
        <v/>
      </c>
      <c r="L125" s="125" t="n"/>
    </row>
    <row r="126">
      <c r="A126" s="122" t="n"/>
      <c r="B126" s="1">
        <f>IF($A126="","",VLOOKUP($A126,'BE list'!A:C,3,0))</f>
        <v/>
      </c>
      <c r="C126" s="8" t="n"/>
      <c r="D126" s="1">
        <f>IF($C126="","",VLOOKUP($C126,'WP list'!A:B,2,0))</f>
        <v/>
      </c>
      <c r="E126" s="10" t="n"/>
      <c r="F126" s="20" t="n"/>
      <c r="G126" s="123" t="n"/>
      <c r="H126" s="134" t="n"/>
      <c r="I126" s="138" t="n"/>
      <c r="J126" s="140" t="n"/>
      <c r="K126" s="385">
        <f>+H126*I126*J126</f>
        <v/>
      </c>
      <c r="L126" s="125" t="n"/>
    </row>
    <row r="127">
      <c r="A127" s="122" t="n"/>
      <c r="B127" s="1">
        <f>IF($A127="","",VLOOKUP($A127,'BE list'!A:C,3,0))</f>
        <v/>
      </c>
      <c r="C127" s="8" t="n"/>
      <c r="D127" s="1">
        <f>IF($C127="","",VLOOKUP($C127,'WP list'!A:B,2,0))</f>
        <v/>
      </c>
      <c r="E127" s="10" t="n"/>
      <c r="F127" s="20" t="n"/>
      <c r="G127" s="123" t="n"/>
      <c r="H127" s="134" t="n"/>
      <c r="I127" s="138" t="n"/>
      <c r="J127" s="140" t="n"/>
      <c r="K127" s="385">
        <f>+H127*I127*J127</f>
        <v/>
      </c>
      <c r="L127" s="125" t="n"/>
    </row>
    <row r="128">
      <c r="A128" s="122" t="n"/>
      <c r="B128" s="1">
        <f>IF($A128="","",VLOOKUP($A128,'BE list'!A:C,3,0))</f>
        <v/>
      </c>
      <c r="C128" s="8" t="n"/>
      <c r="D128" s="1">
        <f>IF($C128="","",VLOOKUP($C128,'WP list'!A:B,2,0))</f>
        <v/>
      </c>
      <c r="E128" s="10" t="n"/>
      <c r="F128" s="20" t="n"/>
      <c r="G128" s="123" t="n"/>
      <c r="H128" s="134" t="n"/>
      <c r="I128" s="138" t="n"/>
      <c r="J128" s="140" t="n"/>
      <c r="K128" s="385">
        <f>+H128*I128*J128</f>
        <v/>
      </c>
      <c r="L128" s="125" t="n"/>
    </row>
    <row r="129">
      <c r="A129" s="122" t="n"/>
      <c r="B129" s="1">
        <f>IF($A129="","",VLOOKUP($A129,'BE list'!A:C,3,0))</f>
        <v/>
      </c>
      <c r="C129" s="8" t="n"/>
      <c r="D129" s="1">
        <f>IF($C129="","",VLOOKUP($C129,'WP list'!A:B,2,0))</f>
        <v/>
      </c>
      <c r="E129" s="10" t="n"/>
      <c r="F129" s="20" t="n"/>
      <c r="G129" s="123" t="n"/>
      <c r="H129" s="134" t="n"/>
      <c r="I129" s="138" t="n"/>
      <c r="J129" s="140" t="n"/>
      <c r="K129" s="385">
        <f>+H129*I129*J129</f>
        <v/>
      </c>
      <c r="L129" s="125" t="n"/>
    </row>
    <row r="130">
      <c r="A130" s="122" t="n"/>
      <c r="B130" s="1">
        <f>IF($A130="","",VLOOKUP($A130,'BE list'!A:C,3,0))</f>
        <v/>
      </c>
      <c r="C130" s="8" t="n"/>
      <c r="D130" s="1">
        <f>IF($C130="","",VLOOKUP($C130,'WP list'!A:B,2,0))</f>
        <v/>
      </c>
      <c r="E130" s="10" t="n"/>
      <c r="F130" s="20" t="n"/>
      <c r="G130" s="123" t="n"/>
      <c r="H130" s="134" t="n"/>
      <c r="I130" s="138" t="n"/>
      <c r="J130" s="140" t="n"/>
      <c r="K130" s="385">
        <f>+H130*I130*J130</f>
        <v/>
      </c>
      <c r="L130" s="125" t="n"/>
    </row>
    <row r="131">
      <c r="A131" s="122" t="n"/>
      <c r="B131" s="1">
        <f>IF($A131="","",VLOOKUP($A131,'BE list'!A:C,3,0))</f>
        <v/>
      </c>
      <c r="C131" s="8" t="n"/>
      <c r="D131" s="1">
        <f>IF($C131="","",VLOOKUP($C131,'WP list'!A:B,2,0))</f>
        <v/>
      </c>
      <c r="E131" s="10" t="n"/>
      <c r="F131" s="20" t="n"/>
      <c r="G131" s="123" t="n"/>
      <c r="H131" s="134" t="n"/>
      <c r="I131" s="138" t="n"/>
      <c r="J131" s="140" t="n"/>
      <c r="K131" s="385">
        <f>+H131*I131*J131</f>
        <v/>
      </c>
      <c r="L131" s="125" t="n"/>
    </row>
    <row r="132">
      <c r="A132" s="122" t="n"/>
      <c r="B132" s="1">
        <f>IF($A132="","",VLOOKUP($A132,'BE list'!A:C,3,0))</f>
        <v/>
      </c>
      <c r="C132" s="8" t="n"/>
      <c r="D132" s="1">
        <f>IF($C132="","",VLOOKUP($C132,'WP list'!A:B,2,0))</f>
        <v/>
      </c>
      <c r="E132" s="10" t="n"/>
      <c r="F132" s="20" t="n"/>
      <c r="G132" s="123" t="n"/>
      <c r="H132" s="134" t="n"/>
      <c r="I132" s="138" t="n"/>
      <c r="J132" s="140" t="n"/>
      <c r="K132" s="385">
        <f>+H132*I132*J132</f>
        <v/>
      </c>
      <c r="L132" s="125" t="n"/>
    </row>
    <row r="133">
      <c r="A133" s="122" t="n"/>
      <c r="B133" s="1">
        <f>IF($A133="","",VLOOKUP($A133,'BE list'!A:C,3,0))</f>
        <v/>
      </c>
      <c r="C133" s="8" t="n"/>
      <c r="D133" s="1">
        <f>IF($C133="","",VLOOKUP($C133,'WP list'!A:B,2,0))</f>
        <v/>
      </c>
      <c r="E133" s="10" t="n"/>
      <c r="F133" s="20" t="n"/>
      <c r="G133" s="123" t="n"/>
      <c r="H133" s="134" t="n"/>
      <c r="I133" s="138" t="n"/>
      <c r="J133" s="140" t="n"/>
      <c r="K133" s="385">
        <f>+H133*I133*J133</f>
        <v/>
      </c>
      <c r="L133" s="125" t="n"/>
    </row>
    <row r="134">
      <c r="A134" s="122" t="n"/>
      <c r="B134" s="1">
        <f>IF($A134="","",VLOOKUP($A134,'BE list'!A:C,3,0))</f>
        <v/>
      </c>
      <c r="C134" s="8" t="n"/>
      <c r="D134" s="1">
        <f>IF($C134="","",VLOOKUP($C134,'WP list'!A:B,2,0))</f>
        <v/>
      </c>
      <c r="E134" s="10" t="n"/>
      <c r="F134" s="20" t="n"/>
      <c r="G134" s="123" t="n"/>
      <c r="H134" s="134" t="n"/>
      <c r="I134" s="138" t="n"/>
      <c r="J134" s="140" t="n"/>
      <c r="K134" s="385">
        <f>+H134*I134*J134</f>
        <v/>
      </c>
      <c r="L134" s="125" t="n"/>
    </row>
    <row r="135">
      <c r="A135" s="122" t="n"/>
      <c r="B135" s="1">
        <f>IF($A135="","",VLOOKUP($A135,'BE list'!A:C,3,0))</f>
        <v/>
      </c>
      <c r="C135" s="8" t="n"/>
      <c r="D135" s="1">
        <f>IF($C135="","",VLOOKUP($C135,'WP list'!A:B,2,0))</f>
        <v/>
      </c>
      <c r="E135" s="10" t="n"/>
      <c r="F135" s="20" t="n"/>
      <c r="G135" s="123" t="n"/>
      <c r="H135" s="134" t="n"/>
      <c r="I135" s="138" t="n"/>
      <c r="J135" s="140" t="n"/>
      <c r="K135" s="385">
        <f>+H135*I135*J135</f>
        <v/>
      </c>
      <c r="L135" s="125" t="n"/>
    </row>
    <row r="136">
      <c r="A136" s="122" t="n"/>
      <c r="B136" s="1">
        <f>IF($A136="","",VLOOKUP($A136,'BE list'!A:C,3,0))</f>
        <v/>
      </c>
      <c r="C136" s="8" t="n"/>
      <c r="D136" s="1">
        <f>IF($C136="","",VLOOKUP($C136,'WP list'!A:B,2,0))</f>
        <v/>
      </c>
      <c r="E136" s="10" t="n"/>
      <c r="F136" s="20" t="n"/>
      <c r="G136" s="123" t="n"/>
      <c r="H136" s="134" t="n"/>
      <c r="I136" s="138" t="n"/>
      <c r="J136" s="140" t="n"/>
      <c r="K136" s="385">
        <f>+H136*I136*J136</f>
        <v/>
      </c>
      <c r="L136" s="125" t="n"/>
    </row>
    <row r="137">
      <c r="A137" s="122" t="n"/>
      <c r="B137" s="1">
        <f>IF($A137="","",VLOOKUP($A137,'BE list'!A:C,3,0))</f>
        <v/>
      </c>
      <c r="C137" s="8" t="n"/>
      <c r="D137" s="1">
        <f>IF($C137="","",VLOOKUP($C137,'WP list'!A:B,2,0))</f>
        <v/>
      </c>
      <c r="E137" s="10" t="n"/>
      <c r="F137" s="20" t="n"/>
      <c r="G137" s="123" t="n"/>
      <c r="H137" s="134" t="n"/>
      <c r="I137" s="138" t="n"/>
      <c r="J137" s="140" t="n"/>
      <c r="K137" s="385">
        <f>+H137*I137*J137</f>
        <v/>
      </c>
      <c r="L137" s="125" t="n"/>
    </row>
    <row r="138">
      <c r="A138" s="122" t="n"/>
      <c r="B138" s="1">
        <f>IF($A138="","",VLOOKUP($A138,'BE list'!A:C,3,0))</f>
        <v/>
      </c>
      <c r="C138" s="8" t="n"/>
      <c r="D138" s="1">
        <f>IF($C138="","",VLOOKUP($C138,'WP list'!A:B,2,0))</f>
        <v/>
      </c>
      <c r="E138" s="10" t="n"/>
      <c r="F138" s="20" t="n"/>
      <c r="G138" s="123" t="n"/>
      <c r="H138" s="134" t="n"/>
      <c r="I138" s="138" t="n"/>
      <c r="J138" s="140" t="n"/>
      <c r="K138" s="385">
        <f>+H138*I138*J138</f>
        <v/>
      </c>
      <c r="L138" s="125" t="n"/>
    </row>
    <row r="139">
      <c r="A139" s="122" t="n"/>
      <c r="B139" s="1">
        <f>IF($A139="","",VLOOKUP($A139,'BE list'!A:C,3,0))</f>
        <v/>
      </c>
      <c r="C139" s="8" t="n"/>
      <c r="D139" s="1">
        <f>IF($C139="","",VLOOKUP($C139,'WP list'!A:B,2,0))</f>
        <v/>
      </c>
      <c r="E139" s="10" t="n"/>
      <c r="F139" s="20" t="n"/>
      <c r="G139" s="123" t="n"/>
      <c r="H139" s="134" t="n"/>
      <c r="I139" s="138" t="n"/>
      <c r="J139" s="140" t="n"/>
      <c r="K139" s="385">
        <f>+H139*I139*J139</f>
        <v/>
      </c>
      <c r="L139" s="125" t="n"/>
    </row>
    <row r="140">
      <c r="A140" s="122" t="n"/>
      <c r="B140" s="1">
        <f>IF($A140="","",VLOOKUP($A140,'BE list'!A:C,3,0))</f>
        <v/>
      </c>
      <c r="C140" s="8" t="n"/>
      <c r="D140" s="1">
        <f>IF($C140="","",VLOOKUP($C140,'WP list'!A:B,2,0))</f>
        <v/>
      </c>
      <c r="E140" s="10" t="n"/>
      <c r="F140" s="20" t="n"/>
      <c r="G140" s="123" t="n"/>
      <c r="H140" s="134" t="n"/>
      <c r="I140" s="138" t="n"/>
      <c r="J140" s="140" t="n"/>
      <c r="K140" s="385">
        <f>+H140*I140*J140</f>
        <v/>
      </c>
      <c r="L140" s="125" t="n"/>
    </row>
    <row r="141">
      <c r="A141" s="122" t="n"/>
      <c r="B141" s="1">
        <f>IF($A141="","",VLOOKUP($A141,'BE list'!A:C,3,0))</f>
        <v/>
      </c>
      <c r="C141" s="8" t="n"/>
      <c r="D141" s="1">
        <f>IF($C141="","",VLOOKUP($C141,'WP list'!A:B,2,0))</f>
        <v/>
      </c>
      <c r="E141" s="10" t="n"/>
      <c r="F141" s="20" t="n"/>
      <c r="G141" s="123" t="n"/>
      <c r="H141" s="134" t="n"/>
      <c r="I141" s="138" t="n"/>
      <c r="J141" s="140" t="n"/>
      <c r="K141" s="385">
        <f>+H141*I141*J141</f>
        <v/>
      </c>
      <c r="L141" s="125" t="n"/>
    </row>
    <row r="142">
      <c r="A142" s="122" t="n"/>
      <c r="B142" s="1">
        <f>IF($A142="","",VLOOKUP($A142,'BE list'!A:C,3,0))</f>
        <v/>
      </c>
      <c r="C142" s="8" t="n"/>
      <c r="D142" s="1">
        <f>IF($C142="","",VLOOKUP($C142,'WP list'!A:B,2,0))</f>
        <v/>
      </c>
      <c r="E142" s="10" t="n"/>
      <c r="F142" s="20" t="n"/>
      <c r="G142" s="123" t="n"/>
      <c r="H142" s="134" t="n"/>
      <c r="I142" s="138" t="n"/>
      <c r="J142" s="140" t="n"/>
      <c r="K142" s="385">
        <f>+H142*I142*J142</f>
        <v/>
      </c>
      <c r="L142" s="125" t="n"/>
    </row>
    <row r="143">
      <c r="A143" s="122" t="n"/>
      <c r="B143" s="1">
        <f>IF($A143="","",VLOOKUP($A143,'BE list'!A:C,3,0))</f>
        <v/>
      </c>
      <c r="C143" s="8" t="n"/>
      <c r="D143" s="1">
        <f>IF($C143="","",VLOOKUP($C143,'WP list'!A:B,2,0))</f>
        <v/>
      </c>
      <c r="E143" s="10" t="n"/>
      <c r="F143" s="20" t="n"/>
      <c r="G143" s="123" t="n"/>
      <c r="H143" s="134" t="n"/>
      <c r="I143" s="138" t="n"/>
      <c r="J143" s="140" t="n"/>
      <c r="K143" s="385">
        <f>+H143*I143*J143</f>
        <v/>
      </c>
      <c r="L143" s="125" t="n"/>
    </row>
    <row r="144">
      <c r="A144" s="122" t="n"/>
      <c r="B144" s="1">
        <f>IF($A144="","",VLOOKUP($A144,'BE list'!A:C,3,0))</f>
        <v/>
      </c>
      <c r="C144" s="8" t="n"/>
      <c r="D144" s="1">
        <f>IF($C144="","",VLOOKUP($C144,'WP list'!A:B,2,0))</f>
        <v/>
      </c>
      <c r="E144" s="10" t="n"/>
      <c r="F144" s="20" t="n"/>
      <c r="G144" s="123" t="n"/>
      <c r="H144" s="134" t="n"/>
      <c r="I144" s="138" t="n"/>
      <c r="J144" s="140" t="n"/>
      <c r="K144" s="385">
        <f>+H144*I144*J144</f>
        <v/>
      </c>
      <c r="L144" s="125" t="n"/>
    </row>
    <row r="145">
      <c r="A145" s="122" t="n"/>
      <c r="B145" s="1">
        <f>IF($A145="","",VLOOKUP($A145,'BE list'!A:C,3,0))</f>
        <v/>
      </c>
      <c r="C145" s="8" t="n"/>
      <c r="D145" s="1">
        <f>IF($C145="","",VLOOKUP($C145,'WP list'!A:B,2,0))</f>
        <v/>
      </c>
      <c r="E145" s="10" t="n"/>
      <c r="F145" s="20" t="n"/>
      <c r="G145" s="123" t="n"/>
      <c r="H145" s="134" t="n"/>
      <c r="I145" s="138" t="n"/>
      <c r="J145" s="140" t="n"/>
      <c r="K145" s="385">
        <f>+H145*I145*J145</f>
        <v/>
      </c>
      <c r="L145" s="125" t="n"/>
    </row>
    <row r="146">
      <c r="A146" s="122" t="n"/>
      <c r="B146" s="1">
        <f>IF($A146="","",VLOOKUP($A146,'BE list'!A:C,3,0))</f>
        <v/>
      </c>
      <c r="C146" s="8" t="n"/>
      <c r="D146" s="1">
        <f>IF($C146="","",VLOOKUP($C146,'WP list'!A:B,2,0))</f>
        <v/>
      </c>
      <c r="E146" s="10" t="n"/>
      <c r="F146" s="20" t="n"/>
      <c r="G146" s="123" t="n"/>
      <c r="H146" s="134" t="n"/>
      <c r="I146" s="138" t="n"/>
      <c r="J146" s="140" t="n"/>
      <c r="K146" s="385">
        <f>+H146*I146*J146</f>
        <v/>
      </c>
      <c r="L146" s="125" t="n"/>
    </row>
    <row r="147">
      <c r="A147" s="122" t="n"/>
      <c r="B147" s="1">
        <f>IF($A147="","",VLOOKUP($A147,'BE list'!A:C,3,0))</f>
        <v/>
      </c>
      <c r="C147" s="8" t="n"/>
      <c r="D147" s="1">
        <f>IF($C147="","",VLOOKUP($C147,'WP list'!A:B,2,0))</f>
        <v/>
      </c>
      <c r="E147" s="10" t="n"/>
      <c r="F147" s="20" t="n"/>
      <c r="G147" s="123" t="n"/>
      <c r="H147" s="134" t="n"/>
      <c r="I147" s="138" t="n"/>
      <c r="J147" s="140" t="n"/>
      <c r="K147" s="385">
        <f>+H147*I147*J147</f>
        <v/>
      </c>
      <c r="L147" s="125" t="n"/>
    </row>
    <row r="148">
      <c r="A148" s="122" t="n"/>
      <c r="B148" s="1">
        <f>IF($A148="","",VLOOKUP($A148,'BE list'!A:C,3,0))</f>
        <v/>
      </c>
      <c r="C148" s="8" t="n"/>
      <c r="D148" s="1">
        <f>IF($C148="","",VLOOKUP($C148,'WP list'!A:B,2,0))</f>
        <v/>
      </c>
      <c r="E148" s="10" t="n"/>
      <c r="F148" s="20" t="n"/>
      <c r="G148" s="123" t="n"/>
      <c r="H148" s="134" t="n"/>
      <c r="I148" s="138" t="n"/>
      <c r="J148" s="140" t="n"/>
      <c r="K148" s="385">
        <f>+H148*I148*J148</f>
        <v/>
      </c>
      <c r="L148" s="125" t="n"/>
    </row>
    <row r="149">
      <c r="A149" s="122" t="n"/>
      <c r="B149" s="1">
        <f>IF($A149="","",VLOOKUP($A149,'BE list'!A:C,3,0))</f>
        <v/>
      </c>
      <c r="C149" s="8" t="n"/>
      <c r="D149" s="1">
        <f>IF($C149="","",VLOOKUP($C149,'WP list'!A:B,2,0))</f>
        <v/>
      </c>
      <c r="E149" s="10" t="n"/>
      <c r="F149" s="20" t="n"/>
      <c r="G149" s="123" t="n"/>
      <c r="H149" s="134" t="n"/>
      <c r="I149" s="138" t="n"/>
      <c r="J149" s="140" t="n"/>
      <c r="K149" s="385">
        <f>+H149*I149*J149</f>
        <v/>
      </c>
      <c r="L149" s="125" t="n"/>
    </row>
    <row r="150">
      <c r="A150" s="122" t="n"/>
      <c r="B150" s="1">
        <f>IF($A150="","",VLOOKUP($A150,'BE list'!A:C,3,0))</f>
        <v/>
      </c>
      <c r="C150" s="8" t="n"/>
      <c r="D150" s="1">
        <f>IF($C150="","",VLOOKUP($C150,'WP list'!A:B,2,0))</f>
        <v/>
      </c>
      <c r="E150" s="10" t="n"/>
      <c r="F150" s="20" t="n"/>
      <c r="G150" s="123" t="n"/>
      <c r="H150" s="134" t="n"/>
      <c r="I150" s="138" t="n"/>
      <c r="J150" s="140" t="n"/>
      <c r="K150" s="385">
        <f>+H150*I150*J150</f>
        <v/>
      </c>
      <c r="L150" s="125" t="n"/>
    </row>
    <row r="151">
      <c r="A151" s="122" t="n"/>
      <c r="B151" s="1">
        <f>IF($A151="","",VLOOKUP($A151,'BE list'!A:C,3,0))</f>
        <v/>
      </c>
      <c r="C151" s="8" t="n"/>
      <c r="D151" s="1">
        <f>IF($C151="","",VLOOKUP($C151,'WP list'!A:B,2,0))</f>
        <v/>
      </c>
      <c r="E151" s="10" t="n"/>
      <c r="F151" s="20" t="n"/>
      <c r="G151" s="123" t="n"/>
      <c r="H151" s="134" t="n"/>
      <c r="I151" s="138" t="n"/>
      <c r="J151" s="140" t="n"/>
      <c r="K151" s="385">
        <f>+H151*I151*J151</f>
        <v/>
      </c>
      <c r="L151" s="125" t="n"/>
    </row>
    <row r="152">
      <c r="A152" s="122" t="n"/>
      <c r="B152" s="1">
        <f>IF($A152="","",VLOOKUP($A152,'BE list'!A:C,3,0))</f>
        <v/>
      </c>
      <c r="C152" s="8" t="n"/>
      <c r="D152" s="1">
        <f>IF($C152="","",VLOOKUP($C152,'WP list'!A:B,2,0))</f>
        <v/>
      </c>
      <c r="E152" s="10" t="n"/>
      <c r="F152" s="20" t="n"/>
      <c r="G152" s="123" t="n"/>
      <c r="H152" s="134" t="n"/>
      <c r="I152" s="138" t="n"/>
      <c r="J152" s="140" t="n"/>
      <c r="K152" s="385">
        <f>+H152*I152*J152</f>
        <v/>
      </c>
      <c r="L152" s="125" t="n"/>
    </row>
    <row r="153">
      <c r="A153" s="122" t="n"/>
      <c r="B153" s="1">
        <f>IF($A153="","",VLOOKUP($A153,'BE list'!A:C,3,0))</f>
        <v/>
      </c>
      <c r="C153" s="8" t="n"/>
      <c r="D153" s="1">
        <f>IF($C153="","",VLOOKUP($C153,'WP list'!A:B,2,0))</f>
        <v/>
      </c>
      <c r="E153" s="10" t="n"/>
      <c r="F153" s="20" t="n"/>
      <c r="G153" s="123" t="n"/>
      <c r="H153" s="134" t="n"/>
      <c r="I153" s="138" t="n"/>
      <c r="J153" s="140" t="n"/>
      <c r="K153" s="385">
        <f>+H153*I153*J153</f>
        <v/>
      </c>
      <c r="L153" s="125" t="n"/>
    </row>
    <row r="154">
      <c r="A154" s="122" t="n"/>
      <c r="B154" s="1">
        <f>IF($A154="","",VLOOKUP($A154,'BE list'!A:C,3,0))</f>
        <v/>
      </c>
      <c r="C154" s="8" t="n"/>
      <c r="D154" s="1">
        <f>IF($C154="","",VLOOKUP($C154,'WP list'!A:B,2,0))</f>
        <v/>
      </c>
      <c r="E154" s="10" t="n"/>
      <c r="F154" s="20" t="n"/>
      <c r="G154" s="123" t="n"/>
      <c r="H154" s="134" t="n"/>
      <c r="I154" s="138" t="n"/>
      <c r="J154" s="140" t="n"/>
      <c r="K154" s="385">
        <f>+H154*I154*J154</f>
        <v/>
      </c>
      <c r="L154" s="125" t="n"/>
    </row>
    <row r="155">
      <c r="A155" s="122" t="n"/>
      <c r="B155" s="1">
        <f>IF($A155="","",VLOOKUP($A155,'BE list'!A:C,3,0))</f>
        <v/>
      </c>
      <c r="C155" s="8" t="n"/>
      <c r="D155" s="1">
        <f>IF($C155="","",VLOOKUP($C155,'WP list'!A:B,2,0))</f>
        <v/>
      </c>
      <c r="E155" s="10" t="n"/>
      <c r="F155" s="20" t="n"/>
      <c r="G155" s="123" t="n"/>
      <c r="H155" s="134" t="n"/>
      <c r="I155" s="138" t="n"/>
      <c r="J155" s="140" t="n"/>
      <c r="K155" s="385">
        <f>+H155*I155*J155</f>
        <v/>
      </c>
      <c r="L155" s="125" t="n"/>
    </row>
    <row r="156">
      <c r="A156" s="122" t="n"/>
      <c r="B156" s="1">
        <f>IF($A156="","",VLOOKUP($A156,'BE list'!A:C,3,0))</f>
        <v/>
      </c>
      <c r="C156" s="8" t="n"/>
      <c r="D156" s="1">
        <f>IF($C156="","",VLOOKUP($C156,'WP list'!A:B,2,0))</f>
        <v/>
      </c>
      <c r="E156" s="10" t="n"/>
      <c r="F156" s="20" t="n"/>
      <c r="G156" s="123" t="n"/>
      <c r="H156" s="134" t="n"/>
      <c r="I156" s="138" t="n"/>
      <c r="J156" s="140" t="n"/>
      <c r="K156" s="385">
        <f>+H156*I156*J156</f>
        <v/>
      </c>
      <c r="L156" s="125" t="n"/>
    </row>
    <row r="157">
      <c r="A157" s="122" t="n"/>
      <c r="B157" s="1">
        <f>IF($A157="","",VLOOKUP($A157,'BE list'!A:C,3,0))</f>
        <v/>
      </c>
      <c r="C157" s="8" t="n"/>
      <c r="D157" s="1">
        <f>IF($C157="","",VLOOKUP($C157,'WP list'!A:B,2,0))</f>
        <v/>
      </c>
      <c r="E157" s="10" t="n"/>
      <c r="F157" s="20" t="n"/>
      <c r="G157" s="123" t="n"/>
      <c r="H157" s="134" t="n"/>
      <c r="I157" s="138" t="n"/>
      <c r="J157" s="140" t="n"/>
      <c r="K157" s="385">
        <f>+H157*I157*J157</f>
        <v/>
      </c>
      <c r="L157" s="125" t="n"/>
    </row>
    <row r="158">
      <c r="A158" s="122" t="n"/>
      <c r="B158" s="1">
        <f>IF($A158="","",VLOOKUP($A158,'BE list'!A:C,3,0))</f>
        <v/>
      </c>
      <c r="C158" s="8" t="n"/>
      <c r="D158" s="1">
        <f>IF($C158="","",VLOOKUP($C158,'WP list'!A:B,2,0))</f>
        <v/>
      </c>
      <c r="E158" s="10" t="n"/>
      <c r="F158" s="20" t="n"/>
      <c r="G158" s="123" t="n"/>
      <c r="H158" s="134" t="n"/>
      <c r="I158" s="138" t="n"/>
      <c r="J158" s="140" t="n"/>
      <c r="K158" s="385">
        <f>+H158*I158*J158</f>
        <v/>
      </c>
      <c r="L158" s="125" t="n"/>
    </row>
    <row r="159">
      <c r="A159" s="122" t="n"/>
      <c r="B159" s="1">
        <f>IF($A159="","",VLOOKUP($A159,'BE list'!A:C,3,0))</f>
        <v/>
      </c>
      <c r="C159" s="8" t="n"/>
      <c r="D159" s="1">
        <f>IF($C159="","",VLOOKUP($C159,'WP list'!A:B,2,0))</f>
        <v/>
      </c>
      <c r="E159" s="10" t="n"/>
      <c r="F159" s="20" t="n"/>
      <c r="G159" s="123" t="n"/>
      <c r="H159" s="134" t="n"/>
      <c r="I159" s="138" t="n"/>
      <c r="J159" s="140" t="n"/>
      <c r="K159" s="385">
        <f>+H159*I159*J159</f>
        <v/>
      </c>
      <c r="L159" s="125" t="n"/>
    </row>
    <row r="160">
      <c r="A160" s="122" t="n"/>
      <c r="B160" s="1">
        <f>IF($A160="","",VLOOKUP($A160,'BE list'!A:C,3,0))</f>
        <v/>
      </c>
      <c r="C160" s="8" t="n"/>
      <c r="D160" s="1">
        <f>IF($C160="","",VLOOKUP($C160,'WP list'!A:B,2,0))</f>
        <v/>
      </c>
      <c r="E160" s="10" t="n"/>
      <c r="F160" s="20" t="n"/>
      <c r="G160" s="123" t="n"/>
      <c r="H160" s="134" t="n"/>
      <c r="I160" s="138" t="n"/>
      <c r="J160" s="140" t="n"/>
      <c r="K160" s="385">
        <f>+H160*I160*J160</f>
        <v/>
      </c>
      <c r="L160" s="125" t="n"/>
    </row>
    <row r="161">
      <c r="A161" s="122" t="n"/>
      <c r="B161" s="1">
        <f>IF($A161="","",VLOOKUP($A161,'BE list'!A:C,3,0))</f>
        <v/>
      </c>
      <c r="C161" s="8" t="n"/>
      <c r="D161" s="1">
        <f>IF($C161="","",VLOOKUP($C161,'WP list'!A:B,2,0))</f>
        <v/>
      </c>
      <c r="E161" s="10" t="n"/>
      <c r="F161" s="20" t="n"/>
      <c r="G161" s="123" t="n"/>
      <c r="H161" s="134" t="n"/>
      <c r="I161" s="138" t="n"/>
      <c r="J161" s="140" t="n"/>
      <c r="K161" s="385">
        <f>+H161*I161*J161</f>
        <v/>
      </c>
      <c r="L161" s="125" t="n"/>
    </row>
    <row r="162">
      <c r="A162" s="122" t="n"/>
      <c r="B162" s="1">
        <f>IF($A162="","",VLOOKUP($A162,'BE list'!A:C,3,0))</f>
        <v/>
      </c>
      <c r="C162" s="8" t="n"/>
      <c r="D162" s="1">
        <f>IF($C162="","",VLOOKUP($C162,'WP list'!A:B,2,0))</f>
        <v/>
      </c>
      <c r="E162" s="10" t="n"/>
      <c r="F162" s="20" t="n"/>
      <c r="G162" s="123" t="n"/>
      <c r="H162" s="134" t="n"/>
      <c r="I162" s="138" t="n"/>
      <c r="J162" s="140" t="n"/>
      <c r="K162" s="385">
        <f>+H162*I162*J162</f>
        <v/>
      </c>
      <c r="L162" s="125" t="n"/>
    </row>
    <row r="163">
      <c r="A163" s="122" t="n"/>
      <c r="B163" s="1">
        <f>IF($A163="","",VLOOKUP($A163,'BE list'!A:C,3,0))</f>
        <v/>
      </c>
      <c r="C163" s="8" t="n"/>
      <c r="D163" s="1">
        <f>IF($C163="","",VLOOKUP($C163,'WP list'!A:B,2,0))</f>
        <v/>
      </c>
      <c r="E163" s="10" t="n"/>
      <c r="F163" s="20" t="n"/>
      <c r="G163" s="123" t="n"/>
      <c r="H163" s="134" t="n"/>
      <c r="I163" s="138" t="n"/>
      <c r="J163" s="140" t="n"/>
      <c r="K163" s="385">
        <f>+H163*I163*J163</f>
        <v/>
      </c>
      <c r="L163" s="125" t="n"/>
    </row>
    <row r="164">
      <c r="A164" s="122" t="n"/>
      <c r="B164" s="1">
        <f>IF($A164="","",VLOOKUP($A164,'BE list'!A:C,3,0))</f>
        <v/>
      </c>
      <c r="C164" s="8" t="n"/>
      <c r="D164" s="1">
        <f>IF($C164="","",VLOOKUP($C164,'WP list'!A:B,2,0))</f>
        <v/>
      </c>
      <c r="E164" s="10" t="n"/>
      <c r="F164" s="20" t="n"/>
      <c r="G164" s="123" t="n"/>
      <c r="H164" s="134" t="n"/>
      <c r="I164" s="138" t="n"/>
      <c r="J164" s="140" t="n"/>
      <c r="K164" s="385">
        <f>+H164*I164*J164</f>
        <v/>
      </c>
      <c r="L164" s="125" t="n"/>
    </row>
    <row r="165">
      <c r="A165" s="122" t="n"/>
      <c r="B165" s="1">
        <f>IF($A165="","",VLOOKUP($A165,'BE list'!A:C,3,0))</f>
        <v/>
      </c>
      <c r="C165" s="8" t="n"/>
      <c r="D165" s="1">
        <f>IF($C165="","",VLOOKUP($C165,'WP list'!A:B,2,0))</f>
        <v/>
      </c>
      <c r="E165" s="10" t="n"/>
      <c r="F165" s="20" t="n"/>
      <c r="G165" s="123" t="n"/>
      <c r="H165" s="134" t="n"/>
      <c r="I165" s="138" t="n"/>
      <c r="J165" s="140" t="n"/>
      <c r="K165" s="385">
        <f>+H165*I165*J165</f>
        <v/>
      </c>
      <c r="L165" s="125" t="n"/>
    </row>
    <row r="166">
      <c r="A166" s="122" t="n"/>
      <c r="B166" s="1">
        <f>IF($A166="","",VLOOKUP($A166,'BE list'!A:C,3,0))</f>
        <v/>
      </c>
      <c r="C166" s="8" t="n"/>
      <c r="D166" s="1">
        <f>IF($C166="","",VLOOKUP($C166,'WP list'!A:B,2,0))</f>
        <v/>
      </c>
      <c r="E166" s="10" t="n"/>
      <c r="F166" s="20" t="n"/>
      <c r="G166" s="123" t="n"/>
      <c r="H166" s="134" t="n"/>
      <c r="I166" s="138" t="n"/>
      <c r="J166" s="140" t="n"/>
      <c r="K166" s="385">
        <f>+H166*I166*J166</f>
        <v/>
      </c>
      <c r="L166" s="125" t="n"/>
    </row>
    <row r="167">
      <c r="A167" s="122" t="n"/>
      <c r="B167" s="1">
        <f>IF($A167="","",VLOOKUP($A167,'BE list'!A:C,3,0))</f>
        <v/>
      </c>
      <c r="C167" s="8" t="n"/>
      <c r="D167" s="1">
        <f>IF($C167="","",VLOOKUP($C167,'WP list'!A:B,2,0))</f>
        <v/>
      </c>
      <c r="E167" s="10" t="n"/>
      <c r="F167" s="20" t="n"/>
      <c r="G167" s="123" t="n"/>
      <c r="H167" s="134" t="n"/>
      <c r="I167" s="138" t="n"/>
      <c r="J167" s="140" t="n"/>
      <c r="K167" s="385">
        <f>+H167*I167*J167</f>
        <v/>
      </c>
      <c r="L167" s="125" t="n"/>
    </row>
    <row r="168">
      <c r="A168" s="122" t="n"/>
      <c r="B168" s="1">
        <f>IF($A168="","",VLOOKUP($A168,'BE list'!A:C,3,0))</f>
        <v/>
      </c>
      <c r="C168" s="8" t="n"/>
      <c r="D168" s="1">
        <f>IF($C168="","",VLOOKUP($C168,'WP list'!A:B,2,0))</f>
        <v/>
      </c>
      <c r="E168" s="10" t="n"/>
      <c r="F168" s="20" t="n"/>
      <c r="G168" s="123" t="n"/>
      <c r="H168" s="134" t="n"/>
      <c r="I168" s="138" t="n"/>
      <c r="J168" s="140" t="n"/>
      <c r="K168" s="385">
        <f>+H168*I168*J168</f>
        <v/>
      </c>
      <c r="L168" s="125" t="n"/>
    </row>
    <row r="169">
      <c r="A169" s="122" t="n"/>
      <c r="B169" s="1">
        <f>IF($A169="","",VLOOKUP($A169,'BE list'!A:C,3,0))</f>
        <v/>
      </c>
      <c r="C169" s="8" t="n"/>
      <c r="D169" s="1">
        <f>IF($C169="","",VLOOKUP($C169,'WP list'!A:B,2,0))</f>
        <v/>
      </c>
      <c r="E169" s="10" t="n"/>
      <c r="F169" s="20" t="n"/>
      <c r="G169" s="123" t="n"/>
      <c r="H169" s="134" t="n"/>
      <c r="I169" s="138" t="n"/>
      <c r="J169" s="140" t="n"/>
      <c r="K169" s="385">
        <f>+H169*I169*J169</f>
        <v/>
      </c>
      <c r="L169" s="125" t="n"/>
    </row>
    <row r="170">
      <c r="A170" s="122" t="n"/>
      <c r="B170" s="1">
        <f>IF($A170="","",VLOOKUP($A170,'BE list'!A:C,3,0))</f>
        <v/>
      </c>
      <c r="C170" s="8" t="n"/>
      <c r="D170" s="1">
        <f>IF($C170="","",VLOOKUP($C170,'WP list'!A:B,2,0))</f>
        <v/>
      </c>
      <c r="E170" s="10" t="n"/>
      <c r="F170" s="20" t="n"/>
      <c r="G170" s="123" t="n"/>
      <c r="H170" s="134" t="n"/>
      <c r="I170" s="138" t="n"/>
      <c r="J170" s="140" t="n"/>
      <c r="K170" s="385">
        <f>+H170*I170*J170</f>
        <v/>
      </c>
      <c r="L170" s="125" t="n"/>
    </row>
    <row r="171">
      <c r="A171" s="122" t="n"/>
      <c r="B171" s="1">
        <f>IF($A171="","",VLOOKUP($A171,'BE list'!A:C,3,0))</f>
        <v/>
      </c>
      <c r="C171" s="8" t="n"/>
      <c r="D171" s="1">
        <f>IF($C171="","",VLOOKUP($C171,'WP list'!A:B,2,0))</f>
        <v/>
      </c>
      <c r="E171" s="10" t="n"/>
      <c r="F171" s="20" t="n"/>
      <c r="G171" s="123" t="n"/>
      <c r="H171" s="134" t="n"/>
      <c r="I171" s="138" t="n"/>
      <c r="J171" s="140" t="n"/>
      <c r="K171" s="385">
        <f>+H171*I171*J171</f>
        <v/>
      </c>
      <c r="L171" s="125" t="n"/>
    </row>
    <row r="172">
      <c r="A172" s="122" t="n"/>
      <c r="B172" s="1">
        <f>IF($A172="","",VLOOKUP($A172,'BE list'!A:C,3,0))</f>
        <v/>
      </c>
      <c r="C172" s="8" t="n"/>
      <c r="D172" s="1">
        <f>IF($C172="","",VLOOKUP($C172,'WP list'!A:B,2,0))</f>
        <v/>
      </c>
      <c r="E172" s="10" t="n"/>
      <c r="F172" s="20" t="n"/>
      <c r="G172" s="123" t="n"/>
      <c r="H172" s="134" t="n"/>
      <c r="I172" s="138" t="n"/>
      <c r="J172" s="140" t="n"/>
      <c r="K172" s="385">
        <f>+H172*I172*J172</f>
        <v/>
      </c>
      <c r="L172" s="125" t="n"/>
    </row>
    <row r="173">
      <c r="A173" s="122" t="n"/>
      <c r="B173" s="1">
        <f>IF($A173="","",VLOOKUP($A173,'BE list'!A:C,3,0))</f>
        <v/>
      </c>
      <c r="C173" s="8" t="n"/>
      <c r="D173" s="1">
        <f>IF($C173="","",VLOOKUP($C173,'WP list'!A:B,2,0))</f>
        <v/>
      </c>
      <c r="E173" s="10" t="n"/>
      <c r="F173" s="20" t="n"/>
      <c r="G173" s="123" t="n"/>
      <c r="H173" s="134" t="n"/>
      <c r="I173" s="138" t="n"/>
      <c r="J173" s="140" t="n"/>
      <c r="K173" s="385">
        <f>+H173*I173*J173</f>
        <v/>
      </c>
      <c r="L173" s="125" t="n"/>
    </row>
    <row r="174">
      <c r="A174" s="122" t="n"/>
      <c r="B174" s="1">
        <f>IF($A174="","",VLOOKUP($A174,'BE list'!A:C,3,0))</f>
        <v/>
      </c>
      <c r="C174" s="8" t="n"/>
      <c r="D174" s="1">
        <f>IF($C174="","",VLOOKUP($C174,'WP list'!A:B,2,0))</f>
        <v/>
      </c>
      <c r="E174" s="10" t="n"/>
      <c r="F174" s="20" t="n"/>
      <c r="G174" s="123" t="n"/>
      <c r="H174" s="134" t="n"/>
      <c r="I174" s="138" t="n"/>
      <c r="J174" s="140" t="n"/>
      <c r="K174" s="385">
        <f>+H174*I174*J174</f>
        <v/>
      </c>
      <c r="L174" s="125" t="n"/>
    </row>
    <row r="175">
      <c r="A175" s="122" t="n"/>
      <c r="B175" s="1">
        <f>IF($A175="","",VLOOKUP($A175,'BE list'!A:C,3,0))</f>
        <v/>
      </c>
      <c r="C175" s="8" t="n"/>
      <c r="D175" s="1">
        <f>IF($C175="","",VLOOKUP($C175,'WP list'!A:B,2,0))</f>
        <v/>
      </c>
      <c r="E175" s="10" t="n"/>
      <c r="F175" s="20" t="n"/>
      <c r="G175" s="123" t="n"/>
      <c r="H175" s="134" t="n"/>
      <c r="I175" s="138" t="n"/>
      <c r="J175" s="140" t="n"/>
      <c r="K175" s="385">
        <f>+H175*I175*J175</f>
        <v/>
      </c>
      <c r="L175" s="125" t="n"/>
    </row>
    <row r="176">
      <c r="A176" s="122" t="n"/>
      <c r="B176" s="1">
        <f>IF($A176="","",VLOOKUP($A176,'BE list'!A:C,3,0))</f>
        <v/>
      </c>
      <c r="C176" s="8" t="n"/>
      <c r="D176" s="1">
        <f>IF($C176="","",VLOOKUP($C176,'WP list'!A:B,2,0))</f>
        <v/>
      </c>
      <c r="E176" s="10" t="n"/>
      <c r="F176" s="20" t="n"/>
      <c r="G176" s="123" t="n"/>
      <c r="H176" s="134" t="n"/>
      <c r="I176" s="138" t="n"/>
      <c r="J176" s="140" t="n"/>
      <c r="K176" s="385">
        <f>+H176*I176*J176</f>
        <v/>
      </c>
      <c r="L176" s="125" t="n"/>
    </row>
    <row r="177">
      <c r="A177" s="122" t="n"/>
      <c r="B177" s="1">
        <f>IF($A177="","",VLOOKUP($A177,'BE list'!A:C,3,0))</f>
        <v/>
      </c>
      <c r="C177" s="8" t="n"/>
      <c r="D177" s="1">
        <f>IF($C177="","",VLOOKUP($C177,'WP list'!A:B,2,0))</f>
        <v/>
      </c>
      <c r="E177" s="10" t="n"/>
      <c r="F177" s="20" t="n"/>
      <c r="G177" s="123" t="n"/>
      <c r="H177" s="134" t="n"/>
      <c r="I177" s="138" t="n"/>
      <c r="J177" s="140" t="n"/>
      <c r="K177" s="385">
        <f>+H177*I177*J177</f>
        <v/>
      </c>
      <c r="L177" s="125" t="n"/>
    </row>
    <row r="178">
      <c r="A178" s="122" t="n"/>
      <c r="B178" s="1">
        <f>IF($A178="","",VLOOKUP($A178,'BE list'!A:C,3,0))</f>
        <v/>
      </c>
      <c r="C178" s="8" t="n"/>
      <c r="D178" s="1">
        <f>IF($C178="","",VLOOKUP($C178,'WP list'!A:B,2,0))</f>
        <v/>
      </c>
      <c r="E178" s="10" t="n"/>
      <c r="F178" s="20" t="n"/>
      <c r="G178" s="123" t="n"/>
      <c r="H178" s="134" t="n"/>
      <c r="I178" s="138" t="n"/>
      <c r="J178" s="140" t="n"/>
      <c r="K178" s="385">
        <f>+H178*I178*J178</f>
        <v/>
      </c>
      <c r="L178" s="125" t="n"/>
    </row>
    <row r="179">
      <c r="A179" s="122" t="n"/>
      <c r="B179" s="1">
        <f>IF($A179="","",VLOOKUP($A179,'BE list'!A:C,3,0))</f>
        <v/>
      </c>
      <c r="C179" s="8" t="n"/>
      <c r="D179" s="1">
        <f>IF($C179="","",VLOOKUP($C179,'WP list'!A:B,2,0))</f>
        <v/>
      </c>
      <c r="E179" s="10" t="n"/>
      <c r="F179" s="20" t="n"/>
      <c r="G179" s="123" t="n"/>
      <c r="H179" s="134" t="n"/>
      <c r="I179" s="138" t="n"/>
      <c r="J179" s="140" t="n"/>
      <c r="K179" s="385">
        <f>+H179*I179*J179</f>
        <v/>
      </c>
      <c r="L179" s="125" t="n"/>
    </row>
    <row r="180">
      <c r="A180" s="122" t="n"/>
      <c r="B180" s="1">
        <f>IF($A180="","",VLOOKUP($A180,'BE list'!A:C,3,0))</f>
        <v/>
      </c>
      <c r="C180" s="8" t="n"/>
      <c r="D180" s="1">
        <f>IF($C180="","",VLOOKUP($C180,'WP list'!A:B,2,0))</f>
        <v/>
      </c>
      <c r="E180" s="10" t="n"/>
      <c r="F180" s="20" t="n"/>
      <c r="G180" s="123" t="n"/>
      <c r="H180" s="134" t="n"/>
      <c r="I180" s="138" t="n"/>
      <c r="J180" s="140" t="n"/>
      <c r="K180" s="385">
        <f>+H180*I180*J180</f>
        <v/>
      </c>
      <c r="L180" s="125" t="n"/>
    </row>
    <row r="181">
      <c r="A181" s="122" t="n"/>
      <c r="B181" s="1">
        <f>IF($A181="","",VLOOKUP($A181,'BE list'!A:C,3,0))</f>
        <v/>
      </c>
      <c r="C181" s="8" t="n"/>
      <c r="D181" s="1">
        <f>IF($C181="","",VLOOKUP($C181,'WP list'!A:B,2,0))</f>
        <v/>
      </c>
      <c r="E181" s="10" t="n"/>
      <c r="F181" s="20" t="n"/>
      <c r="G181" s="123" t="n"/>
      <c r="H181" s="134" t="n"/>
      <c r="I181" s="138" t="n"/>
      <c r="J181" s="140" t="n"/>
      <c r="K181" s="385">
        <f>+H181*I181*J181</f>
        <v/>
      </c>
      <c r="L181" s="125" t="n"/>
    </row>
    <row r="182">
      <c r="A182" s="122" t="n"/>
      <c r="B182" s="1">
        <f>IF($A182="","",VLOOKUP($A182,'BE list'!A:C,3,0))</f>
        <v/>
      </c>
      <c r="C182" s="8" t="n"/>
      <c r="D182" s="1">
        <f>IF($C182="","",VLOOKUP($C182,'WP list'!A:B,2,0))</f>
        <v/>
      </c>
      <c r="E182" s="10" t="n"/>
      <c r="F182" s="20" t="n"/>
      <c r="G182" s="123" t="n"/>
      <c r="H182" s="134" t="n"/>
      <c r="I182" s="138" t="n"/>
      <c r="J182" s="140" t="n"/>
      <c r="K182" s="385">
        <f>+H182*I182*J182</f>
        <v/>
      </c>
      <c r="L182" s="125" t="n"/>
    </row>
    <row r="183">
      <c r="A183" s="122" t="n"/>
      <c r="B183" s="1">
        <f>IF($A183="","",VLOOKUP($A183,'BE list'!A:C,3,0))</f>
        <v/>
      </c>
      <c r="C183" s="8" t="n"/>
      <c r="D183" s="1">
        <f>IF($C183="","",VLOOKUP($C183,'WP list'!A:B,2,0))</f>
        <v/>
      </c>
      <c r="E183" s="10" t="n"/>
      <c r="F183" s="20" t="n"/>
      <c r="G183" s="123" t="n"/>
      <c r="H183" s="134" t="n"/>
      <c r="I183" s="138" t="n"/>
      <c r="J183" s="140" t="n"/>
      <c r="K183" s="385">
        <f>+H183*I183*J183</f>
        <v/>
      </c>
      <c r="L183" s="125" t="n"/>
    </row>
    <row r="184">
      <c r="A184" s="122" t="n"/>
      <c r="B184" s="1">
        <f>IF($A184="","",VLOOKUP($A184,'BE list'!A:C,3,0))</f>
        <v/>
      </c>
      <c r="C184" s="8" t="n"/>
      <c r="D184" s="1">
        <f>IF($C184="","",VLOOKUP($C184,'WP list'!A:B,2,0))</f>
        <v/>
      </c>
      <c r="E184" s="10" t="n"/>
      <c r="F184" s="20" t="n"/>
      <c r="G184" s="123" t="n"/>
      <c r="H184" s="134" t="n"/>
      <c r="I184" s="138" t="n"/>
      <c r="J184" s="140" t="n"/>
      <c r="K184" s="385">
        <f>+H184*I184*J184</f>
        <v/>
      </c>
      <c r="L184" s="125" t="n"/>
    </row>
    <row r="185">
      <c r="A185" s="122" t="n"/>
      <c r="B185" s="1">
        <f>IF($A185="","",VLOOKUP($A185,'BE list'!A:C,3,0))</f>
        <v/>
      </c>
      <c r="C185" s="8" t="n"/>
      <c r="D185" s="1">
        <f>IF($C185="","",VLOOKUP($C185,'WP list'!A:B,2,0))</f>
        <v/>
      </c>
      <c r="E185" s="10" t="n"/>
      <c r="F185" s="20" t="n"/>
      <c r="G185" s="123" t="n"/>
      <c r="H185" s="134" t="n"/>
      <c r="I185" s="138" t="n"/>
      <c r="J185" s="140" t="n"/>
      <c r="K185" s="385">
        <f>+H185*I185*J185</f>
        <v/>
      </c>
      <c r="L185" s="125" t="n"/>
    </row>
    <row r="186">
      <c r="A186" s="122" t="n"/>
      <c r="B186" s="1">
        <f>IF($A186="","",VLOOKUP($A186,'BE list'!A:C,3,0))</f>
        <v/>
      </c>
      <c r="C186" s="8" t="n"/>
      <c r="D186" s="1">
        <f>IF($C186="","",VLOOKUP($C186,'WP list'!A:B,2,0))</f>
        <v/>
      </c>
      <c r="E186" s="10" t="n"/>
      <c r="F186" s="20" t="n"/>
      <c r="G186" s="123" t="n"/>
      <c r="H186" s="134" t="n"/>
      <c r="I186" s="138" t="n"/>
      <c r="J186" s="140" t="n"/>
      <c r="K186" s="385">
        <f>+H186*I186*J186</f>
        <v/>
      </c>
      <c r="L186" s="125" t="n"/>
    </row>
    <row r="187">
      <c r="A187" s="122" t="n"/>
      <c r="B187" s="1">
        <f>IF($A187="","",VLOOKUP($A187,'BE list'!A:C,3,0))</f>
        <v/>
      </c>
      <c r="C187" s="8" t="n"/>
      <c r="D187" s="1">
        <f>IF($C187="","",VLOOKUP($C187,'WP list'!A:B,2,0))</f>
        <v/>
      </c>
      <c r="E187" s="10" t="n"/>
      <c r="F187" s="20" t="n"/>
      <c r="G187" s="123" t="n"/>
      <c r="H187" s="134" t="n"/>
      <c r="I187" s="138" t="n"/>
      <c r="J187" s="140" t="n"/>
      <c r="K187" s="385">
        <f>+H187*I187*J187</f>
        <v/>
      </c>
      <c r="L187" s="125" t="n"/>
    </row>
    <row r="188">
      <c r="A188" s="122" t="n"/>
      <c r="B188" s="1">
        <f>IF($A188="","",VLOOKUP($A188,'BE list'!A:C,3,0))</f>
        <v/>
      </c>
      <c r="C188" s="8" t="n"/>
      <c r="D188" s="1">
        <f>IF($C188="","",VLOOKUP($C188,'WP list'!A:B,2,0))</f>
        <v/>
      </c>
      <c r="E188" s="10" t="n"/>
      <c r="F188" s="20" t="n"/>
      <c r="G188" s="123" t="n"/>
      <c r="H188" s="134" t="n"/>
      <c r="I188" s="138" t="n"/>
      <c r="J188" s="140" t="n"/>
      <c r="K188" s="385">
        <f>+H188*I188*J188</f>
        <v/>
      </c>
      <c r="L188" s="125" t="n"/>
    </row>
    <row r="189">
      <c r="A189" s="122" t="n"/>
      <c r="B189" s="1">
        <f>IF($A189="","",VLOOKUP($A189,'BE list'!A:C,3,0))</f>
        <v/>
      </c>
      <c r="C189" s="8" t="n"/>
      <c r="D189" s="1">
        <f>IF($C189="","",VLOOKUP($C189,'WP list'!A:B,2,0))</f>
        <v/>
      </c>
      <c r="E189" s="10" t="n"/>
      <c r="F189" s="20" t="n"/>
      <c r="G189" s="123" t="n"/>
      <c r="H189" s="134" t="n"/>
      <c r="I189" s="138" t="n"/>
      <c r="J189" s="140" t="n"/>
      <c r="K189" s="385">
        <f>+H189*I189*J189</f>
        <v/>
      </c>
      <c r="L189" s="125" t="n"/>
    </row>
    <row r="190">
      <c r="A190" s="122" t="n"/>
      <c r="B190" s="1">
        <f>IF($A190="","",VLOOKUP($A190,'BE list'!A:C,3,0))</f>
        <v/>
      </c>
      <c r="C190" s="8" t="n"/>
      <c r="D190" s="1">
        <f>IF($C190="","",VLOOKUP($C190,'WP list'!A:B,2,0))</f>
        <v/>
      </c>
      <c r="E190" s="10" t="n"/>
      <c r="F190" s="20" t="n"/>
      <c r="G190" s="123" t="n"/>
      <c r="H190" s="134" t="n"/>
      <c r="I190" s="138" t="n"/>
      <c r="J190" s="140" t="n"/>
      <c r="K190" s="385">
        <f>+H190*I190*J190</f>
        <v/>
      </c>
      <c r="L190" s="125" t="n"/>
    </row>
    <row r="191">
      <c r="A191" s="122" t="n"/>
      <c r="B191" s="1">
        <f>IF($A191="","",VLOOKUP($A191,'BE list'!A:C,3,0))</f>
        <v/>
      </c>
      <c r="C191" s="8" t="n"/>
      <c r="D191" s="1">
        <f>IF($C191="","",VLOOKUP($C191,'WP list'!A:B,2,0))</f>
        <v/>
      </c>
      <c r="E191" s="10" t="n"/>
      <c r="F191" s="20" t="n"/>
      <c r="G191" s="123" t="n"/>
      <c r="H191" s="134" t="n"/>
      <c r="I191" s="138" t="n"/>
      <c r="J191" s="140" t="n"/>
      <c r="K191" s="385">
        <f>+H191*I191*J191</f>
        <v/>
      </c>
      <c r="L191" s="125" t="n"/>
    </row>
    <row r="192">
      <c r="A192" s="122" t="n"/>
      <c r="B192" s="1">
        <f>IF($A192="","",VLOOKUP($A192,'BE list'!A:C,3,0))</f>
        <v/>
      </c>
      <c r="C192" s="8" t="n"/>
      <c r="D192" s="1">
        <f>IF($C192="","",VLOOKUP($C192,'WP list'!A:B,2,0))</f>
        <v/>
      </c>
      <c r="E192" s="10" t="n"/>
      <c r="F192" s="20" t="n"/>
      <c r="G192" s="123" t="n"/>
      <c r="H192" s="134" t="n"/>
      <c r="I192" s="138" t="n"/>
      <c r="J192" s="140" t="n"/>
      <c r="K192" s="385">
        <f>+H192*I192*J192</f>
        <v/>
      </c>
      <c r="L192" s="125" t="n"/>
    </row>
    <row r="193">
      <c r="A193" s="122" t="n"/>
      <c r="B193" s="1">
        <f>IF($A193="","",VLOOKUP($A193,'BE list'!A:C,3,0))</f>
        <v/>
      </c>
      <c r="C193" s="8" t="n"/>
      <c r="D193" s="1">
        <f>IF($C193="","",VLOOKUP($C193,'WP list'!A:B,2,0))</f>
        <v/>
      </c>
      <c r="E193" s="10" t="n"/>
      <c r="F193" s="20" t="n"/>
      <c r="G193" s="123" t="n"/>
      <c r="H193" s="134" t="n"/>
      <c r="I193" s="138" t="n"/>
      <c r="J193" s="140" t="n"/>
      <c r="K193" s="385">
        <f>+H193*I193*J193</f>
        <v/>
      </c>
      <c r="L193" s="125" t="n"/>
    </row>
    <row r="194">
      <c r="A194" s="122" t="n"/>
      <c r="B194" s="1">
        <f>IF($A194="","",VLOOKUP($A194,'BE list'!A:C,3,0))</f>
        <v/>
      </c>
      <c r="C194" s="8" t="n"/>
      <c r="D194" s="1">
        <f>IF($C194="","",VLOOKUP($C194,'WP list'!A:B,2,0))</f>
        <v/>
      </c>
      <c r="E194" s="10" t="n"/>
      <c r="F194" s="20" t="n"/>
      <c r="G194" s="123" t="n"/>
      <c r="H194" s="134" t="n"/>
      <c r="I194" s="138" t="n"/>
      <c r="J194" s="140" t="n"/>
      <c r="K194" s="385">
        <f>+H194*I194*J194</f>
        <v/>
      </c>
      <c r="L194" s="125" t="n"/>
    </row>
    <row r="195">
      <c r="A195" s="122" t="n"/>
      <c r="B195" s="1">
        <f>IF($A195="","",VLOOKUP($A195,'BE list'!A:C,3,0))</f>
        <v/>
      </c>
      <c r="C195" s="8" t="n"/>
      <c r="D195" s="1">
        <f>IF($C195="","",VLOOKUP($C195,'WP list'!A:B,2,0))</f>
        <v/>
      </c>
      <c r="E195" s="10" t="n"/>
      <c r="F195" s="20" t="n"/>
      <c r="G195" s="123" t="n"/>
      <c r="H195" s="134" t="n"/>
      <c r="I195" s="138" t="n"/>
      <c r="J195" s="140" t="n"/>
      <c r="K195" s="385">
        <f>+H195*I195*J195</f>
        <v/>
      </c>
      <c r="L195" s="125" t="n"/>
    </row>
    <row r="196">
      <c r="A196" s="122" t="n"/>
      <c r="B196" s="1">
        <f>IF($A196="","",VLOOKUP($A196,'BE list'!A:C,3,0))</f>
        <v/>
      </c>
      <c r="C196" s="8" t="n"/>
      <c r="D196" s="1">
        <f>IF($C196="","",VLOOKUP($C196,'WP list'!A:B,2,0))</f>
        <v/>
      </c>
      <c r="E196" s="10" t="n"/>
      <c r="F196" s="20" t="n"/>
      <c r="G196" s="123" t="n"/>
      <c r="H196" s="134" t="n"/>
      <c r="I196" s="138" t="n"/>
      <c r="J196" s="140" t="n"/>
      <c r="K196" s="385">
        <f>+H196*I196*J196</f>
        <v/>
      </c>
      <c r="L196" s="125" t="n"/>
    </row>
    <row r="197">
      <c r="A197" s="122" t="n"/>
      <c r="B197" s="1">
        <f>IF($A197="","",VLOOKUP($A197,'BE list'!A:C,3,0))</f>
        <v/>
      </c>
      <c r="C197" s="8" t="n"/>
      <c r="D197" s="1">
        <f>IF($C197="","",VLOOKUP($C197,'WP list'!A:B,2,0))</f>
        <v/>
      </c>
      <c r="E197" s="10" t="n"/>
      <c r="F197" s="20" t="n"/>
      <c r="G197" s="123" t="n"/>
      <c r="H197" s="134" t="n"/>
      <c r="I197" s="138" t="n"/>
      <c r="J197" s="140" t="n"/>
      <c r="K197" s="385">
        <f>+H197*I197*J197</f>
        <v/>
      </c>
      <c r="L197" s="125" t="n"/>
    </row>
    <row r="198">
      <c r="A198" s="122" t="n"/>
      <c r="B198" s="1">
        <f>IF($A198="","",VLOOKUP($A198,'BE list'!A:C,3,0))</f>
        <v/>
      </c>
      <c r="C198" s="8" t="n"/>
      <c r="D198" s="1">
        <f>IF($C198="","",VLOOKUP($C198,'WP list'!A:B,2,0))</f>
        <v/>
      </c>
      <c r="E198" s="10" t="n"/>
      <c r="F198" s="20" t="n"/>
      <c r="G198" s="123" t="n"/>
      <c r="H198" s="134" t="n"/>
      <c r="I198" s="138" t="n"/>
      <c r="J198" s="140" t="n"/>
      <c r="K198" s="385">
        <f>+H198*I198*J198</f>
        <v/>
      </c>
      <c r="L198" s="125" t="n"/>
    </row>
    <row r="199">
      <c r="A199" s="122" t="n"/>
      <c r="B199" s="1">
        <f>IF($A199="","",VLOOKUP($A199,'BE list'!A:C,3,0))</f>
        <v/>
      </c>
      <c r="C199" s="8" t="n"/>
      <c r="D199" s="1">
        <f>IF($C199="","",VLOOKUP($C199,'WP list'!A:B,2,0))</f>
        <v/>
      </c>
      <c r="E199" s="10" t="n"/>
      <c r="F199" s="20" t="n"/>
      <c r="G199" s="123" t="n"/>
      <c r="H199" s="134" t="n"/>
      <c r="I199" s="138" t="n"/>
      <c r="J199" s="140" t="n"/>
      <c r="K199" s="385">
        <f>+H199*I199*J199</f>
        <v/>
      </c>
      <c r="L199" s="125" t="n"/>
    </row>
    <row r="200">
      <c r="A200" s="122" t="n"/>
      <c r="B200" s="1">
        <f>IF($A200="","",VLOOKUP($A200,'BE list'!A:C,3,0))</f>
        <v/>
      </c>
      <c r="C200" s="8" t="n"/>
      <c r="D200" s="1">
        <f>IF($C200="","",VLOOKUP($C200,'WP list'!A:B,2,0))</f>
        <v/>
      </c>
      <c r="E200" s="10" t="n"/>
      <c r="F200" s="20" t="n"/>
      <c r="G200" s="123" t="n"/>
      <c r="H200" s="134" t="n"/>
      <c r="I200" s="138" t="n"/>
      <c r="J200" s="140" t="n"/>
      <c r="K200" s="385">
        <f>+H200*I200*J200</f>
        <v/>
      </c>
      <c r="L200" s="125" t="n"/>
    </row>
    <row r="201">
      <c r="A201" s="122" t="n"/>
      <c r="B201" s="1">
        <f>IF($A201="","",VLOOKUP($A201,'BE list'!A:C,3,0))</f>
        <v/>
      </c>
      <c r="C201" s="8" t="n"/>
      <c r="D201" s="1">
        <f>IF($C201="","",VLOOKUP($C201,'WP list'!A:B,2,0))</f>
        <v/>
      </c>
      <c r="E201" s="10" t="n"/>
      <c r="F201" s="20" t="n"/>
      <c r="G201" s="123" t="n"/>
      <c r="H201" s="134" t="n"/>
      <c r="I201" s="138" t="n"/>
      <c r="J201" s="140" t="n"/>
      <c r="K201" s="385">
        <f>+H201*I201*J201</f>
        <v/>
      </c>
      <c r="L201" s="125" t="n"/>
    </row>
    <row r="202">
      <c r="A202" s="122" t="n"/>
      <c r="B202" s="1">
        <f>IF($A202="","",VLOOKUP($A202,'BE list'!A:C,3,0))</f>
        <v/>
      </c>
      <c r="C202" s="8" t="n"/>
      <c r="D202" s="1">
        <f>IF($C202="","",VLOOKUP($C202,'WP list'!A:B,2,0))</f>
        <v/>
      </c>
      <c r="E202" s="10" t="n"/>
      <c r="F202" s="20" t="n"/>
      <c r="G202" s="123" t="n"/>
      <c r="H202" s="134" t="n"/>
      <c r="I202" s="138" t="n"/>
      <c r="J202" s="140" t="n"/>
      <c r="K202" s="385">
        <f>+H202*I202*J202</f>
        <v/>
      </c>
      <c r="L202" s="125" t="n"/>
    </row>
    <row r="203">
      <c r="A203" s="122" t="n"/>
      <c r="B203" s="1">
        <f>IF($A203="","",VLOOKUP($A203,'BE list'!A:C,3,0))</f>
        <v/>
      </c>
      <c r="C203" s="8" t="n"/>
      <c r="D203" s="1">
        <f>IF($C203="","",VLOOKUP($C203,'WP list'!A:B,2,0))</f>
        <v/>
      </c>
      <c r="E203" s="10" t="n"/>
      <c r="F203" s="20" t="n"/>
      <c r="G203" s="123" t="n"/>
      <c r="H203" s="134" t="n"/>
      <c r="I203" s="138" t="n"/>
      <c r="J203" s="140" t="n"/>
      <c r="K203" s="385">
        <f>+H203*I203*J203</f>
        <v/>
      </c>
      <c r="L203" s="125" t="n"/>
    </row>
    <row r="204">
      <c r="A204" s="122" t="n"/>
      <c r="B204" s="1">
        <f>IF($A204="","",VLOOKUP($A204,'BE list'!A:C,3,0))</f>
        <v/>
      </c>
      <c r="C204" s="8" t="n"/>
      <c r="D204" s="1">
        <f>IF($C204="","",VLOOKUP($C204,'WP list'!A:B,2,0))</f>
        <v/>
      </c>
      <c r="E204" s="10" t="n"/>
      <c r="F204" s="20" t="n"/>
      <c r="G204" s="123" t="n"/>
      <c r="H204" s="134" t="n"/>
      <c r="I204" s="138" t="n"/>
      <c r="J204" s="140" t="n"/>
      <c r="K204" s="385">
        <f>+H204*I204*J204</f>
        <v/>
      </c>
      <c r="L204" s="125" t="n"/>
    </row>
    <row r="205">
      <c r="A205" s="122" t="n"/>
      <c r="B205" s="1">
        <f>IF($A205="","",VLOOKUP($A205,'BE list'!A:C,3,0))</f>
        <v/>
      </c>
      <c r="C205" s="8" t="n"/>
      <c r="D205" s="1">
        <f>IF($C205="","",VLOOKUP($C205,'WP list'!A:B,2,0))</f>
        <v/>
      </c>
      <c r="E205" s="10" t="n"/>
      <c r="F205" s="20" t="n"/>
      <c r="G205" s="123" t="n"/>
      <c r="H205" s="134" t="n"/>
      <c r="I205" s="138" t="n"/>
      <c r="J205" s="140" t="n"/>
      <c r="K205" s="385">
        <f>+H205*I205*J205</f>
        <v/>
      </c>
      <c r="L205" s="125" t="n"/>
    </row>
    <row r="206">
      <c r="A206" s="122" t="n"/>
      <c r="B206" s="1">
        <f>IF($A206="","",VLOOKUP($A206,'BE list'!A:C,3,0))</f>
        <v/>
      </c>
      <c r="C206" s="8" t="n"/>
      <c r="D206" s="1">
        <f>IF($C206="","",VLOOKUP($C206,'WP list'!A:B,2,0))</f>
        <v/>
      </c>
      <c r="E206" s="10" t="n"/>
      <c r="F206" s="20" t="n"/>
      <c r="G206" s="123" t="n"/>
      <c r="H206" s="134" t="n"/>
      <c r="I206" s="138" t="n"/>
      <c r="J206" s="140" t="n"/>
      <c r="K206" s="385">
        <f>+H206*I206*J206</f>
        <v/>
      </c>
      <c r="L206" s="125" t="n"/>
    </row>
    <row r="207">
      <c r="A207" s="122" t="n"/>
      <c r="B207" s="1">
        <f>IF($A207="","",VLOOKUP($A207,'BE list'!A:C,3,0))</f>
        <v/>
      </c>
      <c r="C207" s="8" t="n"/>
      <c r="D207" s="1">
        <f>IF($C207="","",VLOOKUP($C207,'WP list'!A:B,2,0))</f>
        <v/>
      </c>
      <c r="E207" s="10" t="n"/>
      <c r="F207" s="20" t="n"/>
      <c r="G207" s="123" t="n"/>
      <c r="H207" s="134" t="n"/>
      <c r="I207" s="138" t="n"/>
      <c r="J207" s="140" t="n"/>
      <c r="K207" s="385">
        <f>+H207*I207*J207</f>
        <v/>
      </c>
      <c r="L207" s="125" t="n"/>
    </row>
    <row r="208">
      <c r="A208" s="122" t="n"/>
      <c r="B208" s="1">
        <f>IF($A208="","",VLOOKUP($A208,'BE list'!A:C,3,0))</f>
        <v/>
      </c>
      <c r="C208" s="8" t="n"/>
      <c r="D208" s="1">
        <f>IF($C208="","",VLOOKUP($C208,'WP list'!A:B,2,0))</f>
        <v/>
      </c>
      <c r="E208" s="10" t="n"/>
      <c r="F208" s="20" t="n"/>
      <c r="G208" s="123" t="n"/>
      <c r="H208" s="134" t="n"/>
      <c r="I208" s="138" t="n"/>
      <c r="J208" s="140" t="n"/>
      <c r="K208" s="385">
        <f>+H208*I208*J208</f>
        <v/>
      </c>
      <c r="L208" s="125" t="n"/>
    </row>
    <row r="209" ht="15" customHeight="1" thickBot="1">
      <c r="A209" s="122" t="n"/>
      <c r="B209" s="1">
        <f>IF($A209="","",VLOOKUP($A209,'BE list'!A:C,3,0))</f>
        <v/>
      </c>
      <c r="C209" s="8" t="n"/>
      <c r="D209" s="1">
        <f>IF($C209="","",VLOOKUP($C209,'WP list'!A:B,2,0))</f>
        <v/>
      </c>
      <c r="E209" s="126" t="n"/>
      <c r="F209" s="127" t="n"/>
      <c r="G209" s="128" t="n"/>
      <c r="H209" s="135" t="n"/>
      <c r="I209" s="141" t="n"/>
      <c r="J209" s="142" t="n"/>
      <c r="K209" s="386">
        <f>+H209*I209*J209</f>
        <v/>
      </c>
      <c r="L209" s="130" t="n"/>
    </row>
  </sheetData>
  <sheetProtection selectLockedCells="1" selectUnlockedCells="0" algorithmName="SHA-512" sheet="1" objects="0" insertRows="1" insertHyperlinks="1" autoFilter="1" scenarios="0" formatColumns="1" deleteColumns="1" insertColumns="1" pivotTables="1" deleteRows="1" formatCells="1" saltValue="LuwufcngoiEOnDrj6dOPZg==" formatRows="1" sort="1" spinCount="100000" hashValue="5FObuCWl3wnJJwPKX/KbOR7ykInoA6v6NGSrQ7x9w6UdO/5Wov+MDsHdFeDS2tj8ZHPsLvapwOE5Ix26+RaKAw=="/>
  <mergeCells count="1">
    <mergeCell ref="A1:L1"/>
  </mergeCells>
  <dataValidations count="2">
    <dataValidation sqref="E3:E209" showDropDown="0" showInputMessage="1" showErrorMessage="1" allowBlank="1" promptTitle="Ressources type" prompt="Make your choice" type="list">
      <formula1>" Equipment,Infrastructures,Other assets"</formula1>
    </dataValidation>
    <dataValidation sqref="G3" showDropDown="0" showInputMessage="1" showErrorMessage="1" allowBlank="1" type="date">
      <formula1>1</formula1>
      <formula2>73415</formula2>
    </dataValidation>
  </dataValidations>
  <pageMargins left="0.25" right="0.25" top="0.75" bottom="0.75" header="0.3" footer="0.3"/>
  <pageSetup orientation="landscape" paperSize="9" scale="60" fitToHeight="0"/>
</worksheet>
</file>

<file path=xl/worksheets/sheet16.xml><?xml version="1.0" encoding="utf-8"?>
<worksheet xmlns="http://schemas.openxmlformats.org/spreadsheetml/2006/main">
  <sheetPr codeName="Sheet110">
    <tabColor theme="6" tint="0.5999938962981048"/>
    <outlinePr summaryBelow="1" summaryRight="1"/>
    <pageSetUpPr fitToPage="1"/>
  </sheetPr>
  <dimension ref="A1:K111"/>
  <sheetViews>
    <sheetView workbookViewId="0">
      <pane ySplit="2" topLeftCell="A3" activePane="bottomLeft" state="frozenSplit"/>
      <selection pane="bottomLeft" activeCell="A3" sqref="A3"/>
      <selection activeCell="B7" sqref="B7"/>
    </sheetView>
  </sheetViews>
  <sheetFormatPr baseColWidth="8" defaultColWidth="8.7109375" defaultRowHeight="14.45"/>
  <cols>
    <col width="7.7109375" customWidth="1" style="45" min="1" max="1"/>
    <col width="14.7109375" customWidth="1" style="35" min="2" max="3"/>
    <col width="75.7109375" customWidth="1" style="35" min="4" max="4"/>
  </cols>
  <sheetData>
    <row r="1" ht="21" customFormat="1" customHeight="1" s="45">
      <c r="A1" s="308" t="inlineStr">
        <is>
          <t>Any comments</t>
        </is>
      </c>
      <c r="B1" s="387" t="n"/>
      <c r="C1" s="387" t="n"/>
      <c r="D1" s="388" t="n"/>
      <c r="E1" s="240" t="n"/>
      <c r="F1" s="240" t="n"/>
      <c r="G1" s="240" t="n"/>
      <c r="H1" s="240" t="n"/>
      <c r="I1" s="240" t="n"/>
      <c r="J1" s="240" t="n"/>
      <c r="K1" s="240" t="n"/>
    </row>
    <row r="2" ht="15" customFormat="1" customHeight="1" s="61" thickBot="1">
      <c r="A2" s="236" t="inlineStr">
        <is>
          <t>nr</t>
        </is>
      </c>
      <c r="B2" s="237" t="inlineStr">
        <is>
          <t>BE ref</t>
        </is>
      </c>
      <c r="C2" s="238" t="inlineStr">
        <is>
          <t>WP ref</t>
        </is>
      </c>
      <c r="D2" s="239" t="inlineStr">
        <is>
          <t>Comments</t>
        </is>
      </c>
    </row>
    <row r="3">
      <c r="A3" s="241" t="n">
        <v>1</v>
      </c>
      <c r="B3" s="65" t="inlineStr">
        <is>
          <t>BE2</t>
        </is>
      </c>
      <c r="C3" s="65" t="inlineStr">
        <is>
          <t>all</t>
        </is>
      </c>
      <c r="D3" s="65" t="inlineStr">
        <is>
          <t>Sunlit Sea equipment costs (production tooling €100k and standard commercial PV modules €40k, both under WP5) are declared as depreciation at 100% of purchase cost: each asset is exclusively dedicated to the project (100% used for the project) and its operational life is consumed within the project period (100% of useful life in the project). Rationale is captured in the Depreciation costs sheet. Sunlit Sea does not procure sensors, monitoring instrumentation, or mooring/anchoring hardware; those items are procured by SINTEF and CLEMENT respectively (Table 3.3h). Sunlit Sea does not run accelerated ageing tests; that work is subcontracted by SINTEF (Sunlit Sea supplies modules for the tests as part of its WP4 personnel effort).</t>
        </is>
      </c>
    </row>
    <row r="4">
      <c r="A4" s="241" t="n"/>
      <c r="B4" s="65" t="n"/>
      <c r="C4" s="65" t="n"/>
      <c r="D4" s="66" t="n"/>
    </row>
    <row r="5">
      <c r="A5" s="241" t="n"/>
      <c r="B5" s="65" t="n"/>
      <c r="C5" s="65" t="n"/>
      <c r="D5" s="66" t="n"/>
    </row>
    <row r="6">
      <c r="A6" s="241" t="n"/>
      <c r="B6" s="65" t="n"/>
      <c r="C6" s="65" t="n"/>
      <c r="D6" s="66" t="n"/>
    </row>
    <row r="7">
      <c r="A7" s="241" t="n"/>
      <c r="B7" s="65" t="n"/>
      <c r="C7" s="65" t="n"/>
      <c r="D7" s="66" t="n"/>
    </row>
    <row r="8">
      <c r="A8" s="241" t="n"/>
      <c r="B8" s="65" t="n"/>
      <c r="C8" s="65" t="n"/>
      <c r="D8" s="66" t="n"/>
    </row>
    <row r="9">
      <c r="A9" s="241" t="n"/>
      <c r="B9" s="65" t="n"/>
      <c r="C9" s="65" t="n"/>
      <c r="D9" s="66" t="n"/>
    </row>
    <row r="10">
      <c r="A10" s="241" t="n"/>
      <c r="B10" s="65" t="n"/>
      <c r="C10" s="65" t="n"/>
      <c r="D10" s="66" t="n"/>
    </row>
    <row r="11">
      <c r="A11" s="241" t="n"/>
      <c r="B11" s="65" t="n"/>
      <c r="C11" s="65" t="n"/>
      <c r="D11" s="66" t="n"/>
    </row>
    <row r="12">
      <c r="A12" s="241" t="n"/>
      <c r="B12" s="65" t="n"/>
      <c r="C12" s="65" t="n"/>
      <c r="D12" s="66" t="n"/>
    </row>
    <row r="13">
      <c r="A13" s="241" t="n"/>
      <c r="B13" s="65" t="n"/>
      <c r="C13" s="65" t="n"/>
      <c r="D13" s="66" t="n"/>
    </row>
    <row r="14">
      <c r="A14" s="241" t="n"/>
      <c r="B14" s="65" t="n"/>
      <c r="C14" s="65" t="n"/>
      <c r="D14" s="66" t="n"/>
    </row>
    <row r="15">
      <c r="A15" s="241" t="n"/>
      <c r="B15" s="65" t="n"/>
      <c r="C15" s="65" t="n"/>
      <c r="D15" s="66" t="n"/>
    </row>
    <row r="16">
      <c r="A16" s="241" t="n"/>
      <c r="B16" s="65" t="n"/>
      <c r="C16" s="65" t="n"/>
      <c r="D16" s="66" t="n"/>
    </row>
    <row r="17">
      <c r="A17" s="241" t="n"/>
      <c r="B17" s="65" t="n"/>
      <c r="C17" s="65" t="n"/>
      <c r="D17" s="66" t="n"/>
    </row>
    <row r="18">
      <c r="A18" s="241" t="n"/>
      <c r="B18" s="65" t="n"/>
      <c r="C18" s="65" t="n"/>
      <c r="D18" s="66" t="n"/>
    </row>
    <row r="19">
      <c r="A19" s="241" t="n"/>
      <c r="B19" s="65" t="n"/>
      <c r="C19" s="65" t="n"/>
      <c r="D19" s="66" t="n"/>
    </row>
    <row r="20">
      <c r="A20" s="241" t="n"/>
      <c r="B20" s="65" t="n"/>
      <c r="C20" s="65" t="n"/>
      <c r="D20" s="66" t="n"/>
    </row>
    <row r="21">
      <c r="A21" s="241" t="n"/>
      <c r="B21" s="65" t="n"/>
      <c r="C21" s="65" t="n"/>
      <c r="D21" s="66" t="n"/>
    </row>
    <row r="22">
      <c r="A22" s="241" t="n"/>
      <c r="B22" s="65" t="n"/>
      <c r="C22" s="65" t="n"/>
      <c r="D22" s="66" t="n"/>
    </row>
    <row r="23">
      <c r="A23" s="241" t="n"/>
      <c r="B23" s="65" t="n"/>
      <c r="C23" s="65" t="n"/>
      <c r="D23" s="66" t="n"/>
    </row>
    <row r="24">
      <c r="A24" s="241" t="n"/>
      <c r="B24" s="65" t="n"/>
      <c r="C24" s="65" t="n"/>
      <c r="D24" s="66" t="n"/>
    </row>
    <row r="25">
      <c r="A25" s="241" t="n"/>
      <c r="B25" s="65" t="n"/>
      <c r="C25" s="65" t="n"/>
      <c r="D25" s="66" t="n"/>
    </row>
    <row r="26">
      <c r="A26" s="241" t="n"/>
      <c r="B26" s="65" t="n"/>
      <c r="C26" s="65" t="n"/>
      <c r="D26" s="66" t="n"/>
    </row>
    <row r="27">
      <c r="A27" s="241" t="n"/>
      <c r="B27" s="65" t="n"/>
      <c r="C27" s="65" t="n"/>
      <c r="D27" s="66" t="n"/>
    </row>
    <row r="28">
      <c r="A28" s="241" t="n"/>
      <c r="B28" s="65" t="n"/>
      <c r="C28" s="65" t="n"/>
      <c r="D28" s="66" t="n"/>
    </row>
    <row r="29">
      <c r="A29" s="241" t="n"/>
      <c r="B29" s="65" t="n"/>
      <c r="C29" s="65" t="n"/>
      <c r="D29" s="66" t="n"/>
    </row>
    <row r="30">
      <c r="A30" s="241" t="n"/>
      <c r="B30" s="65" t="n"/>
      <c r="C30" s="65" t="n"/>
      <c r="D30" s="66" t="n"/>
    </row>
    <row r="31">
      <c r="A31" s="241" t="n"/>
      <c r="B31" s="65" t="n"/>
      <c r="C31" s="65" t="n"/>
      <c r="D31" s="66" t="n"/>
    </row>
    <row r="32">
      <c r="A32" s="241" t="n"/>
      <c r="B32" s="65" t="n"/>
      <c r="C32" s="65" t="n"/>
      <c r="D32" s="66" t="n"/>
    </row>
    <row r="33">
      <c r="A33" s="241" t="n"/>
      <c r="B33" s="65" t="n"/>
      <c r="C33" s="65" t="n"/>
      <c r="D33" s="66" t="n"/>
    </row>
    <row r="34">
      <c r="A34" s="241" t="n"/>
      <c r="B34" s="65" t="n"/>
      <c r="C34" s="65" t="n"/>
      <c r="D34" s="66" t="n"/>
    </row>
    <row r="35">
      <c r="A35" s="241" t="n"/>
      <c r="B35" s="65" t="n"/>
      <c r="C35" s="65" t="n"/>
      <c r="D35" s="66" t="n"/>
    </row>
    <row r="36">
      <c r="A36" s="241" t="n"/>
      <c r="B36" s="65" t="n"/>
      <c r="C36" s="65" t="n"/>
      <c r="D36" s="66" t="n"/>
    </row>
    <row r="37">
      <c r="A37" s="241" t="n"/>
      <c r="B37" s="65" t="n"/>
      <c r="C37" s="65" t="n"/>
      <c r="D37" s="66" t="n"/>
    </row>
    <row r="38">
      <c r="A38" s="241" t="n"/>
      <c r="B38" s="65" t="n"/>
      <c r="C38" s="65" t="n"/>
      <c r="D38" s="66" t="n"/>
    </row>
    <row r="39">
      <c r="A39" s="241" t="n"/>
      <c r="B39" s="65" t="n"/>
      <c r="C39" s="65" t="n"/>
      <c r="D39" s="66" t="n"/>
    </row>
    <row r="40">
      <c r="A40" s="241" t="n"/>
      <c r="B40" s="65" t="n"/>
      <c r="C40" s="65" t="n"/>
      <c r="D40" s="66" t="n"/>
    </row>
    <row r="41">
      <c r="A41" s="241" t="n"/>
      <c r="B41" s="65" t="n"/>
      <c r="C41" s="65" t="n"/>
      <c r="D41" s="66" t="n"/>
    </row>
    <row r="42">
      <c r="A42" s="241" t="n"/>
      <c r="B42" s="65" t="n"/>
      <c r="C42" s="65" t="n"/>
      <c r="D42" s="66" t="n"/>
    </row>
    <row r="43">
      <c r="A43" s="241" t="n"/>
      <c r="B43" s="65" t="n"/>
      <c r="C43" s="65" t="n"/>
      <c r="D43" s="66" t="n"/>
    </row>
    <row r="44">
      <c r="A44" s="241" t="n"/>
      <c r="B44" s="65" t="n"/>
      <c r="C44" s="65" t="n"/>
      <c r="D44" s="66" t="n"/>
    </row>
    <row r="45">
      <c r="A45" s="241" t="n"/>
      <c r="B45" s="65" t="n"/>
      <c r="C45" s="65" t="n"/>
      <c r="D45" s="66" t="n"/>
    </row>
    <row r="46">
      <c r="A46" s="241" t="n"/>
      <c r="B46" s="65" t="n"/>
      <c r="C46" s="65" t="n"/>
      <c r="D46" s="66" t="n"/>
    </row>
    <row r="47">
      <c r="A47" s="241" t="n"/>
      <c r="B47" s="65" t="n"/>
      <c r="C47" s="65" t="n"/>
      <c r="D47" s="66" t="n"/>
    </row>
    <row r="48">
      <c r="A48" s="241" t="n"/>
      <c r="B48" s="65" t="n"/>
      <c r="C48" s="65" t="n"/>
      <c r="D48" s="66" t="n"/>
    </row>
    <row r="49">
      <c r="A49" s="241" t="n"/>
      <c r="B49" s="65" t="n"/>
      <c r="C49" s="65" t="n"/>
      <c r="D49" s="66" t="n"/>
    </row>
    <row r="50">
      <c r="A50" s="241" t="n"/>
      <c r="B50" s="65" t="n"/>
      <c r="C50" s="65" t="n"/>
      <c r="D50" s="66" t="n"/>
    </row>
    <row r="51">
      <c r="A51" s="241" t="n"/>
      <c r="B51" s="65" t="n"/>
      <c r="C51" s="65" t="n"/>
      <c r="D51" s="66" t="n"/>
    </row>
    <row r="52">
      <c r="A52" s="241" t="n"/>
      <c r="B52" s="65" t="n"/>
      <c r="C52" s="65" t="n"/>
      <c r="D52" s="66" t="n"/>
    </row>
    <row r="53">
      <c r="A53" s="241" t="n"/>
      <c r="B53" s="65" t="n"/>
      <c r="C53" s="65" t="n"/>
      <c r="D53" s="66" t="n"/>
    </row>
    <row r="54">
      <c r="A54" s="241" t="n"/>
      <c r="B54" s="65" t="n"/>
      <c r="C54" s="65" t="n"/>
      <c r="D54" s="66" t="n"/>
    </row>
    <row r="55">
      <c r="A55" s="241" t="n"/>
      <c r="B55" s="65" t="n"/>
      <c r="C55" s="65" t="n"/>
      <c r="D55" s="66" t="n"/>
    </row>
    <row r="56">
      <c r="A56" s="241" t="n"/>
      <c r="B56" s="65" t="n"/>
      <c r="C56" s="65" t="n"/>
      <c r="D56" s="66" t="n"/>
    </row>
    <row r="57">
      <c r="A57" s="241" t="n"/>
      <c r="B57" s="65" t="n"/>
      <c r="C57" s="65" t="n"/>
      <c r="D57" s="66" t="n"/>
    </row>
    <row r="58">
      <c r="A58" s="241" t="n"/>
      <c r="B58" s="65" t="n"/>
      <c r="C58" s="65" t="n"/>
      <c r="D58" s="66" t="n"/>
    </row>
    <row r="59">
      <c r="A59" s="241" t="n"/>
      <c r="B59" s="65" t="n"/>
      <c r="C59" s="65" t="n"/>
      <c r="D59" s="66" t="n"/>
    </row>
    <row r="60">
      <c r="A60" s="241" t="n"/>
      <c r="B60" s="65" t="n"/>
      <c r="C60" s="65" t="n"/>
      <c r="D60" s="66" t="n"/>
    </row>
    <row r="61">
      <c r="A61" s="241" t="n"/>
      <c r="B61" s="65" t="n"/>
      <c r="C61" s="65" t="n"/>
      <c r="D61" s="66" t="n"/>
    </row>
    <row r="62">
      <c r="A62" s="241" t="n"/>
      <c r="B62" s="65" t="n"/>
      <c r="C62" s="65" t="n"/>
      <c r="D62" s="66" t="n"/>
    </row>
    <row r="63">
      <c r="A63" s="241" t="n"/>
      <c r="B63" s="65" t="n"/>
      <c r="C63" s="65" t="n"/>
      <c r="D63" s="66" t="n"/>
    </row>
    <row r="64">
      <c r="A64" s="241" t="n"/>
      <c r="B64" s="65" t="n"/>
      <c r="C64" s="65" t="n"/>
      <c r="D64" s="66" t="n"/>
    </row>
    <row r="65">
      <c r="A65" s="241" t="n"/>
      <c r="B65" s="65" t="n"/>
      <c r="C65" s="65" t="n"/>
      <c r="D65" s="66" t="n"/>
    </row>
    <row r="66">
      <c r="A66" s="241" t="n"/>
      <c r="B66" s="65" t="n"/>
      <c r="C66" s="65" t="n"/>
      <c r="D66" s="66" t="n"/>
    </row>
    <row r="67">
      <c r="A67" s="241" t="n"/>
      <c r="B67" s="65" t="n"/>
      <c r="C67" s="65" t="n"/>
      <c r="D67" s="66" t="n"/>
    </row>
    <row r="68">
      <c r="A68" s="241" t="n"/>
      <c r="B68" s="65" t="n"/>
      <c r="C68" s="65" t="n"/>
      <c r="D68" s="66" t="n"/>
    </row>
    <row r="69">
      <c r="A69" s="241" t="n"/>
      <c r="B69" s="65" t="n"/>
      <c r="C69" s="65" t="n"/>
      <c r="D69" s="66" t="n"/>
    </row>
    <row r="70">
      <c r="A70" s="241" t="n"/>
      <c r="B70" s="65" t="n"/>
      <c r="C70" s="65" t="n"/>
      <c r="D70" s="66" t="n"/>
    </row>
    <row r="71">
      <c r="A71" s="241" t="n"/>
      <c r="B71" s="65" t="n"/>
      <c r="C71" s="65" t="n"/>
      <c r="D71" s="66" t="n"/>
    </row>
    <row r="72">
      <c r="A72" s="241" t="n"/>
      <c r="B72" s="65" t="n"/>
      <c r="C72" s="65" t="n"/>
      <c r="D72" s="66" t="n"/>
    </row>
    <row r="73">
      <c r="A73" s="241" t="n"/>
      <c r="B73" s="65" t="n"/>
      <c r="C73" s="65" t="n"/>
      <c r="D73" s="66" t="n"/>
    </row>
    <row r="74">
      <c r="A74" s="241" t="n"/>
      <c r="B74" s="65" t="n"/>
      <c r="C74" s="65" t="n"/>
      <c r="D74" s="66" t="n"/>
    </row>
    <row r="75">
      <c r="A75" s="241" t="n"/>
      <c r="B75" s="65" t="n"/>
      <c r="C75" s="65" t="n"/>
      <c r="D75" s="66" t="n"/>
    </row>
    <row r="76">
      <c r="A76" s="241" t="n"/>
      <c r="B76" s="65" t="n"/>
      <c r="C76" s="65" t="n"/>
      <c r="D76" s="66" t="n"/>
    </row>
    <row r="77">
      <c r="A77" s="241" t="n"/>
      <c r="B77" s="65" t="n"/>
      <c r="C77" s="65" t="n"/>
      <c r="D77" s="66" t="n"/>
    </row>
    <row r="78">
      <c r="A78" s="241" t="n"/>
      <c r="B78" s="65" t="n"/>
      <c r="C78" s="65" t="n"/>
      <c r="D78" s="66" t="n"/>
    </row>
    <row r="79">
      <c r="A79" s="241" t="n"/>
      <c r="B79" s="65" t="n"/>
      <c r="C79" s="65" t="n"/>
      <c r="D79" s="66" t="n"/>
    </row>
    <row r="80">
      <c r="A80" s="241" t="n"/>
      <c r="B80" s="65" t="n"/>
      <c r="C80" s="65" t="n"/>
      <c r="D80" s="66" t="n"/>
    </row>
    <row r="81">
      <c r="A81" s="241" t="n"/>
      <c r="B81" s="65" t="n"/>
      <c r="C81" s="65" t="n"/>
      <c r="D81" s="66" t="n"/>
    </row>
    <row r="82">
      <c r="A82" s="241" t="n"/>
      <c r="B82" s="65" t="n"/>
      <c r="C82" s="65" t="n"/>
      <c r="D82" s="66" t="n"/>
    </row>
    <row r="83">
      <c r="A83" s="241" t="n"/>
      <c r="B83" s="65" t="n"/>
      <c r="C83" s="65" t="n"/>
      <c r="D83" s="66" t="n"/>
    </row>
    <row r="84">
      <c r="A84" s="241" t="n"/>
      <c r="B84" s="65" t="n"/>
      <c r="C84" s="65" t="n"/>
      <c r="D84" s="66" t="n"/>
    </row>
    <row r="85">
      <c r="A85" s="241" t="n"/>
      <c r="B85" s="65" t="n"/>
      <c r="C85" s="65" t="n"/>
      <c r="D85" s="66" t="n"/>
    </row>
    <row r="86">
      <c r="A86" s="241" t="n"/>
      <c r="B86" s="65" t="n"/>
      <c r="C86" s="65" t="n"/>
      <c r="D86" s="66" t="n"/>
    </row>
    <row r="87">
      <c r="A87" s="241" t="n"/>
      <c r="B87" s="65" t="n"/>
      <c r="C87" s="65" t="n"/>
      <c r="D87" s="66" t="n"/>
    </row>
    <row r="88">
      <c r="A88" s="241" t="n"/>
      <c r="B88" s="65" t="n"/>
      <c r="C88" s="65" t="n"/>
      <c r="D88" s="66" t="n"/>
    </row>
    <row r="89">
      <c r="A89" s="241" t="n"/>
      <c r="B89" s="65" t="n"/>
      <c r="C89" s="65" t="n"/>
      <c r="D89" s="66" t="n"/>
    </row>
    <row r="90">
      <c r="A90" s="241" t="n"/>
      <c r="B90" s="65" t="n"/>
      <c r="C90" s="65" t="n"/>
      <c r="D90" s="66" t="n"/>
    </row>
    <row r="91">
      <c r="A91" s="241" t="n"/>
      <c r="B91" s="65" t="n"/>
      <c r="C91" s="65" t="n"/>
      <c r="D91" s="66" t="n"/>
    </row>
    <row r="92">
      <c r="A92" s="241" t="n"/>
      <c r="B92" s="65" t="n"/>
      <c r="C92" s="65" t="n"/>
      <c r="D92" s="66" t="n"/>
    </row>
    <row r="93">
      <c r="A93" s="241" t="n"/>
      <c r="B93" s="65" t="n"/>
      <c r="C93" s="65" t="n"/>
      <c r="D93" s="66" t="n"/>
    </row>
    <row r="94">
      <c r="A94" s="241" t="n"/>
      <c r="B94" s="65" t="n"/>
      <c r="C94" s="65" t="n"/>
      <c r="D94" s="66" t="n"/>
    </row>
    <row r="95">
      <c r="A95" s="241" t="n"/>
      <c r="B95" s="65" t="n"/>
      <c r="C95" s="65" t="n"/>
      <c r="D95" s="66" t="n"/>
    </row>
    <row r="96">
      <c r="A96" s="241" t="n"/>
      <c r="B96" s="65" t="n"/>
      <c r="C96" s="65" t="n"/>
      <c r="D96" s="66" t="n"/>
    </row>
    <row r="97">
      <c r="A97" s="241" t="n"/>
      <c r="B97" s="65" t="n"/>
      <c r="C97" s="65" t="n"/>
      <c r="D97" s="66" t="n"/>
    </row>
    <row r="98">
      <c r="A98" s="241" t="n"/>
      <c r="B98" s="65" t="n"/>
      <c r="C98" s="65" t="n"/>
      <c r="D98" s="66" t="n"/>
    </row>
    <row r="99">
      <c r="A99" s="241" t="n"/>
      <c r="B99" s="65" t="n"/>
      <c r="C99" s="65" t="n"/>
      <c r="D99" s="66" t="n"/>
    </row>
    <row r="100">
      <c r="A100" s="241" t="n"/>
      <c r="B100" s="65" t="n"/>
      <c r="C100" s="65" t="n"/>
      <c r="D100" s="66" t="n"/>
    </row>
    <row r="101">
      <c r="A101" s="241" t="n"/>
      <c r="B101" s="65" t="n"/>
      <c r="C101" s="65" t="n"/>
      <c r="D101" s="66" t="n"/>
    </row>
    <row r="102">
      <c r="A102" s="241" t="n"/>
      <c r="B102" s="65" t="n"/>
      <c r="C102" s="65" t="n"/>
      <c r="D102" s="66" t="n"/>
    </row>
    <row r="103">
      <c r="A103" s="241" t="n"/>
      <c r="B103" s="65" t="n"/>
      <c r="C103" s="65" t="n"/>
      <c r="D103" s="66" t="n"/>
    </row>
    <row r="104">
      <c r="A104" s="241" t="n"/>
      <c r="B104" s="65" t="n"/>
      <c r="C104" s="65" t="n"/>
      <c r="D104" s="66" t="n"/>
    </row>
    <row r="105">
      <c r="A105" s="241" t="n"/>
      <c r="B105" s="65" t="n"/>
      <c r="C105" s="65" t="n"/>
      <c r="D105" s="66" t="n"/>
    </row>
    <row r="106">
      <c r="A106" s="241" t="n"/>
      <c r="B106" s="65" t="n"/>
      <c r="C106" s="65" t="n"/>
      <c r="D106" s="66" t="n"/>
    </row>
    <row r="107">
      <c r="A107" s="241" t="n"/>
      <c r="B107" s="65" t="n"/>
      <c r="C107" s="65" t="n"/>
      <c r="D107" s="66" t="n"/>
    </row>
    <row r="108">
      <c r="A108" s="241" t="n"/>
      <c r="B108" s="65" t="n"/>
      <c r="C108" s="65" t="n"/>
      <c r="D108" s="66" t="n"/>
    </row>
    <row r="109">
      <c r="A109" s="241" t="n"/>
      <c r="B109" s="65" t="n"/>
      <c r="C109" s="65" t="n"/>
      <c r="D109" s="66" t="n"/>
    </row>
    <row r="110">
      <c r="A110" s="241" t="n"/>
      <c r="B110" s="65" t="n"/>
      <c r="C110" s="65" t="n"/>
      <c r="D110" s="66" t="n"/>
    </row>
    <row r="111">
      <c r="A111" s="241" t="n"/>
      <c r="B111" s="65" t="n"/>
      <c r="C111" s="65" t="n"/>
      <c r="D111" s="66" t="n"/>
    </row>
  </sheetData>
  <sheetProtection selectLockedCells="1" selectUnlockedCells="0" algorithmName="SHA-512" sheet="1" objects="0" insertRows="1" insertHyperlinks="1" autoFilter="1" scenarios="0" formatColumns="1" deleteColumns="1" insertColumns="1" pivotTables="1" deleteRows="1" formatCells="1" saltValue="PidzV3l4DDZltbm+okuUDA==" formatRows="1" sort="1" spinCount="100000" hashValue="CuJjnmz5prxO85Ep0H98xyMAj2NZ/yemnGVg1bBVMNe7ePqX2dNWLYwpc0WFmX4/b+WFcKwKveX/Dr4mcdFKzg=="/>
  <mergeCells count="1">
    <mergeCell ref="A1:D1"/>
  </mergeCells>
  <pageMargins left="0.25" right="0.25" top="0.75" bottom="0.75" header="0.3" footer="0.3"/>
  <pageSetup orientation="portrait" paperSize="9" fitToHeight="0"/>
</worksheet>
</file>

<file path=xl/worksheets/sheet17.xml><?xml version="1.0" encoding="utf-8"?>
<worksheet xmlns="http://schemas.openxmlformats.org/spreadsheetml/2006/main">
  <sheetPr>
    <tabColor rgb="FFFF0000"/>
    <outlinePr summaryBelow="1" summaryRight="1"/>
    <pageSetUpPr/>
  </sheetPr>
  <dimension ref="A1:D658"/>
  <sheetViews>
    <sheetView zoomScale="80" zoomScaleNormal="80" workbookViewId="0">
      <pane xSplit="1" ySplit="3" topLeftCell="B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BE9 - BUDGET SHEET</t>
        </is>
      </c>
      <c r="B1" s="33" t="n"/>
      <c r="C1" s="242" t="inlineStr">
        <is>
          <t>View Summary</t>
        </is>
      </c>
      <c r="D1" s="34" t="n"/>
    </row>
    <row r="2" ht="18.6" customHeight="1">
      <c r="A2" s="261" t="inlineStr">
        <is>
          <t>12e70983-f630-4472-8ee6-9c6b5c2622f5</t>
        </is>
      </c>
      <c r="B2" s="303" t="inlineStr">
        <is>
          <t>Pangeanic</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c r="C9" s="248" t="n"/>
      <c r="D9" s="232">
        <f>B9*C9</f>
        <v/>
      </c>
    </row>
    <row r="10">
      <c r="A10" s="48" t="inlineStr">
        <is>
          <t>JUNIOR SCIENTISTS (or equivalent in the private sector)</t>
        </is>
      </c>
      <c r="B10" s="358" t="n"/>
      <c r="C10" s="248" t="n"/>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c r="C12" s="248" t="n"/>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8360.6024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c r="C20" s="248" t="n"/>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c r="C50" s="248" t="n"/>
      <c r="D50" s="232">
        <f>B50*C50</f>
        <v/>
      </c>
    </row>
    <row r="51">
      <c r="A51" s="48" t="inlineStr">
        <is>
          <t>JUNIOR SCIENTISTS (or equivalent in the private sector)</t>
        </is>
      </c>
      <c r="B51" s="358" t="n"/>
      <c r="C51" s="248" t="n"/>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8360.6024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c r="C91" s="248" t="n"/>
      <c r="D91" s="232">
        <f>B91*C91</f>
        <v/>
      </c>
    </row>
    <row r="92">
      <c r="A92" s="48" t="inlineStr">
        <is>
          <t>JUNIOR SCIENTISTS (or equivalent in the private sector)</t>
        </is>
      </c>
      <c r="B92" s="358" t="n"/>
      <c r="C92" s="248" t="n"/>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8360.6024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c r="C132" s="248" t="n"/>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8360.6024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c r="C173" s="248" t="n"/>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8360.6024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c r="C214" s="248" t="n"/>
      <c r="D214" s="232">
        <f>B214*C214</f>
        <v/>
      </c>
    </row>
    <row r="215">
      <c r="A215" s="48" t="inlineStr">
        <is>
          <t>JUNIOR SCIENTISTS (or equivalent in the private sector)</t>
        </is>
      </c>
      <c r="B215" s="358" t="n"/>
      <c r="C215" s="248" t="n"/>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8360.6024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","Autonomous Inspection of blade and repair methods")</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c r="C255" s="248" t="n"/>
      <c r="D255" s="232">
        <f>B255*C255</f>
        <v/>
      </c>
    </row>
    <row r="256">
      <c r="A256" s="48" t="inlineStr">
        <is>
          <t>JUNIOR SCIENTISTS (or equivalent in the private sector)</t>
        </is>
      </c>
      <c r="B256" s="358" t="n"/>
      <c r="C256" s="248" t="n"/>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8360.6024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","Agentic AI Core and Orchestration Development")</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c r="C296" s="248" t="n"/>
      <c r="D296" s="232">
        <f>B296*C296</f>
        <v/>
      </c>
    </row>
    <row r="297">
      <c r="A297" s="48" t="inlineStr">
        <is>
          <t>JUNIOR SCIENTISTS (or equivalent in the private sector)</t>
        </is>
      </c>
      <c r="B297" s="358" t="n"/>
      <c r="C297" s="248" t="n"/>
      <c r="D297" s="232">
        <f>B297*C297</f>
        <v/>
      </c>
    </row>
    <row r="298">
      <c r="A298" s="48" t="inlineStr">
        <is>
          <t>TECHNICAL PERSONNEL (or equivalent in the private sector)</t>
        </is>
      </c>
      <c r="B298" s="358" t="n"/>
      <c r="C298" s="248" t="n"/>
      <c r="D298" s="232">
        <f>B298*C298</f>
        <v/>
      </c>
    </row>
    <row r="299">
      <c r="A299" s="48" t="inlineStr">
        <is>
          <t>ADMINISTRATIVE PERSONNEL (or equivalent in the private sector)</t>
        </is>
      </c>
      <c r="B299" s="358" t="n"/>
      <c r="C299" s="248" t="n"/>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8360.6024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c r="C307" s="248" t="n"/>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c r="C313" s="248" t="n"/>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 Integration, Validation and Operational Lifecycle of the Agentic System")</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c r="C337" s="248" t="n"/>
      <c r="D337" s="232">
        <f>B337*C337</f>
        <v/>
      </c>
    </row>
    <row r="338">
      <c r="A338" s="48" t="inlineStr">
        <is>
          <t>JUNIOR SCIENTISTS (or equivalent in the private sector)</t>
        </is>
      </c>
      <c r="B338" s="358" t="n"/>
      <c r="C338" s="248" t="n"/>
      <c r="D338" s="232">
        <f>B338*C338</f>
        <v/>
      </c>
    </row>
    <row r="339">
      <c r="A339" s="48" t="inlineStr">
        <is>
          <t>TECHNICAL PERSONNEL (or equivalent in the private sector)</t>
        </is>
      </c>
      <c r="B339" s="358" t="n"/>
      <c r="C339" s="248" t="n"/>
      <c r="D339" s="232">
        <f>B339*C339</f>
        <v/>
      </c>
    </row>
    <row r="340">
      <c r="A340" s="48" t="inlineStr">
        <is>
          <t>ADMINISTRATIVE PERSONNEL (or equivalent in the private sector)</t>
        </is>
      </c>
      <c r="B340" s="358" t="n"/>
      <c r="C340" s="248" t="n"/>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8360.6024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c r="C348" s="248" t="n"/>
      <c r="D348" s="362">
        <f>B348*C348</f>
        <v/>
      </c>
    </row>
    <row r="349">
      <c r="A349" s="28" t="inlineStr">
        <is>
          <t>C.2 Equipment (complete 'Depreciation costs' sheet)</t>
        </is>
      </c>
      <c r="B349" s="347" t="n"/>
      <c r="C349" s="111" t="n"/>
      <c r="D349" s="365" t="n"/>
    </row>
    <row r="350">
      <c r="A350" s="49" t="inlineStr">
        <is>
          <t>Equipment</t>
        </is>
      </c>
      <c r="B350" s="358" t="n"/>
      <c r="C350" s="248" t="n"/>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c r="C354" s="248" t="n"/>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","HSE and Environment")</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358" t="n"/>
      <c r="C378" s="248" t="n"/>
      <c r="D378" s="232">
        <f>B378*C378</f>
        <v/>
      </c>
    </row>
    <row r="379">
      <c r="A379" s="48" t="inlineStr">
        <is>
          <t>JUNIOR SCIENTISTS (or equivalent in the private sector)</t>
        </is>
      </c>
      <c r="B379" s="358" t="n"/>
      <c r="C379" s="248" t="n"/>
      <c r="D379" s="232">
        <f>B379*C379</f>
        <v/>
      </c>
    </row>
    <row r="380">
      <c r="A380" s="48" t="inlineStr">
        <is>
          <t>TECHNICAL PERSONNEL (or equivalent in the private sector)</t>
        </is>
      </c>
      <c r="B380" s="358" t="n"/>
      <c r="C380" s="248" t="n"/>
      <c r="D380" s="232">
        <f>B380*C380</f>
        <v/>
      </c>
    </row>
    <row r="381">
      <c r="A381" s="48" t="inlineStr">
        <is>
          <t>ADMINISTRATIVE PERSONNEL (or equivalent in the private sector)</t>
        </is>
      </c>
      <c r="B381" s="358" t="n"/>
      <c r="C381" s="248" t="n"/>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8360.6024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c r="C419" s="248" t="n"/>
      <c r="D419" s="232">
        <f>B419*C419</f>
        <v/>
      </c>
    </row>
    <row r="420">
      <c r="A420" s="48" t="inlineStr">
        <is>
          <t>JUNIOR SCIENTISTS (or equivalent in the private sector)</t>
        </is>
      </c>
      <c r="B420" s="358" t="n"/>
      <c r="C420" s="248" t="n"/>
      <c r="D420" s="232">
        <f>B420*C420</f>
        <v/>
      </c>
    </row>
    <row r="421">
      <c r="A421" s="48" t="inlineStr">
        <is>
          <t>TECHNICAL PERSONNEL (or equivalent in the private sector)</t>
        </is>
      </c>
      <c r="B421" s="358" t="n"/>
      <c r="C421" s="248" t="n"/>
      <c r="D421" s="232">
        <f>B421*C421</f>
        <v/>
      </c>
    </row>
    <row r="422">
      <c r="A422" s="48" t="inlineStr">
        <is>
          <t>ADMINISTRATIVE PERSONNEL (or equivalent in the private sector)</t>
        </is>
      </c>
      <c r="B422" s="358" t="n"/>
      <c r="C422" s="248" t="n"/>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8360.6024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 integration for unified O&amp;M Platform")</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c r="C460" s="248" t="n"/>
      <c r="D460" s="232">
        <f>B460*C460</f>
        <v/>
      </c>
    </row>
    <row r="461">
      <c r="A461" s="48" t="inlineStr">
        <is>
          <t>JUNIOR SCIENTISTS (or equivalent in the private sector)</t>
        </is>
      </c>
      <c r="B461" s="358" t="n"/>
      <c r="C461" s="248" t="n"/>
      <c r="D461" s="232">
        <f>B461*C461</f>
        <v/>
      </c>
    </row>
    <row r="462">
      <c r="A462" s="48" t="inlineStr">
        <is>
          <t>TECHNICAL PERSONNEL (or equivalent in the private sector)</t>
        </is>
      </c>
      <c r="B462" s="358" t="n"/>
      <c r="C462" s="248" t="n"/>
      <c r="D462" s="232">
        <f>B462*C462</f>
        <v/>
      </c>
    </row>
    <row r="463">
      <c r="A463" s="48" t="inlineStr">
        <is>
          <t>ADMINISTRATIVE PERSONNEL (or equivalent in the private sector)</t>
        </is>
      </c>
      <c r="B463" s="358" t="n"/>
      <c r="C463" s="248" t="n"/>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8360.6024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c r="C473" s="248" t="n"/>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c r="C477" s="248" t="n"/>
      <c r="D477" s="362">
        <f>B477*C477</f>
        <v/>
      </c>
    </row>
    <row r="478">
      <c r="A478" s="49" t="inlineStr">
        <is>
          <t>Services for meetings, seminars</t>
        </is>
      </c>
      <c r="B478" s="358" t="n"/>
      <c r="C478" s="248" t="n"/>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c r="C481" s="248" t="n"/>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","System-Level Demonstration and Validation")</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c r="C501" s="248" t="n"/>
      <c r="D501" s="232">
        <f>B501*C501</f>
        <v/>
      </c>
    </row>
    <row r="502">
      <c r="A502" s="48" t="inlineStr">
        <is>
          <t>JUNIOR SCIENTISTS (or equivalent in the private sector)</t>
        </is>
      </c>
      <c r="B502" s="358" t="n"/>
      <c r="C502" s="248" t="n"/>
      <c r="D502" s="232">
        <f>B502*C502</f>
        <v/>
      </c>
    </row>
    <row r="503">
      <c r="A503" s="48" t="inlineStr">
        <is>
          <t>TECHNICAL PERSONNEL (or equivalent in the private sector)</t>
        </is>
      </c>
      <c r="B503" s="358" t="n"/>
      <c r="C503" s="248" t="n"/>
      <c r="D503" s="232">
        <f>B503*C503</f>
        <v/>
      </c>
    </row>
    <row r="504">
      <c r="A504" s="48" t="inlineStr">
        <is>
          <t>ADMINISTRATIVE PERSONNEL (or equivalent in the private sector)</t>
        </is>
      </c>
      <c r="B504" s="358" t="n"/>
      <c r="C504" s="248" t="n"/>
      <c r="D504" s="232">
        <f>B504*C504</f>
        <v/>
      </c>
    </row>
    <row r="505">
      <c r="A505" s="48" t="inlineStr">
        <is>
          <t>OTHERS</t>
        </is>
      </c>
      <c r="B505" s="358" t="n"/>
      <c r="C505" s="248" t="n"/>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8360.6024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c r="C512" s="248" t="n"/>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c r="C519" s="248" t="n"/>
      <c r="D519" s="362">
        <f>B519*C519</f>
        <v/>
      </c>
    </row>
    <row r="520">
      <c r="A520" s="49" t="inlineStr">
        <is>
          <t>Services for dissemination activities (including website)</t>
        </is>
      </c>
      <c r="B520" s="358" t="n"/>
      <c r="C520" s="248" t="n"/>
      <c r="D520" s="362">
        <f>B520*C520</f>
        <v/>
      </c>
    </row>
    <row r="521">
      <c r="A521" s="49" t="inlineStr">
        <is>
          <t>Publication fees</t>
        </is>
      </c>
      <c r="B521" s="358" t="n"/>
      <c r="C521" s="248" t="n"/>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","D&amp;C&amp;E")</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c r="C542" s="248" t="n"/>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c r="C544" s="248" t="n"/>
      <c r="D544" s="232">
        <f>B544*C544</f>
        <v/>
      </c>
    </row>
    <row r="545">
      <c r="A545" s="48" t="inlineStr">
        <is>
          <t>ADMINISTRATIVE PERSONNEL (or equivalent in the private sector)</t>
        </is>
      </c>
      <c r="B545" s="358" t="n"/>
      <c r="C545" s="248" t="n"/>
      <c r="D545" s="232">
        <f>B545*C545</f>
        <v/>
      </c>
    </row>
    <row r="546">
      <c r="A546" s="48" t="inlineStr">
        <is>
          <t>OTHERS</t>
        </is>
      </c>
      <c r="B546" s="358" t="n"/>
      <c r="C546" s="248" t="n"/>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8360.6024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c r="C553" s="248" t="n"/>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c r="C560" s="248" t="n"/>
      <c r="D560" s="362">
        <f>B560*C560</f>
        <v/>
      </c>
    </row>
    <row r="561">
      <c r="A561" s="49" t="inlineStr">
        <is>
          <t>Services for dissemination activities (including website)</t>
        </is>
      </c>
      <c r="B561" s="358" t="n"/>
      <c r="C561" s="248" t="n"/>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7">
      <c r="A577" s="182" t="n"/>
      <c r="B577" s="183" t="n"/>
      <c r="C577" s="184" t="n"/>
      <c r="D577" s="183" t="n"/>
    </row>
    <row r="578">
      <c r="A578" s="190" t="n"/>
      <c r="B578" s="185" t="n"/>
      <c r="C578" s="186" t="n"/>
      <c r="D578" s="187" t="n"/>
    </row>
    <row r="579" ht="21" customHeight="1">
      <c r="A579" s="306">
        <f>CONCATENATE("COSTS WORK PACKAGE 15:"," ","D&amp;C&amp;E")</f>
        <v/>
      </c>
      <c r="B579" s="315" t="n"/>
      <c r="C579" s="315" t="n"/>
      <c r="D579" s="316" t="n"/>
    </row>
    <row r="580">
      <c r="A580" s="182" t="n"/>
      <c r="B580" s="191" t="n"/>
      <c r="C580" s="192" t="n"/>
      <c r="D580" s="191"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58" t="n"/>
      <c r="C583" s="248" t="n"/>
      <c r="D583" s="232">
        <f>B583*C583</f>
        <v/>
      </c>
    </row>
    <row r="584">
      <c r="A584" s="48" t="inlineStr">
        <is>
          <t>JUNIOR SCIENTISTS (or equivalent in the private sector)</t>
        </is>
      </c>
      <c r="B584" s="358" t="n"/>
      <c r="C584" s="248" t="n"/>
      <c r="D584" s="232">
        <f>B584*C584</f>
        <v/>
      </c>
    </row>
    <row r="585">
      <c r="A585" s="48" t="inlineStr">
        <is>
          <t>TECHNICAL PERSONNEL (or equivalent in the private sector)</t>
        </is>
      </c>
      <c r="B585" s="358" t="n"/>
      <c r="C585" s="248" t="n"/>
      <c r="D585" s="232">
        <f>B585*C585</f>
        <v/>
      </c>
    </row>
    <row r="586">
      <c r="A586" s="48" t="inlineStr">
        <is>
          <t>ADMINISTRATIVE PERSONNEL (or equivalent in the private sector)</t>
        </is>
      </c>
      <c r="B586" s="358" t="n"/>
      <c r="C586" s="248" t="n"/>
      <c r="D586" s="232">
        <f>B586*C586</f>
        <v/>
      </c>
    </row>
    <row r="587">
      <c r="A587" s="48" t="inlineStr">
        <is>
          <t>OTHERS</t>
        </is>
      </c>
      <c r="B587" s="358" t="n"/>
      <c r="C587" s="248" t="n"/>
      <c r="D587" s="232">
        <f>B587*C587</f>
        <v/>
      </c>
    </row>
    <row r="588">
      <c r="A588" s="28" t="inlineStr">
        <is>
          <t>A.2 Natural Persons under direct contract</t>
        </is>
      </c>
      <c r="B588" s="358" t="n"/>
      <c r="C588" s="248" t="n"/>
      <c r="D588" s="232">
        <f>B588*C588</f>
        <v/>
      </c>
    </row>
    <row r="589">
      <c r="A589" s="28" t="inlineStr">
        <is>
          <t>A.3 Seconded Persons</t>
        </is>
      </c>
      <c r="B589" s="358" t="n"/>
      <c r="C589" s="248" t="n"/>
      <c r="D589" s="232">
        <f>B589*C589</f>
        <v/>
      </c>
    </row>
    <row r="590">
      <c r="A590" s="28" t="inlineStr">
        <is>
          <t>A.4 SME owners and natural person beneficiaries</t>
        </is>
      </c>
      <c r="B590" s="358" t="n"/>
      <c r="C590" s="256" t="n">
        <v>8360.6024</v>
      </c>
      <c r="D590" s="232">
        <f>B590*C590</f>
        <v/>
      </c>
    </row>
    <row r="591">
      <c r="A591" s="29" t="inlineStr">
        <is>
          <t>B. DIRECT SUBCONTRACTING COSTS</t>
        </is>
      </c>
      <c r="B591" s="359" t="n"/>
      <c r="C591" s="110" t="n"/>
      <c r="D591" s="360" t="n"/>
    </row>
    <row r="592">
      <c r="A592" s="53" t="n"/>
      <c r="B592" s="358" t="n"/>
      <c r="C592" s="248" t="n"/>
      <c r="D592" s="362">
        <f>B592*C592</f>
        <v/>
      </c>
    </row>
    <row r="593">
      <c r="A593" s="29" t="inlineStr">
        <is>
          <t>C. DIRECT PURCHASE COSTS</t>
        </is>
      </c>
      <c r="B593" s="359" t="n"/>
      <c r="C593" s="110" t="n"/>
      <c r="D593" s="360" t="n"/>
    </row>
    <row r="594">
      <c r="A594" s="28" t="inlineStr">
        <is>
          <t>C.1 Travel and subsistence</t>
        </is>
      </c>
      <c r="B594" s="358" t="n"/>
      <c r="C594" s="248" t="n"/>
      <c r="D594" s="362">
        <f>B594*C594</f>
        <v/>
      </c>
    </row>
    <row r="595">
      <c r="A595" s="28" t="inlineStr">
        <is>
          <t>C.2 Equipment (complete 'Depreciation costs' sheet)</t>
        </is>
      </c>
      <c r="B595" s="347" t="n"/>
      <c r="C595" s="111" t="n"/>
      <c r="D595" s="365" t="n"/>
    </row>
    <row r="596">
      <c r="A596" s="49" t="inlineStr">
        <is>
          <t>Equipment</t>
        </is>
      </c>
      <c r="B596" s="358" t="n"/>
      <c r="C596" s="248" t="n"/>
      <c r="D596" s="362">
        <f>B596*C596</f>
        <v/>
      </c>
    </row>
    <row r="597">
      <c r="A597" s="49" t="inlineStr">
        <is>
          <t>Infrastructure</t>
        </is>
      </c>
      <c r="B597" s="358" t="n"/>
      <c r="C597" s="248" t="n"/>
      <c r="D597" s="362">
        <f>B597*C597</f>
        <v/>
      </c>
    </row>
    <row r="598">
      <c r="A598" s="49" t="inlineStr">
        <is>
          <t>Other assets</t>
        </is>
      </c>
      <c r="B598" s="358" t="n"/>
      <c r="C598" s="248" t="n"/>
      <c r="D598" s="362">
        <f>B598*C598</f>
        <v/>
      </c>
    </row>
    <row r="599">
      <c r="A599" s="28" t="inlineStr">
        <is>
          <t>C.3 Other goods, works and services</t>
        </is>
      </c>
      <c r="B599" s="347" t="n"/>
      <c r="C599" s="111" t="n"/>
      <c r="D599" s="365" t="n"/>
    </row>
    <row r="600">
      <c r="A600" s="49" t="inlineStr">
        <is>
          <t>Consumables</t>
        </is>
      </c>
      <c r="B600" s="358" t="n"/>
      <c r="C600" s="248" t="n"/>
      <c r="D600" s="362">
        <f>B600*C600</f>
        <v/>
      </c>
    </row>
    <row r="601">
      <c r="A601" s="49" t="inlineStr">
        <is>
          <t>Services for meetings, seminars</t>
        </is>
      </c>
      <c r="B601" s="358" t="n"/>
      <c r="C601" s="248" t="n"/>
      <c r="D601" s="362">
        <f>B601*C601</f>
        <v/>
      </c>
    </row>
    <row r="602">
      <c r="A602" s="49" t="inlineStr">
        <is>
          <t>Services for dissemination activities (including website)</t>
        </is>
      </c>
      <c r="B602" s="358" t="n"/>
      <c r="C602" s="248" t="n"/>
      <c r="D602" s="362">
        <f>B602*C602</f>
        <v/>
      </c>
    </row>
    <row r="603">
      <c r="A603" s="49" t="inlineStr">
        <is>
          <t>Publication fees</t>
        </is>
      </c>
      <c r="B603" s="358" t="n"/>
      <c r="C603" s="248" t="n"/>
      <c r="D603" s="362">
        <f>B603*C603</f>
        <v/>
      </c>
    </row>
    <row r="604">
      <c r="A604" s="49" t="inlineStr">
        <is>
          <t>Other (shipment, insurance, translation, etc.)</t>
        </is>
      </c>
      <c r="B604" s="358" t="n"/>
      <c r="C604" s="248" t="n"/>
      <c r="D604" s="362">
        <f>B604*C604</f>
        <v/>
      </c>
    </row>
    <row r="605">
      <c r="A605" s="29" t="inlineStr">
        <is>
          <t>D. OTHER COST CATEGORIES</t>
        </is>
      </c>
      <c r="B605" s="359" t="n"/>
      <c r="C605" s="110" t="n"/>
      <c r="D605" s="360" t="n"/>
    </row>
    <row r="606">
      <c r="A606" s="50" t="inlineStr">
        <is>
          <t>D.1 Financial support to third parties (if applicable in the topic specific conditions)</t>
        </is>
      </c>
      <c r="B606" s="358" t="n"/>
      <c r="C606" s="248" t="n"/>
      <c r="D606" s="362">
        <f>B606*C606</f>
        <v/>
      </c>
    </row>
    <row r="607">
      <c r="A607" s="50" t="inlineStr">
        <is>
          <t>D.2 Internally invoiced goods and services</t>
        </is>
      </c>
      <c r="B607" s="358" t="n"/>
      <c r="C607" s="248" t="n"/>
      <c r="D607" s="362">
        <f>B607*C607</f>
        <v/>
      </c>
    </row>
    <row r="608">
      <c r="A608" s="50" t="inlineStr">
        <is>
          <t>D.3 Transnational access to research infrastructure unit costs (if mentioned as eligible in the topic specific conditions)</t>
        </is>
      </c>
      <c r="B608" s="358" t="n"/>
      <c r="C608" s="248" t="n"/>
      <c r="D608" s="362">
        <f>B608*C608</f>
        <v/>
      </c>
    </row>
    <row r="609">
      <c r="A609" s="50" t="inlineStr">
        <is>
          <t>D.4 Virtual access to research infrastructure unit costs (if mentioned as eligible in the topic specific conditions)</t>
        </is>
      </c>
      <c r="B609" s="358" t="n"/>
      <c r="C609" s="248" t="n"/>
      <c r="D609" s="362">
        <f>B609*C609</f>
        <v/>
      </c>
    </row>
    <row r="610">
      <c r="A610" s="50" t="inlineStr">
        <is>
          <t>D.5 PCP/PPI procurement costs (if mentioned as eligible in the topic specific conditions)</t>
        </is>
      </c>
      <c r="B610" s="358" t="n"/>
      <c r="C610" s="248" t="n"/>
      <c r="D610" s="362">
        <f>B610*C610</f>
        <v/>
      </c>
    </row>
    <row r="611">
      <c r="A611" s="50" t="n"/>
      <c r="B611" s="347" t="n"/>
      <c r="C611" s="111" t="n"/>
      <c r="D611" s="366" t="n"/>
    </row>
    <row r="612">
      <c r="A612" s="52" t="inlineStr">
        <is>
          <t>TOTAL DIRECT PERSONNEL COSTS AND PURCHASE COSTS (A+C)</t>
        </is>
      </c>
      <c r="B612" s="370" t="n"/>
      <c r="C612" s="230" t="n"/>
      <c r="D612" s="361">
        <f>SUM(D583:D590,D594:D604)</f>
        <v/>
      </c>
    </row>
    <row r="613">
      <c r="A613" s="52" t="inlineStr">
        <is>
          <t>TOTAL DIRECT COSTS  (A+B+C+D)</t>
        </is>
      </c>
      <c r="B613" s="370" t="n"/>
      <c r="C613" s="230" t="n"/>
      <c r="D613" s="361">
        <f>SUM(D583:D610)</f>
        <v/>
      </c>
    </row>
    <row r="614">
      <c r="A614" s="180" t="n"/>
      <c r="B614" s="373" t="n"/>
      <c r="C614" s="176" t="n"/>
      <c r="D614" s="374" t="n"/>
    </row>
    <row r="615">
      <c r="A615" s="29" t="inlineStr">
        <is>
          <t>E. INDIRECT COSTS (25% * (A+C))</t>
        </is>
      </c>
      <c r="B615" s="359" t="n"/>
      <c r="C615" s="110" t="n"/>
      <c r="D615" s="361">
        <f>D612*0.25</f>
        <v/>
      </c>
    </row>
    <row r="616">
      <c r="A616" s="32" t="n"/>
      <c r="B616" s="373" t="n"/>
      <c r="C616" s="176" t="n"/>
      <c r="D616" s="378" t="n"/>
    </row>
    <row r="617">
      <c r="A617" s="29" t="inlineStr">
        <is>
          <t>F. TOTAL COSTS (A+B+C+D+E)</t>
        </is>
      </c>
      <c r="B617" s="370" t="n"/>
      <c r="C617" s="230" t="n"/>
      <c r="D617" s="361">
        <f>D613+D615</f>
        <v/>
      </c>
    </row>
    <row r="619">
      <c r="A619" s="190" t="n"/>
      <c r="B619" s="185" t="n"/>
      <c r="C619" s="186" t="n"/>
      <c r="D619" s="187" t="n"/>
    </row>
    <row r="620" ht="21" customHeight="1">
      <c r="A620" s="306" t="inlineStr">
        <is>
          <t>SUMMARY</t>
        </is>
      </c>
      <c r="B620" s="315" t="n"/>
      <c r="C620" s="315" t="n"/>
      <c r="D620" s="316" t="n"/>
    </row>
    <row r="621">
      <c r="A621" s="56" t="n"/>
      <c r="B621" s="174" t="n"/>
      <c r="C621" s="175" t="n"/>
      <c r="D621" s="174" t="n"/>
    </row>
    <row r="622">
      <c r="A622" s="29" t="inlineStr">
        <is>
          <t>A. DIRECT PERSONNEL COSTS</t>
        </is>
      </c>
      <c r="B622" s="30" t="n"/>
      <c r="C622" s="110" t="n"/>
      <c r="D622" s="355" t="n"/>
    </row>
    <row r="623">
      <c r="A623" s="28" t="inlineStr">
        <is>
          <t>A.1 Employees (or equivalent)</t>
        </is>
      </c>
      <c r="B623" s="89" t="n"/>
      <c r="C623" s="111" t="n"/>
      <c r="D623" s="356" t="n"/>
    </row>
    <row r="624">
      <c r="A624" s="48" t="inlineStr">
        <is>
          <t>SENIOR SCIENTISTS (or equivalent in the private sector)</t>
        </is>
      </c>
      <c r="B624" s="379">
        <f>B9+B50+B91+B132+B173+B214+B255+B296+B337+B378+B419+B460+B501+B542+B583</f>
        <v/>
      </c>
      <c r="C624" s="249">
        <f>IF(B624&gt;0,D624/B624," ")</f>
        <v/>
      </c>
      <c r="D624" s="362">
        <f>D9+D50+D91+D132+D173+D214+D255+D296+D337+D378+D419+D460+D501+D542+D583</f>
        <v/>
      </c>
    </row>
    <row r="625">
      <c r="A625" s="48" t="inlineStr">
        <is>
          <t>JUNIOR SCIENTISTS (or equivalent in the private sector)</t>
        </is>
      </c>
      <c r="B625" s="379">
        <f>B10+B51+B92+B133+B174+B215+B256+B297+B338+B379+B420+B461+B502+B543+B584</f>
        <v/>
      </c>
      <c r="C625" s="249">
        <f>IF(B625&gt;0,D625/B625," ")</f>
        <v/>
      </c>
      <c r="D625" s="362">
        <f>D10+D51+D92+D133+D174+D215+D256+D297+D338+D379+D420+D461+D502+D543+D584</f>
        <v/>
      </c>
    </row>
    <row r="626">
      <c r="A626" s="48" t="inlineStr">
        <is>
          <t>TECHNICAL PERSONNEL (or equivalent in the private sector)</t>
        </is>
      </c>
      <c r="B626" s="379">
        <f>B11+B52+B93+B134+B175+B216+B257+B298+B339+B380+B421+B462+B503+B544+B585</f>
        <v/>
      </c>
      <c r="C626" s="249">
        <f>IF(B626&gt;0,D626/B626," ")</f>
        <v/>
      </c>
      <c r="D626" s="362">
        <f>D11+D52+D93+D134+D175+D216+D257+D298+D339+D380+D421+D462+D503+D544+D585</f>
        <v/>
      </c>
    </row>
    <row r="627">
      <c r="A627" s="48" t="inlineStr">
        <is>
          <t>ADMINISTRATIVE PERSONNEL (or equivalent in the private sector)</t>
        </is>
      </c>
      <c r="B627" s="379">
        <f>B12+B53+B94+B135+B176+B217+B258+B299+B340+B381+B422+B463+B504+B545+B586</f>
        <v/>
      </c>
      <c r="C627" s="249">
        <f>IF(B627&gt;0,D627/B627," ")</f>
        <v/>
      </c>
      <c r="D627" s="362">
        <f>D12+D53+D94+D135+D176+D217+D258+D299+D340+D381+D422+D463+D504+D545+D586</f>
        <v/>
      </c>
    </row>
    <row r="628">
      <c r="A628" s="48" t="inlineStr">
        <is>
          <t>OTHERS</t>
        </is>
      </c>
      <c r="B628" s="379">
        <f>B13+B54+B95+B136+B177+B218+B259+B300+B341+B382+B423+B464+B505+B546+B587</f>
        <v/>
      </c>
      <c r="C628" s="249">
        <f>IF(B628&gt;0,D628/B628," ")</f>
        <v/>
      </c>
      <c r="D628" s="362">
        <f>D13+D54+D95+D136+D177+D218+D259+D300+D341+D382+D423+D464+D505+D546+D587</f>
        <v/>
      </c>
    </row>
    <row r="629">
      <c r="A629" s="28" t="inlineStr">
        <is>
          <t>A.2 Natural Persons under direct contract</t>
        </is>
      </c>
      <c r="B629" s="379">
        <f>B14+B55+B96+B137+B178+B219+B260+B301+B342+B383+B424+B465+B506+B547+B588</f>
        <v/>
      </c>
      <c r="C629" s="249">
        <f>IF(B629&gt;0,D629/B629," ")</f>
        <v/>
      </c>
      <c r="D629" s="362">
        <f>D14+D55+D96+D137+D178+D219+D260+D301+D342+D383+D424+D465+D506+D547+D588</f>
        <v/>
      </c>
    </row>
    <row r="630">
      <c r="A630" s="28" t="inlineStr">
        <is>
          <t>A.3 Seconded Persons</t>
        </is>
      </c>
      <c r="B630" s="379">
        <f>B15+B56+B97+B138+B179+B220+B261+B302+B343+B384+B425+B466+B507+B548+B589</f>
        <v/>
      </c>
      <c r="C630" s="249">
        <f>IF(B630&gt;0,D630/B630," ")</f>
        <v/>
      </c>
      <c r="D630" s="362">
        <f>D15+D56+D97+D138+D179+D220+D261+D302+D343+D384+D425+D466+D507+D548+D589</f>
        <v/>
      </c>
    </row>
    <row r="631">
      <c r="A631" s="28" t="inlineStr">
        <is>
          <t>A.4 SME owners and natural person beneficiaries</t>
        </is>
      </c>
      <c r="B631" s="379">
        <f>B16+B57+B98+B139+B180+B221+B262+B303+B344+B385+B426+B467+B508+B549+B590</f>
        <v/>
      </c>
      <c r="C631" s="249">
        <f>IF(B631&gt;0,D631/B631," ")</f>
        <v/>
      </c>
      <c r="D631" s="362">
        <f>D16+D57+D98+D139+D180+D221+D262+D303+D344+D385+D426+D467+D508+D549+D590</f>
        <v/>
      </c>
    </row>
    <row r="632">
      <c r="A632" s="29" t="inlineStr">
        <is>
          <t>B. DIRECT SUBCONTRACTING COSTS</t>
        </is>
      </c>
      <c r="B632" s="381" t="n"/>
      <c r="C632" s="250" t="n"/>
      <c r="D632" s="360" t="n"/>
    </row>
    <row r="633">
      <c r="A633" s="28" t="n"/>
      <c r="B633" s="379">
        <f>B18+B59+B100+B141+B182+B223+B264+B305+B346+B387+B428+B469+B510+B551+B592</f>
        <v/>
      </c>
      <c r="C633" s="249">
        <f>IF(B633&gt;0,D633/B633," ")</f>
        <v/>
      </c>
      <c r="D633" s="362">
        <f>D18+D59+D100+D141+D182+D223+D264+D305+D346+D387+D428+D469+D510+D551+D592</f>
        <v/>
      </c>
    </row>
    <row r="634">
      <c r="A634" s="29" t="inlineStr">
        <is>
          <t>C. DIRECT PURCHASE COSTS</t>
        </is>
      </c>
      <c r="B634" s="381" t="n"/>
      <c r="C634" s="250" t="n"/>
      <c r="D634" s="360" t="n"/>
    </row>
    <row r="635">
      <c r="A635" s="28" t="inlineStr">
        <is>
          <t>C.1 Travel and subsistence</t>
        </is>
      </c>
      <c r="B635" s="379">
        <f>B20+B61+B102+B143+B184+B225+B266+B307+B348+B389+B430+B471+B512+B553+B594</f>
        <v/>
      </c>
      <c r="C635" s="249">
        <f>IF(B635&gt;0,D635/B635," ")</f>
        <v/>
      </c>
      <c r="D635" s="362">
        <f>D20+D61+D102+D143+D184+D225+D266+D307+D348+D389+D430+D471+D512+D553+D594</f>
        <v/>
      </c>
    </row>
    <row r="636">
      <c r="A636" s="28" t="inlineStr">
        <is>
          <t>C.2 Equipment (complete 'Depreciation costs' sheet)</t>
        </is>
      </c>
      <c r="B636" s="382" t="n"/>
      <c r="C636" s="251" t="n"/>
      <c r="D636" s="365" t="n"/>
    </row>
    <row r="637">
      <c r="A637" s="49" t="inlineStr">
        <is>
          <t>Equipment</t>
        </is>
      </c>
      <c r="B637" s="379">
        <f>B22+B63+B104+B145+B186+B227+B268+B309+B350+B391+B432+B473+B514+B555+B596</f>
        <v/>
      </c>
      <c r="C637" s="249">
        <f>IF(B637&gt;0,D637/B637," ")</f>
        <v/>
      </c>
      <c r="D637" s="362">
        <f>D22+D63+D104+D145+D186+D227+D268+D309+D350+D391+D432+D473+D514+D555+D596</f>
        <v/>
      </c>
    </row>
    <row r="638">
      <c r="A638" s="49" t="inlineStr">
        <is>
          <t>Infrastructure</t>
        </is>
      </c>
      <c r="B638" s="379">
        <f>B23+B64+B105+B146+B187+B228+B269+B310+B351+B392+B433+B474+B515+B556+B597</f>
        <v/>
      </c>
      <c r="C638" s="249">
        <f>IF(B638&gt;0,D638/B638," ")</f>
        <v/>
      </c>
      <c r="D638" s="362">
        <f>D23+D64+D105+D146+D187+D228+D269+D310+D351+D392+D433+D474+D515+D556+D597</f>
        <v/>
      </c>
    </row>
    <row r="639">
      <c r="A639" s="49" t="inlineStr">
        <is>
          <t>Other assets</t>
        </is>
      </c>
      <c r="B639" s="379">
        <f>B24+B65+B106+B147+B188+B229+B270+B311+B352+B393+B434+B475+B516+B557+B598</f>
        <v/>
      </c>
      <c r="C639" s="249">
        <f>IF(B639&gt;0,D639/B639," ")</f>
        <v/>
      </c>
      <c r="D639" s="362">
        <f>D24+D65+D106+D147+D188+D229+D270+D311+D352+D393+D434+D475+D516+D557+D598</f>
        <v/>
      </c>
    </row>
    <row r="640">
      <c r="A640" s="28" t="inlineStr">
        <is>
          <t>C.3 Other goods, works and services</t>
        </is>
      </c>
      <c r="B640" s="382" t="n"/>
      <c r="C640" s="251" t="n"/>
      <c r="D640" s="365" t="n"/>
    </row>
    <row r="641">
      <c r="A641" s="49" t="inlineStr">
        <is>
          <t>Consumables</t>
        </is>
      </c>
      <c r="B641" s="379">
        <f>B26+B67+B108+B149+B190+B231+B272+B313+B354+B395+B436+B477+B518+B559+B600</f>
        <v/>
      </c>
      <c r="C641" s="249">
        <f>IF(B641&gt;0,D641/B641," ")</f>
        <v/>
      </c>
      <c r="D641" s="362">
        <f>D26+D67+D108+D149+D190+D231+D272+D313+D354+D395+D436+D477+D518+D559+D600</f>
        <v/>
      </c>
    </row>
    <row r="642">
      <c r="A642" s="49" t="inlineStr">
        <is>
          <t>Services for meetings, seminars</t>
        </is>
      </c>
      <c r="B642" s="379">
        <f>B27+B68+B109+B150+B191+B232+B273+B314+B355+B396+B437+B478+B519+B560+B601</f>
        <v/>
      </c>
      <c r="C642" s="249">
        <f>IF(B642&gt;0,D642/B642," ")</f>
        <v/>
      </c>
      <c r="D642" s="362">
        <f>D27+D68+D109+D150+D191+D232+D273+D314+D355+D396+D437+D478+D519+D560+D601</f>
        <v/>
      </c>
    </row>
    <row r="643">
      <c r="A643" s="49" t="inlineStr">
        <is>
          <t>Services for dissemination activities (including website)</t>
        </is>
      </c>
      <c r="B643" s="379">
        <f>B28+B69+B110+B151+B192+B233+B274+B315+B356+B397+B438+B479+B520+B561+B602</f>
        <v/>
      </c>
      <c r="C643" s="249">
        <f>IF(B643&gt;0,D643/B643," ")</f>
        <v/>
      </c>
      <c r="D643" s="362">
        <f>D28+D69+D110+D151+D192+D233+D274+D315+D356+D397+D438+D479+D520+D561+D602</f>
        <v/>
      </c>
    </row>
    <row r="644">
      <c r="A644" s="49" t="inlineStr">
        <is>
          <t>Publication fees</t>
        </is>
      </c>
      <c r="B644" s="379">
        <f>B29+B70+B111+B152+B193+B234+B275+B316+B357+B398+B439+B480+B521+B562+B603</f>
        <v/>
      </c>
      <c r="C644" s="249">
        <f>IF(B644&gt;0,D644/B644," ")</f>
        <v/>
      </c>
      <c r="D644" s="362">
        <f>D29+D70+D111+D152+D193+D234+D275+D316+D357+D398+D439+D480+D521+D562+D603</f>
        <v/>
      </c>
    </row>
    <row r="645">
      <c r="A645" s="49" t="inlineStr">
        <is>
          <t>Other (shipment, insurance, translation, etc.)</t>
        </is>
      </c>
      <c r="B645" s="379">
        <f>B30+B71+B112+B153+B194+B235+B276+B317+B358+B399+B440+B481+B522+B563+B604</f>
        <v/>
      </c>
      <c r="C645" s="249">
        <f>IF(B645&gt;0,D645/B645," ")</f>
        <v/>
      </c>
      <c r="D645" s="362">
        <f>D30+D71+D112+D153+D194+D235+D276+D317+D358+D399+D440+D481+D522+D563+D604</f>
        <v/>
      </c>
    </row>
    <row r="646">
      <c r="A646" s="29" t="inlineStr">
        <is>
          <t>D. OTHER COST CATEGORIES</t>
        </is>
      </c>
      <c r="B646" s="381" t="n"/>
      <c r="C646" s="250" t="n"/>
      <c r="D646" s="360" t="n"/>
    </row>
    <row r="647">
      <c r="A647" s="50" t="inlineStr">
        <is>
          <t>D.1 Financial support to third parties (if applicable in the topic specific conditions)</t>
        </is>
      </c>
      <c r="B647" s="379">
        <f>B32+B73+B114+B155+B196+B237+B278+B319+B360+B401+B442+B483+B524+B565+B606</f>
        <v/>
      </c>
      <c r="C647" s="249">
        <f>IF(B647&gt;0,D647/B647," ")</f>
        <v/>
      </c>
      <c r="D647" s="362">
        <f>D32+D73+D114+D155+D196+D237+D278+D319+D360+D401+D442+D483+D524+D565+D606</f>
        <v/>
      </c>
    </row>
    <row r="648">
      <c r="A648" s="50" t="inlineStr">
        <is>
          <t>D.2 Internally invoiced goods and services</t>
        </is>
      </c>
      <c r="B648" s="379">
        <f>B33+B74+B115+B156+B197+B238+B279+B320+B361+B402+B443+B484+B525+B566+B607</f>
        <v/>
      </c>
      <c r="C648" s="249">
        <f>IF(B648&gt;0,D648/B648," ")</f>
        <v/>
      </c>
      <c r="D648" s="362">
        <f>D33+D74+D115+D156+D197+D238+D279+D320+D361+D402+D443+D484+D525+D566+D607</f>
        <v/>
      </c>
    </row>
    <row r="649">
      <c r="A649" s="50" t="inlineStr">
        <is>
          <t>D.3 Transnational access to research infrastructure unit costs (if mentioned as eligible in the topic specific conditions)</t>
        </is>
      </c>
      <c r="B649" s="379">
        <f>B34+B75+B116+B157+B198+B239+B280+B321+B362+B403+B444+B485+B526+B567+B608</f>
        <v/>
      </c>
      <c r="C649" s="249">
        <f>IF(B649&gt;0,D649/B649," ")</f>
        <v/>
      </c>
      <c r="D649" s="362">
        <f>D34+D75+D116+D157+D198+D239+D280+D321+D362+D403+D444+D485+D526+D567+D608</f>
        <v/>
      </c>
    </row>
    <row r="650">
      <c r="A650" s="50" t="inlineStr">
        <is>
          <t>D.4 Virtual access to research infrastructure unit costs (if mentioned as eligible in the topic specific conditions)</t>
        </is>
      </c>
      <c r="B650" s="379">
        <f>B35+B76+B117+B158+B199+B240+B281+B322+B363+B404+B445+B486+B527+B568+B609</f>
        <v/>
      </c>
      <c r="C650" s="249">
        <f>IF(B650&gt;0,D650/B650," ")</f>
        <v/>
      </c>
      <c r="D650" s="362">
        <f>D35+D76+D117+D158+D199+D240+D281+D322+D363+D404+D445+D486+D527+D568+D609</f>
        <v/>
      </c>
    </row>
    <row r="651">
      <c r="A651" s="50" t="inlineStr">
        <is>
          <t>D.5 PCP/PPI procurement costs (if mentioned as eligible in the topic specific conditions)</t>
        </is>
      </c>
      <c r="B651" s="379">
        <f>B36+B77+B118+B159+B200+B241+B282+B323+B364+B405+B446+B487+B528+B569+B610</f>
        <v/>
      </c>
      <c r="C651" s="249">
        <f>IF(B651&gt;0,D651/B651," ")</f>
        <v/>
      </c>
      <c r="D651" s="362">
        <f>D36+D77+D118+D159+D200+D241+D282+D323+D364+D405+D446+D487+D528+D569+D610</f>
        <v/>
      </c>
    </row>
    <row r="652">
      <c r="A652" s="51" t="n"/>
      <c r="B652" s="347" t="n"/>
      <c r="C652" s="111" t="n"/>
      <c r="D652" s="366" t="n"/>
    </row>
    <row r="653">
      <c r="A653" s="52" t="inlineStr">
        <is>
          <t>TOTAL DIRECT PERSONNEL COSTS AND PURCHASE COSTS (A+C)</t>
        </is>
      </c>
      <c r="B653" s="370" t="n"/>
      <c r="C653" s="230" t="n"/>
      <c r="D653" s="383">
        <f>D38+D79+D120+D161+D202+D243+D284+D325+D366+D407+D448+D489+D530+D571+D612</f>
        <v/>
      </c>
    </row>
    <row r="654">
      <c r="A654" s="52" t="inlineStr">
        <is>
          <t>TOTAL DIRECT COSTS  (A+B+C+D)</t>
        </is>
      </c>
      <c r="B654" s="370" t="n"/>
      <c r="C654" s="230" t="n"/>
      <c r="D654" s="383">
        <f>D39+D80+D121+D162+D203+D244+D285+D326+D367+D408+D449+D490+D531+D572+D613</f>
        <v/>
      </c>
    </row>
    <row r="655">
      <c r="A655" s="182" t="n"/>
      <c r="B655" s="384" t="n"/>
      <c r="C655" s="192" t="n"/>
      <c r="D655" s="191" t="n"/>
    </row>
    <row r="656">
      <c r="A656" s="29" t="inlineStr">
        <is>
          <t>E. INDIRECT COSTS (25% * (A+C))</t>
        </is>
      </c>
      <c r="B656" s="370" t="n"/>
      <c r="C656" s="230" t="n"/>
      <c r="D656" s="383">
        <f>D41+D82+D123+D164+D205+D246+D287+D328+D369+D410+D451+D492+D533+D574+D615</f>
        <v/>
      </c>
    </row>
    <row r="657">
      <c r="A657" s="182" t="n"/>
      <c r="B657" s="384" t="n"/>
      <c r="C657" s="192" t="n"/>
      <c r="D657" s="191" t="n"/>
    </row>
    <row r="658">
      <c r="A658" s="29" t="inlineStr">
        <is>
          <t>F. TOTAL COSTS (A+B+C+D+E)</t>
        </is>
      </c>
      <c r="B658" s="370" t="n"/>
      <c r="C658" s="230" t="n"/>
      <c r="D658" s="383">
        <f>D43+D84+D125+D166+D207+D248+D289+D330+D371+D412+D453+D494+D535+D576+D617</f>
        <v/>
      </c>
    </row>
  </sheetData>
  <sheetProtection selectLockedCells="1" selectUnlockedCells="0" algorithmName="SHA-512" sheet="1" objects="1" insertRows="1" insertHyperlinks="1" autoFilter="1" scenarios="1" formatColumns="1" deleteColumns="1" insertColumns="1" pivotTables="1" deleteRows="1" formatCells="1" saltValue="mMaElGh8X/LXlwknI8khmw==" formatRows="1" sort="1" spinCount="100000" hashValue="b8XIOgY8S7LNM0h0IbA3EURKUz8JsOYpLPN7T/Iyi0PXcWhxe5XKBkbCTGkbdA4oT/DkoOIK18IgQ6OXOQ1eLA=="/>
  <mergeCells count="17">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620:D620"/>
    <mergeCell ref="A169:D169"/>
    <mergeCell ref="A46:D46"/>
    <mergeCell ref="A374:D374"/>
  </mergeCells>
  <hyperlinks>
    <hyperlink ref="C1" location="A658" tooltip="Go to Summary section" display="A658"/>
  </hyperlinks>
  <pageMargins left="0.7" right="0.7" top="0.75" bottom="0.75" header="0.3" footer="0.3"/>
</worksheet>
</file>

<file path=xl/worksheets/sheet18.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BE8 - BUDGET SHEET</t>
        </is>
      </c>
      <c r="B1" s="33" t="n"/>
      <c r="C1" s="242" t="inlineStr">
        <is>
          <t>View Summary</t>
        </is>
      </c>
      <c r="D1" s="34" t="n"/>
    </row>
    <row r="2" ht="18.6" customHeight="1">
      <c r="A2" s="264" t="inlineStr">
        <is>
          <t>3676af46-691e-4893-9ada-42223e138105</t>
        </is>
      </c>
      <c r="B2" s="303" t="inlineStr">
        <is>
          <t>PNGEANIC</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1</v>
      </c>
      <c r="C9" s="248" t="n">
        <v>5000</v>
      </c>
      <c r="D9" s="232">
        <f>B9*C9</f>
        <v/>
      </c>
    </row>
    <row r="10">
      <c r="A10" s="48" t="inlineStr">
        <is>
          <t>JUNIOR SCIENTISTS (or equivalent in the private sector)</t>
        </is>
      </c>
      <c r="B10" s="358" t="n"/>
      <c r="C10" s="248" t="n"/>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v>1</v>
      </c>
      <c r="C12" s="248" t="n">
        <v>3000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8360.6024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2000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2</v>
      </c>
      <c r="C50" s="248" t="n">
        <v>5000</v>
      </c>
      <c r="D50" s="232">
        <f>B50*C50</f>
        <v/>
      </c>
    </row>
    <row r="51">
      <c r="A51" s="48" t="inlineStr">
        <is>
          <t>JUNIOR SCIENTISTS (or equivalent in the private sector)</t>
        </is>
      </c>
      <c r="B51" s="358" t="n">
        <v>1</v>
      </c>
      <c r="C51" s="248" t="n">
        <v>5000</v>
      </c>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8360.6024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c r="C91" s="248" t="n"/>
      <c r="D91" s="232">
        <f>B91*C91</f>
        <v/>
      </c>
    </row>
    <row r="92">
      <c r="A92" s="48" t="inlineStr">
        <is>
          <t>JUNIOR SCIENTISTS (or equivalent in the private sector)</t>
        </is>
      </c>
      <c r="B92" s="358" t="n"/>
      <c r="C92" s="248" t="n"/>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8360.6024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0</v>
      </c>
      <c r="C132" s="248" t="n">
        <v>0</v>
      </c>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8360.6024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3</v>
      </c>
      <c r="C173" s="248" t="n">
        <v>5000</v>
      </c>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8360.6024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c r="C214" s="248" t="n"/>
      <c r="D214" s="232">
        <f>B214*C214</f>
        <v/>
      </c>
    </row>
    <row r="215">
      <c r="A215" s="48" t="inlineStr">
        <is>
          <t>JUNIOR SCIENTISTS (or equivalent in the private sector)</t>
        </is>
      </c>
      <c r="B215" s="358" t="n"/>
      <c r="C215" s="248" t="n"/>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8360.6024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","Agentic AI Core and Orchestration Development")</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14</v>
      </c>
      <c r="C255" s="248" t="n">
        <v>5000</v>
      </c>
      <c r="D255" s="232">
        <f>B255*C255</f>
        <v/>
      </c>
    </row>
    <row r="256">
      <c r="A256" s="48" t="inlineStr">
        <is>
          <t>JUNIOR SCIENTISTS (or equivalent in the private sector)</t>
        </is>
      </c>
      <c r="B256" s="358" t="n">
        <v>14</v>
      </c>
      <c r="C256" s="248" t="n">
        <v>3500</v>
      </c>
      <c r="D256" s="232">
        <f>B256*C256</f>
        <v/>
      </c>
    </row>
    <row r="257">
      <c r="A257" s="48" t="inlineStr">
        <is>
          <t>TECHNICAL PERSONNEL (or equivalent in the private sector)</t>
        </is>
      </c>
      <c r="B257" s="358" t="n">
        <v>6</v>
      </c>
      <c r="C257" s="248" t="n">
        <v>4100</v>
      </c>
      <c r="D257" s="232">
        <f>B257*C257</f>
        <v/>
      </c>
    </row>
    <row r="258">
      <c r="A258" s="48" t="inlineStr">
        <is>
          <t>ADMINISTRATIVE PERSONNEL (or equivalent in the private sector)</t>
        </is>
      </c>
      <c r="B258" s="358" t="n">
        <v>2</v>
      </c>
      <c r="C258" s="248" t="n">
        <v>3000</v>
      </c>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8360.6024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v>12</v>
      </c>
      <c r="C272" s="248" t="n">
        <v>3000</v>
      </c>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","Integration, Validation and Operational Lifecycle of the Agentic System")</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v>12</v>
      </c>
      <c r="C296" s="248" t="n">
        <v>5000</v>
      </c>
      <c r="D296" s="232">
        <f>B296*C296</f>
        <v/>
      </c>
    </row>
    <row r="297">
      <c r="A297" s="48" t="inlineStr">
        <is>
          <t>JUNIOR SCIENTISTS (or equivalent in the private sector)</t>
        </is>
      </c>
      <c r="B297" s="358" t="n">
        <v>10</v>
      </c>
      <c r="C297" s="248" t="n">
        <v>3500</v>
      </c>
      <c r="D297" s="232">
        <f>B297*C297</f>
        <v/>
      </c>
    </row>
    <row r="298">
      <c r="A298" s="48" t="inlineStr">
        <is>
          <t>TECHNICAL PERSONNEL (or equivalent in the private sector)</t>
        </is>
      </c>
      <c r="B298" s="358" t="n">
        <v>10</v>
      </c>
      <c r="C298" s="248" t="n">
        <v>4100</v>
      </c>
      <c r="D298" s="232">
        <f>B298*C298</f>
        <v/>
      </c>
    </row>
    <row r="299">
      <c r="A299" s="48" t="inlineStr">
        <is>
          <t>ADMINISTRATIVE PERSONNEL (or equivalent in the private sector)</t>
        </is>
      </c>
      <c r="B299" s="358" t="n">
        <v>2</v>
      </c>
      <c r="C299" s="248" t="n">
        <v>3000</v>
      </c>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8360.6024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v>4</v>
      </c>
      <c r="C307" s="248" t="n">
        <v>3000</v>
      </c>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v>12</v>
      </c>
      <c r="C313" s="248" t="n">
        <v>3000</v>
      </c>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","HSE and Environment")</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c r="C337" s="248" t="n"/>
      <c r="D337" s="232">
        <f>B337*C337</f>
        <v/>
      </c>
    </row>
    <row r="338">
      <c r="A338" s="48" t="inlineStr">
        <is>
          <t>JUNIOR SCIENTISTS (or equivalent in the private sector)</t>
        </is>
      </c>
      <c r="B338" s="358" t="n"/>
      <c r="C338" s="248" t="n"/>
      <c r="D338" s="232">
        <f>B338*C338</f>
        <v/>
      </c>
    </row>
    <row r="339">
      <c r="A339" s="48" t="inlineStr">
        <is>
          <t>TECHNICAL PERSONNEL (or equivalent in the private sector)</t>
        </is>
      </c>
      <c r="B339" s="358" t="n"/>
      <c r="C339" s="248" t="n"/>
      <c r="D339" s="232">
        <f>B339*C339</f>
        <v/>
      </c>
    </row>
    <row r="340">
      <c r="A340" s="48" t="inlineStr">
        <is>
          <t>ADMINISTRATIVE PERSONNEL (or equivalent in the private sector)</t>
        </is>
      </c>
      <c r="B340" s="358" t="n"/>
      <c r="C340" s="248" t="n"/>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8360.6024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c r="C348" s="248" t="n"/>
      <c r="D348" s="362">
        <f>B348*C348</f>
        <v/>
      </c>
    </row>
    <row r="349">
      <c r="A349" s="28" t="inlineStr">
        <is>
          <t>C.2 Equipment (complete 'Depreciation costs' sheet)</t>
        </is>
      </c>
      <c r="B349" s="347" t="n"/>
      <c r="C349" s="111" t="n"/>
      <c r="D349" s="365" t="n"/>
    </row>
    <row r="350">
      <c r="A350" s="49" t="inlineStr">
        <is>
          <t>Equipment</t>
        </is>
      </c>
      <c r="B350" s="358" t="n"/>
      <c r="C350" s="248" t="n"/>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c r="C354" s="248" t="n"/>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","System integration for unified O&amp;M Platform")</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17" t="n"/>
      <c r="C378" s="17" t="n"/>
      <c r="D378" s="232">
        <f>B419*C419</f>
        <v/>
      </c>
    </row>
    <row r="379">
      <c r="A379" s="48" t="inlineStr">
        <is>
          <t>JUNIOR SCIENTISTS (or equivalent in the private sector)</t>
        </is>
      </c>
      <c r="B379" s="358" t="n"/>
      <c r="C379" s="248" t="n"/>
      <c r="D379" s="232">
        <f>B379*C379</f>
        <v/>
      </c>
    </row>
    <row r="380">
      <c r="A380" s="48" t="inlineStr">
        <is>
          <t>TECHNICAL PERSONNEL (or equivalent in the private sector)</t>
        </is>
      </c>
      <c r="B380" s="358" t="n"/>
      <c r="C380" s="248" t="n"/>
      <c r="D380" s="232">
        <f>B380*C380</f>
        <v/>
      </c>
    </row>
    <row r="381">
      <c r="A381" s="48" t="inlineStr">
        <is>
          <t>ADMINISTRATIVE PERSONNEL (or equivalent in the private sector)</t>
        </is>
      </c>
      <c r="B381" s="358" t="n"/>
      <c r="C381" s="248" t="n"/>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8360.6024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v>1</v>
      </c>
      <c r="C419" s="248" t="n">
        <v>5000</v>
      </c>
      <c r="D419" s="232">
        <f>#REF!*#REF!</f>
        <v/>
      </c>
    </row>
    <row r="420">
      <c r="A420" s="48" t="inlineStr">
        <is>
          <t>JUNIOR SCIENTISTS (or equivalent in the private sector)</t>
        </is>
      </c>
      <c r="B420" s="358" t="n"/>
      <c r="C420" s="248" t="n"/>
      <c r="D420" s="232">
        <f>B420*C420</f>
        <v/>
      </c>
    </row>
    <row r="421">
      <c r="A421" s="48" t="inlineStr">
        <is>
          <t>TECHNICAL PERSONNEL (or equivalent in the private sector)</t>
        </is>
      </c>
      <c r="B421" s="358" t="n"/>
      <c r="C421" s="248" t="n"/>
      <c r="D421" s="232">
        <f>B421*C421</f>
        <v/>
      </c>
    </row>
    <row r="422">
      <c r="A422" s="48" t="inlineStr">
        <is>
          <t>ADMINISTRATIVE PERSONNEL (or equivalent in the private sector)</t>
        </is>
      </c>
      <c r="B422" s="358" t="n"/>
      <c r="C422" s="248" t="n"/>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8360.6024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","System-Level Demonstration and Validation")</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c r="C460" s="248" t="n"/>
      <c r="D460" s="232">
        <f>B460*C460</f>
        <v/>
      </c>
    </row>
    <row r="461">
      <c r="A461" s="48" t="inlineStr">
        <is>
          <t>JUNIOR SCIENTISTS (or equivalent in the private sector)</t>
        </is>
      </c>
      <c r="B461" s="358" t="n"/>
      <c r="C461" s="248" t="n"/>
      <c r="D461" s="232">
        <f>B461*C461</f>
        <v/>
      </c>
    </row>
    <row r="462">
      <c r="A462" s="48" t="inlineStr">
        <is>
          <t>TECHNICAL PERSONNEL (or equivalent in the private sector)</t>
        </is>
      </c>
      <c r="B462" s="358" t="n"/>
      <c r="C462" s="248" t="n"/>
      <c r="D462" s="232">
        <f>B462*C462</f>
        <v/>
      </c>
    </row>
    <row r="463">
      <c r="A463" s="48" t="inlineStr">
        <is>
          <t>ADMINISTRATIVE PERSONNEL (or equivalent in the private sector)</t>
        </is>
      </c>
      <c r="B463" s="358" t="n"/>
      <c r="C463" s="248" t="n"/>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8360.6024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c r="C473" s="248" t="n"/>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c r="C477" s="248" t="n"/>
      <c r="D477" s="362">
        <f>B477*C477</f>
        <v/>
      </c>
    </row>
    <row r="478">
      <c r="A478" s="49" t="inlineStr">
        <is>
          <t>Services for meetings, seminars</t>
        </is>
      </c>
      <c r="B478" s="358" t="n"/>
      <c r="C478" s="248" t="n"/>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c r="C481" s="248" t="n"/>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","D&amp;C&amp;E")</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c r="C501" s="248" t="n"/>
      <c r="D501" s="232">
        <f>B501*C501</f>
        <v/>
      </c>
    </row>
    <row r="502">
      <c r="A502" s="48" t="inlineStr">
        <is>
          <t>JUNIOR SCIENTISTS (or equivalent in the private sector)</t>
        </is>
      </c>
      <c r="B502" s="358" t="n"/>
      <c r="C502" s="248" t="n"/>
      <c r="D502" s="232">
        <f>B502*C502</f>
        <v/>
      </c>
    </row>
    <row r="503">
      <c r="A503" s="48" t="inlineStr">
        <is>
          <t>TECHNICAL PERSONNEL (or equivalent in the private sector)</t>
        </is>
      </c>
      <c r="B503" s="358" t="n"/>
      <c r="C503" s="248" t="n"/>
      <c r="D503" s="232">
        <f>B503*C503</f>
        <v/>
      </c>
    </row>
    <row r="504">
      <c r="A504" s="48" t="inlineStr">
        <is>
          <t>ADMINISTRATIVE PERSONNEL (or equivalent in the private sector)</t>
        </is>
      </c>
      <c r="B504" s="358" t="n"/>
      <c r="C504" s="248" t="n"/>
      <c r="D504" s="232">
        <f>B504*C504</f>
        <v/>
      </c>
    </row>
    <row r="505">
      <c r="A505" s="48" t="inlineStr">
        <is>
          <t>OTHERS</t>
        </is>
      </c>
      <c r="B505" s="358" t="n"/>
      <c r="C505" s="248" t="n"/>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8360.6024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c r="C512" s="248" t="n"/>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c r="C519" s="248" t="n"/>
      <c r="D519" s="362">
        <f>B519*C519</f>
        <v/>
      </c>
    </row>
    <row r="520">
      <c r="A520" s="49" t="inlineStr">
        <is>
          <t>Services for dissemination activities (including website)</t>
        </is>
      </c>
      <c r="B520" s="358" t="n"/>
      <c r="C520" s="248" t="n"/>
      <c r="D520" s="362">
        <f>B520*C520</f>
        <v/>
      </c>
    </row>
    <row r="521">
      <c r="A521" s="49" t="inlineStr">
        <is>
          <t>Publication fees</t>
        </is>
      </c>
      <c r="B521" s="358" t="n"/>
      <c r="C521" s="248" t="n"/>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","D&amp;C&amp;E")</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c r="C542" s="248" t="n"/>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c r="C544" s="248" t="n"/>
      <c r="D544" s="232">
        <f>B544*C544</f>
        <v/>
      </c>
    </row>
    <row r="545">
      <c r="A545" s="48" t="inlineStr">
        <is>
          <t>ADMINISTRATIVE PERSONNEL (or equivalent in the private sector)</t>
        </is>
      </c>
      <c r="B545" s="358" t="n"/>
      <c r="C545" s="248" t="n"/>
      <c r="D545" s="232">
        <f>B545*C545</f>
        <v/>
      </c>
    </row>
    <row r="546">
      <c r="A546" s="48" t="inlineStr">
        <is>
          <t>OTHERS</t>
        </is>
      </c>
      <c r="B546" s="358" t="n"/>
      <c r="C546" s="248" t="n"/>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8360.6024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c r="C553" s="248" t="n"/>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c r="C560" s="248" t="n"/>
      <c r="D560" s="362">
        <f>B560*C560</f>
        <v/>
      </c>
    </row>
    <row r="561">
      <c r="A561" s="49" t="inlineStr">
        <is>
          <t>Services for dissemination activities (including website)</t>
        </is>
      </c>
      <c r="B561" s="358" t="n"/>
      <c r="C561" s="248" t="n"/>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8">
      <c r="A578" s="190" t="n"/>
      <c r="B578" s="185" t="n"/>
      <c r="C578" s="186" t="n"/>
      <c r="D578" s="187" t="n"/>
    </row>
    <row r="579" ht="21" customHeight="1">
      <c r="A579" s="306" t="inlineStr">
        <is>
          <t>SUMMARY</t>
        </is>
      </c>
      <c r="B579" s="315" t="n"/>
      <c r="C579" s="315" t="n"/>
      <c r="D579" s="316" t="n"/>
    </row>
    <row r="580">
      <c r="A580" s="56" t="n"/>
      <c r="B580" s="174" t="n"/>
      <c r="C580" s="175" t="n"/>
      <c r="D580" s="174"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79">
        <f>B9+B50+B91+B132+B173+B214+B255+B296+B337+B378+B419+B460+B501+B542</f>
        <v/>
      </c>
      <c r="C583" s="249">
        <f>IF(B583&gt;0,D583/B583," ")</f>
        <v/>
      </c>
      <c r="D583" s="362">
        <f>D9+D50+D91+D132+D173+D214+D255+D296+D337+D378+D419+D460+D501+D542</f>
        <v/>
      </c>
    </row>
    <row r="584">
      <c r="A584" s="48" t="inlineStr">
        <is>
          <t>JUNIOR SCIENTISTS (or equivalent in the private sector)</t>
        </is>
      </c>
      <c r="B584" s="379">
        <f>B10+B51+B92+B133+B174+B215+B256+B297+B338+B379+B420+B461+B502+B543</f>
        <v/>
      </c>
      <c r="C584" s="249">
        <f>IF(B584&gt;0,D584/B584," ")</f>
        <v/>
      </c>
      <c r="D584" s="362">
        <f>D10+D51+D92+D133+D174+D215+D256+D297+D338+D379+D420+D461+D502+D543</f>
        <v/>
      </c>
    </row>
    <row r="585">
      <c r="A585" s="48" t="inlineStr">
        <is>
          <t>TECHNICAL PERSONNEL (or equivalent in the private sector)</t>
        </is>
      </c>
      <c r="B585" s="379">
        <f>B11+B52+B93+B134+B175+B216+B257+B298+B339+B380+B421+B462+B503+B544</f>
        <v/>
      </c>
      <c r="C585" s="249">
        <f>IF(B585&gt;0,D585/B585," ")</f>
        <v/>
      </c>
      <c r="D585" s="362">
        <f>D11+D52+D93+D134+D175+D216+D257+D298+D339+D380+D421+D462+D503+D544</f>
        <v/>
      </c>
    </row>
    <row r="586">
      <c r="A586" s="48" t="inlineStr">
        <is>
          <t>ADMINISTRATIVE PERSONNEL (or equivalent in the private sector)</t>
        </is>
      </c>
      <c r="B586" s="379">
        <f>B12+B53+B94+B135+B176+B217+B258+B299+B340+B381+B422+B463+B504+B545</f>
        <v/>
      </c>
      <c r="C586" s="249">
        <f>IF(B586&gt;0,D586/B586," ")</f>
        <v/>
      </c>
      <c r="D586" s="362">
        <f>D12+D53+D94+D135+D176+D217+D258+D299+D340+D381+D422+D463+D504+D545</f>
        <v/>
      </c>
    </row>
    <row r="587">
      <c r="A587" s="48" t="inlineStr">
        <is>
          <t>OTHERS</t>
        </is>
      </c>
      <c r="B587" s="379">
        <f>B13+B54+B95+B136+B177+B218+B259+B300+B341+B382+B423+B464+B505+B546</f>
        <v/>
      </c>
      <c r="C587" s="249">
        <f>IF(B587&gt;0,D587/B587," ")</f>
        <v/>
      </c>
      <c r="D587" s="362">
        <f>D13+D54+D95+D136+D177+D218+D259+D300+D341+D382+D423+D464+D505+D546</f>
        <v/>
      </c>
    </row>
    <row r="588">
      <c r="A588" s="28" t="inlineStr">
        <is>
          <t>A.2 Natural Persons under direct contract</t>
        </is>
      </c>
      <c r="B588" s="379">
        <f>B14+B55+B96+B137+B178+B219+B260+B301+B342+B383+B424+B465+B506+B547</f>
        <v/>
      </c>
      <c r="C588" s="249">
        <f>IF(B588&gt;0,D588/B588," ")</f>
        <v/>
      </c>
      <c r="D588" s="362">
        <f>D14+D55+D96+D137+D178+D219+D260+D301+D342+D383+D424+D465+D506+D547</f>
        <v/>
      </c>
    </row>
    <row r="589">
      <c r="A589" s="28" t="inlineStr">
        <is>
          <t>A.3 Seconded Persons</t>
        </is>
      </c>
      <c r="B589" s="379">
        <f>B15+B56+B97+B138+B179+B220+B261+B302+B343+B384+B425+B466+B507+B548</f>
        <v/>
      </c>
      <c r="C589" s="249">
        <f>IF(B589&gt;0,D589/B589," ")</f>
        <v/>
      </c>
      <c r="D589" s="362">
        <f>D15+D56+D97+D138+D179+D220+D261+D302+D343+D384+D425+D466+D507+D548</f>
        <v/>
      </c>
    </row>
    <row r="590">
      <c r="A590" s="28" t="inlineStr">
        <is>
          <t>A.4 SME owners and natural person beneficiaries</t>
        </is>
      </c>
      <c r="B590" s="379">
        <f>B16+B57+B98+B139+B180+B221+B262+B303+B344+B385+B426+B467+B508+B549</f>
        <v/>
      </c>
      <c r="C590" s="249">
        <f>IF(B590&gt;0,D590/B590," ")</f>
        <v/>
      </c>
      <c r="D590" s="362">
        <f>D16+D57+D98+D139+D180+D221+D262+D303+D344+D385+D426+D467+D508+D549</f>
        <v/>
      </c>
    </row>
    <row r="591">
      <c r="A591" s="29" t="inlineStr">
        <is>
          <t>B. DIRECT SUBCONTRACTING COSTS</t>
        </is>
      </c>
      <c r="B591" s="381" t="n"/>
      <c r="C591" s="250" t="n"/>
      <c r="D591" s="360" t="n"/>
    </row>
    <row r="592">
      <c r="A592" s="28" t="n"/>
      <c r="B592" s="379">
        <f>B18+B59+B100+B141+B182+B223+B264+B305+B346+B387+B428+B469+B510+B551</f>
        <v/>
      </c>
      <c r="C592" s="249">
        <f>IF(B592&gt;0,D592/B592," ")</f>
        <v/>
      </c>
      <c r="D592" s="362">
        <f>D18+D59+D100+D141+D182+D223+D264+D305+D346+D387+D428+D469+D510+D551</f>
        <v/>
      </c>
    </row>
    <row r="593">
      <c r="A593" s="29" t="inlineStr">
        <is>
          <t>C. DIRECT PURCHASE COSTS</t>
        </is>
      </c>
      <c r="B593" s="381" t="n"/>
      <c r="C593" s="250" t="n"/>
      <c r="D593" s="360" t="n"/>
    </row>
    <row r="594">
      <c r="A594" s="28" t="inlineStr">
        <is>
          <t>C.1 Travel and subsistence</t>
        </is>
      </c>
      <c r="B594" s="379">
        <f>B20+B61+B102+B143+B184+B225+B266+B307+B348+B389+B430+B471+B512+B553</f>
        <v/>
      </c>
      <c r="C594" s="249">
        <f>IF(B594&gt;0,D594/B594," ")</f>
        <v/>
      </c>
      <c r="D594" s="362">
        <f>D20+D61+D102+D143+D184+D225+D266+D307+D348+D389+D430+D471+D512+D553</f>
        <v/>
      </c>
    </row>
    <row r="595">
      <c r="A595" s="28" t="inlineStr">
        <is>
          <t>C.2 Equipment (complete 'Depreciation costs' sheet)</t>
        </is>
      </c>
      <c r="B595" s="382" t="n"/>
      <c r="C595" s="251" t="n"/>
      <c r="D595" s="365" t="n"/>
    </row>
    <row r="596">
      <c r="A596" s="49" t="inlineStr">
        <is>
          <t>Equipment</t>
        </is>
      </c>
      <c r="B596" s="379">
        <f>B22+B63+B104+B145+B186+B227+B268+B309+B350+B391+B432+B473+B514+B555</f>
        <v/>
      </c>
      <c r="C596" s="249">
        <f>IF(B596&gt;0,D596/B596," ")</f>
        <v/>
      </c>
      <c r="D596" s="362">
        <f>D22+D63+D104+D145+D186+D227+D268+D309+D350+D391+D432+D473+D514+D555</f>
        <v/>
      </c>
    </row>
    <row r="597">
      <c r="A597" s="49" t="inlineStr">
        <is>
          <t>Infrastructure</t>
        </is>
      </c>
      <c r="B597" s="379">
        <f>B23+B64+B105+B146+B187+B228+B269+B310+B351+B392+B433+B474+B515+B556</f>
        <v/>
      </c>
      <c r="C597" s="249">
        <f>IF(B597&gt;0,D597/B597," ")</f>
        <v/>
      </c>
      <c r="D597" s="362">
        <f>D23+D64+D105+D146+D187+D228+D269+D310+D351+D392+D433+D474+D515+D556</f>
        <v/>
      </c>
    </row>
    <row r="598">
      <c r="A598" s="49" t="inlineStr">
        <is>
          <t>Other assets</t>
        </is>
      </c>
      <c r="B598" s="379">
        <f>B24+B65+B106+B147+B188+B229+B270+B311+B352+B393+B434+B475+B516+B557</f>
        <v/>
      </c>
      <c r="C598" s="249">
        <f>IF(B598&gt;0,D598/B598," ")</f>
        <v/>
      </c>
      <c r="D598" s="362">
        <f>D24+D65+D106+D147+D188+D229+D270+D311+D352+D393+D434+D475+D516+D557</f>
        <v/>
      </c>
    </row>
    <row r="599">
      <c r="A599" s="28" t="inlineStr">
        <is>
          <t>C.3 Other goods, works and services</t>
        </is>
      </c>
      <c r="B599" s="382" t="n"/>
      <c r="C599" s="251" t="n"/>
      <c r="D599" s="365" t="n"/>
    </row>
    <row r="600">
      <c r="A600" s="49" t="inlineStr">
        <is>
          <t>Consumables</t>
        </is>
      </c>
      <c r="B600" s="379">
        <f>B26+B67+B108+B149+B190+B231+B272+B313+B354+B395+B436+B477+B518+B559</f>
        <v/>
      </c>
      <c r="C600" s="249">
        <f>IF(B600&gt;0,D600/B600," ")</f>
        <v/>
      </c>
      <c r="D600" s="362">
        <f>D26+D67+D108+D149+D190+D231+D272+D313+D354+D395+D436+D477+D518+D559</f>
        <v/>
      </c>
    </row>
    <row r="601">
      <c r="A601" s="49" t="inlineStr">
        <is>
          <t>Services for meetings, seminars</t>
        </is>
      </c>
      <c r="B601" s="379">
        <f>B27+B68+B109+B150+B191+B232+B273+B314+B355+B396+B437+B478+B519+B560</f>
        <v/>
      </c>
      <c r="C601" s="249">
        <f>IF(B601&gt;0,D601/B601," ")</f>
        <v/>
      </c>
      <c r="D601" s="362">
        <f>D27+D68+D109+D150+D191+D232+D273+D314+D355+D396+D437+D478+D519+D560</f>
        <v/>
      </c>
    </row>
    <row r="602">
      <c r="A602" s="49" t="inlineStr">
        <is>
          <t>Services for dissemination activities (including website)</t>
        </is>
      </c>
      <c r="B602" s="379">
        <f>B28+B69+B110+B151+B192+B233+B274+B315+B356+B397+B438+B479+B520+B561</f>
        <v/>
      </c>
      <c r="C602" s="249">
        <f>IF(B602&gt;0,D602/B602," ")</f>
        <v/>
      </c>
      <c r="D602" s="362">
        <f>D28+D69+D110+D151+D192+D233+D274+D315+D356+D397+D438+D479+D520+D561</f>
        <v/>
      </c>
    </row>
    <row r="603">
      <c r="A603" s="49" t="inlineStr">
        <is>
          <t>Publication fees</t>
        </is>
      </c>
      <c r="B603" s="379">
        <f>B29+B70+B111+B152+B193+B234+B275+B316+B357+B398+B439+B480+B521+B562</f>
        <v/>
      </c>
      <c r="C603" s="249">
        <f>IF(B603&gt;0,D603/B603," ")</f>
        <v/>
      </c>
      <c r="D603" s="362">
        <f>D29+D70+D111+D152+D193+D234+D275+D316+D357+D398+D439+D480+D521+D562</f>
        <v/>
      </c>
    </row>
    <row r="604">
      <c r="A604" s="49" t="inlineStr">
        <is>
          <t>Other (shipment, insurance, translation, etc.)</t>
        </is>
      </c>
      <c r="B604" s="379">
        <f>B30+B71+B112+B153+B194+B235+B276+B317+B358+B399+B440+B481+B522+B563</f>
        <v/>
      </c>
      <c r="C604" s="249">
        <f>IF(B604&gt;0,D604/B604," ")</f>
        <v/>
      </c>
      <c r="D604" s="362">
        <f>D30+D71+D112+D153+D194+D235+D276+D317+D358+D399+D440+D481+D522+D563</f>
        <v/>
      </c>
    </row>
    <row r="605">
      <c r="A605" s="29" t="inlineStr">
        <is>
          <t>D. OTHER COST CATEGORIES</t>
        </is>
      </c>
      <c r="B605" s="381" t="n"/>
      <c r="C605" s="250" t="n"/>
      <c r="D605" s="360" t="n"/>
    </row>
    <row r="606">
      <c r="A606" s="50" t="inlineStr">
        <is>
          <t>D.1 Financial support to third parties (if applicable in the topic specific conditions)</t>
        </is>
      </c>
      <c r="B606" s="379">
        <f>B32+B73+B114+B155+B196+B237+B278+B319+B360+B401+B442+B483+B524+B565</f>
        <v/>
      </c>
      <c r="C606" s="249">
        <f>IF(B606&gt;0,D606/B606," ")</f>
        <v/>
      </c>
      <c r="D606" s="362">
        <f>D32+D73+D114+D155+D196+D237+D278+D319+D360+D401+D442+D483+D524+D565</f>
        <v/>
      </c>
    </row>
    <row r="607">
      <c r="A607" s="50" t="inlineStr">
        <is>
          <t>D.2 Internally invoiced goods and services</t>
        </is>
      </c>
      <c r="B607" s="379">
        <f>B33+B74+B115+B156+B197+B238+B279+B320+B361+B402+B443+B484+B525+B566</f>
        <v/>
      </c>
      <c r="C607" s="249">
        <f>IF(B607&gt;0,D607/B607," ")</f>
        <v/>
      </c>
      <c r="D607" s="362">
        <f>D33+D74+D115+D156+D197+D238+D279+D320+D361+D402+D443+D484+D525+D566</f>
        <v/>
      </c>
    </row>
    <row r="608">
      <c r="A608" s="50" t="inlineStr">
        <is>
          <t>D.3 Transnational access to research infrastructure unit costs (if mentioned as eligible in the topic specific conditions)</t>
        </is>
      </c>
      <c r="B608" s="379">
        <f>B34+B75+B116+B157+B198+B239+B280+B321+B362+B403+B444+B485+B526+B567</f>
        <v/>
      </c>
      <c r="C608" s="249">
        <f>IF(B608&gt;0,D608/B608," ")</f>
        <v/>
      </c>
      <c r="D608" s="362">
        <f>D34+D75+D116+D157+D198+D239+D280+D321+D362+D403+D444+D485+D526+D567</f>
        <v/>
      </c>
    </row>
    <row r="609">
      <c r="A609" s="50" t="inlineStr">
        <is>
          <t>D.4 Virtual access to research infrastructure unit costs (if mentioned as eligible in the topic specific conditions)</t>
        </is>
      </c>
      <c r="B609" s="379">
        <f>B35+B76+B117+B158+B199+B240+B281+B322+B363+B404+B445+B486+B527+B568</f>
        <v/>
      </c>
      <c r="C609" s="249">
        <f>IF(B609&gt;0,D609/B609," ")</f>
        <v/>
      </c>
      <c r="D609" s="362">
        <f>D35+D76+D117+D158+D199+D240+D281+D322+D363+D404+D445+D486+D527+D568</f>
        <v/>
      </c>
    </row>
    <row r="610">
      <c r="A610" s="50" t="inlineStr">
        <is>
          <t>D.5 PCP/PPI procurement costs (if mentioned as eligible in the topic specific conditions)</t>
        </is>
      </c>
      <c r="B610" s="379">
        <f>B36+B77+B118+B159+B200+B241+B282+B323+B364+B405+B446+B487+B528+B569</f>
        <v/>
      </c>
      <c r="C610" s="249">
        <f>IF(B610&gt;0,D610/B610," ")</f>
        <v/>
      </c>
      <c r="D610" s="362">
        <f>D36+D77+D118+D159+D200+D241+D282+D323+D364+D405+D446+D487+D528+D569</f>
        <v/>
      </c>
    </row>
    <row r="611">
      <c r="A611" s="51" t="n"/>
      <c r="B611" s="347" t="n"/>
      <c r="C611" s="111" t="n"/>
      <c r="D611" s="366" t="n"/>
    </row>
    <row r="612">
      <c r="A612" s="52" t="inlineStr">
        <is>
          <t>TOTAL DIRECT PERSONNEL COSTS AND PURCHASE COSTS (A+C)</t>
        </is>
      </c>
      <c r="B612" s="370" t="n"/>
      <c r="C612" s="230" t="n"/>
      <c r="D612" s="383">
        <f>D38+D79+D120+D161+D202+D243+D284+D325+D366+D407+D448+D489+D530+D571</f>
        <v/>
      </c>
    </row>
    <row r="613">
      <c r="A613" s="52" t="inlineStr">
        <is>
          <t>TOTAL DIRECT COSTS  (A+B+C+D)</t>
        </is>
      </c>
      <c r="B613" s="370" t="n"/>
      <c r="C613" s="230" t="n"/>
      <c r="D613" s="383">
        <f>D39+D80+D121+D162+D203+D244+D285+D326+D367+D408+D449+D490+D531+D572</f>
        <v/>
      </c>
    </row>
    <row r="614">
      <c r="A614" s="182" t="n"/>
      <c r="B614" s="384" t="n"/>
      <c r="C614" s="192" t="n"/>
      <c r="D614" s="191" t="n"/>
    </row>
    <row r="615">
      <c r="A615" s="29" t="inlineStr">
        <is>
          <t>E. INDIRECT COSTS (25% * (A+C))</t>
        </is>
      </c>
      <c r="B615" s="370" t="n"/>
      <c r="C615" s="230" t="n"/>
      <c r="D615" s="383">
        <f>D41+D82+D123+D164+D205+D246+D287+D328+D369+D410+D451+D492+D533+D574</f>
        <v/>
      </c>
    </row>
    <row r="616">
      <c r="A616" s="182" t="n"/>
      <c r="B616" s="384" t="n"/>
      <c r="C616" s="192" t="n"/>
      <c r="D616" s="191" t="n"/>
    </row>
    <row r="617">
      <c r="A617" s="29" t="inlineStr">
        <is>
          <t>F. TOTAL COSTS (A+B+C+D+E)</t>
        </is>
      </c>
      <c r="B617" s="370" t="n"/>
      <c r="C617" s="230" t="n"/>
      <c r="D617" s="383">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G+Xc3aIVuiC7I708G0zyUQ==" formatRows="1" sort="1" spinCount="100000" hashValue="4hvJ23oBLisOzRwFGJWzEG+IuRsjpplMuasbkecg5VXQR3/YmC7YFO4GRd7a+L5rMFkS008CqoX9DmS0UKuYPw=="/>
  <mergeCells count="16">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19.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12" activePane="bottomRight" state="frozenSplit"/>
      <selection pane="bottomRight" activeCell="A3" sqref="A3"/>
      <selection pane="bottomLeft" activeCell="A4" sqref="A4"/>
      <selection pane="topRight" activeCell="B1" sqref="B1"/>
    </sheetView>
  </sheetViews>
  <sheetFormatPr baseColWidth="8" defaultRowHeight="14.45"/>
  <cols>
    <col width="111.7109375" customWidth="1" min="1" max="1"/>
    <col width="15.28515625" customWidth="1" min="3" max="3"/>
    <col width="16.28515625" bestFit="1" customWidth="1" min="4" max="4"/>
  </cols>
  <sheetData>
    <row r="1" ht="24" customHeight="1" thickBot="1">
      <c r="A1" s="54" t="inlineStr">
        <is>
          <t>Beneficiary: BE8 - BUDGET SHEET</t>
        </is>
      </c>
      <c r="B1" s="33" t="n"/>
      <c r="C1" s="242" t="inlineStr">
        <is>
          <t>View Summary</t>
        </is>
      </c>
      <c r="D1" s="34" t="n"/>
    </row>
    <row r="2" ht="18.6" customHeight="1">
      <c r="A2" s="264" t="inlineStr">
        <is>
          <t>a95b86ad-8840-48e3-9273-4b875ba18f20</t>
        </is>
      </c>
      <c r="B2" s="303" t="inlineStr">
        <is>
          <t>PANGEANIC-B. I. EUROPA SLU</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1</v>
      </c>
      <c r="C9" s="248" t="n">
        <v>5000</v>
      </c>
      <c r="D9" s="232">
        <f>B9*C9</f>
        <v/>
      </c>
    </row>
    <row r="10">
      <c r="A10" s="48" t="inlineStr">
        <is>
          <t>JUNIOR SCIENTISTS (or equivalent in the private sector)</t>
        </is>
      </c>
      <c r="B10" s="358" t="n"/>
      <c r="C10" s="248" t="n"/>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v>1</v>
      </c>
      <c r="C12" s="248" t="n">
        <v>3000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8360.6024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1500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2</v>
      </c>
      <c r="C50" s="248" t="n">
        <v>5000</v>
      </c>
      <c r="D50" s="232">
        <f>B50*C50</f>
        <v/>
      </c>
    </row>
    <row r="51">
      <c r="A51" s="48" t="inlineStr">
        <is>
          <t>JUNIOR SCIENTISTS (or equivalent in the private sector)</t>
        </is>
      </c>
      <c r="B51" s="358" t="n">
        <v>1</v>
      </c>
      <c r="C51" s="248" t="n">
        <v>5000</v>
      </c>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8360.6024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1</v>
      </c>
      <c r="C91" s="248" t="n">
        <v>5000</v>
      </c>
      <c r="D91" s="232">
        <f>B91*C91</f>
        <v/>
      </c>
    </row>
    <row r="92">
      <c r="A92" s="48" t="inlineStr">
        <is>
          <t>JUNIOR SCIENTISTS (or equivalent in the private sector)</t>
        </is>
      </c>
      <c r="B92" s="358" t="n"/>
      <c r="C92" s="248" t="n"/>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8360.6024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c r="C132" s="248" t="n"/>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8360.6024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c r="C173" s="248" t="n"/>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8360.6024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 and Prediction")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2</v>
      </c>
      <c r="C214" s="248" t="n">
        <v>5000</v>
      </c>
      <c r="D214" s="232">
        <f>B214*C214</f>
        <v/>
      </c>
    </row>
    <row r="215">
      <c r="A215" s="48" t="inlineStr">
        <is>
          <t>JUNIOR SCIENTISTS (or equivalent in the private sector)</t>
        </is>
      </c>
      <c r="B215" s="358" t="n"/>
      <c r="C215" s="248" t="n"/>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8360.6024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","Data Collection, Knowledge Access and Model Evaluation")</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13</v>
      </c>
      <c r="C255" s="248" t="n">
        <v>5000</v>
      </c>
      <c r="D255" s="232">
        <f>B255*C255</f>
        <v/>
      </c>
    </row>
    <row r="256">
      <c r="A256" s="48" t="inlineStr">
        <is>
          <t>JUNIOR SCIENTISTS (or equivalent in the private sector)</t>
        </is>
      </c>
      <c r="B256" s="358" t="n">
        <v>14</v>
      </c>
      <c r="C256" s="248" t="n">
        <v>3500</v>
      </c>
      <c r="D256" s="232">
        <f>B256*C256</f>
        <v/>
      </c>
    </row>
    <row r="257">
      <c r="A257" s="48" t="inlineStr">
        <is>
          <t>TECHNICAL PERSONNEL (or equivalent in the private sector)</t>
        </is>
      </c>
      <c r="B257" s="358" t="n">
        <v>6</v>
      </c>
      <c r="C257" s="248" t="n">
        <v>4100</v>
      </c>
      <c r="D257" s="232">
        <f>B257*C257</f>
        <v/>
      </c>
    </row>
    <row r="258">
      <c r="A258" s="48" t="inlineStr">
        <is>
          <t>ADMINISTRATIVE PERSONNEL (or equivalent in the private sector)</t>
        </is>
      </c>
      <c r="B258" s="358" t="n">
        <v>2</v>
      </c>
      <c r="C258" s="248" t="n">
        <v>3000</v>
      </c>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8360.6024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v>6</v>
      </c>
      <c r="C272" s="248" t="n">
        <v>3000</v>
      </c>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","Agentic Workflow Development, Integration and Validation")</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v>11</v>
      </c>
      <c r="C296" s="248" t="n">
        <v>5000</v>
      </c>
      <c r="D296" s="232">
        <f>B296*C296</f>
        <v/>
      </c>
    </row>
    <row r="297">
      <c r="A297" s="48" t="inlineStr">
        <is>
          <t>JUNIOR SCIENTISTS (or equivalent in the private sector)</t>
        </is>
      </c>
      <c r="B297" s="358" t="n">
        <v>10</v>
      </c>
      <c r="C297" s="248" t="n">
        <v>3500</v>
      </c>
      <c r="D297" s="232">
        <f>B297*C297</f>
        <v/>
      </c>
    </row>
    <row r="298">
      <c r="A298" s="48" t="inlineStr">
        <is>
          <t>TECHNICAL PERSONNEL (or equivalent in the private sector)</t>
        </is>
      </c>
      <c r="B298" s="358" t="n">
        <v>10</v>
      </c>
      <c r="C298" s="248" t="n">
        <v>4100</v>
      </c>
      <c r="D298" s="232">
        <f>B298*C298</f>
        <v/>
      </c>
    </row>
    <row r="299">
      <c r="A299" s="48" t="inlineStr">
        <is>
          <t>ADMINISTRATIVE PERSONNEL (or equivalent in the private sector)</t>
        </is>
      </c>
      <c r="B299" s="358" t="n">
        <v>2</v>
      </c>
      <c r="C299" s="248" t="n">
        <v>3000</v>
      </c>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8360.6024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v>2</v>
      </c>
      <c r="C307" s="248" t="n">
        <v>1500</v>
      </c>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v>6</v>
      </c>
      <c r="C313" s="248" t="n">
        <v>3000</v>
      </c>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","HSE and Environment")</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c r="C337" s="248" t="n"/>
      <c r="D337" s="232">
        <f>B337*C337</f>
        <v/>
      </c>
    </row>
    <row r="338">
      <c r="A338" s="48" t="inlineStr">
        <is>
          <t>JUNIOR SCIENTISTS (or equivalent in the private sector)</t>
        </is>
      </c>
      <c r="B338" s="358" t="n"/>
      <c r="C338" s="248" t="n"/>
      <c r="D338" s="232">
        <f>B338*C338</f>
        <v/>
      </c>
    </row>
    <row r="339">
      <c r="A339" s="48" t="inlineStr">
        <is>
          <t>TECHNICAL PERSONNEL (or equivalent in the private sector)</t>
        </is>
      </c>
      <c r="B339" s="358" t="n"/>
      <c r="C339" s="248" t="n"/>
      <c r="D339" s="232">
        <f>B339*C339</f>
        <v/>
      </c>
    </row>
    <row r="340">
      <c r="A340" s="48" t="inlineStr">
        <is>
          <t>ADMINISTRATIVE PERSONNEL (or equivalent in the private sector)</t>
        </is>
      </c>
      <c r="B340" s="358" t="n"/>
      <c r="C340" s="248" t="n"/>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8360.6024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c r="C348" s="248" t="n"/>
      <c r="D348" s="362">
        <f>B348*C348</f>
        <v/>
      </c>
    </row>
    <row r="349">
      <c r="A349" s="28" t="inlineStr">
        <is>
          <t>C.2 Equipment (complete 'Depreciation costs' sheet)</t>
        </is>
      </c>
      <c r="B349" s="347" t="n"/>
      <c r="C349" s="111" t="n"/>
      <c r="D349" s="365" t="n"/>
    </row>
    <row r="350">
      <c r="A350" s="49" t="inlineStr">
        <is>
          <t>Equipment</t>
        </is>
      </c>
      <c r="B350" s="358" t="n"/>
      <c r="C350" s="248" t="n"/>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c r="C354" s="248" t="n"/>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","Adaptation of O&amp;M Platform")</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358" t="n">
        <v>1</v>
      </c>
      <c r="C378" s="248" t="n">
        <v>5000</v>
      </c>
      <c r="D378" s="232">
        <f>B378*C378</f>
        <v/>
      </c>
    </row>
    <row r="379">
      <c r="A379" s="48" t="inlineStr">
        <is>
          <t>JUNIOR SCIENTISTS (or equivalent in the private sector)</t>
        </is>
      </c>
      <c r="B379" s="358" t="n"/>
      <c r="C379" s="248" t="n"/>
      <c r="D379" s="232">
        <f>B379*C379</f>
        <v/>
      </c>
    </row>
    <row r="380">
      <c r="A380" s="48" t="inlineStr">
        <is>
          <t>TECHNICAL PERSONNEL (or equivalent in the private sector)</t>
        </is>
      </c>
      <c r="B380" s="358" t="n"/>
      <c r="C380" s="248" t="n"/>
      <c r="D380" s="232">
        <f>B380*C380</f>
        <v/>
      </c>
    </row>
    <row r="381">
      <c r="A381" s="48" t="inlineStr">
        <is>
          <t>ADMINISTRATIVE PERSONNEL (or equivalent in the private sector)</t>
        </is>
      </c>
      <c r="B381" s="358" t="n"/>
      <c r="C381" s="248" t="n"/>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8360.6024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v>1</v>
      </c>
      <c r="C419" s="248" t="n">
        <v>5000</v>
      </c>
      <c r="D419" s="232">
        <f>B419*C419</f>
        <v/>
      </c>
    </row>
    <row r="420">
      <c r="A420" s="48" t="inlineStr">
        <is>
          <t>JUNIOR SCIENTISTS (or equivalent in the private sector)</t>
        </is>
      </c>
      <c r="B420" s="358" t="n"/>
      <c r="C420" s="248" t="n"/>
      <c r="D420" s="232">
        <f>B420*C420</f>
        <v/>
      </c>
    </row>
    <row r="421">
      <c r="A421" s="48" t="inlineStr">
        <is>
          <t>TECHNICAL PERSONNEL (or equivalent in the private sector)</t>
        </is>
      </c>
      <c r="B421" s="358" t="n"/>
      <c r="C421" s="248" t="n"/>
      <c r="D421" s="232">
        <f>B421*C421</f>
        <v/>
      </c>
    </row>
    <row r="422">
      <c r="A422" s="48" t="inlineStr">
        <is>
          <t>ADMINISTRATIVE PERSONNEL (or equivalent in the private sector)</t>
        </is>
      </c>
      <c r="B422" s="358" t="n"/>
      <c r="C422" s="248" t="n"/>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8360.6024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","System-Level Demonstration and Validation")</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v>1</v>
      </c>
      <c r="C460" s="248" t="n">
        <v>5000</v>
      </c>
      <c r="D460" s="232">
        <f>B460*C460</f>
        <v/>
      </c>
    </row>
    <row r="461">
      <c r="A461" s="48" t="inlineStr">
        <is>
          <t>JUNIOR SCIENTISTS (or equivalent in the private sector)</t>
        </is>
      </c>
      <c r="B461" s="358" t="n"/>
      <c r="C461" s="248" t="n"/>
      <c r="D461" s="232">
        <f>B461*C461</f>
        <v/>
      </c>
    </row>
    <row r="462">
      <c r="A462" s="48" t="inlineStr">
        <is>
          <t>TECHNICAL PERSONNEL (or equivalent in the private sector)</t>
        </is>
      </c>
      <c r="B462" s="358" t="n"/>
      <c r="C462" s="248" t="n"/>
      <c r="D462" s="232">
        <f>B462*C462</f>
        <v/>
      </c>
    </row>
    <row r="463">
      <c r="A463" s="48" t="inlineStr">
        <is>
          <t>ADMINISTRATIVE PERSONNEL (or equivalent in the private sector)</t>
        </is>
      </c>
      <c r="B463" s="358" t="n"/>
      <c r="C463" s="248" t="n"/>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8360.6024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c r="C473" s="248" t="n"/>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c r="C477" s="248" t="n"/>
      <c r="D477" s="362">
        <f>B477*C477</f>
        <v/>
      </c>
    </row>
    <row r="478">
      <c r="A478" s="49" t="inlineStr">
        <is>
          <t>Services for meetings, seminars</t>
        </is>
      </c>
      <c r="B478" s="358" t="n"/>
      <c r="C478" s="248" t="n"/>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c r="C481" s="248" t="n"/>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","Dissemination, exploitation and communication general activity")</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v>1</v>
      </c>
      <c r="C501" s="248" t="n">
        <v>5000</v>
      </c>
      <c r="D501" s="232">
        <f>B501*C501</f>
        <v/>
      </c>
    </row>
    <row r="502">
      <c r="A502" s="48" t="inlineStr">
        <is>
          <t>JUNIOR SCIENTISTS (or equivalent in the private sector)</t>
        </is>
      </c>
      <c r="B502" s="358" t="n"/>
      <c r="C502" s="248" t="n"/>
      <c r="D502" s="232">
        <f>B502*C502</f>
        <v/>
      </c>
    </row>
    <row r="503">
      <c r="A503" s="48" t="inlineStr">
        <is>
          <t>TECHNICAL PERSONNEL (or equivalent in the private sector)</t>
        </is>
      </c>
      <c r="B503" s="358" t="n"/>
      <c r="C503" s="248" t="n"/>
      <c r="D503" s="232">
        <f>B503*C503</f>
        <v/>
      </c>
    </row>
    <row r="504">
      <c r="A504" s="48" t="inlineStr">
        <is>
          <t>ADMINISTRATIVE PERSONNEL (or equivalent in the private sector)</t>
        </is>
      </c>
      <c r="B504" s="358" t="n"/>
      <c r="C504" s="248" t="n"/>
      <c r="D504" s="232">
        <f>B504*C504</f>
        <v/>
      </c>
    </row>
    <row r="505">
      <c r="A505" s="48" t="inlineStr">
        <is>
          <t>OTHERS</t>
        </is>
      </c>
      <c r="B505" s="358" t="n"/>
      <c r="C505" s="248" t="n"/>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8360.6024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c r="C512" s="248" t="n"/>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c r="C519" s="248" t="n"/>
      <c r="D519" s="362">
        <f>B519*C519</f>
        <v/>
      </c>
    </row>
    <row r="520">
      <c r="A520" s="49" t="inlineStr">
        <is>
          <t>Services for dissemination activities (including website)</t>
        </is>
      </c>
      <c r="B520" s="358" t="n"/>
      <c r="C520" s="248" t="n"/>
      <c r="D520" s="362">
        <f>B520*C520</f>
        <v/>
      </c>
    </row>
    <row r="521">
      <c r="A521" s="49" t="inlineStr">
        <is>
          <t>Publication fees</t>
        </is>
      </c>
      <c r="B521" s="358" t="n"/>
      <c r="C521" s="248" t="n"/>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","Key Exploitable Results (KER) Strategy and related Plans towards future exploitation and full-scale deployment")</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v>1</v>
      </c>
      <c r="C542" s="248" t="n">
        <v>5000</v>
      </c>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c r="C544" s="248" t="n"/>
      <c r="D544" s="232">
        <f>B544*C544</f>
        <v/>
      </c>
    </row>
    <row r="545">
      <c r="A545" s="48" t="inlineStr">
        <is>
          <t>ADMINISTRATIVE PERSONNEL (or equivalent in the private sector)</t>
        </is>
      </c>
      <c r="B545" s="358" t="n"/>
      <c r="C545" s="248" t="n"/>
      <c r="D545" s="232">
        <f>B545*C545</f>
        <v/>
      </c>
    </row>
    <row r="546">
      <c r="A546" s="48" t="inlineStr">
        <is>
          <t>OTHERS</t>
        </is>
      </c>
      <c r="B546" s="358" t="n"/>
      <c r="C546" s="248" t="n"/>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8360.6024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c r="C553" s="248" t="n"/>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c r="C560" s="248" t="n"/>
      <c r="D560" s="362">
        <f>B560*C560</f>
        <v/>
      </c>
    </row>
    <row r="561">
      <c r="A561" s="49" t="inlineStr">
        <is>
          <t>Services for dissemination activities (including website)</t>
        </is>
      </c>
      <c r="B561" s="358" t="n"/>
      <c r="C561" s="248" t="n"/>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8">
      <c r="A578" s="190" t="n"/>
      <c r="B578" s="185" t="n"/>
      <c r="C578" s="186" t="n"/>
      <c r="D578" s="187" t="n"/>
    </row>
    <row r="579" ht="21" customHeight="1">
      <c r="A579" s="306" t="inlineStr">
        <is>
          <t>SUMMARY</t>
        </is>
      </c>
      <c r="B579" s="315" t="n"/>
      <c r="C579" s="315" t="n"/>
      <c r="D579" s="316" t="n"/>
    </row>
    <row r="580">
      <c r="A580" s="56" t="n"/>
      <c r="B580" s="174" t="n"/>
      <c r="C580" s="175" t="n"/>
      <c r="D580" s="174"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79">
        <f>B9+B50+B91+B132+B173+B214+B255+B296+B337+B378+B419+B460+B501+B542</f>
        <v/>
      </c>
      <c r="C583" s="249">
        <f>IF(B583&gt;0,D583/B583," ")</f>
        <v/>
      </c>
      <c r="D583" s="362">
        <f>D9+D50+D91+D132+D173+D214+D255+D296+D337+D378+D419+D460+D501+D542</f>
        <v/>
      </c>
    </row>
    <row r="584">
      <c r="A584" s="48" t="inlineStr">
        <is>
          <t>JUNIOR SCIENTISTS (or equivalent in the private sector)</t>
        </is>
      </c>
      <c r="B584" s="379">
        <f>B10+B51+B92+B133+B174+B215+B256+B297+B338+B379+B420+B461+B502+B543</f>
        <v/>
      </c>
      <c r="C584" s="249">
        <f>IF(B584&gt;0,D584/B584," ")</f>
        <v/>
      </c>
      <c r="D584" s="362">
        <f>D10+D51+D92+D133+D174+D215+D256+D297+D338+D379+D420+D461+D502+D543</f>
        <v/>
      </c>
    </row>
    <row r="585">
      <c r="A585" s="48" t="inlineStr">
        <is>
          <t>TECHNICAL PERSONNEL (or equivalent in the private sector)</t>
        </is>
      </c>
      <c r="B585" s="379">
        <f>B11+B52+B93+B134+B175+B216+B257+B298+B339+B380+B421+B462+B503+B544</f>
        <v/>
      </c>
      <c r="C585" s="249">
        <f>IF(B585&gt;0,D585/B585," ")</f>
        <v/>
      </c>
      <c r="D585" s="362">
        <f>D11+D52+D93+D134+D175+D216+D257+D298+D339+D380+D421+D462+D503+D544</f>
        <v/>
      </c>
    </row>
    <row r="586">
      <c r="A586" s="48" t="inlineStr">
        <is>
          <t>ADMINISTRATIVE PERSONNEL (or equivalent in the private sector)</t>
        </is>
      </c>
      <c r="B586" s="379">
        <f>B12+B53+B94+B135+B176+B217+B258+B299+B340+B381+B422+B463+B504+B545</f>
        <v/>
      </c>
      <c r="C586" s="249">
        <f>IF(B586&gt;0,D586/B586," ")</f>
        <v/>
      </c>
      <c r="D586" s="362">
        <f>D12+D53+D94+D135+D176+D217+D258+D299+D340+D381+D422+D463+D504+D545</f>
        <v/>
      </c>
    </row>
    <row r="587">
      <c r="A587" s="48" t="inlineStr">
        <is>
          <t>OTHERS</t>
        </is>
      </c>
      <c r="B587" s="379">
        <f>B13+B54+B95+B136+B177+B218+B259+B300+B341+B382+B423+B464+B505+B546</f>
        <v/>
      </c>
      <c r="C587" s="249">
        <f>IF(B587&gt;0,D587/B587," ")</f>
        <v/>
      </c>
      <c r="D587" s="362">
        <f>D13+D54+D95+D136+D177+D218+D259+D300+D341+D382+D423+D464+D505+D546</f>
        <v/>
      </c>
    </row>
    <row r="588">
      <c r="A588" s="28" t="inlineStr">
        <is>
          <t>A.2 Natural Persons under direct contract</t>
        </is>
      </c>
      <c r="B588" s="379">
        <f>B14+B55+B96+B137+B178+B219+B260+B301+B342+B383+B424+B465+B506+B547</f>
        <v/>
      </c>
      <c r="C588" s="249">
        <f>IF(B588&gt;0,D588/B588," ")</f>
        <v/>
      </c>
      <c r="D588" s="362">
        <f>D14+D55+D96+D137+D178+D219+D260+D301+D342+D383+D424+D465+D506+D547</f>
        <v/>
      </c>
    </row>
    <row r="589">
      <c r="A589" s="28" t="inlineStr">
        <is>
          <t>A.3 Seconded Persons</t>
        </is>
      </c>
      <c r="B589" s="379">
        <f>B15+B56+B97+B138+B179+B220+B261+B302+B343+B384+B425+B466+B507+B548</f>
        <v/>
      </c>
      <c r="C589" s="249">
        <f>IF(B589&gt;0,D589/B589," ")</f>
        <v/>
      </c>
      <c r="D589" s="362">
        <f>D15+D56+D97+D138+D179+D220+D261+D302+D343+D384+D425+D466+D507+D548</f>
        <v/>
      </c>
    </row>
    <row r="590">
      <c r="A590" s="28" t="inlineStr">
        <is>
          <t>A.4 SME owners and natural person beneficiaries</t>
        </is>
      </c>
      <c r="B590" s="379">
        <f>B16+B57+B98+B139+B180+B221+B262+B303+B344+B385+B426+B467+B508+B549</f>
        <v/>
      </c>
      <c r="C590" s="249">
        <f>IF(B590&gt;0,D590/B590," ")</f>
        <v/>
      </c>
      <c r="D590" s="362">
        <f>D16+D57+D98+D139+D180+D221+D262+D303+D344+D385+D426+D467+D508+D549</f>
        <v/>
      </c>
    </row>
    <row r="591">
      <c r="A591" s="29" t="inlineStr">
        <is>
          <t>B. DIRECT SUBCONTRACTING COSTS</t>
        </is>
      </c>
      <c r="B591" s="381" t="n"/>
      <c r="C591" s="250" t="n"/>
      <c r="D591" s="360" t="n"/>
    </row>
    <row r="592">
      <c r="A592" s="28" t="n"/>
      <c r="B592" s="379">
        <f>B18+B59+B100+B141+B182+B223+B264+B305+B346+B387+B428+B469+B510+B551</f>
        <v/>
      </c>
      <c r="C592" s="249">
        <f>IF(B592&gt;0,D592/B592," ")</f>
        <v/>
      </c>
      <c r="D592" s="362">
        <f>D18+D59+D100+D141+D182+D223+D264+D305+D346+D387+D428+D469+D510+D551</f>
        <v/>
      </c>
    </row>
    <row r="593">
      <c r="A593" s="29" t="inlineStr">
        <is>
          <t>C. DIRECT PURCHASE COSTS</t>
        </is>
      </c>
      <c r="B593" s="381" t="n"/>
      <c r="C593" s="250" t="n"/>
      <c r="D593" s="360" t="n"/>
    </row>
    <row r="594">
      <c r="A594" s="28" t="inlineStr">
        <is>
          <t>C.1 Travel and subsistence</t>
        </is>
      </c>
      <c r="B594" s="379">
        <f>B20+B61+B102+B143+B184+B225+B266+B307+B348+B389+B430+B471+B512+B553</f>
        <v/>
      </c>
      <c r="C594" s="249">
        <f>IF(B594&gt;0,D594/B594," ")</f>
        <v/>
      </c>
      <c r="D594" s="362">
        <f>D20+D61+D102+D143+D184+D225+D266+D307+D348+D389+D430+D471+D512+D553</f>
        <v/>
      </c>
    </row>
    <row r="595">
      <c r="A595" s="28" t="inlineStr">
        <is>
          <t>C.2 Equipment (complete 'Depreciation costs' sheet)</t>
        </is>
      </c>
      <c r="B595" s="382" t="n"/>
      <c r="C595" s="251" t="n"/>
      <c r="D595" s="365" t="n"/>
    </row>
    <row r="596">
      <c r="A596" s="49" t="inlineStr">
        <is>
          <t>Equipment</t>
        </is>
      </c>
      <c r="B596" s="379">
        <f>B22+B63+B104+B145+B186+B227+B268+B309+B350+B391+B432+B473+B514+B555</f>
        <v/>
      </c>
      <c r="C596" s="249">
        <f>IF(B596&gt;0,D596/B596," ")</f>
        <v/>
      </c>
      <c r="D596" s="362">
        <f>D22+D63+D104+D145+D186+D227+D268+D309+D350+D391+D432+D473+D514+D555</f>
        <v/>
      </c>
    </row>
    <row r="597">
      <c r="A597" s="49" t="inlineStr">
        <is>
          <t>Infrastructure</t>
        </is>
      </c>
      <c r="B597" s="379">
        <f>B23+B64+B105+B146+B187+B228+B269+B310+B351+B392+B433+B474+B515+B556</f>
        <v/>
      </c>
      <c r="C597" s="249">
        <f>IF(B597&gt;0,D597/B597," ")</f>
        <v/>
      </c>
      <c r="D597" s="362">
        <f>D23+D64+D105+D146+D187+D228+D269+D310+D351+D392+D433+D474+D515+D556</f>
        <v/>
      </c>
    </row>
    <row r="598">
      <c r="A598" s="49" t="inlineStr">
        <is>
          <t>Other assets</t>
        </is>
      </c>
      <c r="B598" s="379">
        <f>B24+B65+B106+B147+B188+B229+B270+B311+B352+B393+B434+B475+B516+B557</f>
        <v/>
      </c>
      <c r="C598" s="249">
        <f>IF(B598&gt;0,D598/B598," ")</f>
        <v/>
      </c>
      <c r="D598" s="362">
        <f>D24+D65+D106+D147+D188+D229+D270+D311+D352+D393+D434+D475+D516+D557</f>
        <v/>
      </c>
    </row>
    <row r="599">
      <c r="A599" s="28" t="inlineStr">
        <is>
          <t>C.3 Other goods, works and services</t>
        </is>
      </c>
      <c r="B599" s="382" t="n"/>
      <c r="C599" s="251" t="n"/>
      <c r="D599" s="365" t="n"/>
    </row>
    <row r="600">
      <c r="A600" s="49" t="inlineStr">
        <is>
          <t>Consumables</t>
        </is>
      </c>
      <c r="B600" s="379">
        <f>B26+B67+B108+B149+B190+B231+B272+B313+B354+B395+B436+B477+B518+B559</f>
        <v/>
      </c>
      <c r="C600" s="249">
        <f>IF(B600&gt;0,D600/B600," ")</f>
        <v/>
      </c>
      <c r="D600" s="362">
        <f>D26+D67+D108+D149+D190+D231+D272+D313+D354+D395+D436+D477+D518+D559</f>
        <v/>
      </c>
    </row>
    <row r="601">
      <c r="A601" s="49" t="inlineStr">
        <is>
          <t>Services for meetings, seminars</t>
        </is>
      </c>
      <c r="B601" s="379">
        <f>B27+B68+B109+B150+B191+B232+B273+B314+B355+B396+B437+B478+B519+B560</f>
        <v/>
      </c>
      <c r="C601" s="249">
        <f>IF(B601&gt;0,D601/B601," ")</f>
        <v/>
      </c>
      <c r="D601" s="362">
        <f>D27+D68+D109+D150+D191+D232+D273+D314+D355+D396+D437+D478+D519+D560</f>
        <v/>
      </c>
    </row>
    <row r="602">
      <c r="A602" s="49" t="inlineStr">
        <is>
          <t>Services for dissemination activities (including website)</t>
        </is>
      </c>
      <c r="B602" s="379">
        <f>B28+B69+B110+B151+B192+B233+B274+B315+B356+B397+B438+B479+B520+B561</f>
        <v/>
      </c>
      <c r="C602" s="249">
        <f>IF(B602&gt;0,D602/B602," ")</f>
        <v/>
      </c>
      <c r="D602" s="362">
        <f>D28+D69+D110+D151+D192+D233+D274+D315+D356+D397+D438+D479+D520+D561</f>
        <v/>
      </c>
    </row>
    <row r="603">
      <c r="A603" s="49" t="inlineStr">
        <is>
          <t>Publication fees</t>
        </is>
      </c>
      <c r="B603" s="379">
        <f>B29+B70+B111+B152+B193+B234+B275+B316+B357+B398+B439+B480+B521+B562</f>
        <v/>
      </c>
      <c r="C603" s="249">
        <f>IF(B603&gt;0,D603/B603," ")</f>
        <v/>
      </c>
      <c r="D603" s="362">
        <f>D29+D70+D111+D152+D193+D234+D275+D316+D357+D398+D439+D480+D521+D562</f>
        <v/>
      </c>
    </row>
    <row r="604">
      <c r="A604" s="49" t="inlineStr">
        <is>
          <t>Other (shipment, insurance, translation, etc.)</t>
        </is>
      </c>
      <c r="B604" s="379">
        <f>B30+B71+B112+B153+B194+B235+B276+B317+B358+B399+B440+B481+B522+B563</f>
        <v/>
      </c>
      <c r="C604" s="249">
        <f>IF(B604&gt;0,D604/B604," ")</f>
        <v/>
      </c>
      <c r="D604" s="362">
        <f>D30+D71+D112+D153+D194+D235+D276+D317+D358+D399+D440+D481+D522+D563</f>
        <v/>
      </c>
    </row>
    <row r="605">
      <c r="A605" s="29" t="inlineStr">
        <is>
          <t>D. OTHER COST CATEGORIES</t>
        </is>
      </c>
      <c r="B605" s="381" t="n"/>
      <c r="C605" s="250" t="n"/>
      <c r="D605" s="360" t="n"/>
    </row>
    <row r="606">
      <c r="A606" s="50" t="inlineStr">
        <is>
          <t>D.1 Financial support to third parties (if applicable in the topic specific conditions)</t>
        </is>
      </c>
      <c r="B606" s="379">
        <f>B32+B73+B114+B155+B196+B237+B278+B319+B360+B401+B442+B483+B524+B565</f>
        <v/>
      </c>
      <c r="C606" s="249">
        <f>IF(B606&gt;0,D606/B606," ")</f>
        <v/>
      </c>
      <c r="D606" s="362">
        <f>D32+D73+D114+D155+D196+D237+D278+D319+D360+D401+D442+D483+D524+D565</f>
        <v/>
      </c>
    </row>
    <row r="607">
      <c r="A607" s="50" t="inlineStr">
        <is>
          <t>D.2 Internally invoiced goods and services</t>
        </is>
      </c>
      <c r="B607" s="379">
        <f>B33+B74+B115+B156+B197+B238+B279+B320+B361+B402+B443+B484+B525+B566</f>
        <v/>
      </c>
      <c r="C607" s="249">
        <f>IF(B607&gt;0,D607/B607," ")</f>
        <v/>
      </c>
      <c r="D607" s="362">
        <f>D33+D74+D115+D156+D197+D238+D279+D320+D361+D402+D443+D484+D525+D566</f>
        <v/>
      </c>
    </row>
    <row r="608">
      <c r="A608" s="50" t="inlineStr">
        <is>
          <t>D.3 Transnational access to research infrastructure unit costs (if mentioned as eligible in the topic specific conditions)</t>
        </is>
      </c>
      <c r="B608" s="379">
        <f>B34+B75+B116+B157+B198+B239+B280+B321+B362+B403+B444+B485+B526+B567</f>
        <v/>
      </c>
      <c r="C608" s="249">
        <f>IF(B608&gt;0,D608/B608," ")</f>
        <v/>
      </c>
      <c r="D608" s="362">
        <f>D34+D75+D116+D157+D198+D239+D280+D321+D362+D403+D444+D485+D526+D567</f>
        <v/>
      </c>
    </row>
    <row r="609">
      <c r="A609" s="50" t="inlineStr">
        <is>
          <t>D.4 Virtual access to research infrastructure unit costs (if mentioned as eligible in the topic specific conditions)</t>
        </is>
      </c>
      <c r="B609" s="379">
        <f>B35+B76+B117+B158+B199+B240+B281+B322+B363+B404+B445+B486+B527+B568</f>
        <v/>
      </c>
      <c r="C609" s="249">
        <f>IF(B609&gt;0,D609/B609," ")</f>
        <v/>
      </c>
      <c r="D609" s="362">
        <f>D35+D76+D117+D158+D199+D240+D281+D322+D363+D404+D445+D486+D527+D568</f>
        <v/>
      </c>
    </row>
    <row r="610">
      <c r="A610" s="50" t="inlineStr">
        <is>
          <t>D.5 PCP/PPI procurement costs (if mentioned as eligible in the topic specific conditions)</t>
        </is>
      </c>
      <c r="B610" s="379">
        <f>B36+B77+B118+B159+B200+B241+B282+B323+B364+B405+B446+B487+B528+B569</f>
        <v/>
      </c>
      <c r="C610" s="249">
        <f>IF(B610&gt;0,D610/B610," ")</f>
        <v/>
      </c>
      <c r="D610" s="362">
        <f>D36+D77+D118+D159+D200+D241+D282+D323+D364+D405+D446+D487+D528+D569</f>
        <v/>
      </c>
    </row>
    <row r="611">
      <c r="A611" s="51" t="n"/>
      <c r="B611" s="347" t="n"/>
      <c r="C611" s="111" t="n"/>
      <c r="D611" s="366" t="n"/>
    </row>
    <row r="612">
      <c r="A612" s="52" t="inlineStr">
        <is>
          <t>TOTAL DIRECT PERSONNEL COSTS AND PURCHASE COSTS (A+C)</t>
        </is>
      </c>
      <c r="B612" s="370" t="n"/>
      <c r="C612" s="230" t="n"/>
      <c r="D612" s="383">
        <f>D38+D79+D120+D161+D202+D243+D284+D325+D366+D407+D448+D489+D530+D571</f>
        <v/>
      </c>
    </row>
    <row r="613">
      <c r="A613" s="52" t="inlineStr">
        <is>
          <t>TOTAL DIRECT COSTS  (A+B+C+D)</t>
        </is>
      </c>
      <c r="B613" s="370" t="n"/>
      <c r="C613" s="230" t="n"/>
      <c r="D613" s="383">
        <f>D39+D80+D121+D162+D203+D244+D285+D326+D367+D408+D449+D490+D531+D572</f>
        <v/>
      </c>
    </row>
    <row r="614">
      <c r="A614" s="182" t="n"/>
      <c r="B614" s="384" t="n"/>
      <c r="C614" s="192" t="n"/>
      <c r="D614" s="191" t="n"/>
    </row>
    <row r="615">
      <c r="A615" s="29" t="inlineStr">
        <is>
          <t>E. INDIRECT COSTS (25% * (A+C))</t>
        </is>
      </c>
      <c r="B615" s="370" t="n"/>
      <c r="C615" s="230" t="n"/>
      <c r="D615" s="383">
        <f>D41+D82+D123+D164+D205+D246+D287+D328+D369+D410+D451+D492+D533+D574</f>
        <v/>
      </c>
    </row>
    <row r="616">
      <c r="A616" s="182" t="n"/>
      <c r="B616" s="384" t="n"/>
      <c r="C616" s="192" t="n"/>
      <c r="D616" s="191" t="n"/>
    </row>
    <row r="617">
      <c r="A617" s="29" t="inlineStr">
        <is>
          <t>F. TOTAL COSTS (A+B+C+D+E)</t>
        </is>
      </c>
      <c r="B617" s="370" t="n"/>
      <c r="C617" s="230" t="n"/>
      <c r="D617" s="383">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SMpVyrk5v8wYcZJkTSw0zA==" formatRows="1" sort="1" spinCount="100000" hashValue="Qh9m16a6nvyPYM7IZg4Bd0w8WdB7N81pr6huqNbxh05DnKFQARREIwa4o9ZsoE/gVxRS7coMETBJ275hdJHAfg=="/>
  <mergeCells count="16">
    <mergeCell ref="A497:D497"/>
    <mergeCell ref="A5:D5"/>
    <mergeCell ref="A169:D169"/>
    <mergeCell ref="A579:D579"/>
    <mergeCell ref="A456:D456"/>
    <mergeCell ref="A333:D333"/>
    <mergeCell ref="A210:D210"/>
    <mergeCell ref="A538:D538"/>
    <mergeCell ref="A87:D87"/>
    <mergeCell ref="A415:D415"/>
    <mergeCell ref="A251:D251"/>
    <mergeCell ref="A128:D128"/>
    <mergeCell ref="A292:D292"/>
    <mergeCell ref="B2:D2"/>
    <mergeCell ref="A46:D46"/>
    <mergeCell ref="A374:D374"/>
  </mergeCells>
  <hyperlinks>
    <hyperlink ref="C1" location="A617" tooltip="Go to Summary section" display="A617"/>
  </hyperlinks>
  <pageMargins left="0.7" right="0.7" top="0.75" bottom="0.75" header="0.3" footer="0.3"/>
</worksheet>
</file>

<file path=xl/worksheets/sheet20.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488"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BE7 - BUDGET SHEET</t>
        </is>
      </c>
      <c r="B1" s="33" t="n"/>
      <c r="C1" s="242" t="inlineStr">
        <is>
          <t>View Summary</t>
        </is>
      </c>
      <c r="D1" s="34" t="n"/>
    </row>
    <row r="2" ht="18.6" customHeight="1">
      <c r="A2" s="264" t="inlineStr">
        <is>
          <t>29db7128-1376-414c-a57b-4a4b18142839</t>
        </is>
      </c>
      <c r="B2" s="303" t="inlineStr">
        <is>
          <t>Mobydo AS</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0</v>
      </c>
      <c r="C9" s="248" t="n">
        <v>9021.428571428571</v>
      </c>
      <c r="D9" s="232">
        <f>B9*C9</f>
        <v/>
      </c>
    </row>
    <row r="10">
      <c r="A10" s="48" t="inlineStr">
        <is>
          <t>JUNIOR SCIENTISTS (or equivalent in the private sector)</t>
        </is>
      </c>
      <c r="B10" s="358" t="n">
        <v>0</v>
      </c>
      <c r="C10" s="248" t="n">
        <v>6950</v>
      </c>
      <c r="D10" s="232">
        <f>B10*C10</f>
        <v/>
      </c>
    </row>
    <row r="11">
      <c r="A11" s="48" t="inlineStr">
        <is>
          <t>TECHNICAL PERSONNEL (or equivalent in the private sector)</t>
        </is>
      </c>
      <c r="B11" s="358" t="n">
        <v>0</v>
      </c>
      <c r="C11" s="248" t="n">
        <v>8550</v>
      </c>
      <c r="D11" s="232">
        <f>B11*C11</f>
        <v/>
      </c>
    </row>
    <row r="12">
      <c r="A12" s="48" t="inlineStr">
        <is>
          <t>ADMINISTRATIVE PERSONNEL (or equivalent in the private sector)</t>
        </is>
      </c>
      <c r="B12" s="358" t="n">
        <v>3</v>
      </c>
      <c r="C12" s="248" t="n">
        <v>8490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11858.7624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2000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0</v>
      </c>
      <c r="C50" s="248" t="n">
        <v>0</v>
      </c>
      <c r="D50" s="232">
        <f>B50*C50</f>
        <v/>
      </c>
    </row>
    <row r="51">
      <c r="A51" s="48" t="inlineStr">
        <is>
          <t>JUNIOR SCIENTISTS (or equivalent in the private sector)</t>
        </is>
      </c>
      <c r="B51" s="358" t="n">
        <v>3</v>
      </c>
      <c r="C51" s="248" t="n">
        <v>6950</v>
      </c>
      <c r="D51" s="232">
        <f>B51*C51</f>
        <v/>
      </c>
    </row>
    <row r="52">
      <c r="A52" s="48" t="inlineStr">
        <is>
          <t>TECHNICAL PERSONNEL (or equivalent in the private sector)</t>
        </is>
      </c>
      <c r="B52" s="358" t="n"/>
      <c r="C52" s="248" t="n"/>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11858.7624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c r="C91" s="248" t="n"/>
      <c r="D91" s="232">
        <f>B91*C91</f>
        <v/>
      </c>
    </row>
    <row r="92">
      <c r="A92" s="48" t="inlineStr">
        <is>
          <t>JUNIOR SCIENTISTS (or equivalent in the private sector)</t>
        </is>
      </c>
      <c r="B92" s="358" t="n"/>
      <c r="C92" s="248" t="n"/>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11858.7624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c r="C132" s="248" t="n"/>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11858.7624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c r="C173" s="248" t="n"/>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11858.7624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 and Prediction")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c r="C214" s="248" t="n"/>
      <c r="D214" s="232">
        <f>B214*C214</f>
        <v/>
      </c>
    </row>
    <row r="215">
      <c r="A215" s="48" t="inlineStr">
        <is>
          <t>JUNIOR SCIENTISTS (or equivalent in the private sector)</t>
        </is>
      </c>
      <c r="B215" s="358" t="n"/>
      <c r="C215" s="248" t="n"/>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11858.7624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","Data Collection, Knowledge Access and Model Evaluation")</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c r="C255" s="248" t="n"/>
      <c r="D255" s="232">
        <f>B255*C255</f>
        <v/>
      </c>
    </row>
    <row r="256">
      <c r="A256" s="48" t="inlineStr">
        <is>
          <t>JUNIOR SCIENTISTS (or equivalent in the private sector)</t>
        </is>
      </c>
      <c r="B256" s="358" t="n"/>
      <c r="C256" s="248" t="n"/>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11858.7624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","Agentic Workflow Development, Integration and Validation")</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c r="C296" s="248" t="n"/>
      <c r="D296" s="232">
        <f>B296*C296</f>
        <v/>
      </c>
    </row>
    <row r="297">
      <c r="A297" s="48" t="inlineStr">
        <is>
          <t>JUNIOR SCIENTISTS (or equivalent in the private sector)</t>
        </is>
      </c>
      <c r="B297" s="358" t="n"/>
      <c r="C297" s="248" t="n"/>
      <c r="D297" s="232">
        <f>B297*C297</f>
        <v/>
      </c>
    </row>
    <row r="298">
      <c r="A298" s="48" t="inlineStr">
        <is>
          <t>TECHNICAL PERSONNEL (or equivalent in the private sector)</t>
        </is>
      </c>
      <c r="B298" s="358" t="n"/>
      <c r="C298" s="248" t="n"/>
      <c r="D298" s="232">
        <f>B298*C298</f>
        <v/>
      </c>
    </row>
    <row r="299">
      <c r="A299" s="48" t="inlineStr">
        <is>
          <t>ADMINISTRATIVE PERSONNEL (or equivalent in the private sector)</t>
        </is>
      </c>
      <c r="B299" s="358" t="n"/>
      <c r="C299" s="248" t="n"/>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11858.7624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c r="C307" s="248" t="n"/>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c r="C313" s="248" t="n"/>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","HSE and Environment")</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v>8</v>
      </c>
      <c r="C337" s="248" t="n">
        <v>9021</v>
      </c>
      <c r="D337" s="232">
        <f>B337*C337</f>
        <v/>
      </c>
    </row>
    <row r="338">
      <c r="A338" s="48" t="inlineStr">
        <is>
          <t>JUNIOR SCIENTISTS (or equivalent in the private sector)</t>
        </is>
      </c>
      <c r="B338" s="358" t="n">
        <v>8</v>
      </c>
      <c r="C338" s="248" t="n">
        <v>6950</v>
      </c>
      <c r="D338" s="232">
        <f>B338*C338</f>
        <v/>
      </c>
    </row>
    <row r="339">
      <c r="A339" s="48" t="inlineStr">
        <is>
          <t>TECHNICAL PERSONNEL (or equivalent in the private sector)</t>
        </is>
      </c>
      <c r="B339" s="358" t="n">
        <v>10</v>
      </c>
      <c r="C339" s="248" t="n">
        <v>8550</v>
      </c>
      <c r="D339" s="232">
        <f>B339*C339</f>
        <v/>
      </c>
    </row>
    <row r="340">
      <c r="A340" s="48" t="inlineStr">
        <is>
          <t>ADMINISTRATIVE PERSONNEL (or equivalent in the private sector)</t>
        </is>
      </c>
      <c r="B340" s="358" t="n">
        <v>6</v>
      </c>
      <c r="C340" s="248" t="n">
        <v>8490</v>
      </c>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11858.7624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v>2</v>
      </c>
      <c r="C348" s="248" t="n">
        <v>2000</v>
      </c>
      <c r="D348" s="362">
        <f>B348*C348</f>
        <v/>
      </c>
    </row>
    <row r="349">
      <c r="A349" s="28" t="inlineStr">
        <is>
          <t>C.2 Equipment (complete 'Depreciation costs' sheet)</t>
        </is>
      </c>
      <c r="B349" s="347" t="n"/>
      <c r="C349" s="111" t="n"/>
      <c r="D349" s="365" t="n"/>
    </row>
    <row r="350">
      <c r="A350" s="49" t="inlineStr">
        <is>
          <t>Equipment</t>
        </is>
      </c>
      <c r="B350" s="358" t="n">
        <v>0</v>
      </c>
      <c r="C350" s="248" t="n">
        <v>1700</v>
      </c>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v>18</v>
      </c>
      <c r="C354" s="248" t="n">
        <v>1700</v>
      </c>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","Adaptation of O&amp;M Platform")</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358" t="n"/>
      <c r="C378" s="248" t="n"/>
      <c r="D378" s="232">
        <f>B378*C378</f>
        <v/>
      </c>
    </row>
    <row r="379">
      <c r="A379" s="48" t="inlineStr">
        <is>
          <t>JUNIOR SCIENTISTS (or equivalent in the private sector)</t>
        </is>
      </c>
      <c r="B379" s="358" t="n"/>
      <c r="C379" s="248" t="n"/>
      <c r="D379" s="232">
        <f>B379*C379</f>
        <v/>
      </c>
    </row>
    <row r="380">
      <c r="A380" s="48" t="inlineStr">
        <is>
          <t>TECHNICAL PERSONNEL (or equivalent in the private sector)</t>
        </is>
      </c>
      <c r="B380" s="358" t="n"/>
      <c r="C380" s="248" t="n"/>
      <c r="D380" s="232">
        <f>B380*C380</f>
        <v/>
      </c>
    </row>
    <row r="381">
      <c r="A381" s="48" t="inlineStr">
        <is>
          <t>ADMINISTRATIVE PERSONNEL (or equivalent in the private sector)</t>
        </is>
      </c>
      <c r="B381" s="358" t="n"/>
      <c r="C381" s="248" t="n"/>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11858.7624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v>1</v>
      </c>
      <c r="C419" s="248" t="n">
        <v>9021</v>
      </c>
      <c r="D419" s="232">
        <f>B419*C419</f>
        <v/>
      </c>
    </row>
    <row r="420">
      <c r="A420" s="48" t="inlineStr">
        <is>
          <t>JUNIOR SCIENTISTS (or equivalent in the private sector)</t>
        </is>
      </c>
      <c r="B420" s="358" t="n"/>
      <c r="C420" s="248" t="n"/>
      <c r="D420" s="232">
        <f>B420*C420</f>
        <v/>
      </c>
    </row>
    <row r="421">
      <c r="A421" s="48" t="inlineStr">
        <is>
          <t>TECHNICAL PERSONNEL (or equivalent in the private sector)</t>
        </is>
      </c>
      <c r="B421" s="358" t="n"/>
      <c r="C421" s="248" t="n"/>
      <c r="D421" s="232">
        <f>B421*C421</f>
        <v/>
      </c>
    </row>
    <row r="422">
      <c r="A422" s="48" t="inlineStr">
        <is>
          <t>ADMINISTRATIVE PERSONNEL (or equivalent in the private sector)</t>
        </is>
      </c>
      <c r="B422" s="358" t="n"/>
      <c r="C422" s="248" t="n"/>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11858.7624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","System-Level Demonstration and Validation")</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v>1</v>
      </c>
      <c r="C460" s="248" t="n">
        <v>9021</v>
      </c>
      <c r="D460" s="232">
        <f>B460*C460</f>
        <v/>
      </c>
    </row>
    <row r="461">
      <c r="A461" s="48" t="inlineStr">
        <is>
          <t>JUNIOR SCIENTISTS (or equivalent in the private sector)</t>
        </is>
      </c>
      <c r="B461" s="358" t="n"/>
      <c r="C461" s="248" t="n"/>
      <c r="D461" s="232">
        <f>B461*C461</f>
        <v/>
      </c>
    </row>
    <row r="462">
      <c r="A462" s="48" t="inlineStr">
        <is>
          <t>TECHNICAL PERSONNEL (or equivalent in the private sector)</t>
        </is>
      </c>
      <c r="B462" s="358" t="n"/>
      <c r="C462" s="248" t="n"/>
      <c r="D462" s="232">
        <f>B462*C462</f>
        <v/>
      </c>
    </row>
    <row r="463">
      <c r="A463" s="48" t="inlineStr">
        <is>
          <t>ADMINISTRATIVE PERSONNEL (or equivalent in the private sector)</t>
        </is>
      </c>
      <c r="B463" s="358" t="n"/>
      <c r="C463" s="248" t="n"/>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11858.7624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c r="C473" s="248" t="n"/>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c r="C477" s="248" t="n"/>
      <c r="D477" s="362">
        <f>B477*C477</f>
        <v/>
      </c>
    </row>
    <row r="478">
      <c r="A478" s="49" t="inlineStr">
        <is>
          <t>Services for meetings, seminars</t>
        </is>
      </c>
      <c r="B478" s="358" t="n"/>
      <c r="C478" s="248" t="n"/>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c r="C481" s="248" t="n"/>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","Dissemination, exploitation and communication general activity")</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v>0.5</v>
      </c>
      <c r="C501" s="248" t="n">
        <v>9021</v>
      </c>
      <c r="D501" s="232">
        <f>B501*C501</f>
        <v/>
      </c>
    </row>
    <row r="502">
      <c r="A502" s="48" t="inlineStr">
        <is>
          <t>JUNIOR SCIENTISTS (or equivalent in the private sector)</t>
        </is>
      </c>
      <c r="B502" s="358" t="n"/>
      <c r="C502" s="248" t="n"/>
      <c r="D502" s="232">
        <f>B502*C502</f>
        <v/>
      </c>
    </row>
    <row r="503">
      <c r="A503" s="48" t="inlineStr">
        <is>
          <t>TECHNICAL PERSONNEL (or equivalent in the private sector)</t>
        </is>
      </c>
      <c r="B503" s="358" t="n"/>
      <c r="C503" s="248" t="n"/>
      <c r="D503" s="232">
        <f>B503*C503</f>
        <v/>
      </c>
    </row>
    <row r="504">
      <c r="A504" s="48" t="inlineStr">
        <is>
          <t>ADMINISTRATIVE PERSONNEL (or equivalent in the private sector)</t>
        </is>
      </c>
      <c r="B504" s="358" t="n"/>
      <c r="C504" s="248" t="n"/>
      <c r="D504" s="232">
        <f>B504*C504</f>
        <v/>
      </c>
    </row>
    <row r="505">
      <c r="A505" s="48" t="inlineStr">
        <is>
          <t>OTHERS</t>
        </is>
      </c>
      <c r="B505" s="358" t="n"/>
      <c r="C505" s="248" t="n"/>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11858.7624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c r="C512" s="248" t="n"/>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c r="C519" s="248" t="n"/>
      <c r="D519" s="362">
        <f>B519*C519</f>
        <v/>
      </c>
    </row>
    <row r="520">
      <c r="A520" s="49" t="inlineStr">
        <is>
          <t>Services for dissemination activities (including website)</t>
        </is>
      </c>
      <c r="B520" s="358" t="n"/>
      <c r="C520" s="248" t="n"/>
      <c r="D520" s="362">
        <f>B520*C520</f>
        <v/>
      </c>
    </row>
    <row r="521">
      <c r="A521" s="49" t="inlineStr">
        <is>
          <t>Publication fees</t>
        </is>
      </c>
      <c r="B521" s="358" t="n"/>
      <c r="C521" s="248" t="n"/>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","Key Exploitable Results (KER) Strategy and related Plans towards future exploitation and full-scale deployment")</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v>0.5</v>
      </c>
      <c r="C542" s="248" t="n">
        <v>9021</v>
      </c>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c r="C544" s="248" t="n"/>
      <c r="D544" s="232">
        <f>B544*C544</f>
        <v/>
      </c>
    </row>
    <row r="545">
      <c r="A545" s="48" t="inlineStr">
        <is>
          <t>ADMINISTRATIVE PERSONNEL (or equivalent in the private sector)</t>
        </is>
      </c>
      <c r="B545" s="358" t="n"/>
      <c r="C545" s="248" t="n"/>
      <c r="D545" s="232">
        <f>B545*C545</f>
        <v/>
      </c>
    </row>
    <row r="546">
      <c r="A546" s="48" t="inlineStr">
        <is>
          <t>OTHERS</t>
        </is>
      </c>
      <c r="B546" s="358" t="n"/>
      <c r="C546" s="248" t="n"/>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11858.7624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c r="C553" s="248" t="n"/>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c r="C560" s="248" t="n"/>
      <c r="D560" s="362">
        <f>B560*C560</f>
        <v/>
      </c>
    </row>
    <row r="561">
      <c r="A561" s="49" t="inlineStr">
        <is>
          <t>Services for dissemination activities (including website)</t>
        </is>
      </c>
      <c r="B561" s="358" t="n"/>
      <c r="C561" s="248" t="n"/>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8">
      <c r="A578" s="190" t="n"/>
      <c r="B578" s="185" t="n"/>
      <c r="C578" s="186" t="n"/>
      <c r="D578" s="187" t="n"/>
    </row>
    <row r="579" ht="21" customHeight="1">
      <c r="A579" s="306" t="inlineStr">
        <is>
          <t>SUMMARY</t>
        </is>
      </c>
      <c r="B579" s="315" t="n"/>
      <c r="C579" s="315" t="n"/>
      <c r="D579" s="316" t="n"/>
    </row>
    <row r="580">
      <c r="A580" s="56" t="n"/>
      <c r="B580" s="174" t="n"/>
      <c r="C580" s="175" t="n"/>
      <c r="D580" s="174"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79">
        <f>B9+B50+B91+B132+B173+B214+B255+B296+B337+B378+B419+B460+B501+B542</f>
        <v/>
      </c>
      <c r="C583" s="249">
        <f>IF(B583&gt;0,D583/B583," ")</f>
        <v/>
      </c>
      <c r="D583" s="362">
        <f>D9+D50+D91+D132+D173+D214+D255+D296+D337+D378+D419+D460+D501+D542</f>
        <v/>
      </c>
    </row>
    <row r="584">
      <c r="A584" s="48" t="inlineStr">
        <is>
          <t>JUNIOR SCIENTISTS (or equivalent in the private sector)</t>
        </is>
      </c>
      <c r="B584" s="379">
        <f>B10+B51+B92+B133+B174+B215+B256+B297+B338+B379+B420+B461+B502+B543</f>
        <v/>
      </c>
      <c r="C584" s="249">
        <f>IF(B584&gt;0,D584/B584," ")</f>
        <v/>
      </c>
      <c r="D584" s="362">
        <f>D10+D51+D92+D133+D174+D215+D256+D297+D338+D379+D420+D461+D502+D543</f>
        <v/>
      </c>
    </row>
    <row r="585">
      <c r="A585" s="48" t="inlineStr">
        <is>
          <t>TECHNICAL PERSONNEL (or equivalent in the private sector)</t>
        </is>
      </c>
      <c r="B585" s="379">
        <f>B11+B52+B93+B134+B175+B216+B257+B298+B339+B380+B421+B462+B503+B544</f>
        <v/>
      </c>
      <c r="C585" s="249">
        <f>IF(B585&gt;0,D585/B585," ")</f>
        <v/>
      </c>
      <c r="D585" s="362">
        <f>D11+D52+D93+D134+D175+D216+D257+D298+D339+D380+D421+D462+D503+D544</f>
        <v/>
      </c>
    </row>
    <row r="586">
      <c r="A586" s="48" t="inlineStr">
        <is>
          <t>ADMINISTRATIVE PERSONNEL (or equivalent in the private sector)</t>
        </is>
      </c>
      <c r="B586" s="379">
        <f>B12+B53+B94+B135+B176+B217+B258+B299+B340+B381+B422+B463+B504+B545</f>
        <v/>
      </c>
      <c r="C586" s="249">
        <f>IF(B586&gt;0,D586/B586," ")</f>
        <v/>
      </c>
      <c r="D586" s="362">
        <f>D12+D53+D94+D135+D176+D217+D258+D299+D340+D381+D422+D463+D504+D545</f>
        <v/>
      </c>
    </row>
    <row r="587">
      <c r="A587" s="48" t="inlineStr">
        <is>
          <t>OTHERS</t>
        </is>
      </c>
      <c r="B587" s="379">
        <f>B13+B54+B95+B136+B177+B218+B259+B300+B341+B382+B423+B464+B505+B546</f>
        <v/>
      </c>
      <c r="C587" s="249">
        <f>IF(B587&gt;0,D587/B587," ")</f>
        <v/>
      </c>
      <c r="D587" s="362">
        <f>D13+D54+D95+D136+D177+D218+D259+D300+D341+D382+D423+D464+D505+D546</f>
        <v/>
      </c>
    </row>
    <row r="588">
      <c r="A588" s="28" t="inlineStr">
        <is>
          <t>A.2 Natural Persons under direct contract</t>
        </is>
      </c>
      <c r="B588" s="379">
        <f>B14+B55+B96+B137+B178+B219+B260+B301+B342+B383+B424+B465+B506+B547</f>
        <v/>
      </c>
      <c r="C588" s="249">
        <f>IF(B588&gt;0,D588/B588," ")</f>
        <v/>
      </c>
      <c r="D588" s="362">
        <f>D14+D55+D96+D137+D178+D219+D260+D301+D342+D383+D424+D465+D506+D547</f>
        <v/>
      </c>
    </row>
    <row r="589">
      <c r="A589" s="28" t="inlineStr">
        <is>
          <t>A.3 Seconded Persons</t>
        </is>
      </c>
      <c r="B589" s="379">
        <f>B15+B56+B97+B138+B179+B220+B261+B302+B343+B384+B425+B466+B507+B548</f>
        <v/>
      </c>
      <c r="C589" s="249">
        <f>IF(B589&gt;0,D589/B589," ")</f>
        <v/>
      </c>
      <c r="D589" s="362">
        <f>D15+D56+D97+D138+D179+D220+D261+D302+D343+D384+D425+D466+D507+D548</f>
        <v/>
      </c>
    </row>
    <row r="590">
      <c r="A590" s="28" t="inlineStr">
        <is>
          <t>A.4 SME owners and natural person beneficiaries</t>
        </is>
      </c>
      <c r="B590" s="379">
        <f>B16+B57+B98+B139+B180+B221+B262+B303+B344+B385+B426+B467+B508+B549</f>
        <v/>
      </c>
      <c r="C590" s="249">
        <f>IF(B590&gt;0,D590/B590," ")</f>
        <v/>
      </c>
      <c r="D590" s="362">
        <f>D16+D57+D98+D139+D180+D221+D262+D303+D344+D385+D426+D467+D508+D549</f>
        <v/>
      </c>
    </row>
    <row r="591">
      <c r="A591" s="29" t="inlineStr">
        <is>
          <t>B. DIRECT SUBCONTRACTING COSTS</t>
        </is>
      </c>
      <c r="B591" s="381" t="n"/>
      <c r="C591" s="250" t="n"/>
      <c r="D591" s="360" t="n"/>
    </row>
    <row r="592">
      <c r="A592" s="28" t="n"/>
      <c r="B592" s="379">
        <f>B18+B59+B100+B141+B182+B223+B264+B305+B346+B387+B428+B469+B510+B551</f>
        <v/>
      </c>
      <c r="C592" s="249">
        <f>IF(B592&gt;0,D592/B592," ")</f>
        <v/>
      </c>
      <c r="D592" s="362">
        <f>D18+D59+D100+D141+D182+D223+D264+D305+D346+D387+D428+D469+D510+D551</f>
        <v/>
      </c>
    </row>
    <row r="593">
      <c r="A593" s="29" t="inlineStr">
        <is>
          <t>C. DIRECT PURCHASE COSTS</t>
        </is>
      </c>
      <c r="B593" s="381" t="n"/>
      <c r="C593" s="250" t="n"/>
      <c r="D593" s="360" t="n"/>
    </row>
    <row r="594">
      <c r="A594" s="28" t="inlineStr">
        <is>
          <t>C.1 Travel and subsistence</t>
        </is>
      </c>
      <c r="B594" s="379">
        <f>B20+B61+B102+B143+B184+B225+B266+B307+B348+B389+B430+B471+B512+B553</f>
        <v/>
      </c>
      <c r="C594" s="249">
        <f>IF(B594&gt;0,D594/B594," ")</f>
        <v/>
      </c>
      <c r="D594" s="362">
        <f>D20+D61+D102+D143+D184+D225+D266+D307+D348+D389+D430+D471+D512+D553</f>
        <v/>
      </c>
    </row>
    <row r="595">
      <c r="A595" s="28" t="inlineStr">
        <is>
          <t>C.2 Equipment (complete 'Depreciation costs' sheet)</t>
        </is>
      </c>
      <c r="B595" s="382" t="n"/>
      <c r="C595" s="251" t="n"/>
      <c r="D595" s="365" t="n"/>
    </row>
    <row r="596">
      <c r="A596" s="49" t="inlineStr">
        <is>
          <t>Equipment</t>
        </is>
      </c>
      <c r="B596" s="379">
        <f>B22+B63+B104+B145+B186+B227+B268+B309+B350+B391+B432+B473+B514+B555</f>
        <v/>
      </c>
      <c r="C596" s="249">
        <f>IF(B596&gt;0,D596/B596," ")</f>
        <v/>
      </c>
      <c r="D596" s="362">
        <f>D22+D63+D104+D145+D186+D227+D268+D309+D350+D391+D432+D473+D514+D555</f>
        <v/>
      </c>
    </row>
    <row r="597">
      <c r="A597" s="49" t="inlineStr">
        <is>
          <t>Infrastructure</t>
        </is>
      </c>
      <c r="B597" s="379">
        <f>B23+B64+B105+B146+B187+B228+B269+B310+B351+B392+B433+B474+B515+B556</f>
        <v/>
      </c>
      <c r="C597" s="249">
        <f>IF(B597&gt;0,D597/B597," ")</f>
        <v/>
      </c>
      <c r="D597" s="362">
        <f>D23+D64+D105+D146+D187+D228+D269+D310+D351+D392+D433+D474+D515+D556</f>
        <v/>
      </c>
    </row>
    <row r="598">
      <c r="A598" s="49" t="inlineStr">
        <is>
          <t>Other assets</t>
        </is>
      </c>
      <c r="B598" s="379">
        <f>B24+B65+B106+B147+B188+B229+B270+B311+B352+B393+B434+B475+B516+B557</f>
        <v/>
      </c>
      <c r="C598" s="249">
        <f>IF(B598&gt;0,D598/B598," ")</f>
        <v/>
      </c>
      <c r="D598" s="362">
        <f>D24+D65+D106+D147+D188+D229+D270+D311+D352+D393+D434+D475+D516+D557</f>
        <v/>
      </c>
    </row>
    <row r="599">
      <c r="A599" s="28" t="inlineStr">
        <is>
          <t>C.3 Other goods, works and services</t>
        </is>
      </c>
      <c r="B599" s="382" t="n"/>
      <c r="C599" s="251" t="n"/>
      <c r="D599" s="365" t="n"/>
    </row>
    <row r="600">
      <c r="A600" s="49" t="inlineStr">
        <is>
          <t>Consumables</t>
        </is>
      </c>
      <c r="B600" s="379">
        <f>B26+B67+B108+B149+B190+B231+B272+B313+B354+B395+B436+B477+B518+B559</f>
        <v/>
      </c>
      <c r="C600" s="249">
        <f>IF(B600&gt;0,D600/B600," ")</f>
        <v/>
      </c>
      <c r="D600" s="362">
        <f>D26+D67+D108+D149+D190+D231+D272+D313+D354+D395+D436+D477+D518+D559</f>
        <v/>
      </c>
    </row>
    <row r="601">
      <c r="A601" s="49" t="inlineStr">
        <is>
          <t>Services for meetings, seminars</t>
        </is>
      </c>
      <c r="B601" s="379">
        <f>B27+B68+B109+B150+B191+B232+B273+B314+B355+B396+B437+B478+B519+B560</f>
        <v/>
      </c>
      <c r="C601" s="249">
        <f>IF(B601&gt;0,D601/B601," ")</f>
        <v/>
      </c>
      <c r="D601" s="362">
        <f>D27+D68+D109+D150+D191+D232+D273+D314+D355+D396+D437+D478+D519+D560</f>
        <v/>
      </c>
    </row>
    <row r="602">
      <c r="A602" s="49" t="inlineStr">
        <is>
          <t>Services for dissemination activities (including website)</t>
        </is>
      </c>
      <c r="B602" s="379">
        <f>B28+B69+B110+B151+B192+B233+B274+B315+B356+B397+B438+B479+B520+B561</f>
        <v/>
      </c>
      <c r="C602" s="249">
        <f>IF(B602&gt;0,D602/B602," ")</f>
        <v/>
      </c>
      <c r="D602" s="362">
        <f>D28+D69+D110+D151+D192+D233+D274+D315+D356+D397+D438+D479+D520+D561</f>
        <v/>
      </c>
    </row>
    <row r="603">
      <c r="A603" s="49" t="inlineStr">
        <is>
          <t>Publication fees</t>
        </is>
      </c>
      <c r="B603" s="379">
        <f>B29+B70+B111+B152+B193+B234+B275+B316+B357+B398+B439+B480+B521+B562</f>
        <v/>
      </c>
      <c r="C603" s="249">
        <f>IF(B603&gt;0,D603/B603," ")</f>
        <v/>
      </c>
      <c r="D603" s="362">
        <f>D29+D70+D111+D152+D193+D234+D275+D316+D357+D398+D439+D480+D521+D562</f>
        <v/>
      </c>
    </row>
    <row r="604">
      <c r="A604" s="49" t="inlineStr">
        <is>
          <t>Other (shipment, insurance, translation, etc.)</t>
        </is>
      </c>
      <c r="B604" s="379">
        <f>B30+B71+B112+B153+B194+B235+B276+B317+B358+B399+B440+B481+B522+B563</f>
        <v/>
      </c>
      <c r="C604" s="249">
        <f>IF(B604&gt;0,D604/B604," ")</f>
        <v/>
      </c>
      <c r="D604" s="362">
        <f>D30+D71+D112+D153+D194+D235+D276+D317+D358+D399+D440+D481+D522+D563</f>
        <v/>
      </c>
    </row>
    <row r="605">
      <c r="A605" s="29" t="inlineStr">
        <is>
          <t>D. OTHER COST CATEGORIES</t>
        </is>
      </c>
      <c r="B605" s="381" t="n"/>
      <c r="C605" s="250" t="n"/>
      <c r="D605" s="360" t="n"/>
    </row>
    <row r="606">
      <c r="A606" s="50" t="inlineStr">
        <is>
          <t>D.1 Financial support to third parties (if applicable in the topic specific conditions)</t>
        </is>
      </c>
      <c r="B606" s="379">
        <f>B32+B73+B114+B155+B196+B237+B278+B319+B360+B401+B442+B483+B524+B565</f>
        <v/>
      </c>
      <c r="C606" s="249">
        <f>IF(B606&gt;0,D606/B606," ")</f>
        <v/>
      </c>
      <c r="D606" s="362">
        <f>D32+D73+D114+D155+D196+D237+D278+D319+D360+D401+D442+D483+D524+D565</f>
        <v/>
      </c>
    </row>
    <row r="607">
      <c r="A607" s="50" t="inlineStr">
        <is>
          <t>D.2 Internally invoiced goods and services</t>
        </is>
      </c>
      <c r="B607" s="379">
        <f>B33+B74+B115+B156+B197+B238+B279+B320+B361+B402+B443+B484+B525+B566</f>
        <v/>
      </c>
      <c r="C607" s="249">
        <f>IF(B607&gt;0,D607/B607," ")</f>
        <v/>
      </c>
      <c r="D607" s="362">
        <f>D33+D74+D115+D156+D197+D238+D279+D320+D361+D402+D443+D484+D525+D566</f>
        <v/>
      </c>
    </row>
    <row r="608">
      <c r="A608" s="50" t="inlineStr">
        <is>
          <t>D.3 Transnational access to research infrastructure unit costs (if mentioned as eligible in the topic specific conditions)</t>
        </is>
      </c>
      <c r="B608" s="379">
        <f>B34+B75+B116+B157+B198+B239+B280+B321+B362+B403+B444+B485+B526+B567</f>
        <v/>
      </c>
      <c r="C608" s="249">
        <f>IF(B608&gt;0,D608/B608," ")</f>
        <v/>
      </c>
      <c r="D608" s="362">
        <f>D34+D75+D116+D157+D198+D239+D280+D321+D362+D403+D444+D485+D526+D567</f>
        <v/>
      </c>
    </row>
    <row r="609">
      <c r="A609" s="50" t="inlineStr">
        <is>
          <t>D.4 Virtual access to research infrastructure unit costs (if mentioned as eligible in the topic specific conditions)</t>
        </is>
      </c>
      <c r="B609" s="379">
        <f>B35+B76+B117+B158+B199+B240+B281+B322+B363+B404+B445+B486+B527+B568</f>
        <v/>
      </c>
      <c r="C609" s="249">
        <f>IF(B609&gt;0,D609/B609," ")</f>
        <v/>
      </c>
      <c r="D609" s="362">
        <f>D35+D76+D117+D158+D199+D240+D281+D322+D363+D404+D445+D486+D527+D568</f>
        <v/>
      </c>
    </row>
    <row r="610">
      <c r="A610" s="50" t="inlineStr">
        <is>
          <t>D.5 PCP/PPI procurement costs (if mentioned as eligible in the topic specific conditions)</t>
        </is>
      </c>
      <c r="B610" s="379">
        <f>B36+B77+B118+B159+B200+B241+B282+B323+B364+B405+B446+B487+B528+B569</f>
        <v/>
      </c>
      <c r="C610" s="249">
        <f>IF(B610&gt;0,D610/B610," ")</f>
        <v/>
      </c>
      <c r="D610" s="362">
        <f>D36+D77+D118+D159+D200+D241+D282+D323+D364+D405+D446+D487+D528+D569</f>
        <v/>
      </c>
    </row>
    <row r="611">
      <c r="A611" s="51" t="n"/>
      <c r="B611" s="347" t="n"/>
      <c r="C611" s="111" t="n"/>
      <c r="D611" s="366" t="n"/>
    </row>
    <row r="612">
      <c r="A612" s="52" t="inlineStr">
        <is>
          <t>TOTAL DIRECT PERSONNEL COSTS AND PURCHASE COSTS (A+C)</t>
        </is>
      </c>
      <c r="B612" s="370" t="n"/>
      <c r="C612" s="230" t="n"/>
      <c r="D612" s="383">
        <f>D38+D79+D120+D161+D202+D243+D284+D325+D366+D407+D448+D489+D530+D571</f>
        <v/>
      </c>
    </row>
    <row r="613">
      <c r="A613" s="52" t="inlineStr">
        <is>
          <t>TOTAL DIRECT COSTS  (A+B+C+D)</t>
        </is>
      </c>
      <c r="B613" s="370" t="n"/>
      <c r="C613" s="230" t="n"/>
      <c r="D613" s="383">
        <f>D39+D80+D121+D162+D203+D244+D285+D326+D367+D408+D449+D490+D531+D572</f>
        <v/>
      </c>
    </row>
    <row r="614">
      <c r="A614" s="182" t="n"/>
      <c r="B614" s="384" t="n"/>
      <c r="C614" s="192" t="n"/>
      <c r="D614" s="191" t="n"/>
    </row>
    <row r="615">
      <c r="A615" s="29" t="inlineStr">
        <is>
          <t>E. INDIRECT COSTS (25% * (A+C))</t>
        </is>
      </c>
      <c r="B615" s="370" t="n"/>
      <c r="C615" s="230" t="n"/>
      <c r="D615" s="383">
        <f>D41+D82+D123+D164+D205+D246+D287+D328+D369+D410+D451+D492+D533+D574</f>
        <v/>
      </c>
    </row>
    <row r="616">
      <c r="A616" s="182" t="n"/>
      <c r="B616" s="384" t="n"/>
      <c r="C616" s="192" t="n"/>
      <c r="D616" s="191" t="n"/>
    </row>
    <row r="617">
      <c r="A617" s="29" t="inlineStr">
        <is>
          <t>F. TOTAL COSTS (A+B+C+D+E)</t>
        </is>
      </c>
      <c r="B617" s="370" t="n"/>
      <c r="C617" s="230" t="n"/>
      <c r="D617" s="383">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Mrt7qiW1soK0fcyCJQK7g==" formatRows="1" sort="1" spinCount="100000" hashValue="NgVdm3BkR2yp8ZzOvtVJHAFh59B7qe0Bh8Y43g7SSLKrATnwM4P8fAS2kHIOe4Sq8aMvLDJoqdpzRBPEEmp34g=="/>
  <mergeCells count="16">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1.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82"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BE5 - BUDGET SHEET</t>
        </is>
      </c>
      <c r="B1" s="33" t="n"/>
      <c r="C1" s="242" t="inlineStr">
        <is>
          <t>View Summary</t>
        </is>
      </c>
      <c r="D1" s="34" t="n"/>
    </row>
    <row r="2" ht="18.6" customHeight="1">
      <c r="A2" s="264" t="inlineStr">
        <is>
          <t>ab077adb-59f5-4b96-8333-4fdf9cc23418</t>
        </is>
      </c>
      <c r="B2" s="303" t="inlineStr">
        <is>
          <t>NORWEGIAN OFFSHORE WIND AS</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c r="C9" s="248" t="n"/>
      <c r="D9" s="232">
        <f>B9*C9</f>
        <v/>
      </c>
    </row>
    <row r="10">
      <c r="A10" s="48" t="inlineStr">
        <is>
          <t>JUNIOR SCIENTISTS (or equivalent in the private sector)</t>
        </is>
      </c>
      <c r="B10" s="358" t="n"/>
      <c r="C10" s="248" t="n"/>
      <c r="D10" s="232">
        <f>B10*C10</f>
        <v/>
      </c>
    </row>
    <row r="11">
      <c r="A11" s="48" t="inlineStr">
        <is>
          <t>TECHNICAL PERSONNEL (or equivalent in the private sector)</t>
        </is>
      </c>
      <c r="B11" s="358" t="n"/>
      <c r="C11" s="248" t="n"/>
      <c r="D11" s="232">
        <f>B11*C11</f>
        <v/>
      </c>
    </row>
    <row r="12">
      <c r="A12" s="48" t="inlineStr">
        <is>
          <t>ADMINISTRATIVE PERSONNEL (or equivalent in the private sector)</t>
        </is>
      </c>
      <c r="B12" s="358" t="n"/>
      <c r="C12" s="248" t="n"/>
      <c r="D12" s="232">
        <f>B12*C12</f>
        <v/>
      </c>
    </row>
    <row r="13">
      <c r="A13" s="48" t="inlineStr">
        <is>
          <t>OTHERS</t>
        </is>
      </c>
      <c r="B13" s="358" t="n">
        <v>2</v>
      </c>
      <c r="C13" s="248" t="n">
        <v>6800</v>
      </c>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11858.7624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1400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c r="C50" s="248" t="n"/>
      <c r="D50" s="232">
        <f>B50*C50</f>
        <v/>
      </c>
    </row>
    <row r="51">
      <c r="A51" s="48" t="inlineStr">
        <is>
          <t>JUNIOR SCIENTISTS (or equivalent in the private sector)</t>
        </is>
      </c>
      <c r="B51" s="358" t="n"/>
      <c r="C51" s="248" t="n"/>
      <c r="D51" s="232">
        <f>B51*C51</f>
        <v/>
      </c>
    </row>
    <row r="52">
      <c r="A52" s="48" t="inlineStr">
        <is>
          <t>TECHNICAL PERSONNEL (or equivalent in the private sector)</t>
        </is>
      </c>
      <c r="B52" s="358" t="n">
        <v>4</v>
      </c>
      <c r="C52" s="248" t="n">
        <v>8000</v>
      </c>
      <c r="D52" s="232">
        <f>B52*C52</f>
        <v/>
      </c>
    </row>
    <row r="53">
      <c r="A53" s="48" t="inlineStr">
        <is>
          <t>ADMINISTRATIVE PERSONNEL (or equivalent in the private sector)</t>
        </is>
      </c>
      <c r="B53" s="358" t="n"/>
      <c r="C53" s="248" t="n"/>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11858.7624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c r="C91" s="248" t="n"/>
      <c r="D91" s="232">
        <f>B91*C91</f>
        <v/>
      </c>
    </row>
    <row r="92">
      <c r="A92" s="48" t="inlineStr">
        <is>
          <t>JUNIOR SCIENTISTS (or equivalent in the private sector)</t>
        </is>
      </c>
      <c r="B92" s="358" t="n">
        <v>4</v>
      </c>
      <c r="C92" s="248" t="n">
        <v>8500</v>
      </c>
      <c r="D92" s="232">
        <f>B92*C92</f>
        <v/>
      </c>
    </row>
    <row r="93">
      <c r="A93" s="48" t="inlineStr">
        <is>
          <t>TECHNICAL PERSONNEL (or equivalent in the private sector)</t>
        </is>
      </c>
      <c r="B93" s="358" t="n"/>
      <c r="C93" s="248" t="n"/>
      <c r="D93" s="232">
        <f>B93*C93</f>
        <v/>
      </c>
    </row>
    <row r="94">
      <c r="A94" s="48" t="inlineStr">
        <is>
          <t>ADMINISTRATIVE PERSONNEL (or equivalent in the private sector)</t>
        </is>
      </c>
      <c r="B94" s="358" t="n"/>
      <c r="C94" s="248" t="n"/>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11858.7624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c r="C104" s="248" t="n"/>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v>0</v>
      </c>
      <c r="C108" s="248" t="n">
        <v>1000</v>
      </c>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c r="C132" s="248" t="n"/>
      <c r="D132" s="232">
        <f>B132*C132</f>
        <v/>
      </c>
    </row>
    <row r="133">
      <c r="A133" s="48" t="inlineStr">
        <is>
          <t>JUNIOR SCIENTISTS (or equivalent in the private sector)</t>
        </is>
      </c>
      <c r="B133" s="358" t="n"/>
      <c r="C133" s="248" t="n"/>
      <c r="D133" s="232">
        <f>B133*C133</f>
        <v/>
      </c>
    </row>
    <row r="134">
      <c r="A134" s="48" t="inlineStr">
        <is>
          <t>TECHNICAL PERSONNEL (or equivalent in the private sector)</t>
        </is>
      </c>
      <c r="B134" s="358" t="n"/>
      <c r="C134" s="248" t="n"/>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11858.7624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c r="C173" s="248" t="n"/>
      <c r="D173" s="232">
        <f>B173*C173</f>
        <v/>
      </c>
    </row>
    <row r="174">
      <c r="A174" s="48" t="inlineStr">
        <is>
          <t>JUNIOR SCIENTISTS (or equivalent in the private sector)</t>
        </is>
      </c>
      <c r="B174" s="358" t="n"/>
      <c r="C174" s="248" t="n"/>
      <c r="D174" s="232">
        <f>B174*C174</f>
        <v/>
      </c>
    </row>
    <row r="175">
      <c r="A175" s="48" t="inlineStr">
        <is>
          <t>TECHNICAL PERSONNEL (or equivalent in the private sector)</t>
        </is>
      </c>
      <c r="B175" s="358" t="n"/>
      <c r="C175" s="248" t="n"/>
      <c r="D175" s="232">
        <f>B175*C175</f>
        <v/>
      </c>
    </row>
    <row r="176">
      <c r="A176" s="48" t="inlineStr">
        <is>
          <t>ADMINISTRATIVE PERSONNEL (or equivalent in the private sector)</t>
        </is>
      </c>
      <c r="B176" s="358" t="n"/>
      <c r="C176" s="248" t="n"/>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11858.7624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 and Prediction")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c r="C214" s="248" t="n"/>
      <c r="D214" s="232">
        <f>B214*C214</f>
        <v/>
      </c>
    </row>
    <row r="215">
      <c r="A215" s="48" t="inlineStr">
        <is>
          <t>JUNIOR SCIENTISTS (or equivalent in the private sector)</t>
        </is>
      </c>
      <c r="B215" s="358" t="n">
        <v>3</v>
      </c>
      <c r="C215" s="248" t="n">
        <v>8500</v>
      </c>
      <c r="D215" s="232">
        <f>B215*C215</f>
        <v/>
      </c>
    </row>
    <row r="216">
      <c r="A216" s="48" t="inlineStr">
        <is>
          <t>TECHNICAL PERSONNEL (or equivalent in the private sector)</t>
        </is>
      </c>
      <c r="B216" s="358" t="n"/>
      <c r="C216" s="248" t="n"/>
      <c r="D216" s="232">
        <f>B216*C216</f>
        <v/>
      </c>
    </row>
    <row r="217">
      <c r="A217" s="48" t="inlineStr">
        <is>
          <t>ADMINISTRATIVE PERSONNEL (or equivalent in the private sector)</t>
        </is>
      </c>
      <c r="B217" s="358" t="n"/>
      <c r="C217" s="248" t="n"/>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11858.7624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","Data Collection, Knowledge Access and Model Evaluation")</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c r="C255" s="248" t="n"/>
      <c r="D255" s="232">
        <f>B255*C255</f>
        <v/>
      </c>
    </row>
    <row r="256">
      <c r="A256" s="48" t="inlineStr">
        <is>
          <t>JUNIOR SCIENTISTS (or equivalent in the private sector)</t>
        </is>
      </c>
      <c r="B256" s="358" t="n"/>
      <c r="C256" s="248" t="n"/>
      <c r="D256" s="232">
        <f>B256*C256</f>
        <v/>
      </c>
    </row>
    <row r="257">
      <c r="A257" s="48" t="inlineStr">
        <is>
          <t>TECHNICAL PERSONNEL (or equivalent in the private sector)</t>
        </is>
      </c>
      <c r="B257" s="358" t="n"/>
      <c r="C257" s="248" t="n"/>
      <c r="D257" s="232">
        <f>B257*C257</f>
        <v/>
      </c>
    </row>
    <row r="258">
      <c r="A258" s="48" t="inlineStr">
        <is>
          <t>ADMINISTRATIVE PERSONNEL (or equivalent in the private sector)</t>
        </is>
      </c>
      <c r="B258" s="358" t="n"/>
      <c r="C258" s="248" t="n"/>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11858.7624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","Agentic Workflow Development, Integration and Validation")</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c r="C296" s="248" t="n"/>
      <c r="D296" s="232">
        <f>B296*C296</f>
        <v/>
      </c>
    </row>
    <row r="297">
      <c r="A297" s="48" t="inlineStr">
        <is>
          <t>JUNIOR SCIENTISTS (or equivalent in the private sector)</t>
        </is>
      </c>
      <c r="B297" s="358" t="n"/>
      <c r="C297" s="248" t="n"/>
      <c r="D297" s="232">
        <f>B297*C297</f>
        <v/>
      </c>
    </row>
    <row r="298">
      <c r="A298" s="48" t="inlineStr">
        <is>
          <t>TECHNICAL PERSONNEL (or equivalent in the private sector)</t>
        </is>
      </c>
      <c r="B298" s="358" t="n"/>
      <c r="C298" s="248" t="n"/>
      <c r="D298" s="232">
        <f>B298*C298</f>
        <v/>
      </c>
    </row>
    <row r="299">
      <c r="A299" s="48" t="inlineStr">
        <is>
          <t>ADMINISTRATIVE PERSONNEL (or equivalent in the private sector)</t>
        </is>
      </c>
      <c r="B299" s="358" t="n"/>
      <c r="C299" s="248" t="n"/>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11858.7624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c r="C307" s="248" t="n"/>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c r="C313" s="248" t="n"/>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","HSE and Environment")</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c r="C337" s="248" t="n"/>
      <c r="D337" s="232">
        <f>B337*C337</f>
        <v/>
      </c>
    </row>
    <row r="338">
      <c r="A338" s="48" t="inlineStr">
        <is>
          <t>JUNIOR SCIENTISTS (or equivalent in the private sector)</t>
        </is>
      </c>
      <c r="B338" s="358" t="n">
        <v>1</v>
      </c>
      <c r="C338" s="248" t="n">
        <v>8500</v>
      </c>
      <c r="D338" s="232">
        <f>B338*C338</f>
        <v/>
      </c>
    </row>
    <row r="339">
      <c r="A339" s="48" t="inlineStr">
        <is>
          <t>TECHNICAL PERSONNEL (or equivalent in the private sector)</t>
        </is>
      </c>
      <c r="B339" s="358" t="n"/>
      <c r="C339" s="248" t="n"/>
      <c r="D339" s="232">
        <f>B339*C339</f>
        <v/>
      </c>
    </row>
    <row r="340">
      <c r="A340" s="48" t="inlineStr">
        <is>
          <t>ADMINISTRATIVE PERSONNEL (or equivalent in the private sector)</t>
        </is>
      </c>
      <c r="B340" s="358" t="n"/>
      <c r="C340" s="248" t="n"/>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11858.7624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c r="C348" s="248" t="n"/>
      <c r="D348" s="362">
        <f>B348*C348</f>
        <v/>
      </c>
    </row>
    <row r="349">
      <c r="A349" s="28" t="inlineStr">
        <is>
          <t>C.2 Equipment (complete 'Depreciation costs' sheet)</t>
        </is>
      </c>
      <c r="B349" s="347" t="n"/>
      <c r="C349" s="111" t="n"/>
      <c r="D349" s="365" t="n"/>
    </row>
    <row r="350">
      <c r="A350" s="49" t="inlineStr">
        <is>
          <t>Equipment</t>
        </is>
      </c>
      <c r="B350" s="358" t="n"/>
      <c r="C350" s="248" t="n"/>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c r="C354" s="248" t="n"/>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","Adaptation of O&amp;M Platform")</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358" t="n"/>
      <c r="C378" s="248" t="n"/>
      <c r="D378" s="232">
        <f>B378*C378</f>
        <v/>
      </c>
    </row>
    <row r="379">
      <c r="A379" s="48" t="inlineStr">
        <is>
          <t>JUNIOR SCIENTISTS (or equivalent in the private sector)</t>
        </is>
      </c>
      <c r="B379" s="358" t="n"/>
      <c r="C379" s="248" t="n"/>
      <c r="D379" s="232">
        <f>B379*C379</f>
        <v/>
      </c>
    </row>
    <row r="380">
      <c r="A380" s="48" t="inlineStr">
        <is>
          <t>TECHNICAL PERSONNEL (or equivalent in the private sector)</t>
        </is>
      </c>
      <c r="B380" s="358" t="n"/>
      <c r="C380" s="248" t="n"/>
      <c r="D380" s="232">
        <f>B380*C380</f>
        <v/>
      </c>
    </row>
    <row r="381">
      <c r="A381" s="48" t="inlineStr">
        <is>
          <t>ADMINISTRATIVE PERSONNEL (or equivalent in the private sector)</t>
        </is>
      </c>
      <c r="B381" s="358" t="n"/>
      <c r="C381" s="248" t="n"/>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11858.7624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c r="C419" s="248" t="n"/>
      <c r="D419" s="232">
        <f>B419*C419</f>
        <v/>
      </c>
    </row>
    <row r="420">
      <c r="A420" s="48" t="inlineStr">
        <is>
          <t>JUNIOR SCIENTISTS (or equivalent in the private sector)</t>
        </is>
      </c>
      <c r="B420" s="358" t="n"/>
      <c r="C420" s="248" t="n"/>
      <c r="D420" s="232">
        <f>B420*C420</f>
        <v/>
      </c>
    </row>
    <row r="421">
      <c r="A421" s="48" t="inlineStr">
        <is>
          <t>TECHNICAL PERSONNEL (or equivalent in the private sector)</t>
        </is>
      </c>
      <c r="B421" s="358" t="n"/>
      <c r="C421" s="248" t="n"/>
      <c r="D421" s="232">
        <f>B421*C421</f>
        <v/>
      </c>
    </row>
    <row r="422">
      <c r="A422" s="48" t="inlineStr">
        <is>
          <t>ADMINISTRATIVE PERSONNEL (or equivalent in the private sector)</t>
        </is>
      </c>
      <c r="B422" s="358" t="n"/>
      <c r="C422" s="248" t="n"/>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11858.7624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","System-Level Demonstration and Validation")</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c r="C460" s="248" t="n"/>
      <c r="D460" s="232">
        <f>B460*C460</f>
        <v/>
      </c>
    </row>
    <row r="461">
      <c r="A461" s="48" t="inlineStr">
        <is>
          <t>JUNIOR SCIENTISTS (or equivalent in the private sector)</t>
        </is>
      </c>
      <c r="B461" s="358" t="n"/>
      <c r="C461" s="248" t="n"/>
      <c r="D461" s="232">
        <f>B461*C461</f>
        <v/>
      </c>
    </row>
    <row r="462">
      <c r="A462" s="48" t="inlineStr">
        <is>
          <t>TECHNICAL PERSONNEL (or equivalent in the private sector)</t>
        </is>
      </c>
      <c r="B462" s="358" t="n">
        <v>13</v>
      </c>
      <c r="C462" s="248" t="n">
        <v>8000</v>
      </c>
      <c r="D462" s="232">
        <f>B462*C462</f>
        <v/>
      </c>
    </row>
    <row r="463">
      <c r="A463" s="48" t="inlineStr">
        <is>
          <t>ADMINISTRATIVE PERSONNEL (or equivalent in the private sector)</t>
        </is>
      </c>
      <c r="B463" s="358" t="n"/>
      <c r="C463" s="248" t="n"/>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11858.7624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v>8</v>
      </c>
      <c r="C473" s="248" t="n">
        <v>2900</v>
      </c>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c r="C477" s="248" t="n"/>
      <c r="D477" s="362">
        <f>B477*C477</f>
        <v/>
      </c>
    </row>
    <row r="478">
      <c r="A478" s="49" t="inlineStr">
        <is>
          <t>Services for meetings, seminars</t>
        </is>
      </c>
      <c r="B478" s="358" t="n"/>
      <c r="C478" s="248" t="n"/>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v>2</v>
      </c>
      <c r="C481" s="248" t="n">
        <v>11000</v>
      </c>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","Dissemination, exploitation and communication general activity")</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c r="C501" s="248" t="n"/>
      <c r="D501" s="232">
        <f>B501*C501</f>
        <v/>
      </c>
    </row>
    <row r="502">
      <c r="A502" s="48" t="inlineStr">
        <is>
          <t>JUNIOR SCIENTISTS (or equivalent in the private sector)</t>
        </is>
      </c>
      <c r="B502" s="358" t="n"/>
      <c r="C502" s="248" t="n"/>
      <c r="D502" s="232">
        <f>B502*C502</f>
        <v/>
      </c>
    </row>
    <row r="503">
      <c r="A503" s="48" t="inlineStr">
        <is>
          <t>TECHNICAL PERSONNEL (or equivalent in the private sector)</t>
        </is>
      </c>
      <c r="B503" s="358" t="n"/>
      <c r="C503" s="248" t="n"/>
      <c r="D503" s="232">
        <f>B503*C503</f>
        <v/>
      </c>
    </row>
    <row r="504">
      <c r="A504" s="48" t="inlineStr">
        <is>
          <t>ADMINISTRATIVE PERSONNEL (or equivalent in the private sector)</t>
        </is>
      </c>
      <c r="B504" s="358" t="n"/>
      <c r="C504" s="248" t="n"/>
      <c r="D504" s="232">
        <f>B504*C504</f>
        <v/>
      </c>
    </row>
    <row r="505">
      <c r="A505" s="48" t="inlineStr">
        <is>
          <t>OTHERS</t>
        </is>
      </c>
      <c r="B505" s="358" t="n">
        <v>3.5</v>
      </c>
      <c r="C505" s="248" t="n">
        <v>6800</v>
      </c>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11858.7624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v>1</v>
      </c>
      <c r="C512" s="248" t="n">
        <v>1500</v>
      </c>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v>0</v>
      </c>
      <c r="C519" s="248" t="n">
        <v>6000</v>
      </c>
      <c r="D519" s="362">
        <f>B519*C519</f>
        <v/>
      </c>
    </row>
    <row r="520">
      <c r="A520" s="49" t="inlineStr">
        <is>
          <t>Services for dissemination activities (including website)</t>
        </is>
      </c>
      <c r="B520" s="358" t="n">
        <v>0</v>
      </c>
      <c r="C520" s="248" t="n">
        <v>10500</v>
      </c>
      <c r="D520" s="362">
        <f>B520*C520</f>
        <v/>
      </c>
    </row>
    <row r="521">
      <c r="A521" s="49" t="inlineStr">
        <is>
          <t>Publication fees</t>
        </is>
      </c>
      <c r="B521" s="358" t="n"/>
      <c r="C521" s="248" t="n"/>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","Key Exploitable Results (KER) Strategy and related Plans towards future exploitation and full-scale deployment")</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c r="C542" s="248" t="n"/>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c r="C544" s="248" t="n"/>
      <c r="D544" s="232">
        <f>B544*C544</f>
        <v/>
      </c>
    </row>
    <row r="545">
      <c r="A545" s="48" t="inlineStr">
        <is>
          <t>ADMINISTRATIVE PERSONNEL (or equivalent in the private sector)</t>
        </is>
      </c>
      <c r="B545" s="358" t="n"/>
      <c r="C545" s="248" t="n"/>
      <c r="D545" s="232">
        <f>B545*C545</f>
        <v/>
      </c>
    </row>
    <row r="546">
      <c r="A546" s="48" t="inlineStr">
        <is>
          <t>OTHERS</t>
        </is>
      </c>
      <c r="B546" s="358" t="n">
        <v>5</v>
      </c>
      <c r="C546" s="248" t="n">
        <v>6800</v>
      </c>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11858.7624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v>1</v>
      </c>
      <c r="C553" s="248" t="n">
        <v>1500</v>
      </c>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v>1</v>
      </c>
      <c r="C560" s="248" t="n">
        <v>6000</v>
      </c>
      <c r="D560" s="362">
        <f>B560*C560</f>
        <v/>
      </c>
    </row>
    <row r="561">
      <c r="A561" s="49" t="inlineStr">
        <is>
          <t>Services for dissemination activities (including website)</t>
        </is>
      </c>
      <c r="B561" s="358" t="n">
        <v>0</v>
      </c>
      <c r="C561" s="248" t="n">
        <v>10500</v>
      </c>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8">
      <c r="A578" s="190" t="n"/>
      <c r="B578" s="185" t="n"/>
      <c r="C578" s="186" t="n"/>
      <c r="D578" s="187" t="n"/>
    </row>
    <row r="579" ht="21" customHeight="1">
      <c r="A579" s="306" t="inlineStr">
        <is>
          <t>SUMMARY</t>
        </is>
      </c>
      <c r="B579" s="315" t="n"/>
      <c r="C579" s="315" t="n"/>
      <c r="D579" s="316" t="n"/>
    </row>
    <row r="580">
      <c r="A580" s="56" t="n"/>
      <c r="B580" s="174" t="n"/>
      <c r="C580" s="175" t="n"/>
      <c r="D580" s="174"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79">
        <f>B9+B50+B91+B132+B173+B214+B255+B296+B337+B378+B419+B460+B501+B542</f>
        <v/>
      </c>
      <c r="C583" s="249">
        <f>IF(B583&gt;0,D583/B583," ")</f>
        <v/>
      </c>
      <c r="D583" s="362">
        <f>D9+D50+D91+D132+D173+D214+D255+D296+D337+D378+D419+D460+D501+D542</f>
        <v/>
      </c>
    </row>
    <row r="584">
      <c r="A584" s="48" t="inlineStr">
        <is>
          <t>JUNIOR SCIENTISTS (or equivalent in the private sector)</t>
        </is>
      </c>
      <c r="B584" s="379">
        <f>B10+B51+B92+B133+B174+B215+B256+B297+B338+B379+B420+B461+B502+B543</f>
        <v/>
      </c>
      <c r="C584" s="249">
        <f>IF(B584&gt;0,D584/B584," ")</f>
        <v/>
      </c>
      <c r="D584" s="362">
        <f>D10+D51+D92+D133+D174+D215+D256+D297+D338+D379+D420+D461+D502+D543</f>
        <v/>
      </c>
    </row>
    <row r="585">
      <c r="A585" s="48" t="inlineStr">
        <is>
          <t>TECHNICAL PERSONNEL (or equivalent in the private sector)</t>
        </is>
      </c>
      <c r="B585" s="379">
        <f>B11+B52+B93+B134+B175+B216+B257+B298+B339+B380+B421+B462+B503+B544</f>
        <v/>
      </c>
      <c r="C585" s="249">
        <f>IF(B585&gt;0,D585/B585," ")</f>
        <v/>
      </c>
      <c r="D585" s="362">
        <f>D11+D52+D93+D134+D175+D216+D257+D298+D339+D380+D421+D462+D503+D544</f>
        <v/>
      </c>
    </row>
    <row r="586">
      <c r="A586" s="48" t="inlineStr">
        <is>
          <t>ADMINISTRATIVE PERSONNEL (or equivalent in the private sector)</t>
        </is>
      </c>
      <c r="B586" s="379">
        <f>B12+B53+B94+B135+B176+B217+B258+B299+B340+B381+B422+B463+B504+B545</f>
        <v/>
      </c>
      <c r="C586" s="249">
        <f>IF(B586&gt;0,D586/B586," ")</f>
        <v/>
      </c>
      <c r="D586" s="362">
        <f>D12+D53+D94+D135+D176+D217+D258+D299+D340+D381+D422+D463+D504+D545</f>
        <v/>
      </c>
    </row>
    <row r="587">
      <c r="A587" s="48" t="inlineStr">
        <is>
          <t>OTHERS</t>
        </is>
      </c>
      <c r="B587" s="379">
        <f>B13+B54+B95+B136+B177+B218+B259+B300+B341+B382+B423+B464+B505+B546</f>
        <v/>
      </c>
      <c r="C587" s="249">
        <f>IF(B587&gt;0,D587/B587," ")</f>
        <v/>
      </c>
      <c r="D587" s="362">
        <f>D13+D54+D95+D136+D177+D218+D259+D300+D341+D382+D423+D464+D505+D546</f>
        <v/>
      </c>
    </row>
    <row r="588">
      <c r="A588" s="28" t="inlineStr">
        <is>
          <t>A.2 Natural Persons under direct contract</t>
        </is>
      </c>
      <c r="B588" s="379">
        <f>B14+B55+B96+B137+B178+B219+B260+B301+B342+B383+B424+B465+B506+B547</f>
        <v/>
      </c>
      <c r="C588" s="249">
        <f>IF(B588&gt;0,D588/B588," ")</f>
        <v/>
      </c>
      <c r="D588" s="362">
        <f>D14+D55+D96+D137+D178+D219+D260+D301+D342+D383+D424+D465+D506+D547</f>
        <v/>
      </c>
    </row>
    <row r="589">
      <c r="A589" s="28" t="inlineStr">
        <is>
          <t>A.3 Seconded Persons</t>
        </is>
      </c>
      <c r="B589" s="379">
        <f>B15+B56+B97+B138+B179+B220+B261+B302+B343+B384+B425+B466+B507+B548</f>
        <v/>
      </c>
      <c r="C589" s="249">
        <f>IF(B589&gt;0,D589/B589," ")</f>
        <v/>
      </c>
      <c r="D589" s="362">
        <f>D15+D56+D97+D138+D179+D220+D261+D302+D343+D384+D425+D466+D507+D548</f>
        <v/>
      </c>
    </row>
    <row r="590">
      <c r="A590" s="28" t="inlineStr">
        <is>
          <t>A.4 SME owners and natural person beneficiaries</t>
        </is>
      </c>
      <c r="B590" s="379">
        <f>B16+B57+B98+B139+B180+B221+B262+B303+B344+B385+B426+B467+B508+B549</f>
        <v/>
      </c>
      <c r="C590" s="249">
        <f>IF(B590&gt;0,D590/B590," ")</f>
        <v/>
      </c>
      <c r="D590" s="362">
        <f>D16+D57+D98+D139+D180+D221+D262+D303+D344+D385+D426+D467+D508+D549</f>
        <v/>
      </c>
    </row>
    <row r="591">
      <c r="A591" s="29" t="inlineStr">
        <is>
          <t>B. DIRECT SUBCONTRACTING COSTS</t>
        </is>
      </c>
      <c r="B591" s="381" t="n"/>
      <c r="C591" s="250" t="n"/>
      <c r="D591" s="360" t="n"/>
    </row>
    <row r="592">
      <c r="A592" s="28" t="n"/>
      <c r="B592" s="379">
        <f>B18+B59+B100+B141+B182+B223+B264+B305+B346+B387+B428+B469+B510+B551</f>
        <v/>
      </c>
      <c r="C592" s="249">
        <f>IF(B592&gt;0,D592/B592," ")</f>
        <v/>
      </c>
      <c r="D592" s="362">
        <f>D18+D59+D100+D141+D182+D223+D264+D305+D346+D387+D428+D469+D510+D551</f>
        <v/>
      </c>
    </row>
    <row r="593">
      <c r="A593" s="29" t="inlineStr">
        <is>
          <t>C. DIRECT PURCHASE COSTS</t>
        </is>
      </c>
      <c r="B593" s="381" t="n"/>
      <c r="C593" s="250" t="n"/>
      <c r="D593" s="360" t="n"/>
    </row>
    <row r="594">
      <c r="A594" s="28" t="inlineStr">
        <is>
          <t>C.1 Travel and subsistence</t>
        </is>
      </c>
      <c r="B594" s="379">
        <f>B20+B61+B102+B143+B184+B225+B266+B307+B348+B389+B430+B471+B512+B553</f>
        <v/>
      </c>
      <c r="C594" s="249">
        <f>IF(B594&gt;0,D594/B594," ")</f>
        <v/>
      </c>
      <c r="D594" s="362">
        <f>D20+D61+D102+D143+D184+D225+D266+D307+D348+D389+D430+D471+D512+D553</f>
        <v/>
      </c>
    </row>
    <row r="595">
      <c r="A595" s="28" t="inlineStr">
        <is>
          <t>C.2 Equipment (complete 'Depreciation costs' sheet)</t>
        </is>
      </c>
      <c r="B595" s="382" t="n"/>
      <c r="C595" s="251" t="n"/>
      <c r="D595" s="365" t="n"/>
    </row>
    <row r="596">
      <c r="A596" s="49" t="inlineStr">
        <is>
          <t>Equipment</t>
        </is>
      </c>
      <c r="B596" s="379">
        <f>B22+B63+B104+B145+B186+B227+B268+B309+B350+B391+B432+B473+B514+B555</f>
        <v/>
      </c>
      <c r="C596" s="249">
        <f>IF(B596&gt;0,D596/B596," ")</f>
        <v/>
      </c>
      <c r="D596" s="362">
        <f>D22+D63+D104+D145+D186+D227+D268+D309+D350+D391+D432+D473+D514+D555</f>
        <v/>
      </c>
    </row>
    <row r="597">
      <c r="A597" s="49" t="inlineStr">
        <is>
          <t>Infrastructure</t>
        </is>
      </c>
      <c r="B597" s="379">
        <f>B23+B64+B105+B146+B187+B228+B269+B310+B351+B392+B433+B474+B515+B556</f>
        <v/>
      </c>
      <c r="C597" s="249">
        <f>IF(B597&gt;0,D597/B597," ")</f>
        <v/>
      </c>
      <c r="D597" s="362">
        <f>D23+D64+D105+D146+D187+D228+D269+D310+D351+D392+D433+D474+D515+D556</f>
        <v/>
      </c>
    </row>
    <row r="598">
      <c r="A598" s="49" t="inlineStr">
        <is>
          <t>Other assets</t>
        </is>
      </c>
      <c r="B598" s="379">
        <f>B24+B65+B106+B147+B188+B229+B270+B311+B352+B393+B434+B475+B516+B557</f>
        <v/>
      </c>
      <c r="C598" s="249">
        <f>IF(B598&gt;0,D598/B598," ")</f>
        <v/>
      </c>
      <c r="D598" s="362">
        <f>D24+D65+D106+D147+D188+D229+D270+D311+D352+D393+D434+D475+D516+D557</f>
        <v/>
      </c>
    </row>
    <row r="599">
      <c r="A599" s="28" t="inlineStr">
        <is>
          <t>C.3 Other goods, works and services</t>
        </is>
      </c>
      <c r="B599" s="382" t="n"/>
      <c r="C599" s="251" t="n"/>
      <c r="D599" s="365" t="n"/>
    </row>
    <row r="600">
      <c r="A600" s="49" t="inlineStr">
        <is>
          <t>Consumables</t>
        </is>
      </c>
      <c r="B600" s="379">
        <f>B26+B67+B108+B149+B190+B231+B272+B313+B354+B395+B436+B477+B518+B559</f>
        <v/>
      </c>
      <c r="C600" s="249">
        <f>IF(B600&gt;0,D600/B600," ")</f>
        <v/>
      </c>
      <c r="D600" s="362">
        <f>D26+D67+D108+D149+D190+D231+D272+D313+D354+D395+D436+D477+D518+D559</f>
        <v/>
      </c>
    </row>
    <row r="601">
      <c r="A601" s="49" t="inlineStr">
        <is>
          <t>Services for meetings, seminars</t>
        </is>
      </c>
      <c r="B601" s="379">
        <f>B27+B68+B109+B150+B191+B232+B273+B314+B355+B396+B437+B478+B519+B560</f>
        <v/>
      </c>
      <c r="C601" s="249">
        <f>IF(B601&gt;0,D601/B601," ")</f>
        <v/>
      </c>
      <c r="D601" s="362">
        <f>D27+D68+D109+D150+D191+D232+D273+D314+D355+D396+D437+D478+D519+D560</f>
        <v/>
      </c>
    </row>
    <row r="602">
      <c r="A602" s="49" t="inlineStr">
        <is>
          <t>Services for dissemination activities (including website)</t>
        </is>
      </c>
      <c r="B602" s="379">
        <f>B28+B69+B110+B151+B192+B233+B274+B315+B356+B397+B438+B479+B520+B561</f>
        <v/>
      </c>
      <c r="C602" s="249">
        <f>IF(B602&gt;0,D602/B602," ")</f>
        <v/>
      </c>
      <c r="D602" s="362">
        <f>D28+D69+D110+D151+D192+D233+D274+D315+D356+D397+D438+D479+D520+D561</f>
        <v/>
      </c>
    </row>
    <row r="603">
      <c r="A603" s="49" t="inlineStr">
        <is>
          <t>Publication fees</t>
        </is>
      </c>
      <c r="B603" s="379">
        <f>B29+B70+B111+B152+B193+B234+B275+B316+B357+B398+B439+B480+B521+B562</f>
        <v/>
      </c>
      <c r="C603" s="249">
        <f>IF(B603&gt;0,D603/B603," ")</f>
        <v/>
      </c>
      <c r="D603" s="362">
        <f>D29+D70+D111+D152+D193+D234+D275+D316+D357+D398+D439+D480+D521+D562</f>
        <v/>
      </c>
    </row>
    <row r="604">
      <c r="A604" s="49" t="inlineStr">
        <is>
          <t>Other (shipment, insurance, translation, etc.)</t>
        </is>
      </c>
      <c r="B604" s="379">
        <f>B30+B71+B112+B153+B194+B235+B276+B317+B358+B399+B440+B481+B522+B563</f>
        <v/>
      </c>
      <c r="C604" s="249">
        <f>IF(B604&gt;0,D604/B604," ")</f>
        <v/>
      </c>
      <c r="D604" s="362">
        <f>D30+D71+D112+D153+D194+D235+D276+D317+D358+D399+D440+D481+D522+D563</f>
        <v/>
      </c>
    </row>
    <row r="605">
      <c r="A605" s="29" t="inlineStr">
        <is>
          <t>D. OTHER COST CATEGORIES</t>
        </is>
      </c>
      <c r="B605" s="381" t="n"/>
      <c r="C605" s="250" t="n"/>
      <c r="D605" s="360" t="n"/>
    </row>
    <row r="606">
      <c r="A606" s="50" t="inlineStr">
        <is>
          <t>D.1 Financial support to third parties (if applicable in the topic specific conditions)</t>
        </is>
      </c>
      <c r="B606" s="379">
        <f>B32+B73+B114+B155+B196+B237+B278+B319+B360+B401+B442+B483+B524+B565</f>
        <v/>
      </c>
      <c r="C606" s="249">
        <f>IF(B606&gt;0,D606/B606," ")</f>
        <v/>
      </c>
      <c r="D606" s="362">
        <f>D32+D73+D114+D155+D196+D237+D278+D319+D360+D401+D442+D483+D524+D565</f>
        <v/>
      </c>
    </row>
    <row r="607">
      <c r="A607" s="50" t="inlineStr">
        <is>
          <t>D.2 Internally invoiced goods and services</t>
        </is>
      </c>
      <c r="B607" s="379">
        <f>B33+B74+B115+B156+B197+B238+B279+B320+B361+B402+B443+B484+B525+B566</f>
        <v/>
      </c>
      <c r="C607" s="249">
        <f>IF(B607&gt;0,D607/B607," ")</f>
        <v/>
      </c>
      <c r="D607" s="362">
        <f>D33+D74+D115+D156+D197+D238+D279+D320+D361+D402+D443+D484+D525+D566</f>
        <v/>
      </c>
    </row>
    <row r="608">
      <c r="A608" s="50" t="inlineStr">
        <is>
          <t>D.3 Transnational access to research infrastructure unit costs (if mentioned as eligible in the topic specific conditions)</t>
        </is>
      </c>
      <c r="B608" s="379">
        <f>B34+B75+B116+B157+B198+B239+B280+B321+B362+B403+B444+B485+B526+B567</f>
        <v/>
      </c>
      <c r="C608" s="249">
        <f>IF(B608&gt;0,D608/B608," ")</f>
        <v/>
      </c>
      <c r="D608" s="362">
        <f>D34+D75+D116+D157+D198+D239+D280+D321+D362+D403+D444+D485+D526+D567</f>
        <v/>
      </c>
    </row>
    <row r="609">
      <c r="A609" s="50" t="inlineStr">
        <is>
          <t>D.4 Virtual access to research infrastructure unit costs (if mentioned as eligible in the topic specific conditions)</t>
        </is>
      </c>
      <c r="B609" s="379">
        <f>B35+B76+B117+B158+B199+B240+B281+B322+B363+B404+B445+B486+B527+B568</f>
        <v/>
      </c>
      <c r="C609" s="249">
        <f>IF(B609&gt;0,D609/B609," ")</f>
        <v/>
      </c>
      <c r="D609" s="362">
        <f>D35+D76+D117+D158+D199+D240+D281+D322+D363+D404+D445+D486+D527+D568</f>
        <v/>
      </c>
    </row>
    <row r="610">
      <c r="A610" s="50" t="inlineStr">
        <is>
          <t>D.5 PCP/PPI procurement costs (if mentioned as eligible in the topic specific conditions)</t>
        </is>
      </c>
      <c r="B610" s="379">
        <f>B36+B77+B118+B159+B200+B241+B282+B323+B364+B405+B446+B487+B528+B569</f>
        <v/>
      </c>
      <c r="C610" s="249">
        <f>IF(B610&gt;0,D610/B610," ")</f>
        <v/>
      </c>
      <c r="D610" s="362">
        <f>D36+D77+D118+D159+D200+D241+D282+D323+D364+D405+D446+D487+D528+D569</f>
        <v/>
      </c>
    </row>
    <row r="611">
      <c r="A611" s="51" t="n"/>
      <c r="B611" s="347" t="n"/>
      <c r="C611" s="111" t="n"/>
      <c r="D611" s="366" t="n"/>
    </row>
    <row r="612">
      <c r="A612" s="52" t="inlineStr">
        <is>
          <t>TOTAL DIRECT PERSONNEL COSTS AND PURCHASE COSTS (A+C)</t>
        </is>
      </c>
      <c r="B612" s="370" t="n"/>
      <c r="C612" s="230" t="n"/>
      <c r="D612" s="383">
        <f>D38+D79+D120+D161+D202+D243+D284+D325+D366+D407+D448+D489+D530+D571</f>
        <v/>
      </c>
    </row>
    <row r="613">
      <c r="A613" s="52" t="inlineStr">
        <is>
          <t>TOTAL DIRECT COSTS  (A+B+C+D)</t>
        </is>
      </c>
      <c r="B613" s="370" t="n"/>
      <c r="C613" s="230" t="n"/>
      <c r="D613" s="383">
        <f>D39+D80+D121+D162+D203+D244+D285+D326+D367+D408+D449+D490+D531+D572</f>
        <v/>
      </c>
    </row>
    <row r="614">
      <c r="A614" s="182" t="n"/>
      <c r="B614" s="384" t="n"/>
      <c r="C614" s="192" t="n"/>
      <c r="D614" s="191" t="n"/>
    </row>
    <row r="615">
      <c r="A615" s="29" t="inlineStr">
        <is>
          <t>E. INDIRECT COSTS (25% * (A+C))</t>
        </is>
      </c>
      <c r="B615" s="370" t="n"/>
      <c r="C615" s="230" t="n"/>
      <c r="D615" s="383">
        <f>D41+D82+D123+D164+D205+D246+D287+D328+D369+D410+D451+D492+D533+D574</f>
        <v/>
      </c>
    </row>
    <row r="616">
      <c r="A616" s="182" t="n"/>
      <c r="B616" s="384" t="n"/>
      <c r="C616" s="192" t="n"/>
      <c r="D616" s="191" t="n"/>
    </row>
    <row r="617">
      <c r="A617" s="29" t="inlineStr">
        <is>
          <t>F. TOTAL COSTS (A+B+C+D+E)</t>
        </is>
      </c>
      <c r="B617" s="370" t="n"/>
      <c r="C617" s="230" t="n"/>
      <c r="D617" s="383">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YAniwG1bhGL4xFfHpdYBhw==" formatRows="1" sort="1" spinCount="100000" hashValue="x/gdTV9x/gtuRBbqWgfc+sQYBniPLtePSTVoSmSJCv0vCmzcRUoe90QomSunHxm7lH3hg821tJmJjhqgb+Tqnw=="/>
  <mergeCells count="16">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2.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1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BE6 - BUDGET SHEET</t>
        </is>
      </c>
      <c r="B1" s="33" t="n"/>
      <c r="C1" s="242" t="inlineStr">
        <is>
          <t>View Summary</t>
        </is>
      </c>
      <c r="D1" s="34" t="n"/>
    </row>
    <row r="2" ht="18.6" customHeight="1">
      <c r="A2" s="264" t="inlineStr">
        <is>
          <t>fd834934-8b26-42d6-bc5f-512a25498f6d</t>
        </is>
      </c>
      <c r="B2" s="303" t="inlineStr">
        <is>
          <t>INSTITUTO TECNOLOGICO Y DE ENERGIAS RENOVABLES SA</t>
        </is>
      </c>
      <c r="C2" s="315" t="n"/>
      <c r="D2" s="316" t="n"/>
    </row>
    <row r="3" ht="18.6" customHeight="1">
      <c r="A3" s="262"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306">
        <f>CONCATENATE("COSTS WORK PACKAGE 1:"," ","Project management and coordination")</f>
        <v/>
      </c>
      <c r="B5" s="315" t="n"/>
      <c r="C5" s="315" t="n"/>
      <c r="D5" s="316" t="n"/>
    </row>
    <row r="6">
      <c r="A6" s="182" t="n"/>
      <c r="B6" s="191" t="n"/>
      <c r="C6" s="192" t="n"/>
      <c r="D6" s="191" t="n"/>
    </row>
    <row r="7">
      <c r="A7" s="29" t="inlineStr">
        <is>
          <t>A. DIRECT PERSONNEL COSTS</t>
        </is>
      </c>
      <c r="B7" s="30" t="n"/>
      <c r="C7" s="110" t="n"/>
      <c r="D7" s="355" t="n"/>
    </row>
    <row r="8">
      <c r="A8" s="28" t="inlineStr">
        <is>
          <t>A.1 Employees (or equivalent)</t>
        </is>
      </c>
      <c r="B8" s="89" t="n"/>
      <c r="C8" s="111" t="n"/>
      <c r="D8" s="356" t="n"/>
    </row>
    <row r="9">
      <c r="A9" s="48" t="inlineStr">
        <is>
          <t>SENIOR SCIENTISTS (or equivalent in the private sector)</t>
        </is>
      </c>
      <c r="B9" s="358" t="n">
        <v>1</v>
      </c>
      <c r="C9" s="248" t="n">
        <v>5000</v>
      </c>
      <c r="D9" s="232">
        <f>B9*C9</f>
        <v/>
      </c>
    </row>
    <row r="10">
      <c r="A10" s="48" t="inlineStr">
        <is>
          <t>JUNIOR SCIENTISTS (or equivalent in the private sector)</t>
        </is>
      </c>
      <c r="B10" s="358" t="n">
        <v>1</v>
      </c>
      <c r="C10" s="248" t="n">
        <v>4000</v>
      </c>
      <c r="D10" s="232">
        <f>B10*C10</f>
        <v/>
      </c>
    </row>
    <row r="11">
      <c r="A11" s="48" t="inlineStr">
        <is>
          <t>TECHNICAL PERSONNEL (or equivalent in the private sector)</t>
        </is>
      </c>
      <c r="B11" s="358" t="n"/>
      <c r="C11" s="248" t="n">
        <v>3400</v>
      </c>
      <c r="D11" s="232">
        <f>B11*C11</f>
        <v/>
      </c>
    </row>
    <row r="12">
      <c r="A12" s="48" t="inlineStr">
        <is>
          <t>ADMINISTRATIVE PERSONNEL (or equivalent in the private sector)</t>
        </is>
      </c>
      <c r="B12" s="358" t="n">
        <v>1.5</v>
      </c>
      <c r="C12" s="248" t="n">
        <v>3400</v>
      </c>
      <c r="D12" s="232">
        <f>B12*C12</f>
        <v/>
      </c>
    </row>
    <row r="13">
      <c r="A13" s="48" t="inlineStr">
        <is>
          <t>OTHERS</t>
        </is>
      </c>
      <c r="B13" s="358" t="n"/>
      <c r="C13" s="248" t="n"/>
      <c r="D13" s="232">
        <f>B13*C13</f>
        <v/>
      </c>
    </row>
    <row r="14">
      <c r="A14" s="28" t="inlineStr">
        <is>
          <t>A.2 Natural Persons under direct contract</t>
        </is>
      </c>
      <c r="B14" s="358" t="n"/>
      <c r="C14" s="248" t="n"/>
      <c r="D14" s="232">
        <f>B14*C14</f>
        <v/>
      </c>
    </row>
    <row r="15">
      <c r="A15" s="28" t="inlineStr">
        <is>
          <t>A.3 Seconded Persons</t>
        </is>
      </c>
      <c r="B15" s="358" t="n"/>
      <c r="C15" s="248" t="n"/>
      <c r="D15" s="232">
        <f>B15*C15</f>
        <v/>
      </c>
    </row>
    <row r="16">
      <c r="A16" s="28" t="inlineStr">
        <is>
          <t>A.4 SME owners and natural person beneficiaries</t>
        </is>
      </c>
      <c r="B16" s="358" t="n"/>
      <c r="C16" s="256" t="n">
        <v>8360.6024</v>
      </c>
      <c r="D16" s="232">
        <f>B16*C16</f>
        <v/>
      </c>
    </row>
    <row r="17">
      <c r="A17" s="29" t="inlineStr">
        <is>
          <t>B. DIRECT SUBCONTRACTING COSTS</t>
        </is>
      </c>
      <c r="B17" s="359" t="n"/>
      <c r="C17" s="110" t="n"/>
      <c r="D17" s="360" t="n"/>
    </row>
    <row r="18">
      <c r="A18" s="53" t="n"/>
      <c r="B18" s="358" t="n"/>
      <c r="C18" s="248" t="n"/>
      <c r="D18" s="362">
        <f>B18*C18</f>
        <v/>
      </c>
    </row>
    <row r="19">
      <c r="A19" s="29" t="inlineStr">
        <is>
          <t>C. DIRECT PURCHASE COSTS</t>
        </is>
      </c>
      <c r="B19" s="359" t="n"/>
      <c r="C19" s="110" t="n"/>
      <c r="D19" s="360" t="n"/>
    </row>
    <row r="20">
      <c r="A20" s="28" t="inlineStr">
        <is>
          <t>C.1 Travel and subsistence</t>
        </is>
      </c>
      <c r="B20" s="358" t="n">
        <v>6</v>
      </c>
      <c r="C20" s="248" t="n">
        <v>2000</v>
      </c>
      <c r="D20" s="362">
        <f>B20*C20</f>
        <v/>
      </c>
    </row>
    <row r="21">
      <c r="A21" s="28" t="inlineStr">
        <is>
          <t>C.2 Equipment (complete 'Depreciation costs' sheet)</t>
        </is>
      </c>
      <c r="B21" s="347" t="n"/>
      <c r="C21" s="111" t="n"/>
      <c r="D21" s="365" t="n"/>
    </row>
    <row r="22">
      <c r="A22" s="49" t="inlineStr">
        <is>
          <t>Equipment</t>
        </is>
      </c>
      <c r="B22" s="358" t="n"/>
      <c r="C22" s="248" t="n"/>
      <c r="D22" s="362">
        <f>B22*C22</f>
        <v/>
      </c>
    </row>
    <row r="23">
      <c r="A23" s="49" t="inlineStr">
        <is>
          <t>Infrastructure</t>
        </is>
      </c>
      <c r="B23" s="358" t="n"/>
      <c r="C23" s="248" t="n"/>
      <c r="D23" s="362">
        <f>B23*C23</f>
        <v/>
      </c>
    </row>
    <row r="24">
      <c r="A24" s="49" t="inlineStr">
        <is>
          <t>Other assets</t>
        </is>
      </c>
      <c r="B24" s="358" t="n"/>
      <c r="C24" s="248" t="n"/>
      <c r="D24" s="362">
        <f>B24*C24</f>
        <v/>
      </c>
    </row>
    <row r="25">
      <c r="A25" s="28" t="inlineStr">
        <is>
          <t>C.3 Other goods, works and services</t>
        </is>
      </c>
      <c r="B25" s="347" t="n"/>
      <c r="C25" s="111" t="n"/>
      <c r="D25" s="365" t="n"/>
    </row>
    <row r="26">
      <c r="A26" s="49" t="inlineStr">
        <is>
          <t>Consumables</t>
        </is>
      </c>
      <c r="B26" s="358" t="n"/>
      <c r="C26" s="248" t="n"/>
      <c r="D26" s="362">
        <f>B26*C26</f>
        <v/>
      </c>
    </row>
    <row r="27">
      <c r="A27" s="49" t="inlineStr">
        <is>
          <t>Services for meetings, seminars</t>
        </is>
      </c>
      <c r="B27" s="358" t="n"/>
      <c r="C27" s="248" t="n"/>
      <c r="D27" s="362">
        <f>B27*C27</f>
        <v/>
      </c>
    </row>
    <row r="28">
      <c r="A28" s="49" t="inlineStr">
        <is>
          <t>Services for dissemination activities (including website)</t>
        </is>
      </c>
      <c r="B28" s="358" t="n"/>
      <c r="C28" s="248" t="n"/>
      <c r="D28" s="362">
        <f>B28*C28</f>
        <v/>
      </c>
    </row>
    <row r="29">
      <c r="A29" s="49" t="inlineStr">
        <is>
          <t>Publication fees</t>
        </is>
      </c>
      <c r="B29" s="358" t="n"/>
      <c r="C29" s="248" t="n"/>
      <c r="D29" s="362">
        <f>B29*C29</f>
        <v/>
      </c>
    </row>
    <row r="30">
      <c r="A30" s="49" t="inlineStr">
        <is>
          <t>Other (shipment, insurance, translation, etc.)</t>
        </is>
      </c>
      <c r="B30" s="358" t="n"/>
      <c r="C30" s="248" t="n"/>
      <c r="D30" s="362">
        <f>B30*C30</f>
        <v/>
      </c>
    </row>
    <row r="31">
      <c r="A31" s="29" t="inlineStr">
        <is>
          <t>D. OTHER COST CATEGORIES</t>
        </is>
      </c>
      <c r="B31" s="359" t="n"/>
      <c r="C31" s="110" t="n"/>
      <c r="D31" s="360" t="n"/>
    </row>
    <row r="32">
      <c r="A32" s="50" t="inlineStr">
        <is>
          <t>D.1 Financial support to third parties (if applicable in the topic specific conditions)</t>
        </is>
      </c>
      <c r="B32" s="358" t="n"/>
      <c r="C32" s="248" t="n"/>
      <c r="D32" s="362">
        <f>B32*C32</f>
        <v/>
      </c>
    </row>
    <row r="33">
      <c r="A33" s="50" t="inlineStr">
        <is>
          <t>D.2 Internally invoiced goods and services</t>
        </is>
      </c>
      <c r="B33" s="358" t="n"/>
      <c r="C33" s="248" t="n"/>
      <c r="D33" s="362">
        <f>B33*C33</f>
        <v/>
      </c>
    </row>
    <row r="34">
      <c r="A34" s="50" t="inlineStr">
        <is>
          <t>D.3 Transnational access to research infrastructure unit costs (if mentioned as eligible in the topic specific conditions)</t>
        </is>
      </c>
      <c r="B34" s="358" t="n"/>
      <c r="C34" s="248" t="n"/>
      <c r="D34" s="362">
        <f>B34*C34</f>
        <v/>
      </c>
    </row>
    <row r="35">
      <c r="A35" s="50" t="inlineStr">
        <is>
          <t>D.4 Virtual access to research infrastructure unit costs (if mentioned as eligible in the topic specific conditions)</t>
        </is>
      </c>
      <c r="B35" s="358" t="n"/>
      <c r="C35" s="248" t="n"/>
      <c r="D35" s="362">
        <f>B35*C35</f>
        <v/>
      </c>
    </row>
    <row r="36">
      <c r="A36" s="50" t="inlineStr">
        <is>
          <t>D.5 PCP/PPI procurement costs (if mentioned as eligible in the topic specific conditions)</t>
        </is>
      </c>
      <c r="B36" s="358" t="n"/>
      <c r="C36" s="248" t="n"/>
      <c r="D36" s="362">
        <f>B36*C36</f>
        <v/>
      </c>
    </row>
    <row r="37">
      <c r="A37" s="50" t="n"/>
      <c r="B37" s="347" t="n"/>
      <c r="C37" s="111" t="n"/>
      <c r="D37" s="366" t="n"/>
    </row>
    <row r="38">
      <c r="A38" s="52" t="inlineStr">
        <is>
          <t>TOTAL DIRECT PERSONNEL COSTS AND PURCHASE COSTS (A+C)</t>
        </is>
      </c>
      <c r="B38" s="370" t="n"/>
      <c r="C38" s="230" t="n"/>
      <c r="D38" s="361">
        <f>SUM(D9:D16,D20:D30)</f>
        <v/>
      </c>
    </row>
    <row r="39">
      <c r="A39" s="52" t="inlineStr">
        <is>
          <t>TOTAL DIRECT COSTS  (A+B+C+D)</t>
        </is>
      </c>
      <c r="B39" s="370" t="n"/>
      <c r="C39" s="230" t="n"/>
      <c r="D39" s="361">
        <f>SUM(D9:D36)</f>
        <v/>
      </c>
    </row>
    <row r="40">
      <c r="A40" s="180" t="n"/>
      <c r="B40" s="373" t="n"/>
      <c r="C40" s="176" t="n"/>
      <c r="D40" s="374" t="n"/>
    </row>
    <row r="41">
      <c r="A41" s="29" t="inlineStr">
        <is>
          <t>E. INDIRECT COSTS (25% * (A+C))</t>
        </is>
      </c>
      <c r="B41" s="359" t="n"/>
      <c r="C41" s="110" t="n"/>
      <c r="D41" s="361">
        <f>D38*0.25</f>
        <v/>
      </c>
    </row>
    <row r="42">
      <c r="A42" s="32" t="n"/>
      <c r="B42" s="373" t="n"/>
      <c r="C42" s="176" t="n"/>
      <c r="D42" s="378" t="n"/>
    </row>
    <row r="43">
      <c r="A43" s="29" t="inlineStr">
        <is>
          <t>F. TOTAL COSTS (A+B+C+D+E)</t>
        </is>
      </c>
      <c r="B43" s="370" t="n"/>
      <c r="C43" s="230" t="n"/>
      <c r="D43" s="361">
        <f>D39+D41</f>
        <v/>
      </c>
    </row>
    <row r="44">
      <c r="A44" s="182" t="n"/>
      <c r="B44" s="183" t="n"/>
      <c r="C44" s="184" t="n"/>
      <c r="D44" s="183" t="n"/>
    </row>
    <row r="45">
      <c r="A45" s="190" t="n"/>
      <c r="B45" s="185" t="n"/>
      <c r="C45" s="186" t="n"/>
      <c r="D45" s="187" t="n"/>
    </row>
    <row r="46" ht="21" customHeight="1">
      <c r="A46" s="306">
        <f>CONCATENATE("COSTS WORK PACKAGE 2:"," ","System definition and use case identification")</f>
        <v/>
      </c>
      <c r="B46" s="315" t="n"/>
      <c r="C46" s="315" t="n"/>
      <c r="D46" s="316" t="n"/>
    </row>
    <row r="47">
      <c r="A47" s="182" t="n"/>
      <c r="B47" s="191" t="n"/>
      <c r="C47" s="192" t="n"/>
      <c r="D47" s="191" t="n"/>
    </row>
    <row r="48">
      <c r="A48" s="29" t="inlineStr">
        <is>
          <t>A. DIRECT PERSONNEL COSTS</t>
        </is>
      </c>
      <c r="B48" s="30" t="n"/>
      <c r="C48" s="110" t="n"/>
      <c r="D48" s="355" t="n"/>
    </row>
    <row r="49">
      <c r="A49" s="28" t="inlineStr">
        <is>
          <t>A.1 Employees (or equivalent)</t>
        </is>
      </c>
      <c r="B49" s="89" t="n"/>
      <c r="C49" s="111" t="n"/>
      <c r="D49" s="356" t="n"/>
    </row>
    <row r="50">
      <c r="A50" s="48" t="inlineStr">
        <is>
          <t>SENIOR SCIENTISTS (or equivalent in the private sector)</t>
        </is>
      </c>
      <c r="B50" s="358" t="n">
        <v>3</v>
      </c>
      <c r="C50" s="248" t="n">
        <v>5000</v>
      </c>
      <c r="D50" s="232">
        <f>B50*C50</f>
        <v/>
      </c>
    </row>
    <row r="51">
      <c r="A51" s="48" t="inlineStr">
        <is>
          <t>JUNIOR SCIENTISTS (or equivalent in the private sector)</t>
        </is>
      </c>
      <c r="B51" s="358" t="n">
        <v>2.5</v>
      </c>
      <c r="C51" s="248" t="n">
        <v>4000</v>
      </c>
      <c r="D51" s="232">
        <f>B51*C51</f>
        <v/>
      </c>
    </row>
    <row r="52">
      <c r="A52" s="48" t="inlineStr">
        <is>
          <t>TECHNICAL PERSONNEL (or equivalent in the private sector)</t>
        </is>
      </c>
      <c r="B52" s="358" t="n">
        <v>1</v>
      </c>
      <c r="C52" s="248" t="n">
        <v>3400</v>
      </c>
      <c r="D52" s="232">
        <f>B52*C52</f>
        <v/>
      </c>
    </row>
    <row r="53">
      <c r="A53" s="48" t="inlineStr">
        <is>
          <t>ADMINISTRATIVE PERSONNEL (or equivalent in the private sector)</t>
        </is>
      </c>
      <c r="B53" s="358" t="n"/>
      <c r="C53" s="248" t="n">
        <v>3400</v>
      </c>
      <c r="D53" s="232">
        <f>B53*C53</f>
        <v/>
      </c>
    </row>
    <row r="54">
      <c r="A54" s="48" t="inlineStr">
        <is>
          <t>OTHERS</t>
        </is>
      </c>
      <c r="B54" s="358" t="n"/>
      <c r="C54" s="248" t="n"/>
      <c r="D54" s="232">
        <f>B54*C54</f>
        <v/>
      </c>
    </row>
    <row r="55">
      <c r="A55" s="28" t="inlineStr">
        <is>
          <t>A.2 Natural Persons under direct contract</t>
        </is>
      </c>
      <c r="B55" s="358" t="n"/>
      <c r="C55" s="248" t="n"/>
      <c r="D55" s="232">
        <f>B55*C55</f>
        <v/>
      </c>
    </row>
    <row r="56">
      <c r="A56" s="28" t="inlineStr">
        <is>
          <t>A.3 Seconded Persons</t>
        </is>
      </c>
      <c r="B56" s="358" t="n"/>
      <c r="C56" s="248" t="n"/>
      <c r="D56" s="232">
        <f>B56*C56</f>
        <v/>
      </c>
    </row>
    <row r="57">
      <c r="A57" s="28" t="inlineStr">
        <is>
          <t>A.4 SME owners and natural person beneficiaries</t>
        </is>
      </c>
      <c r="B57" s="358" t="n"/>
      <c r="C57" s="256" t="n">
        <v>8360.6024</v>
      </c>
      <c r="D57" s="232">
        <f>B57*C57</f>
        <v/>
      </c>
    </row>
    <row r="58">
      <c r="A58" s="29" t="inlineStr">
        <is>
          <t>B. DIRECT SUBCONTRACTING COSTS</t>
        </is>
      </c>
      <c r="B58" s="359" t="n"/>
      <c r="C58" s="110" t="n"/>
      <c r="D58" s="360" t="n"/>
    </row>
    <row r="59">
      <c r="A59" s="53" t="n"/>
      <c r="B59" s="358" t="n"/>
      <c r="C59" s="248" t="n"/>
      <c r="D59" s="362">
        <f>B59*C59</f>
        <v/>
      </c>
    </row>
    <row r="60">
      <c r="A60" s="29" t="inlineStr">
        <is>
          <t>C. DIRECT PURCHASE COSTS</t>
        </is>
      </c>
      <c r="B60" s="359" t="n"/>
      <c r="C60" s="110" t="n"/>
      <c r="D60" s="360" t="n"/>
    </row>
    <row r="61">
      <c r="A61" s="28" t="inlineStr">
        <is>
          <t>C.1 Travel and subsistence</t>
        </is>
      </c>
      <c r="B61" s="358" t="n"/>
      <c r="C61" s="248" t="n"/>
      <c r="D61" s="362">
        <f>B61*C61</f>
        <v/>
      </c>
    </row>
    <row r="62">
      <c r="A62" s="28" t="inlineStr">
        <is>
          <t>C.2 Equipment (complete 'Depreciation costs' sheet)</t>
        </is>
      </c>
      <c r="B62" s="347" t="n"/>
      <c r="C62" s="111" t="n"/>
      <c r="D62" s="365" t="n"/>
    </row>
    <row r="63">
      <c r="A63" s="49" t="inlineStr">
        <is>
          <t>Equipment</t>
        </is>
      </c>
      <c r="B63" s="358" t="n"/>
      <c r="C63" s="248" t="n"/>
      <c r="D63" s="362">
        <f>B63*C63</f>
        <v/>
      </c>
    </row>
    <row r="64">
      <c r="A64" s="49" t="inlineStr">
        <is>
          <t>Infrastructure</t>
        </is>
      </c>
      <c r="B64" s="358" t="n"/>
      <c r="C64" s="248" t="n"/>
      <c r="D64" s="362">
        <f>B64*C64</f>
        <v/>
      </c>
    </row>
    <row r="65">
      <c r="A65" s="49" t="inlineStr">
        <is>
          <t>Other assets</t>
        </is>
      </c>
      <c r="B65" s="358" t="n"/>
      <c r="C65" s="248" t="n"/>
      <c r="D65" s="362">
        <f>B65*C65</f>
        <v/>
      </c>
    </row>
    <row r="66">
      <c r="A66" s="28" t="inlineStr">
        <is>
          <t>C.3 Other goods, works and services</t>
        </is>
      </c>
      <c r="B66" s="347" t="n"/>
      <c r="C66" s="111" t="n"/>
      <c r="D66" s="365" t="n"/>
    </row>
    <row r="67">
      <c r="A67" s="49" t="inlineStr">
        <is>
          <t>Consumables</t>
        </is>
      </c>
      <c r="B67" s="358" t="n"/>
      <c r="C67" s="248" t="n"/>
      <c r="D67" s="362">
        <f>B67*C67</f>
        <v/>
      </c>
    </row>
    <row r="68">
      <c r="A68" s="49" t="inlineStr">
        <is>
          <t>Services for meetings, seminars</t>
        </is>
      </c>
      <c r="B68" s="358" t="n"/>
      <c r="C68" s="248" t="n"/>
      <c r="D68" s="362">
        <f>B68*C68</f>
        <v/>
      </c>
    </row>
    <row r="69">
      <c r="A69" s="49" t="inlineStr">
        <is>
          <t>Services for dissemination activities (including website)</t>
        </is>
      </c>
      <c r="B69" s="358" t="n"/>
      <c r="C69" s="248" t="n"/>
      <c r="D69" s="362">
        <f>B69*C69</f>
        <v/>
      </c>
    </row>
    <row r="70">
      <c r="A70" s="49" t="inlineStr">
        <is>
          <t>Publication fees</t>
        </is>
      </c>
      <c r="B70" s="358" t="n"/>
      <c r="C70" s="248" t="n"/>
      <c r="D70" s="362">
        <f>B70*C70</f>
        <v/>
      </c>
    </row>
    <row r="71">
      <c r="A71" s="49" t="inlineStr">
        <is>
          <t>Other (shipment, insurance, translation, etc.)</t>
        </is>
      </c>
      <c r="B71" s="358" t="n"/>
      <c r="C71" s="248" t="n"/>
      <c r="D71" s="362">
        <f>B71*C71</f>
        <v/>
      </c>
    </row>
    <row r="72">
      <c r="A72" s="29" t="inlineStr">
        <is>
          <t>D. OTHER COST CATEGORIES</t>
        </is>
      </c>
      <c r="B72" s="359" t="n"/>
      <c r="C72" s="110" t="n"/>
      <c r="D72" s="360" t="n"/>
    </row>
    <row r="73">
      <c r="A73" s="50" t="inlineStr">
        <is>
          <t>D.1 Financial support to third parties (if applicable in the topic specific conditions)</t>
        </is>
      </c>
      <c r="B73" s="358" t="n"/>
      <c r="C73" s="248" t="n"/>
      <c r="D73" s="362">
        <f>B73*C73</f>
        <v/>
      </c>
    </row>
    <row r="74">
      <c r="A74" s="50" t="inlineStr">
        <is>
          <t>D.2 Internally invoiced goods and services</t>
        </is>
      </c>
      <c r="B74" s="358" t="n"/>
      <c r="C74" s="248" t="n"/>
      <c r="D74" s="362">
        <f>B74*C74</f>
        <v/>
      </c>
    </row>
    <row r="75">
      <c r="A75" s="50" t="inlineStr">
        <is>
          <t>D.3 Transnational access to research infrastructure unit costs (if mentioned as eligible in the topic specific conditions)</t>
        </is>
      </c>
      <c r="B75" s="358" t="n"/>
      <c r="C75" s="248" t="n"/>
      <c r="D75" s="362">
        <f>B75*C75</f>
        <v/>
      </c>
    </row>
    <row r="76">
      <c r="A76" s="50" t="inlineStr">
        <is>
          <t>D.4 Virtual access to research infrastructure unit costs (if mentioned as eligible in the topic specific conditions)</t>
        </is>
      </c>
      <c r="B76" s="358" t="n"/>
      <c r="C76" s="248" t="n"/>
      <c r="D76" s="362">
        <f>B76*C76</f>
        <v/>
      </c>
    </row>
    <row r="77">
      <c r="A77" s="50" t="inlineStr">
        <is>
          <t>D.5 PCP/PPI procurement costs (if mentioned as eligible in the topic specific conditions)</t>
        </is>
      </c>
      <c r="B77" s="358" t="n"/>
      <c r="C77" s="248" t="n"/>
      <c r="D77" s="362">
        <f>B77*C77</f>
        <v/>
      </c>
    </row>
    <row r="78">
      <c r="A78" s="50" t="n"/>
      <c r="B78" s="347" t="n"/>
      <c r="C78" s="111" t="n"/>
      <c r="D78" s="366" t="n"/>
    </row>
    <row r="79">
      <c r="A79" s="52" t="inlineStr">
        <is>
          <t>TOTAL DIRECT PERSONNEL COSTS AND PURCHASE COSTS (A+C)</t>
        </is>
      </c>
      <c r="B79" s="370" t="n"/>
      <c r="C79" s="230" t="n"/>
      <c r="D79" s="361">
        <f>SUM(D50:D57,D61:D71)</f>
        <v/>
      </c>
    </row>
    <row r="80">
      <c r="A80" s="52" t="inlineStr">
        <is>
          <t>TOTAL DIRECT COSTS  (A+B+C+D)</t>
        </is>
      </c>
      <c r="B80" s="370" t="n"/>
      <c r="C80" s="230" t="n"/>
      <c r="D80" s="361">
        <f>SUM(D50:D77)</f>
        <v/>
      </c>
    </row>
    <row r="81">
      <c r="A81" s="180" t="n"/>
      <c r="B81" s="373" t="n"/>
      <c r="C81" s="176" t="n"/>
      <c r="D81" s="374" t="n"/>
    </row>
    <row r="82">
      <c r="A82" s="29" t="inlineStr">
        <is>
          <t>E. INDIRECT COSTS (25% * (A+C))</t>
        </is>
      </c>
      <c r="B82" s="359" t="n"/>
      <c r="C82" s="110" t="n"/>
      <c r="D82" s="361">
        <f>D79*0.25</f>
        <v/>
      </c>
    </row>
    <row r="83">
      <c r="A83" s="32" t="n"/>
      <c r="B83" s="373" t="n"/>
      <c r="C83" s="176" t="n"/>
      <c r="D83" s="378" t="n"/>
    </row>
    <row r="84">
      <c r="A84" s="29" t="inlineStr">
        <is>
          <t>F. TOTAL COSTS (A+B+C+D+E)</t>
        </is>
      </c>
      <c r="B84" s="370" t="n"/>
      <c r="C84" s="230" t="n"/>
      <c r="D84" s="361">
        <f>D80+D82</f>
        <v/>
      </c>
    </row>
    <row r="85">
      <c r="A85" s="182" t="n"/>
      <c r="B85" s="183" t="n"/>
      <c r="C85" s="184" t="n"/>
      <c r="D85" s="183" t="n"/>
    </row>
    <row r="86">
      <c r="A86" s="190" t="n"/>
      <c r="B86" s="185" t="n"/>
      <c r="C86" s="186" t="n"/>
      <c r="D86" s="187" t="n"/>
    </row>
    <row r="87" ht="21" customHeight="1">
      <c r="A87" s="306">
        <f>CONCATENATE("COSTS WORK PACKAGE 3:"," ","Sensor deployment and analytics  ")</f>
        <v/>
      </c>
      <c r="B87" s="315" t="n"/>
      <c r="C87" s="315" t="n"/>
      <c r="D87" s="316" t="n"/>
    </row>
    <row r="88">
      <c r="A88" s="182" t="n"/>
      <c r="B88" s="191" t="n"/>
      <c r="C88" s="192" t="n"/>
      <c r="D88" s="191" t="n"/>
    </row>
    <row r="89">
      <c r="A89" s="29" t="inlineStr">
        <is>
          <t>A. DIRECT PERSONNEL COSTS</t>
        </is>
      </c>
      <c r="B89" s="30" t="n"/>
      <c r="C89" s="110" t="n"/>
      <c r="D89" s="355" t="n"/>
    </row>
    <row r="90">
      <c r="A90" s="28" t="inlineStr">
        <is>
          <t>A.1 Employees (or equivalent)</t>
        </is>
      </c>
      <c r="B90" s="89" t="n"/>
      <c r="C90" s="111" t="n"/>
      <c r="D90" s="356" t="n"/>
    </row>
    <row r="91">
      <c r="A91" s="48" t="inlineStr">
        <is>
          <t>SENIOR SCIENTISTS (or equivalent in the private sector)</t>
        </is>
      </c>
      <c r="B91" s="358" t="n">
        <v>4</v>
      </c>
      <c r="C91" s="248" t="n">
        <v>5000</v>
      </c>
      <c r="D91" s="232">
        <f>B91*C91</f>
        <v/>
      </c>
    </row>
    <row r="92">
      <c r="A92" s="48" t="inlineStr">
        <is>
          <t>JUNIOR SCIENTISTS (or equivalent in the private sector)</t>
        </is>
      </c>
      <c r="B92" s="358" t="n">
        <v>3</v>
      </c>
      <c r="C92" s="248" t="n">
        <v>4000</v>
      </c>
      <c r="D92" s="232">
        <f>B92*C92</f>
        <v/>
      </c>
    </row>
    <row r="93">
      <c r="A93" s="48" t="inlineStr">
        <is>
          <t>TECHNICAL PERSONNEL (or equivalent in the private sector)</t>
        </is>
      </c>
      <c r="B93" s="358" t="n">
        <v>4</v>
      </c>
      <c r="C93" s="248" t="n">
        <v>3400</v>
      </c>
      <c r="D93" s="232">
        <f>B93*C93</f>
        <v/>
      </c>
    </row>
    <row r="94">
      <c r="A94" s="48" t="inlineStr">
        <is>
          <t>ADMINISTRATIVE PERSONNEL (or equivalent in the private sector)</t>
        </is>
      </c>
      <c r="B94" s="358" t="n"/>
      <c r="C94" s="248" t="n">
        <v>3400</v>
      </c>
      <c r="D94" s="232">
        <f>B94*C94</f>
        <v/>
      </c>
    </row>
    <row r="95">
      <c r="A95" s="48" t="inlineStr">
        <is>
          <t>OTHERS</t>
        </is>
      </c>
      <c r="B95" s="358" t="n"/>
      <c r="C95" s="248" t="n"/>
      <c r="D95" s="232">
        <f>B95*C95</f>
        <v/>
      </c>
    </row>
    <row r="96">
      <c r="A96" s="28" t="inlineStr">
        <is>
          <t>A.2 Natural Persons under direct contract</t>
        </is>
      </c>
      <c r="B96" s="358" t="n"/>
      <c r="C96" s="248" t="n"/>
      <c r="D96" s="232">
        <f>B96*C96</f>
        <v/>
      </c>
    </row>
    <row r="97">
      <c r="A97" s="28" t="inlineStr">
        <is>
          <t>A.3 Seconded Persons</t>
        </is>
      </c>
      <c r="B97" s="358" t="n"/>
      <c r="C97" s="248" t="n"/>
      <c r="D97" s="232">
        <f>B97*C97</f>
        <v/>
      </c>
    </row>
    <row r="98">
      <c r="A98" s="28" t="inlineStr">
        <is>
          <t>A.4 SME owners and natural person beneficiaries</t>
        </is>
      </c>
      <c r="B98" s="358" t="n"/>
      <c r="C98" s="256" t="n">
        <v>8360.6024</v>
      </c>
      <c r="D98" s="232">
        <f>B98*C98</f>
        <v/>
      </c>
    </row>
    <row r="99">
      <c r="A99" s="29" t="inlineStr">
        <is>
          <t>B. DIRECT SUBCONTRACTING COSTS</t>
        </is>
      </c>
      <c r="B99" s="359" t="n"/>
      <c r="C99" s="110" t="n"/>
      <c r="D99" s="360" t="n"/>
    </row>
    <row r="100">
      <c r="A100" s="53" t="n"/>
      <c r="B100" s="358" t="n"/>
      <c r="C100" s="248" t="n"/>
      <c r="D100" s="362">
        <f>B100*C100</f>
        <v/>
      </c>
    </row>
    <row r="101">
      <c r="A101" s="29" t="inlineStr">
        <is>
          <t>C. DIRECT PURCHASE COSTS</t>
        </is>
      </c>
      <c r="B101" s="359" t="n"/>
      <c r="C101" s="110" t="n"/>
      <c r="D101" s="360" t="n"/>
    </row>
    <row r="102">
      <c r="A102" s="28" t="inlineStr">
        <is>
          <t>C.1 Travel and subsistence</t>
        </is>
      </c>
      <c r="B102" s="358" t="n"/>
      <c r="C102" s="248" t="n"/>
      <c r="D102" s="362">
        <f>B102*C102</f>
        <v/>
      </c>
    </row>
    <row r="103">
      <c r="A103" s="28" t="inlineStr">
        <is>
          <t>C.2 Equipment (complete 'Depreciation costs' sheet)</t>
        </is>
      </c>
      <c r="B103" s="347" t="n"/>
      <c r="C103" s="111" t="n"/>
      <c r="D103" s="365" t="n"/>
    </row>
    <row r="104">
      <c r="A104" s="49" t="inlineStr">
        <is>
          <t>Equipment</t>
        </is>
      </c>
      <c r="B104" s="358" t="n">
        <v>3.5</v>
      </c>
      <c r="C104" s="248" t="n">
        <v>2500</v>
      </c>
      <c r="D104" s="362">
        <f>B104*C104</f>
        <v/>
      </c>
    </row>
    <row r="105">
      <c r="A105" s="49" t="inlineStr">
        <is>
          <t>Infrastructure</t>
        </is>
      </c>
      <c r="B105" s="358" t="n"/>
      <c r="C105" s="248" t="n"/>
      <c r="D105" s="362">
        <f>B105*C105</f>
        <v/>
      </c>
    </row>
    <row r="106">
      <c r="A106" s="49" t="inlineStr">
        <is>
          <t>Other assets</t>
        </is>
      </c>
      <c r="B106" s="358" t="n"/>
      <c r="C106" s="248" t="n"/>
      <c r="D106" s="362">
        <f>B106*C106</f>
        <v/>
      </c>
    </row>
    <row r="107">
      <c r="A107" s="28" t="inlineStr">
        <is>
          <t>C.3 Other goods, works and services</t>
        </is>
      </c>
      <c r="B107" s="347" t="n"/>
      <c r="C107" s="111" t="n"/>
      <c r="D107" s="365" t="n"/>
    </row>
    <row r="108">
      <c r="A108" s="49" t="inlineStr">
        <is>
          <t>Consumables</t>
        </is>
      </c>
      <c r="B108" s="358" t="n"/>
      <c r="C108" s="248" t="n"/>
      <c r="D108" s="362">
        <f>B108*C108</f>
        <v/>
      </c>
    </row>
    <row r="109">
      <c r="A109" s="49" t="inlineStr">
        <is>
          <t>Services for meetings, seminars</t>
        </is>
      </c>
      <c r="B109" s="358" t="n"/>
      <c r="C109" s="248" t="n"/>
      <c r="D109" s="362">
        <f>B109*C109</f>
        <v/>
      </c>
    </row>
    <row r="110">
      <c r="A110" s="49" t="inlineStr">
        <is>
          <t>Services for dissemination activities (including website)</t>
        </is>
      </c>
      <c r="B110" s="358" t="n"/>
      <c r="C110" s="248" t="n"/>
      <c r="D110" s="362">
        <f>B110*C110</f>
        <v/>
      </c>
    </row>
    <row r="111">
      <c r="A111" s="49" t="inlineStr">
        <is>
          <t>Publication fees</t>
        </is>
      </c>
      <c r="B111" s="358" t="n"/>
      <c r="C111" s="248" t="n"/>
      <c r="D111" s="362">
        <f>B111*C111</f>
        <v/>
      </c>
    </row>
    <row r="112">
      <c r="A112" s="49" t="inlineStr">
        <is>
          <t>Other (shipment, insurance, translation, etc.)</t>
        </is>
      </c>
      <c r="B112" s="358" t="n"/>
      <c r="C112" s="248" t="n"/>
      <c r="D112" s="362">
        <f>B112*C112</f>
        <v/>
      </c>
    </row>
    <row r="113">
      <c r="A113" s="29" t="inlineStr">
        <is>
          <t>D. OTHER COST CATEGORIES</t>
        </is>
      </c>
      <c r="B113" s="359" t="n"/>
      <c r="C113" s="110" t="n"/>
      <c r="D113" s="360" t="n"/>
    </row>
    <row r="114">
      <c r="A114" s="50" t="inlineStr">
        <is>
          <t>D.1 Financial support to third parties (if applicable in the topic specific conditions)</t>
        </is>
      </c>
      <c r="B114" s="358" t="n"/>
      <c r="C114" s="248" t="n"/>
      <c r="D114" s="362">
        <f>B114*C114</f>
        <v/>
      </c>
    </row>
    <row r="115">
      <c r="A115" s="50" t="inlineStr">
        <is>
          <t>D.2 Internally invoiced goods and services</t>
        </is>
      </c>
      <c r="B115" s="358" t="n"/>
      <c r="C115" s="248" t="n"/>
      <c r="D115" s="362">
        <f>B115*C115</f>
        <v/>
      </c>
    </row>
    <row r="116">
      <c r="A116" s="50" t="inlineStr">
        <is>
          <t>D.3 Transnational access to research infrastructure unit costs (if mentioned as eligible in the topic specific conditions)</t>
        </is>
      </c>
      <c r="B116" s="358" t="n"/>
      <c r="C116" s="248" t="n"/>
      <c r="D116" s="362">
        <f>B116*C116</f>
        <v/>
      </c>
    </row>
    <row r="117">
      <c r="A117" s="50" t="inlineStr">
        <is>
          <t>D.4 Virtual access to research infrastructure unit costs (if mentioned as eligible in the topic specific conditions)</t>
        </is>
      </c>
      <c r="B117" s="358" t="n"/>
      <c r="C117" s="248" t="n"/>
      <c r="D117" s="362">
        <f>B117*C117</f>
        <v/>
      </c>
    </row>
    <row r="118">
      <c r="A118" s="50" t="inlineStr">
        <is>
          <t>D.5 PCP/PPI procurement costs (if mentioned as eligible in the topic specific conditions)</t>
        </is>
      </c>
      <c r="B118" s="358" t="n"/>
      <c r="C118" s="248" t="n"/>
      <c r="D118" s="362">
        <f>B118*C118</f>
        <v/>
      </c>
    </row>
    <row r="119">
      <c r="A119" s="50" t="n"/>
      <c r="B119" s="347" t="n"/>
      <c r="C119" s="111" t="n"/>
      <c r="D119" s="366" t="n"/>
    </row>
    <row r="120">
      <c r="A120" s="52" t="inlineStr">
        <is>
          <t>TOTAL DIRECT PERSONNEL COSTS AND PURCHASE COSTS (A+C)</t>
        </is>
      </c>
      <c r="B120" s="370" t="n"/>
      <c r="C120" s="230" t="n"/>
      <c r="D120" s="361">
        <f>SUM(D91:D98,D102:D112)</f>
        <v/>
      </c>
    </row>
    <row r="121">
      <c r="A121" s="52" t="inlineStr">
        <is>
          <t>TOTAL DIRECT COSTS  (A+B+C+D)</t>
        </is>
      </c>
      <c r="B121" s="370" t="n"/>
      <c r="C121" s="230" t="n"/>
      <c r="D121" s="361">
        <f>SUM(D91:D118)</f>
        <v/>
      </c>
    </row>
    <row r="122">
      <c r="A122" s="180" t="n"/>
      <c r="B122" s="373" t="n"/>
      <c r="C122" s="176" t="n"/>
      <c r="D122" s="374" t="n"/>
    </row>
    <row r="123">
      <c r="A123" s="29" t="inlineStr">
        <is>
          <t>E. INDIRECT COSTS (25% * (A+C))</t>
        </is>
      </c>
      <c r="B123" s="359" t="n"/>
      <c r="C123" s="110" t="n"/>
      <c r="D123" s="361">
        <f>D120*0.25</f>
        <v/>
      </c>
    </row>
    <row r="124">
      <c r="A124" s="32" t="n"/>
      <c r="B124" s="373" t="n"/>
      <c r="C124" s="176" t="n"/>
      <c r="D124" s="378" t="n"/>
    </row>
    <row r="125">
      <c r="A125" s="29" t="inlineStr">
        <is>
          <t>F. TOTAL COSTS (A+B+C+D+E)</t>
        </is>
      </c>
      <c r="B125" s="370" t="n"/>
      <c r="C125" s="230" t="n"/>
      <c r="D125" s="361">
        <f>D121+D123</f>
        <v/>
      </c>
    </row>
    <row r="126">
      <c r="A126" s="182" t="n"/>
      <c r="B126" s="183" t="n"/>
      <c r="C126" s="184" t="n"/>
      <c r="D126" s="183" t="n"/>
    </row>
    <row r="127">
      <c r="A127" s="190" t="n"/>
      <c r="B127" s="185" t="n"/>
      <c r="C127" s="186" t="n"/>
      <c r="D127" s="187" t="n"/>
    </row>
    <row r="128" ht="21" customHeight="1">
      <c r="A128" s="306">
        <f>CONCATENATE("COSTS WORK PACKAGE 4:"," ","Digital twins for data generation and augmentation")</f>
        <v/>
      </c>
      <c r="B128" s="315" t="n"/>
      <c r="C128" s="315" t="n"/>
      <c r="D128" s="316" t="n"/>
    </row>
    <row r="129">
      <c r="A129" s="182" t="n"/>
      <c r="B129" s="191" t="n"/>
      <c r="C129" s="192" t="n"/>
      <c r="D129" s="191" t="n"/>
    </row>
    <row r="130">
      <c r="A130" s="29" t="inlineStr">
        <is>
          <t>A. DIRECT PERSONNEL COSTS</t>
        </is>
      </c>
      <c r="B130" s="30" t="n"/>
      <c r="C130" s="110" t="n"/>
      <c r="D130" s="355" t="n"/>
    </row>
    <row r="131">
      <c r="A131" s="28" t="inlineStr">
        <is>
          <t>A.1 Employees (or equivalent)</t>
        </is>
      </c>
      <c r="B131" s="89" t="n"/>
      <c r="C131" s="111" t="n"/>
      <c r="D131" s="356" t="n"/>
    </row>
    <row r="132">
      <c r="A132" s="48" t="inlineStr">
        <is>
          <t>SENIOR SCIENTISTS (or equivalent in the private sector)</t>
        </is>
      </c>
      <c r="B132" s="358" t="n">
        <v>2</v>
      </c>
      <c r="C132" s="248" t="n">
        <v>5000</v>
      </c>
      <c r="D132" s="232">
        <f>B132*C132</f>
        <v/>
      </c>
    </row>
    <row r="133">
      <c r="A133" s="48" t="inlineStr">
        <is>
          <t>JUNIOR SCIENTISTS (or equivalent in the private sector)</t>
        </is>
      </c>
      <c r="B133" s="358" t="n">
        <v>1</v>
      </c>
      <c r="C133" s="248" t="n">
        <v>4000</v>
      </c>
      <c r="D133" s="232">
        <f>B133*C133</f>
        <v/>
      </c>
    </row>
    <row r="134">
      <c r="A134" s="48" t="inlineStr">
        <is>
          <t>TECHNICAL PERSONNEL (or equivalent in the private sector)</t>
        </is>
      </c>
      <c r="B134" s="358" t="n">
        <v>1</v>
      </c>
      <c r="C134" s="248" t="n">
        <v>3400</v>
      </c>
      <c r="D134" s="232">
        <f>B134*C134</f>
        <v/>
      </c>
    </row>
    <row r="135">
      <c r="A135" s="48" t="inlineStr">
        <is>
          <t>ADMINISTRATIVE PERSONNEL (or equivalent in the private sector)</t>
        </is>
      </c>
      <c r="B135" s="358" t="n"/>
      <c r="C135" s="248" t="n"/>
      <c r="D135" s="232">
        <f>B135*C135</f>
        <v/>
      </c>
    </row>
    <row r="136">
      <c r="A136" s="48" t="inlineStr">
        <is>
          <t>OTHERS</t>
        </is>
      </c>
      <c r="B136" s="358" t="n"/>
      <c r="C136" s="248" t="n"/>
      <c r="D136" s="232">
        <f>B136*C136</f>
        <v/>
      </c>
    </row>
    <row r="137">
      <c r="A137" s="28" t="inlineStr">
        <is>
          <t>A.2 Natural Persons under direct contract</t>
        </is>
      </c>
      <c r="B137" s="358" t="n"/>
      <c r="C137" s="248" t="n"/>
      <c r="D137" s="232">
        <f>B137*C137</f>
        <v/>
      </c>
    </row>
    <row r="138">
      <c r="A138" s="28" t="inlineStr">
        <is>
          <t>A.3 Seconded Persons</t>
        </is>
      </c>
      <c r="B138" s="358" t="n"/>
      <c r="C138" s="248" t="n"/>
      <c r="D138" s="232">
        <f>B138*C138</f>
        <v/>
      </c>
    </row>
    <row r="139">
      <c r="A139" s="28" t="inlineStr">
        <is>
          <t>A.4 SME owners and natural person beneficiaries</t>
        </is>
      </c>
      <c r="B139" s="358" t="n"/>
      <c r="C139" s="256" t="n">
        <v>8360.6024</v>
      </c>
      <c r="D139" s="232">
        <f>B139*C139</f>
        <v/>
      </c>
    </row>
    <row r="140">
      <c r="A140" s="29" t="inlineStr">
        <is>
          <t>B. DIRECT SUBCONTRACTING COSTS</t>
        </is>
      </c>
      <c r="B140" s="359" t="n"/>
      <c r="C140" s="110" t="n"/>
      <c r="D140" s="360" t="n"/>
    </row>
    <row r="141">
      <c r="A141" s="53" t="n"/>
      <c r="B141" s="358" t="n"/>
      <c r="C141" s="248" t="n"/>
      <c r="D141" s="362">
        <f>B141*C141</f>
        <v/>
      </c>
    </row>
    <row r="142">
      <c r="A142" s="29" t="inlineStr">
        <is>
          <t>C. DIRECT PURCHASE COSTS</t>
        </is>
      </c>
      <c r="B142" s="359" t="n"/>
      <c r="C142" s="110" t="n"/>
      <c r="D142" s="360" t="n"/>
    </row>
    <row r="143">
      <c r="A143" s="28" t="inlineStr">
        <is>
          <t>C.1 Travel and subsistence</t>
        </is>
      </c>
      <c r="B143" s="358" t="n"/>
      <c r="C143" s="248" t="n"/>
      <c r="D143" s="362">
        <f>B143*C143</f>
        <v/>
      </c>
    </row>
    <row r="144">
      <c r="A144" s="28" t="inlineStr">
        <is>
          <t>C.2 Equipment (complete 'Depreciation costs' sheet)</t>
        </is>
      </c>
      <c r="B144" s="347" t="n"/>
      <c r="C144" s="111" t="n"/>
      <c r="D144" s="365" t="n"/>
    </row>
    <row r="145">
      <c r="A145" s="49" t="inlineStr">
        <is>
          <t>Equipment</t>
        </is>
      </c>
      <c r="B145" s="358" t="n"/>
      <c r="C145" s="248" t="n"/>
      <c r="D145" s="362">
        <f>B145*C145</f>
        <v/>
      </c>
    </row>
    <row r="146">
      <c r="A146" s="49" t="inlineStr">
        <is>
          <t>Infrastructure</t>
        </is>
      </c>
      <c r="B146" s="358" t="n"/>
      <c r="C146" s="248" t="n"/>
      <c r="D146" s="362">
        <f>B146*C146</f>
        <v/>
      </c>
    </row>
    <row r="147">
      <c r="A147" s="49" t="inlineStr">
        <is>
          <t>Other assets</t>
        </is>
      </c>
      <c r="B147" s="358" t="n"/>
      <c r="C147" s="248" t="n"/>
      <c r="D147" s="362">
        <f>B147*C147</f>
        <v/>
      </c>
    </row>
    <row r="148">
      <c r="A148" s="28" t="inlineStr">
        <is>
          <t>C.3 Other goods, works and services</t>
        </is>
      </c>
      <c r="B148" s="347" t="n"/>
      <c r="C148" s="111" t="n"/>
      <c r="D148" s="365" t="n"/>
    </row>
    <row r="149">
      <c r="A149" s="49" t="inlineStr">
        <is>
          <t>Consumables</t>
        </is>
      </c>
      <c r="B149" s="358" t="n"/>
      <c r="C149" s="248" t="n"/>
      <c r="D149" s="362">
        <f>B149*C149</f>
        <v/>
      </c>
    </row>
    <row r="150">
      <c r="A150" s="49" t="inlineStr">
        <is>
          <t>Services for meetings, seminars</t>
        </is>
      </c>
      <c r="B150" s="358" t="n"/>
      <c r="C150" s="248" t="n"/>
      <c r="D150" s="362">
        <f>B150*C150</f>
        <v/>
      </c>
    </row>
    <row r="151">
      <c r="A151" s="49" t="inlineStr">
        <is>
          <t>Services for dissemination activities (including website)</t>
        </is>
      </c>
      <c r="B151" s="358" t="n"/>
      <c r="C151" s="248" t="n"/>
      <c r="D151" s="362">
        <f>B151*C151</f>
        <v/>
      </c>
    </row>
    <row r="152">
      <c r="A152" s="49" t="inlineStr">
        <is>
          <t>Publication fees</t>
        </is>
      </c>
      <c r="B152" s="358" t="n"/>
      <c r="C152" s="248" t="n"/>
      <c r="D152" s="362">
        <f>B152*C152</f>
        <v/>
      </c>
    </row>
    <row r="153">
      <c r="A153" s="49" t="inlineStr">
        <is>
          <t>Other (shipment, insurance, translation, etc.)</t>
        </is>
      </c>
      <c r="B153" s="358" t="n"/>
      <c r="C153" s="248" t="n"/>
      <c r="D153" s="362">
        <f>B153*C153</f>
        <v/>
      </c>
    </row>
    <row r="154">
      <c r="A154" s="29" t="inlineStr">
        <is>
          <t>D. OTHER COST CATEGORIES</t>
        </is>
      </c>
      <c r="B154" s="359" t="n"/>
      <c r="C154" s="110" t="n"/>
      <c r="D154" s="360" t="n"/>
    </row>
    <row r="155">
      <c r="A155" s="50" t="inlineStr">
        <is>
          <t>D.1 Financial support to third parties (if applicable in the topic specific conditions)</t>
        </is>
      </c>
      <c r="B155" s="358" t="n"/>
      <c r="C155" s="248" t="n"/>
      <c r="D155" s="362">
        <f>B155*C155</f>
        <v/>
      </c>
    </row>
    <row r="156">
      <c r="A156" s="50" t="inlineStr">
        <is>
          <t>D.2 Internally invoiced goods and services</t>
        </is>
      </c>
      <c r="B156" s="358" t="n"/>
      <c r="C156" s="248" t="n"/>
      <c r="D156" s="362">
        <f>B156*C156</f>
        <v/>
      </c>
    </row>
    <row r="157">
      <c r="A157" s="50" t="inlineStr">
        <is>
          <t>D.3 Transnational access to research infrastructure unit costs (if mentioned as eligible in the topic specific conditions)</t>
        </is>
      </c>
      <c r="B157" s="358" t="n"/>
      <c r="C157" s="248" t="n"/>
      <c r="D157" s="362">
        <f>B157*C157</f>
        <v/>
      </c>
    </row>
    <row r="158">
      <c r="A158" s="50" t="inlineStr">
        <is>
          <t>D.4 Virtual access to research infrastructure unit costs (if mentioned as eligible in the topic specific conditions)</t>
        </is>
      </c>
      <c r="B158" s="358" t="n"/>
      <c r="C158" s="248" t="n"/>
      <c r="D158" s="362">
        <f>B158*C158</f>
        <v/>
      </c>
    </row>
    <row r="159">
      <c r="A159" s="50" t="inlineStr">
        <is>
          <t>D.5 PCP/PPI procurement costs (if mentioned as eligible in the topic specific conditions)</t>
        </is>
      </c>
      <c r="B159" s="358" t="n"/>
      <c r="C159" s="248" t="n"/>
      <c r="D159" s="362">
        <f>B159*C159</f>
        <v/>
      </c>
    </row>
    <row r="160">
      <c r="A160" s="50" t="n"/>
      <c r="B160" s="347" t="n"/>
      <c r="C160" s="111" t="n"/>
      <c r="D160" s="366" t="n"/>
    </row>
    <row r="161">
      <c r="A161" s="52" t="inlineStr">
        <is>
          <t>TOTAL DIRECT PERSONNEL COSTS AND PURCHASE COSTS (A+C)</t>
        </is>
      </c>
      <c r="B161" s="370" t="n"/>
      <c r="C161" s="230" t="n"/>
      <c r="D161" s="361">
        <f>SUM(D132:D139,D143:D153)</f>
        <v/>
      </c>
    </row>
    <row r="162">
      <c r="A162" s="52" t="inlineStr">
        <is>
          <t>TOTAL DIRECT COSTS  (A+B+C+D)</t>
        </is>
      </c>
      <c r="B162" s="370" t="n"/>
      <c r="C162" s="230" t="n"/>
      <c r="D162" s="361">
        <f>SUM(D132:D159)</f>
        <v/>
      </c>
    </row>
    <row r="163">
      <c r="A163" s="180" t="n"/>
      <c r="B163" s="373" t="n"/>
      <c r="C163" s="176" t="n"/>
      <c r="D163" s="374" t="n"/>
    </row>
    <row r="164">
      <c r="A164" s="29" t="inlineStr">
        <is>
          <t>E. INDIRECT COSTS (25% * (A+C))</t>
        </is>
      </c>
      <c r="B164" s="359" t="n"/>
      <c r="C164" s="110" t="n"/>
      <c r="D164" s="361">
        <f>D161*0.25</f>
        <v/>
      </c>
    </row>
    <row r="165">
      <c r="A165" s="32" t="n"/>
      <c r="B165" s="373" t="n"/>
      <c r="C165" s="176" t="n"/>
      <c r="D165" s="378" t="n"/>
    </row>
    <row r="166">
      <c r="A166" s="29" t="inlineStr">
        <is>
          <t>F. TOTAL COSTS (A+B+C+D+E)</t>
        </is>
      </c>
      <c r="B166" s="370" t="n"/>
      <c r="C166" s="230" t="n"/>
      <c r="D166" s="361">
        <f>D162+D164</f>
        <v/>
      </c>
    </row>
    <row r="167">
      <c r="A167" s="182" t="n"/>
      <c r="B167" s="183" t="n"/>
      <c r="C167" s="184" t="n"/>
      <c r="D167" s="183" t="n"/>
    </row>
    <row r="168">
      <c r="A168" s="190" t="n"/>
      <c r="B168" s="185" t="n"/>
      <c r="C168" s="186" t="n"/>
      <c r="D168" s="187" t="n"/>
    </row>
    <row r="169" ht="21" customHeight="1">
      <c r="A169" s="306">
        <f>CONCATENATE("COSTS WORK PACKAGE 5:"," ","Health Models for Wind Turbine Components")</f>
        <v/>
      </c>
      <c r="B169" s="315" t="n"/>
      <c r="C169" s="315" t="n"/>
      <c r="D169" s="316" t="n"/>
    </row>
    <row r="170">
      <c r="A170" s="182" t="n"/>
      <c r="B170" s="191" t="n"/>
      <c r="C170" s="192" t="n"/>
      <c r="D170" s="191" t="n"/>
    </row>
    <row r="171">
      <c r="A171" s="29" t="inlineStr">
        <is>
          <t>A. DIRECT PERSONNEL COSTS</t>
        </is>
      </c>
      <c r="B171" s="30" t="n"/>
      <c r="C171" s="110" t="n"/>
      <c r="D171" s="355" t="n"/>
    </row>
    <row r="172">
      <c r="A172" s="28" t="inlineStr">
        <is>
          <t>A.1 Employees (or equivalent)</t>
        </is>
      </c>
      <c r="B172" s="89" t="n"/>
      <c r="C172" s="111" t="n"/>
      <c r="D172" s="356" t="n"/>
    </row>
    <row r="173">
      <c r="A173" s="48" t="inlineStr">
        <is>
          <t>SENIOR SCIENTISTS (or equivalent in the private sector)</t>
        </is>
      </c>
      <c r="B173" s="358" t="n">
        <v>1</v>
      </c>
      <c r="C173" s="248" t="n">
        <v>5000</v>
      </c>
      <c r="D173" s="232">
        <f>B173*C173</f>
        <v/>
      </c>
    </row>
    <row r="174">
      <c r="A174" s="48" t="inlineStr">
        <is>
          <t>JUNIOR SCIENTISTS (or equivalent in the private sector)</t>
        </is>
      </c>
      <c r="B174" s="358" t="n">
        <v>2</v>
      </c>
      <c r="C174" s="248" t="n">
        <v>4000</v>
      </c>
      <c r="D174" s="232">
        <f>B174*C174</f>
        <v/>
      </c>
    </row>
    <row r="175">
      <c r="A175" s="48" t="inlineStr">
        <is>
          <t>TECHNICAL PERSONNEL (or equivalent in the private sector)</t>
        </is>
      </c>
      <c r="B175" s="358" t="n"/>
      <c r="C175" s="248" t="n">
        <v>3400</v>
      </c>
      <c r="D175" s="232">
        <f>B175*C175</f>
        <v/>
      </c>
    </row>
    <row r="176">
      <c r="A176" s="48" t="inlineStr">
        <is>
          <t>ADMINISTRATIVE PERSONNEL (or equivalent in the private sector)</t>
        </is>
      </c>
      <c r="B176" s="358" t="n"/>
      <c r="C176" s="248" t="n">
        <v>3400</v>
      </c>
      <c r="D176" s="232">
        <f>B176*C176</f>
        <v/>
      </c>
    </row>
    <row r="177">
      <c r="A177" s="48" t="inlineStr">
        <is>
          <t>OTHERS</t>
        </is>
      </c>
      <c r="B177" s="358" t="n"/>
      <c r="C177" s="248" t="n"/>
      <c r="D177" s="232">
        <f>B177*C177</f>
        <v/>
      </c>
    </row>
    <row r="178">
      <c r="A178" s="28" t="inlineStr">
        <is>
          <t>A.2 Natural Persons under direct contract</t>
        </is>
      </c>
      <c r="B178" s="358" t="n"/>
      <c r="C178" s="248" t="n"/>
      <c r="D178" s="232">
        <f>B178*C178</f>
        <v/>
      </c>
    </row>
    <row r="179">
      <c r="A179" s="28" t="inlineStr">
        <is>
          <t>A.3 Seconded Persons</t>
        </is>
      </c>
      <c r="B179" s="358" t="n"/>
      <c r="C179" s="248" t="n"/>
      <c r="D179" s="232">
        <f>B179*C179</f>
        <v/>
      </c>
    </row>
    <row r="180">
      <c r="A180" s="28" t="inlineStr">
        <is>
          <t>A.4 SME owners and natural person beneficiaries</t>
        </is>
      </c>
      <c r="B180" s="358" t="n"/>
      <c r="C180" s="256" t="n">
        <v>8360.6024</v>
      </c>
      <c r="D180" s="232">
        <f>B180*C180</f>
        <v/>
      </c>
    </row>
    <row r="181">
      <c r="A181" s="29" t="inlineStr">
        <is>
          <t>B. DIRECT SUBCONTRACTING COSTS</t>
        </is>
      </c>
      <c r="B181" s="359" t="n"/>
      <c r="C181" s="110" t="n"/>
      <c r="D181" s="360" t="n"/>
    </row>
    <row r="182">
      <c r="A182" s="53" t="n"/>
      <c r="B182" s="358" t="n"/>
      <c r="C182" s="248" t="n"/>
      <c r="D182" s="362">
        <f>B182*C182</f>
        <v/>
      </c>
    </row>
    <row r="183">
      <c r="A183" s="29" t="inlineStr">
        <is>
          <t>C. DIRECT PURCHASE COSTS</t>
        </is>
      </c>
      <c r="B183" s="359" t="n"/>
      <c r="C183" s="110" t="n"/>
      <c r="D183" s="360" t="n"/>
    </row>
    <row r="184">
      <c r="A184" s="28" t="inlineStr">
        <is>
          <t>C.1 Travel and subsistence</t>
        </is>
      </c>
      <c r="B184" s="358" t="n"/>
      <c r="C184" s="248" t="n"/>
      <c r="D184" s="362">
        <f>B184*C184</f>
        <v/>
      </c>
    </row>
    <row r="185">
      <c r="A185" s="28" t="inlineStr">
        <is>
          <t>C.2 Equipment (complete 'Depreciation costs' sheet)</t>
        </is>
      </c>
      <c r="B185" s="347" t="n"/>
      <c r="C185" s="111" t="n"/>
      <c r="D185" s="365" t="n"/>
    </row>
    <row r="186">
      <c r="A186" s="49" t="inlineStr">
        <is>
          <t>Equipment</t>
        </is>
      </c>
      <c r="B186" s="358" t="n"/>
      <c r="C186" s="248" t="n"/>
      <c r="D186" s="362">
        <f>B186*C186</f>
        <v/>
      </c>
    </row>
    <row r="187">
      <c r="A187" s="49" t="inlineStr">
        <is>
          <t>Infrastructure</t>
        </is>
      </c>
      <c r="B187" s="358" t="n"/>
      <c r="C187" s="248" t="n"/>
      <c r="D187" s="362">
        <f>B187*C187</f>
        <v/>
      </c>
    </row>
    <row r="188">
      <c r="A188" s="49" t="inlineStr">
        <is>
          <t>Other assets</t>
        </is>
      </c>
      <c r="B188" s="358" t="n"/>
      <c r="C188" s="248" t="n"/>
      <c r="D188" s="362">
        <f>B188*C188</f>
        <v/>
      </c>
    </row>
    <row r="189">
      <c r="A189" s="28" t="inlineStr">
        <is>
          <t>C.3 Other goods, works and services</t>
        </is>
      </c>
      <c r="B189" s="347" t="n"/>
      <c r="C189" s="111" t="n"/>
      <c r="D189" s="365" t="n"/>
    </row>
    <row r="190">
      <c r="A190" s="49" t="inlineStr">
        <is>
          <t>Consumables</t>
        </is>
      </c>
      <c r="B190" s="358" t="n"/>
      <c r="C190" s="248" t="n"/>
      <c r="D190" s="362">
        <f>B190*C190</f>
        <v/>
      </c>
    </row>
    <row r="191">
      <c r="A191" s="49" t="inlineStr">
        <is>
          <t>Services for meetings, seminars</t>
        </is>
      </c>
      <c r="B191" s="358" t="n"/>
      <c r="C191" s="248" t="n"/>
      <c r="D191" s="362">
        <f>B191*C191</f>
        <v/>
      </c>
    </row>
    <row r="192">
      <c r="A192" s="49" t="inlineStr">
        <is>
          <t>Services for dissemination activities (including website)</t>
        </is>
      </c>
      <c r="B192" s="358" t="n"/>
      <c r="C192" s="248" t="n"/>
      <c r="D192" s="362">
        <f>B192*C192</f>
        <v/>
      </c>
    </row>
    <row r="193">
      <c r="A193" s="49" t="inlineStr">
        <is>
          <t>Publication fees</t>
        </is>
      </c>
      <c r="B193" s="358" t="n"/>
      <c r="C193" s="248" t="n"/>
      <c r="D193" s="362">
        <f>B193*C193</f>
        <v/>
      </c>
    </row>
    <row r="194">
      <c r="A194" s="49" t="inlineStr">
        <is>
          <t>Other (shipment, insurance, translation, etc.)</t>
        </is>
      </c>
      <c r="B194" s="358" t="n"/>
      <c r="C194" s="248" t="n"/>
      <c r="D194" s="362">
        <f>B194*C194</f>
        <v/>
      </c>
    </row>
    <row r="195">
      <c r="A195" s="29" t="inlineStr">
        <is>
          <t>D. OTHER COST CATEGORIES</t>
        </is>
      </c>
      <c r="B195" s="359" t="n"/>
      <c r="C195" s="110" t="n"/>
      <c r="D195" s="360" t="n"/>
    </row>
    <row r="196">
      <c r="A196" s="50" t="inlineStr">
        <is>
          <t>D.1 Financial support to third parties (if applicable in the topic specific conditions)</t>
        </is>
      </c>
      <c r="B196" s="358" t="n"/>
      <c r="C196" s="248" t="n"/>
      <c r="D196" s="362">
        <f>B196*C196</f>
        <v/>
      </c>
    </row>
    <row r="197">
      <c r="A197" s="50" t="inlineStr">
        <is>
          <t>D.2 Internally invoiced goods and services</t>
        </is>
      </c>
      <c r="B197" s="358" t="n"/>
      <c r="C197" s="248" t="n"/>
      <c r="D197" s="362">
        <f>B197*C197</f>
        <v/>
      </c>
    </row>
    <row r="198">
      <c r="A198" s="50" t="inlineStr">
        <is>
          <t>D.3 Transnational access to research infrastructure unit costs (if mentioned as eligible in the topic specific conditions)</t>
        </is>
      </c>
      <c r="B198" s="358" t="n"/>
      <c r="C198" s="248" t="n"/>
      <c r="D198" s="362">
        <f>B198*C198</f>
        <v/>
      </c>
    </row>
    <row r="199">
      <c r="A199" s="50" t="inlineStr">
        <is>
          <t>D.4 Virtual access to research infrastructure unit costs (if mentioned as eligible in the topic specific conditions)</t>
        </is>
      </c>
      <c r="B199" s="358" t="n"/>
      <c r="C199" s="248" t="n"/>
      <c r="D199" s="362">
        <f>B199*C199</f>
        <v/>
      </c>
    </row>
    <row r="200">
      <c r="A200" s="50" t="inlineStr">
        <is>
          <t>D.5 PCP/PPI procurement costs (if mentioned as eligible in the topic specific conditions)</t>
        </is>
      </c>
      <c r="B200" s="358" t="n"/>
      <c r="C200" s="248" t="n"/>
      <c r="D200" s="362">
        <f>B200*C200</f>
        <v/>
      </c>
    </row>
    <row r="201">
      <c r="A201" s="50" t="n"/>
      <c r="B201" s="347" t="n"/>
      <c r="C201" s="111" t="n"/>
      <c r="D201" s="366" t="n"/>
    </row>
    <row r="202">
      <c r="A202" s="52" t="inlineStr">
        <is>
          <t>TOTAL DIRECT PERSONNEL COSTS AND PURCHASE COSTS (A+C)</t>
        </is>
      </c>
      <c r="B202" s="370" t="n"/>
      <c r="C202" s="230" t="n"/>
      <c r="D202" s="361">
        <f>SUM(D173:D180,D184:D194)</f>
        <v/>
      </c>
    </row>
    <row r="203">
      <c r="A203" s="52" t="inlineStr">
        <is>
          <t>TOTAL DIRECT COSTS  (A+B+C+D)</t>
        </is>
      </c>
      <c r="B203" s="370" t="n"/>
      <c r="C203" s="230" t="n"/>
      <c r="D203" s="361">
        <f>SUM(D173:D200)</f>
        <v/>
      </c>
    </row>
    <row r="204">
      <c r="A204" s="180" t="n"/>
      <c r="B204" s="373" t="n"/>
      <c r="C204" s="176" t="n"/>
      <c r="D204" s="374" t="n"/>
    </row>
    <row r="205">
      <c r="A205" s="29" t="inlineStr">
        <is>
          <t>E. INDIRECT COSTS (25% * (A+C))</t>
        </is>
      </c>
      <c r="B205" s="359" t="n"/>
      <c r="C205" s="110" t="n"/>
      <c r="D205" s="361">
        <f>D202*0.25</f>
        <v/>
      </c>
    </row>
    <row r="206">
      <c r="A206" s="32" t="n"/>
      <c r="B206" s="373" t="n"/>
      <c r="C206" s="176" t="n"/>
      <c r="D206" s="378" t="n"/>
    </row>
    <row r="207">
      <c r="A207" s="29" t="inlineStr">
        <is>
          <t>F. TOTAL COSTS (A+B+C+D+E)</t>
        </is>
      </c>
      <c r="B207" s="370" t="n"/>
      <c r="C207" s="230" t="n"/>
      <c r="D207" s="361">
        <f>D203+D205</f>
        <v/>
      </c>
    </row>
    <row r="208">
      <c r="A208" s="182" t="n"/>
      <c r="B208" s="183" t="n"/>
      <c r="C208" s="184" t="n"/>
      <c r="D208" s="183" t="n"/>
    </row>
    <row r="209">
      <c r="A209" s="190" t="n"/>
      <c r="B209" s="185" t="n"/>
      <c r="C209" s="186" t="n"/>
      <c r="D209" s="187" t="n"/>
    </row>
    <row r="210" ht="21" customHeight="1">
      <c r="A210" s="306">
        <f>CONCATENATE("COSTS WORK PACKAGE 6:"," ","Advanced Condition Health Monitoring and Prediction")</f>
        <v/>
      </c>
      <c r="B210" s="315" t="n"/>
      <c r="C210" s="315" t="n"/>
      <c r="D210" s="316" t="n"/>
    </row>
    <row r="211">
      <c r="A211" s="182" t="n"/>
      <c r="B211" s="191" t="n"/>
      <c r="C211" s="192" t="n"/>
      <c r="D211" s="191" t="n"/>
    </row>
    <row r="212">
      <c r="A212" s="29" t="inlineStr">
        <is>
          <t>A. DIRECT PERSONNEL COSTS</t>
        </is>
      </c>
      <c r="B212" s="30" t="n"/>
      <c r="C212" s="110" t="n"/>
      <c r="D212" s="355" t="n"/>
    </row>
    <row r="213">
      <c r="A213" s="28" t="inlineStr">
        <is>
          <t>A.1 Employees (or equivalent)</t>
        </is>
      </c>
      <c r="B213" s="89" t="n"/>
      <c r="C213" s="111" t="n"/>
      <c r="D213" s="356" t="n"/>
    </row>
    <row r="214">
      <c r="A214" s="48" t="inlineStr">
        <is>
          <t>SENIOR SCIENTISTS (or equivalent in the private sector)</t>
        </is>
      </c>
      <c r="B214" s="358" t="n">
        <v>1</v>
      </c>
      <c r="C214" s="248" t="n">
        <v>5000</v>
      </c>
      <c r="D214" s="232">
        <f>B214*C214</f>
        <v/>
      </c>
    </row>
    <row r="215">
      <c r="A215" s="48" t="inlineStr">
        <is>
          <t>JUNIOR SCIENTISTS (or equivalent in the private sector)</t>
        </is>
      </c>
      <c r="B215" s="358" t="n">
        <v>3</v>
      </c>
      <c r="C215" s="248" t="n">
        <v>4000</v>
      </c>
      <c r="D215" s="232">
        <f>B215*C215</f>
        <v/>
      </c>
    </row>
    <row r="216">
      <c r="A216" s="48" t="inlineStr">
        <is>
          <t>TECHNICAL PERSONNEL (or equivalent in the private sector)</t>
        </is>
      </c>
      <c r="B216" s="358" t="n">
        <v>1</v>
      </c>
      <c r="C216" s="248" t="n">
        <v>3400</v>
      </c>
      <c r="D216" s="232">
        <f>B216*C216</f>
        <v/>
      </c>
    </row>
    <row r="217">
      <c r="A217" s="48" t="inlineStr">
        <is>
          <t>ADMINISTRATIVE PERSONNEL (or equivalent in the private sector)</t>
        </is>
      </c>
      <c r="B217" s="358" t="n"/>
      <c r="C217" s="248" t="n">
        <v>3400</v>
      </c>
      <c r="D217" s="232">
        <f>B217*C217</f>
        <v/>
      </c>
    </row>
    <row r="218">
      <c r="A218" s="48" t="inlineStr">
        <is>
          <t>OTHERS</t>
        </is>
      </c>
      <c r="B218" s="358" t="n"/>
      <c r="C218" s="248" t="n"/>
      <c r="D218" s="232">
        <f>B218*C218</f>
        <v/>
      </c>
    </row>
    <row r="219">
      <c r="A219" s="28" t="inlineStr">
        <is>
          <t>A.2 Natural Persons under direct contract</t>
        </is>
      </c>
      <c r="B219" s="358" t="n"/>
      <c r="C219" s="248" t="n"/>
      <c r="D219" s="232">
        <f>B219*C219</f>
        <v/>
      </c>
    </row>
    <row r="220">
      <c r="A220" s="28" t="inlineStr">
        <is>
          <t>A.3 Seconded Persons</t>
        </is>
      </c>
      <c r="B220" s="358" t="n"/>
      <c r="C220" s="248" t="n"/>
      <c r="D220" s="232">
        <f>B220*C220</f>
        <v/>
      </c>
    </row>
    <row r="221">
      <c r="A221" s="28" t="inlineStr">
        <is>
          <t>A.4 SME owners and natural person beneficiaries</t>
        </is>
      </c>
      <c r="B221" s="358" t="n"/>
      <c r="C221" s="256" t="n">
        <v>8360.6024</v>
      </c>
      <c r="D221" s="232">
        <f>B221*C221</f>
        <v/>
      </c>
    </row>
    <row r="222">
      <c r="A222" s="29" t="inlineStr">
        <is>
          <t>B. DIRECT SUBCONTRACTING COSTS</t>
        </is>
      </c>
      <c r="B222" s="359" t="n"/>
      <c r="C222" s="110" t="n"/>
      <c r="D222" s="360" t="n"/>
    </row>
    <row r="223">
      <c r="A223" s="53" t="n"/>
      <c r="B223" s="358" t="n"/>
      <c r="C223" s="248" t="n"/>
      <c r="D223" s="362">
        <f>B223*C223</f>
        <v/>
      </c>
    </row>
    <row r="224">
      <c r="A224" s="29" t="inlineStr">
        <is>
          <t>C. DIRECT PURCHASE COSTS</t>
        </is>
      </c>
      <c r="B224" s="359" t="n"/>
      <c r="C224" s="110" t="n"/>
      <c r="D224" s="360" t="n"/>
    </row>
    <row r="225">
      <c r="A225" s="28" t="inlineStr">
        <is>
          <t>C.1 Travel and subsistence</t>
        </is>
      </c>
      <c r="B225" s="358" t="n"/>
      <c r="C225" s="248" t="n"/>
      <c r="D225" s="362">
        <f>B225*C225</f>
        <v/>
      </c>
    </row>
    <row r="226">
      <c r="A226" s="28" t="inlineStr">
        <is>
          <t>C.2 Equipment (complete 'Depreciation costs' sheet)</t>
        </is>
      </c>
      <c r="B226" s="347" t="n"/>
      <c r="C226" s="111" t="n"/>
      <c r="D226" s="365" t="n"/>
    </row>
    <row r="227">
      <c r="A227" s="49" t="inlineStr">
        <is>
          <t>Equipment</t>
        </is>
      </c>
      <c r="B227" s="358" t="n"/>
      <c r="C227" s="248" t="n"/>
      <c r="D227" s="362">
        <f>B227*C227</f>
        <v/>
      </c>
    </row>
    <row r="228">
      <c r="A228" s="49" t="inlineStr">
        <is>
          <t>Infrastructure</t>
        </is>
      </c>
      <c r="B228" s="358" t="n"/>
      <c r="C228" s="248" t="n"/>
      <c r="D228" s="362">
        <f>B228*C228</f>
        <v/>
      </c>
    </row>
    <row r="229">
      <c r="A229" s="49" t="inlineStr">
        <is>
          <t>Other assets</t>
        </is>
      </c>
      <c r="B229" s="358" t="n"/>
      <c r="C229" s="248" t="n"/>
      <c r="D229" s="362">
        <f>B229*C229</f>
        <v/>
      </c>
    </row>
    <row r="230">
      <c r="A230" s="28" t="inlineStr">
        <is>
          <t>C.3 Other goods, works and services</t>
        </is>
      </c>
      <c r="B230" s="347" t="n"/>
      <c r="C230" s="111" t="n"/>
      <c r="D230" s="365" t="n"/>
    </row>
    <row r="231">
      <c r="A231" s="49" t="inlineStr">
        <is>
          <t>Consumables</t>
        </is>
      </c>
      <c r="B231" s="358" t="n"/>
      <c r="C231" s="248" t="n"/>
      <c r="D231" s="362">
        <f>B231*C231</f>
        <v/>
      </c>
    </row>
    <row r="232">
      <c r="A232" s="49" t="inlineStr">
        <is>
          <t>Services for meetings, seminars</t>
        </is>
      </c>
      <c r="B232" s="358" t="n"/>
      <c r="C232" s="248" t="n"/>
      <c r="D232" s="362">
        <f>B232*C232</f>
        <v/>
      </c>
    </row>
    <row r="233">
      <c r="A233" s="49" t="inlineStr">
        <is>
          <t>Services for dissemination activities (including website)</t>
        </is>
      </c>
      <c r="B233" s="358" t="n"/>
      <c r="C233" s="248" t="n"/>
      <c r="D233" s="362">
        <f>B233*C233</f>
        <v/>
      </c>
    </row>
    <row r="234">
      <c r="A234" s="49" t="inlineStr">
        <is>
          <t>Publication fees</t>
        </is>
      </c>
      <c r="B234" s="358" t="n"/>
      <c r="C234" s="248" t="n"/>
      <c r="D234" s="362">
        <f>B234*C234</f>
        <v/>
      </c>
    </row>
    <row r="235">
      <c r="A235" s="49" t="inlineStr">
        <is>
          <t>Other (shipment, insurance, translation, etc.)</t>
        </is>
      </c>
      <c r="B235" s="358" t="n"/>
      <c r="C235" s="248" t="n"/>
      <c r="D235" s="362">
        <f>B235*C235</f>
        <v/>
      </c>
    </row>
    <row r="236">
      <c r="A236" s="29" t="inlineStr">
        <is>
          <t>D. OTHER COST CATEGORIES</t>
        </is>
      </c>
      <c r="B236" s="359" t="n"/>
      <c r="C236" s="110" t="n"/>
      <c r="D236" s="360" t="n"/>
    </row>
    <row r="237">
      <c r="A237" s="50" t="inlineStr">
        <is>
          <t>D.1 Financial support to third parties (if applicable in the topic specific conditions)</t>
        </is>
      </c>
      <c r="B237" s="358" t="n"/>
      <c r="C237" s="248" t="n"/>
      <c r="D237" s="362">
        <f>B237*C237</f>
        <v/>
      </c>
    </row>
    <row r="238">
      <c r="A238" s="50" t="inlineStr">
        <is>
          <t>D.2 Internally invoiced goods and services</t>
        </is>
      </c>
      <c r="B238" s="358" t="n"/>
      <c r="C238" s="248" t="n"/>
      <c r="D238" s="362">
        <f>B238*C238</f>
        <v/>
      </c>
    </row>
    <row r="239">
      <c r="A239" s="50" t="inlineStr">
        <is>
          <t>D.3 Transnational access to research infrastructure unit costs (if mentioned as eligible in the topic specific conditions)</t>
        </is>
      </c>
      <c r="B239" s="358" t="n"/>
      <c r="C239" s="248" t="n"/>
      <c r="D239" s="362">
        <f>B239*C239</f>
        <v/>
      </c>
    </row>
    <row r="240">
      <c r="A240" s="50" t="inlineStr">
        <is>
          <t>D.4 Virtual access to research infrastructure unit costs (if mentioned as eligible in the topic specific conditions)</t>
        </is>
      </c>
      <c r="B240" s="358" t="n"/>
      <c r="C240" s="248" t="n"/>
      <c r="D240" s="362">
        <f>B240*C240</f>
        <v/>
      </c>
    </row>
    <row r="241">
      <c r="A241" s="50" t="inlineStr">
        <is>
          <t>D.5 PCP/PPI procurement costs (if mentioned as eligible in the topic specific conditions)</t>
        </is>
      </c>
      <c r="B241" s="358" t="n"/>
      <c r="C241" s="248" t="n"/>
      <c r="D241" s="362">
        <f>B241*C241</f>
        <v/>
      </c>
    </row>
    <row r="242">
      <c r="A242" s="50" t="n"/>
      <c r="B242" s="347" t="n"/>
      <c r="C242" s="111" t="n"/>
      <c r="D242" s="366" t="n"/>
    </row>
    <row r="243">
      <c r="A243" s="52" t="inlineStr">
        <is>
          <t>TOTAL DIRECT PERSONNEL COSTS AND PURCHASE COSTS (A+C)</t>
        </is>
      </c>
      <c r="B243" s="370" t="n"/>
      <c r="C243" s="230" t="n"/>
      <c r="D243" s="361">
        <f>SUM(D214:D221,D225:D235)</f>
        <v/>
      </c>
    </row>
    <row r="244">
      <c r="A244" s="52" t="inlineStr">
        <is>
          <t>TOTAL DIRECT COSTS  (A+B+C+D)</t>
        </is>
      </c>
      <c r="B244" s="370" t="n"/>
      <c r="C244" s="230" t="n"/>
      <c r="D244" s="361">
        <f>SUM(D214:D241)</f>
        <v/>
      </c>
    </row>
    <row r="245">
      <c r="A245" s="180" t="n"/>
      <c r="B245" s="373" t="n"/>
      <c r="C245" s="176" t="n"/>
      <c r="D245" s="374" t="n"/>
    </row>
    <row r="246">
      <c r="A246" s="29" t="inlineStr">
        <is>
          <t>E. INDIRECT COSTS (25% * (A+C))</t>
        </is>
      </c>
      <c r="B246" s="359" t="n"/>
      <c r="C246" s="110" t="n"/>
      <c r="D246" s="361">
        <f>D243*0.25</f>
        <v/>
      </c>
    </row>
    <row r="247">
      <c r="A247" s="32" t="n"/>
      <c r="B247" s="373" t="n"/>
      <c r="C247" s="176" t="n"/>
      <c r="D247" s="378" t="n"/>
    </row>
    <row r="248">
      <c r="A248" s="29" t="inlineStr">
        <is>
          <t>F. TOTAL COSTS (A+B+C+D+E)</t>
        </is>
      </c>
      <c r="B248" s="370" t="n"/>
      <c r="C248" s="230" t="n"/>
      <c r="D248" s="361">
        <f>D244+D246</f>
        <v/>
      </c>
    </row>
    <row r="249">
      <c r="A249" s="182" t="n"/>
      <c r="B249" s="183" t="n"/>
      <c r="C249" s="184" t="n"/>
      <c r="D249" s="183" t="n"/>
    </row>
    <row r="250">
      <c r="A250" s="190" t="n"/>
      <c r="B250" s="185" t="n"/>
      <c r="C250" s="186" t="n"/>
      <c r="D250" s="187" t="n"/>
    </row>
    <row r="251" ht="21" customHeight="1">
      <c r="A251" s="306">
        <f>CONCATENATE("COSTS WORK PACKAGE 7:"," ","Data Collection, Knowledge Access and Model Evaluation")</f>
        <v/>
      </c>
      <c r="B251" s="315" t="n"/>
      <c r="C251" s="315" t="n"/>
      <c r="D251" s="316" t="n"/>
    </row>
    <row r="252">
      <c r="A252" s="182" t="n"/>
      <c r="B252" s="191" t="n"/>
      <c r="C252" s="192" t="n"/>
      <c r="D252" s="191" t="n"/>
    </row>
    <row r="253">
      <c r="A253" s="29" t="inlineStr">
        <is>
          <t>A. DIRECT PERSONNEL COSTS</t>
        </is>
      </c>
      <c r="B253" s="30" t="n"/>
      <c r="C253" s="110" t="n"/>
      <c r="D253" s="355" t="n"/>
    </row>
    <row r="254">
      <c r="A254" s="28" t="inlineStr">
        <is>
          <t>A.1 Employees (or equivalent)</t>
        </is>
      </c>
      <c r="B254" s="89" t="n"/>
      <c r="C254" s="111" t="n"/>
      <c r="D254" s="356" t="n"/>
    </row>
    <row r="255">
      <c r="A255" s="48" t="inlineStr">
        <is>
          <t>SENIOR SCIENTISTS (or equivalent in the private sector)</t>
        </is>
      </c>
      <c r="B255" s="358" t="n">
        <v>1</v>
      </c>
      <c r="C255" s="248" t="n">
        <v>5000</v>
      </c>
      <c r="D255" s="232">
        <f>B255*C255</f>
        <v/>
      </c>
    </row>
    <row r="256">
      <c r="A256" s="48" t="inlineStr">
        <is>
          <t>JUNIOR SCIENTISTS (or equivalent in the private sector)</t>
        </is>
      </c>
      <c r="B256" s="358" t="n"/>
      <c r="C256" s="248" t="n">
        <v>4000</v>
      </c>
      <c r="D256" s="232">
        <f>B256*C256</f>
        <v/>
      </c>
    </row>
    <row r="257">
      <c r="A257" s="48" t="inlineStr">
        <is>
          <t>TECHNICAL PERSONNEL (or equivalent in the private sector)</t>
        </is>
      </c>
      <c r="B257" s="358" t="n"/>
      <c r="C257" s="248" t="n">
        <v>3400</v>
      </c>
      <c r="D257" s="232">
        <f>B257*C257</f>
        <v/>
      </c>
    </row>
    <row r="258">
      <c r="A258" s="48" t="inlineStr">
        <is>
          <t>ADMINISTRATIVE PERSONNEL (or equivalent in the private sector)</t>
        </is>
      </c>
      <c r="B258" s="358" t="n"/>
      <c r="C258" s="248" t="n">
        <v>3400</v>
      </c>
      <c r="D258" s="232">
        <f>B258*C258</f>
        <v/>
      </c>
    </row>
    <row r="259">
      <c r="A259" s="48" t="inlineStr">
        <is>
          <t>OTHERS</t>
        </is>
      </c>
      <c r="B259" s="358" t="n"/>
      <c r="C259" s="248" t="n"/>
      <c r="D259" s="232">
        <f>B259*C259</f>
        <v/>
      </c>
    </row>
    <row r="260">
      <c r="A260" s="28" t="inlineStr">
        <is>
          <t>A.2 Natural Persons under direct contract</t>
        </is>
      </c>
      <c r="B260" s="358" t="n"/>
      <c r="C260" s="248" t="n"/>
      <c r="D260" s="232">
        <f>B260*C260</f>
        <v/>
      </c>
    </row>
    <row r="261">
      <c r="A261" s="28" t="inlineStr">
        <is>
          <t>A.3 Seconded Persons</t>
        </is>
      </c>
      <c r="B261" s="358" t="n"/>
      <c r="C261" s="248" t="n"/>
      <c r="D261" s="232">
        <f>B261*C261</f>
        <v/>
      </c>
    </row>
    <row r="262">
      <c r="A262" s="28" t="inlineStr">
        <is>
          <t>A.4 SME owners and natural person beneficiaries</t>
        </is>
      </c>
      <c r="B262" s="358" t="n"/>
      <c r="C262" s="256" t="n">
        <v>8360.6024</v>
      </c>
      <c r="D262" s="232">
        <f>B262*C262</f>
        <v/>
      </c>
    </row>
    <row r="263">
      <c r="A263" s="29" t="inlineStr">
        <is>
          <t>B. DIRECT SUBCONTRACTING COSTS</t>
        </is>
      </c>
      <c r="B263" s="359" t="n"/>
      <c r="C263" s="110" t="n"/>
      <c r="D263" s="360" t="n"/>
    </row>
    <row r="264">
      <c r="A264" s="53" t="n"/>
      <c r="B264" s="358" t="n"/>
      <c r="C264" s="248" t="n"/>
      <c r="D264" s="362">
        <f>B264*C264</f>
        <v/>
      </c>
    </row>
    <row r="265">
      <c r="A265" s="29" t="inlineStr">
        <is>
          <t>C. DIRECT PURCHASE COSTS</t>
        </is>
      </c>
      <c r="B265" s="359" t="n"/>
      <c r="C265" s="110" t="n"/>
      <c r="D265" s="360" t="n"/>
    </row>
    <row r="266">
      <c r="A266" s="28" t="inlineStr">
        <is>
          <t>C.1 Travel and subsistence</t>
        </is>
      </c>
      <c r="B266" s="358" t="n"/>
      <c r="C266" s="248" t="n"/>
      <c r="D266" s="362">
        <f>B266*C266</f>
        <v/>
      </c>
    </row>
    <row r="267">
      <c r="A267" s="28" t="inlineStr">
        <is>
          <t>C.2 Equipment (complete 'Depreciation costs' sheet)</t>
        </is>
      </c>
      <c r="B267" s="347" t="n"/>
      <c r="C267" s="111" t="n"/>
      <c r="D267" s="365" t="n"/>
    </row>
    <row r="268">
      <c r="A268" s="49" t="inlineStr">
        <is>
          <t>Equipment</t>
        </is>
      </c>
      <c r="B268" s="358" t="n"/>
      <c r="C268" s="248" t="n"/>
      <c r="D268" s="362">
        <f>B268*C268</f>
        <v/>
      </c>
    </row>
    <row r="269">
      <c r="A269" s="49" t="inlineStr">
        <is>
          <t>Infrastructure</t>
        </is>
      </c>
      <c r="B269" s="358" t="n"/>
      <c r="C269" s="248" t="n"/>
      <c r="D269" s="362">
        <f>B269*C269</f>
        <v/>
      </c>
    </row>
    <row r="270">
      <c r="A270" s="49" t="inlineStr">
        <is>
          <t>Other assets</t>
        </is>
      </c>
      <c r="B270" s="358" t="n"/>
      <c r="C270" s="248" t="n"/>
      <c r="D270" s="362">
        <f>B270*C270</f>
        <v/>
      </c>
    </row>
    <row r="271">
      <c r="A271" s="28" t="inlineStr">
        <is>
          <t>C.3 Other goods, works and services</t>
        </is>
      </c>
      <c r="B271" s="347" t="n"/>
      <c r="C271" s="111" t="n"/>
      <c r="D271" s="365" t="n"/>
    </row>
    <row r="272">
      <c r="A272" s="49" t="inlineStr">
        <is>
          <t>Consumables</t>
        </is>
      </c>
      <c r="B272" s="358" t="n"/>
      <c r="C272" s="248" t="n"/>
      <c r="D272" s="362">
        <f>B272*C272</f>
        <v/>
      </c>
    </row>
    <row r="273">
      <c r="A273" s="49" t="inlineStr">
        <is>
          <t>Services for meetings, seminars</t>
        </is>
      </c>
      <c r="B273" s="358" t="n"/>
      <c r="C273" s="248" t="n"/>
      <c r="D273" s="362">
        <f>B273*C273</f>
        <v/>
      </c>
    </row>
    <row r="274">
      <c r="A274" s="49" t="inlineStr">
        <is>
          <t>Services for dissemination activities (including website)</t>
        </is>
      </c>
      <c r="B274" s="358" t="n"/>
      <c r="C274" s="248" t="n"/>
      <c r="D274" s="362">
        <f>B274*C274</f>
        <v/>
      </c>
    </row>
    <row r="275">
      <c r="A275" s="49" t="inlineStr">
        <is>
          <t>Publication fees</t>
        </is>
      </c>
      <c r="B275" s="358" t="n"/>
      <c r="C275" s="248" t="n"/>
      <c r="D275" s="362">
        <f>B275*C275</f>
        <v/>
      </c>
    </row>
    <row r="276">
      <c r="A276" s="49" t="inlineStr">
        <is>
          <t>Other (shipment, insurance, translation, etc.)</t>
        </is>
      </c>
      <c r="B276" s="358" t="n"/>
      <c r="C276" s="248" t="n"/>
      <c r="D276" s="362">
        <f>B276*C276</f>
        <v/>
      </c>
    </row>
    <row r="277">
      <c r="A277" s="29" t="inlineStr">
        <is>
          <t>D. OTHER COST CATEGORIES</t>
        </is>
      </c>
      <c r="B277" s="359" t="n"/>
      <c r="C277" s="110" t="n"/>
      <c r="D277" s="360" t="n"/>
    </row>
    <row r="278">
      <c r="A278" s="50" t="inlineStr">
        <is>
          <t>D.1 Financial support to third parties (if applicable in the topic specific conditions)</t>
        </is>
      </c>
      <c r="B278" s="358" t="n"/>
      <c r="C278" s="248" t="n"/>
      <c r="D278" s="362">
        <f>B278*C278</f>
        <v/>
      </c>
    </row>
    <row r="279">
      <c r="A279" s="50" t="inlineStr">
        <is>
          <t>D.2 Internally invoiced goods and services</t>
        </is>
      </c>
      <c r="B279" s="358" t="n"/>
      <c r="C279" s="248" t="n"/>
      <c r="D279" s="362">
        <f>B279*C279</f>
        <v/>
      </c>
    </row>
    <row r="280">
      <c r="A280" s="50" t="inlineStr">
        <is>
          <t>D.3 Transnational access to research infrastructure unit costs (if mentioned as eligible in the topic specific conditions)</t>
        </is>
      </c>
      <c r="B280" s="358" t="n"/>
      <c r="C280" s="248" t="n"/>
      <c r="D280" s="362">
        <f>B280*C280</f>
        <v/>
      </c>
    </row>
    <row r="281">
      <c r="A281" s="50" t="inlineStr">
        <is>
          <t>D.4 Virtual access to research infrastructure unit costs (if mentioned as eligible in the topic specific conditions)</t>
        </is>
      </c>
      <c r="B281" s="358" t="n"/>
      <c r="C281" s="248" t="n"/>
      <c r="D281" s="362">
        <f>B281*C281</f>
        <v/>
      </c>
    </row>
    <row r="282">
      <c r="A282" s="50" t="inlineStr">
        <is>
          <t>D.5 PCP/PPI procurement costs (if mentioned as eligible in the topic specific conditions)</t>
        </is>
      </c>
      <c r="B282" s="358" t="n"/>
      <c r="C282" s="248" t="n"/>
      <c r="D282" s="362">
        <f>B282*C282</f>
        <v/>
      </c>
    </row>
    <row r="283">
      <c r="A283" s="50" t="n"/>
      <c r="B283" s="347" t="n"/>
      <c r="C283" s="111" t="n"/>
      <c r="D283" s="366" t="n"/>
    </row>
    <row r="284">
      <c r="A284" s="52" t="inlineStr">
        <is>
          <t>TOTAL DIRECT PERSONNEL COSTS AND PURCHASE COSTS (A+C)</t>
        </is>
      </c>
      <c r="B284" s="370" t="n"/>
      <c r="C284" s="230" t="n"/>
      <c r="D284" s="361">
        <f>SUM(D255:D262,D266:D276)</f>
        <v/>
      </c>
    </row>
    <row r="285">
      <c r="A285" s="52" t="inlineStr">
        <is>
          <t>TOTAL DIRECT COSTS  (A+B+C+D)</t>
        </is>
      </c>
      <c r="B285" s="370" t="n"/>
      <c r="C285" s="230" t="n"/>
      <c r="D285" s="361">
        <f>SUM(D255:D282)</f>
        <v/>
      </c>
    </row>
    <row r="286">
      <c r="A286" s="180" t="n"/>
      <c r="B286" s="373" t="n"/>
      <c r="C286" s="176" t="n"/>
      <c r="D286" s="374" t="n"/>
    </row>
    <row r="287">
      <c r="A287" s="29" t="inlineStr">
        <is>
          <t>E. INDIRECT COSTS (25% * (A+C))</t>
        </is>
      </c>
      <c r="B287" s="359" t="n"/>
      <c r="C287" s="110" t="n"/>
      <c r="D287" s="361">
        <f>D284*0.25</f>
        <v/>
      </c>
    </row>
    <row r="288">
      <c r="A288" s="32" t="n"/>
      <c r="B288" s="373" t="n"/>
      <c r="C288" s="176" t="n"/>
      <c r="D288" s="378" t="n"/>
    </row>
    <row r="289">
      <c r="A289" s="29" t="inlineStr">
        <is>
          <t>F. TOTAL COSTS (A+B+C+D+E)</t>
        </is>
      </c>
      <c r="B289" s="370" t="n"/>
      <c r="C289" s="230" t="n"/>
      <c r="D289" s="361">
        <f>D285+D287</f>
        <v/>
      </c>
    </row>
    <row r="290">
      <c r="A290" s="182" t="n"/>
      <c r="B290" s="183" t="n"/>
      <c r="C290" s="184" t="n"/>
      <c r="D290" s="183" t="n"/>
    </row>
    <row r="291">
      <c r="A291" s="190" t="n"/>
      <c r="B291" s="185" t="n"/>
      <c r="C291" s="186" t="n"/>
      <c r="D291" s="187" t="n"/>
    </row>
    <row r="292" ht="21" customHeight="1">
      <c r="A292" s="306">
        <f>CONCATENATE("COSTS WORK PACKAGE 8:"," ","Agentic Workflow Development, Integration and Validation")</f>
        <v/>
      </c>
      <c r="B292" s="315" t="n"/>
      <c r="C292" s="315" t="n"/>
      <c r="D292" s="316" t="n"/>
    </row>
    <row r="293">
      <c r="A293" s="182" t="n"/>
      <c r="B293" s="191" t="n"/>
      <c r="C293" s="192" t="n"/>
      <c r="D293" s="191" t="n"/>
    </row>
    <row r="294">
      <c r="A294" s="29" t="inlineStr">
        <is>
          <t>A. DIRECT PERSONNEL COSTS</t>
        </is>
      </c>
      <c r="B294" s="30" t="n"/>
      <c r="C294" s="110" t="n"/>
      <c r="D294" s="355" t="n"/>
    </row>
    <row r="295">
      <c r="A295" s="28" t="inlineStr">
        <is>
          <t>A.1 Employees (or equivalent)</t>
        </is>
      </c>
      <c r="B295" s="89" t="n"/>
      <c r="C295" s="111" t="n"/>
      <c r="D295" s="356" t="n"/>
    </row>
    <row r="296">
      <c r="A296" s="48" t="inlineStr">
        <is>
          <t>SENIOR SCIENTISTS (or equivalent in the private sector)</t>
        </is>
      </c>
      <c r="B296" s="358" t="n"/>
      <c r="C296" s="248" t="n"/>
      <c r="D296" s="232">
        <f>B296*C296</f>
        <v/>
      </c>
    </row>
    <row r="297">
      <c r="A297" s="48" t="inlineStr">
        <is>
          <t>JUNIOR SCIENTISTS (or equivalent in the private sector)</t>
        </is>
      </c>
      <c r="B297" s="358" t="n"/>
      <c r="C297" s="248" t="n"/>
      <c r="D297" s="232">
        <f>B297*C297</f>
        <v/>
      </c>
    </row>
    <row r="298">
      <c r="A298" s="48" t="inlineStr">
        <is>
          <t>TECHNICAL PERSONNEL (or equivalent in the private sector)</t>
        </is>
      </c>
      <c r="B298" s="358" t="n"/>
      <c r="C298" s="248" t="n"/>
      <c r="D298" s="232">
        <f>B298*C298</f>
        <v/>
      </c>
    </row>
    <row r="299">
      <c r="A299" s="48" t="inlineStr">
        <is>
          <t>ADMINISTRATIVE PERSONNEL (or equivalent in the private sector)</t>
        </is>
      </c>
      <c r="B299" s="358" t="n"/>
      <c r="C299" s="248" t="n"/>
      <c r="D299" s="232">
        <f>B299*C299</f>
        <v/>
      </c>
    </row>
    <row r="300">
      <c r="A300" s="48" t="inlineStr">
        <is>
          <t>OTHERS</t>
        </is>
      </c>
      <c r="B300" s="358" t="n"/>
      <c r="C300" s="248" t="n"/>
      <c r="D300" s="232">
        <f>B300*C300</f>
        <v/>
      </c>
    </row>
    <row r="301">
      <c r="A301" s="28" t="inlineStr">
        <is>
          <t>A.2 Natural Persons under direct contract</t>
        </is>
      </c>
      <c r="B301" s="358" t="n"/>
      <c r="C301" s="248" t="n"/>
      <c r="D301" s="232">
        <f>B301*C301</f>
        <v/>
      </c>
    </row>
    <row r="302">
      <c r="A302" s="28" t="inlineStr">
        <is>
          <t>A.3 Seconded Persons</t>
        </is>
      </c>
      <c r="B302" s="358" t="n"/>
      <c r="C302" s="248" t="n"/>
      <c r="D302" s="232">
        <f>B302*C302</f>
        <v/>
      </c>
    </row>
    <row r="303">
      <c r="A303" s="28" t="inlineStr">
        <is>
          <t>A.4 SME owners and natural person beneficiaries</t>
        </is>
      </c>
      <c r="B303" s="358" t="n"/>
      <c r="C303" s="256" t="n">
        <v>8360.6024</v>
      </c>
      <c r="D303" s="232">
        <f>B303*C303</f>
        <v/>
      </c>
    </row>
    <row r="304">
      <c r="A304" s="29" t="inlineStr">
        <is>
          <t>B. DIRECT SUBCONTRACTING COSTS</t>
        </is>
      </c>
      <c r="B304" s="359" t="n"/>
      <c r="C304" s="110" t="n"/>
      <c r="D304" s="360" t="n"/>
    </row>
    <row r="305">
      <c r="A305" s="53" t="n"/>
      <c r="B305" s="358" t="n"/>
      <c r="C305" s="248" t="n"/>
      <c r="D305" s="362">
        <f>B305*C305</f>
        <v/>
      </c>
    </row>
    <row r="306">
      <c r="A306" s="29" t="inlineStr">
        <is>
          <t>C. DIRECT PURCHASE COSTS</t>
        </is>
      </c>
      <c r="B306" s="359" t="n"/>
      <c r="C306" s="110" t="n"/>
      <c r="D306" s="360" t="n"/>
    </row>
    <row r="307">
      <c r="A307" s="28" t="inlineStr">
        <is>
          <t>C.1 Travel and subsistence</t>
        </is>
      </c>
      <c r="B307" s="358" t="n"/>
      <c r="C307" s="248" t="n"/>
      <c r="D307" s="362">
        <f>B307*C307</f>
        <v/>
      </c>
    </row>
    <row r="308">
      <c r="A308" s="28" t="inlineStr">
        <is>
          <t>C.2 Equipment (complete 'Depreciation costs' sheet)</t>
        </is>
      </c>
      <c r="B308" s="347" t="n"/>
      <c r="C308" s="111" t="n"/>
      <c r="D308" s="365" t="n"/>
    </row>
    <row r="309">
      <c r="A309" s="49" t="inlineStr">
        <is>
          <t>Equipment</t>
        </is>
      </c>
      <c r="B309" s="358" t="n"/>
      <c r="C309" s="248" t="n"/>
      <c r="D309" s="362">
        <f>B309*C309</f>
        <v/>
      </c>
    </row>
    <row r="310">
      <c r="A310" s="49" t="inlineStr">
        <is>
          <t>Infrastructure</t>
        </is>
      </c>
      <c r="B310" s="358" t="n"/>
      <c r="C310" s="248" t="n"/>
      <c r="D310" s="362">
        <f>B310*C310</f>
        <v/>
      </c>
    </row>
    <row r="311">
      <c r="A311" s="49" t="inlineStr">
        <is>
          <t>Other assets</t>
        </is>
      </c>
      <c r="B311" s="358" t="n"/>
      <c r="C311" s="248" t="n"/>
      <c r="D311" s="362">
        <f>B311*C311</f>
        <v/>
      </c>
    </row>
    <row r="312">
      <c r="A312" s="28" t="inlineStr">
        <is>
          <t>C.3 Other goods, works and services</t>
        </is>
      </c>
      <c r="B312" s="347" t="n"/>
      <c r="C312" s="111" t="n"/>
      <c r="D312" s="365" t="n"/>
    </row>
    <row r="313">
      <c r="A313" s="49" t="inlineStr">
        <is>
          <t>Consumables</t>
        </is>
      </c>
      <c r="B313" s="358" t="n"/>
      <c r="C313" s="248" t="n"/>
      <c r="D313" s="362">
        <f>B313*C313</f>
        <v/>
      </c>
    </row>
    <row r="314">
      <c r="A314" s="49" t="inlineStr">
        <is>
          <t>Services for meetings, seminars</t>
        </is>
      </c>
      <c r="B314" s="358" t="n"/>
      <c r="C314" s="248" t="n"/>
      <c r="D314" s="362">
        <f>B314*C314</f>
        <v/>
      </c>
    </row>
    <row r="315">
      <c r="A315" s="49" t="inlineStr">
        <is>
          <t>Services for dissemination activities (including website)</t>
        </is>
      </c>
      <c r="B315" s="358" t="n"/>
      <c r="C315" s="248" t="n"/>
      <c r="D315" s="362">
        <f>B315*C315</f>
        <v/>
      </c>
    </row>
    <row r="316">
      <c r="A316" s="49" t="inlineStr">
        <is>
          <t>Publication fees</t>
        </is>
      </c>
      <c r="B316" s="358" t="n"/>
      <c r="C316" s="248" t="n"/>
      <c r="D316" s="362">
        <f>B316*C316</f>
        <v/>
      </c>
    </row>
    <row r="317">
      <c r="A317" s="49" t="inlineStr">
        <is>
          <t>Other (shipment, insurance, translation, etc.)</t>
        </is>
      </c>
      <c r="B317" s="358" t="n"/>
      <c r="C317" s="248" t="n"/>
      <c r="D317" s="362">
        <f>B317*C317</f>
        <v/>
      </c>
    </row>
    <row r="318">
      <c r="A318" s="29" t="inlineStr">
        <is>
          <t>D. OTHER COST CATEGORIES</t>
        </is>
      </c>
      <c r="B318" s="359" t="n"/>
      <c r="C318" s="110" t="n"/>
      <c r="D318" s="360" t="n"/>
    </row>
    <row r="319">
      <c r="A319" s="50" t="inlineStr">
        <is>
          <t>D.1 Financial support to third parties (if applicable in the topic specific conditions)</t>
        </is>
      </c>
      <c r="B319" s="358" t="n"/>
      <c r="C319" s="248" t="n"/>
      <c r="D319" s="362">
        <f>B319*C319</f>
        <v/>
      </c>
    </row>
    <row r="320">
      <c r="A320" s="50" t="inlineStr">
        <is>
          <t>D.2 Internally invoiced goods and services</t>
        </is>
      </c>
      <c r="B320" s="358" t="n"/>
      <c r="C320" s="248" t="n"/>
      <c r="D320" s="362">
        <f>B320*C320</f>
        <v/>
      </c>
    </row>
    <row r="321">
      <c r="A321" s="50" t="inlineStr">
        <is>
          <t>D.3 Transnational access to research infrastructure unit costs (if mentioned as eligible in the topic specific conditions)</t>
        </is>
      </c>
      <c r="B321" s="358" t="n"/>
      <c r="C321" s="248" t="n"/>
      <c r="D321" s="362">
        <f>B321*C321</f>
        <v/>
      </c>
    </row>
    <row r="322">
      <c r="A322" s="50" t="inlineStr">
        <is>
          <t>D.4 Virtual access to research infrastructure unit costs (if mentioned as eligible in the topic specific conditions)</t>
        </is>
      </c>
      <c r="B322" s="358" t="n"/>
      <c r="C322" s="248" t="n"/>
      <c r="D322" s="362">
        <f>B322*C322</f>
        <v/>
      </c>
    </row>
    <row r="323">
      <c r="A323" s="50" t="inlineStr">
        <is>
          <t>D.5 PCP/PPI procurement costs (if mentioned as eligible in the topic specific conditions)</t>
        </is>
      </c>
      <c r="B323" s="358" t="n"/>
      <c r="C323" s="248" t="n"/>
      <c r="D323" s="362">
        <f>B323*C323</f>
        <v/>
      </c>
    </row>
    <row r="324">
      <c r="A324" s="50" t="n"/>
      <c r="B324" s="347" t="n"/>
      <c r="C324" s="111" t="n"/>
      <c r="D324" s="366" t="n"/>
    </row>
    <row r="325">
      <c r="A325" s="52" t="inlineStr">
        <is>
          <t>TOTAL DIRECT PERSONNEL COSTS AND PURCHASE COSTS (A+C)</t>
        </is>
      </c>
      <c r="B325" s="370" t="n"/>
      <c r="C325" s="230" t="n"/>
      <c r="D325" s="361">
        <f>SUM(D296:D303,D307:D317)</f>
        <v/>
      </c>
    </row>
    <row r="326">
      <c r="A326" s="52" t="inlineStr">
        <is>
          <t>TOTAL DIRECT COSTS  (A+B+C+D)</t>
        </is>
      </c>
      <c r="B326" s="370" t="n"/>
      <c r="C326" s="230" t="n"/>
      <c r="D326" s="361">
        <f>SUM(D296:D323)</f>
        <v/>
      </c>
    </row>
    <row r="327">
      <c r="A327" s="180" t="n"/>
      <c r="B327" s="373" t="n"/>
      <c r="C327" s="176" t="n"/>
      <c r="D327" s="374" t="n"/>
    </row>
    <row r="328">
      <c r="A328" s="29" t="inlineStr">
        <is>
          <t>E. INDIRECT COSTS (25% * (A+C))</t>
        </is>
      </c>
      <c r="B328" s="359" t="n"/>
      <c r="C328" s="110" t="n"/>
      <c r="D328" s="361">
        <f>D325*0.25</f>
        <v/>
      </c>
    </row>
    <row r="329">
      <c r="A329" s="32" t="n"/>
      <c r="B329" s="373" t="n"/>
      <c r="C329" s="176" t="n"/>
      <c r="D329" s="378" t="n"/>
    </row>
    <row r="330">
      <c r="A330" s="29" t="inlineStr">
        <is>
          <t>F. TOTAL COSTS (A+B+C+D+E)</t>
        </is>
      </c>
      <c r="B330" s="370" t="n"/>
      <c r="C330" s="230" t="n"/>
      <c r="D330" s="361">
        <f>D326+D328</f>
        <v/>
      </c>
    </row>
    <row r="331">
      <c r="A331" s="182" t="n"/>
      <c r="B331" s="183" t="n"/>
      <c r="C331" s="184" t="n"/>
      <c r="D331" s="183" t="n"/>
    </row>
    <row r="332">
      <c r="A332" s="190" t="n"/>
      <c r="B332" s="185" t="n"/>
      <c r="C332" s="186" t="n"/>
      <c r="D332" s="187" t="n"/>
    </row>
    <row r="333" ht="21" customHeight="1">
      <c r="A333" s="306">
        <f>CONCATENATE("COSTS WORK PACKAGE 9:"," ","HSE and Environment")</f>
        <v/>
      </c>
      <c r="B333" s="315" t="n"/>
      <c r="C333" s="315" t="n"/>
      <c r="D333" s="316" t="n"/>
    </row>
    <row r="334">
      <c r="A334" s="182" t="n"/>
      <c r="B334" s="191" t="n"/>
      <c r="C334" s="192" t="n"/>
      <c r="D334" s="191" t="n"/>
    </row>
    <row r="335">
      <c r="A335" s="29" t="inlineStr">
        <is>
          <t>A. DIRECT PERSONNEL COSTS</t>
        </is>
      </c>
      <c r="B335" s="30" t="n"/>
      <c r="C335" s="110" t="n"/>
      <c r="D335" s="355" t="n"/>
    </row>
    <row r="336">
      <c r="A336" s="28" t="inlineStr">
        <is>
          <t>A.1 Employees (or equivalent)</t>
        </is>
      </c>
      <c r="B336" s="89" t="n"/>
      <c r="C336" s="111" t="n"/>
      <c r="D336" s="356" t="n"/>
    </row>
    <row r="337">
      <c r="A337" s="48" t="inlineStr">
        <is>
          <t>SENIOR SCIENTISTS (or equivalent in the private sector)</t>
        </is>
      </c>
      <c r="B337" s="358" t="n">
        <v>1</v>
      </c>
      <c r="C337" s="248" t="n">
        <v>5000</v>
      </c>
      <c r="D337" s="232">
        <f>B337*C337</f>
        <v/>
      </c>
    </row>
    <row r="338">
      <c r="A338" s="48" t="inlineStr">
        <is>
          <t>JUNIOR SCIENTISTS (or equivalent in the private sector)</t>
        </is>
      </c>
      <c r="B338" s="358" t="n">
        <v>2</v>
      </c>
      <c r="C338" s="248" t="n">
        <v>4000</v>
      </c>
      <c r="D338" s="232">
        <f>B338*C338</f>
        <v/>
      </c>
    </row>
    <row r="339">
      <c r="A339" s="48" t="inlineStr">
        <is>
          <t>TECHNICAL PERSONNEL (or equivalent in the private sector)</t>
        </is>
      </c>
      <c r="B339" s="358" t="n">
        <v>2</v>
      </c>
      <c r="C339" s="248" t="n">
        <v>3400</v>
      </c>
      <c r="D339" s="232">
        <f>B339*C339</f>
        <v/>
      </c>
    </row>
    <row r="340">
      <c r="A340" s="48" t="inlineStr">
        <is>
          <t>ADMINISTRATIVE PERSONNEL (or equivalent in the private sector)</t>
        </is>
      </c>
      <c r="B340" s="358" t="n"/>
      <c r="C340" s="248" t="n"/>
      <c r="D340" s="232">
        <f>B340*C340</f>
        <v/>
      </c>
    </row>
    <row r="341">
      <c r="A341" s="48" t="inlineStr">
        <is>
          <t>OTHERS</t>
        </is>
      </c>
      <c r="B341" s="358" t="n"/>
      <c r="C341" s="248" t="n"/>
      <c r="D341" s="232">
        <f>B341*C341</f>
        <v/>
      </c>
    </row>
    <row r="342">
      <c r="A342" s="28" t="inlineStr">
        <is>
          <t>A.2 Natural Persons under direct contract</t>
        </is>
      </c>
      <c r="B342" s="358" t="n"/>
      <c r="C342" s="248" t="n"/>
      <c r="D342" s="232">
        <f>B342*C342</f>
        <v/>
      </c>
    </row>
    <row r="343">
      <c r="A343" s="28" t="inlineStr">
        <is>
          <t>A.3 Seconded Persons</t>
        </is>
      </c>
      <c r="B343" s="358" t="n"/>
      <c r="C343" s="248" t="n"/>
      <c r="D343" s="232">
        <f>B343*C343</f>
        <v/>
      </c>
    </row>
    <row r="344">
      <c r="A344" s="28" t="inlineStr">
        <is>
          <t>A.4 SME owners and natural person beneficiaries</t>
        </is>
      </c>
      <c r="B344" s="358" t="n"/>
      <c r="C344" s="256" t="n">
        <v>8360.6024</v>
      </c>
      <c r="D344" s="232">
        <f>B344*C344</f>
        <v/>
      </c>
    </row>
    <row r="345">
      <c r="A345" s="29" t="inlineStr">
        <is>
          <t>B. DIRECT SUBCONTRACTING COSTS</t>
        </is>
      </c>
      <c r="B345" s="359" t="n"/>
      <c r="C345" s="110" t="n"/>
      <c r="D345" s="360" t="n"/>
    </row>
    <row r="346">
      <c r="A346" s="53" t="n"/>
      <c r="B346" s="358" t="n"/>
      <c r="C346" s="248" t="n"/>
      <c r="D346" s="362">
        <f>B346*C346</f>
        <v/>
      </c>
    </row>
    <row r="347">
      <c r="A347" s="29" t="inlineStr">
        <is>
          <t>C. DIRECT PURCHASE COSTS</t>
        </is>
      </c>
      <c r="B347" s="359" t="n"/>
      <c r="C347" s="110" t="n"/>
      <c r="D347" s="360" t="n"/>
    </row>
    <row r="348">
      <c r="A348" s="28" t="inlineStr">
        <is>
          <t>C.1 Travel and subsistence</t>
        </is>
      </c>
      <c r="B348" s="358" t="n"/>
      <c r="C348" s="248" t="n"/>
      <c r="D348" s="362">
        <f>B348*C348</f>
        <v/>
      </c>
    </row>
    <row r="349">
      <c r="A349" s="28" t="inlineStr">
        <is>
          <t>C.2 Equipment (complete 'Depreciation costs' sheet)</t>
        </is>
      </c>
      <c r="B349" s="347" t="n"/>
      <c r="C349" s="111" t="n"/>
      <c r="D349" s="365" t="n"/>
    </row>
    <row r="350">
      <c r="A350" s="49" t="inlineStr">
        <is>
          <t>Equipment</t>
        </is>
      </c>
      <c r="B350" s="358" t="n"/>
      <c r="C350" s="248" t="n"/>
      <c r="D350" s="362">
        <f>B350*C350</f>
        <v/>
      </c>
    </row>
    <row r="351">
      <c r="A351" s="49" t="inlineStr">
        <is>
          <t>Infrastructure</t>
        </is>
      </c>
      <c r="B351" s="358" t="n"/>
      <c r="C351" s="248" t="n"/>
      <c r="D351" s="362">
        <f>B351*C351</f>
        <v/>
      </c>
    </row>
    <row r="352">
      <c r="A352" s="49" t="inlineStr">
        <is>
          <t>Other assets</t>
        </is>
      </c>
      <c r="B352" s="358" t="n"/>
      <c r="C352" s="248" t="n"/>
      <c r="D352" s="362">
        <f>B352*C352</f>
        <v/>
      </c>
    </row>
    <row r="353">
      <c r="A353" s="28" t="inlineStr">
        <is>
          <t>C.3 Other goods, works and services</t>
        </is>
      </c>
      <c r="B353" s="347" t="n"/>
      <c r="C353" s="111" t="n"/>
      <c r="D353" s="365" t="n"/>
    </row>
    <row r="354">
      <c r="A354" s="49" t="inlineStr">
        <is>
          <t>Consumables</t>
        </is>
      </c>
      <c r="B354" s="358" t="n"/>
      <c r="C354" s="248" t="n"/>
      <c r="D354" s="362">
        <f>B354*C354</f>
        <v/>
      </c>
    </row>
    <row r="355">
      <c r="A355" s="49" t="inlineStr">
        <is>
          <t>Services for meetings, seminars</t>
        </is>
      </c>
      <c r="B355" s="358" t="n"/>
      <c r="C355" s="248" t="n"/>
      <c r="D355" s="362">
        <f>B355*C355</f>
        <v/>
      </c>
    </row>
    <row r="356">
      <c r="A356" s="49" t="inlineStr">
        <is>
          <t>Services for dissemination activities (including website)</t>
        </is>
      </c>
      <c r="B356" s="358" t="n"/>
      <c r="C356" s="248" t="n"/>
      <c r="D356" s="362">
        <f>B356*C356</f>
        <v/>
      </c>
    </row>
    <row r="357">
      <c r="A357" s="49" t="inlineStr">
        <is>
          <t>Publication fees</t>
        </is>
      </c>
      <c r="B357" s="358" t="n"/>
      <c r="C357" s="248" t="n"/>
      <c r="D357" s="362">
        <f>B357*C357</f>
        <v/>
      </c>
    </row>
    <row r="358">
      <c r="A358" s="49" t="inlineStr">
        <is>
          <t>Other (shipment, insurance, translation, etc.)</t>
        </is>
      </c>
      <c r="B358" s="358" t="n"/>
      <c r="C358" s="248" t="n"/>
      <c r="D358" s="362">
        <f>B358*C358</f>
        <v/>
      </c>
    </row>
    <row r="359">
      <c r="A359" s="29" t="inlineStr">
        <is>
          <t>D. OTHER COST CATEGORIES</t>
        </is>
      </c>
      <c r="B359" s="359" t="n"/>
      <c r="C359" s="110" t="n"/>
      <c r="D359" s="360" t="n"/>
    </row>
    <row r="360">
      <c r="A360" s="50" t="inlineStr">
        <is>
          <t>D.1 Financial support to third parties (if applicable in the topic specific conditions)</t>
        </is>
      </c>
      <c r="B360" s="358" t="n"/>
      <c r="C360" s="248" t="n"/>
      <c r="D360" s="362">
        <f>B360*C360</f>
        <v/>
      </c>
    </row>
    <row r="361">
      <c r="A361" s="50" t="inlineStr">
        <is>
          <t>D.2 Internally invoiced goods and services</t>
        </is>
      </c>
      <c r="B361" s="358" t="n"/>
      <c r="C361" s="248" t="n"/>
      <c r="D361" s="362">
        <f>B361*C361</f>
        <v/>
      </c>
    </row>
    <row r="362">
      <c r="A362" s="50" t="inlineStr">
        <is>
          <t>D.3 Transnational access to research infrastructure unit costs (if mentioned as eligible in the topic specific conditions)</t>
        </is>
      </c>
      <c r="B362" s="358" t="n"/>
      <c r="C362" s="248" t="n"/>
      <c r="D362" s="362">
        <f>B362*C362</f>
        <v/>
      </c>
    </row>
    <row r="363">
      <c r="A363" s="50" t="inlineStr">
        <is>
          <t>D.4 Virtual access to research infrastructure unit costs (if mentioned as eligible in the topic specific conditions)</t>
        </is>
      </c>
      <c r="B363" s="358" t="n"/>
      <c r="C363" s="248" t="n"/>
      <c r="D363" s="362">
        <f>B363*C363</f>
        <v/>
      </c>
    </row>
    <row r="364">
      <c r="A364" s="50" t="inlineStr">
        <is>
          <t>D.5 PCP/PPI procurement costs (if mentioned as eligible in the topic specific conditions)</t>
        </is>
      </c>
      <c r="B364" s="358" t="n"/>
      <c r="C364" s="248" t="n"/>
      <c r="D364" s="362">
        <f>B364*C364</f>
        <v/>
      </c>
    </row>
    <row r="365">
      <c r="A365" s="50" t="n"/>
      <c r="B365" s="347" t="n"/>
      <c r="C365" s="111" t="n"/>
      <c r="D365" s="366" t="n"/>
    </row>
    <row r="366">
      <c r="A366" s="52" t="inlineStr">
        <is>
          <t>TOTAL DIRECT PERSONNEL COSTS AND PURCHASE COSTS (A+C)</t>
        </is>
      </c>
      <c r="B366" s="370" t="n"/>
      <c r="C366" s="230" t="n"/>
      <c r="D366" s="361">
        <f>SUM(D337:D344,D348:D358)</f>
        <v/>
      </c>
    </row>
    <row r="367">
      <c r="A367" s="52" t="inlineStr">
        <is>
          <t>TOTAL DIRECT COSTS  (A+B+C+D)</t>
        </is>
      </c>
      <c r="B367" s="370" t="n"/>
      <c r="C367" s="230" t="n"/>
      <c r="D367" s="361">
        <f>SUM(D337:D364)</f>
        <v/>
      </c>
    </row>
    <row r="368">
      <c r="A368" s="180" t="n"/>
      <c r="B368" s="373" t="n"/>
      <c r="C368" s="176" t="n"/>
      <c r="D368" s="374" t="n"/>
    </row>
    <row r="369">
      <c r="A369" s="29" t="inlineStr">
        <is>
          <t>E. INDIRECT COSTS (25% * (A+C))</t>
        </is>
      </c>
      <c r="B369" s="359" t="n"/>
      <c r="C369" s="110" t="n"/>
      <c r="D369" s="361">
        <f>D366*0.25</f>
        <v/>
      </c>
    </row>
    <row r="370">
      <c r="A370" s="32" t="n"/>
      <c r="B370" s="373" t="n"/>
      <c r="C370" s="176" t="n"/>
      <c r="D370" s="378" t="n"/>
    </row>
    <row r="371">
      <c r="A371" s="29" t="inlineStr">
        <is>
          <t>F. TOTAL COSTS (A+B+C+D+E)</t>
        </is>
      </c>
      <c r="B371" s="370" t="n"/>
      <c r="C371" s="230" t="n"/>
      <c r="D371" s="361">
        <f>D367+D369</f>
        <v/>
      </c>
    </row>
    <row r="372">
      <c r="A372" s="182" t="n"/>
      <c r="B372" s="183" t="n"/>
      <c r="C372" s="184" t="n"/>
      <c r="D372" s="183" t="n"/>
    </row>
    <row r="373">
      <c r="A373" s="190" t="n"/>
      <c r="B373" s="185" t="n"/>
      <c r="C373" s="186" t="n"/>
      <c r="D373" s="187" t="n"/>
    </row>
    <row r="374" ht="21" customHeight="1">
      <c r="A374" s="306">
        <f>CONCATENATE("COSTS WORK PACKAGE 10:"," ","Adaptation of O&amp;M Platform")</f>
        <v/>
      </c>
      <c r="B374" s="315" t="n"/>
      <c r="C374" s="315" t="n"/>
      <c r="D374" s="316" t="n"/>
    </row>
    <row r="375">
      <c r="A375" s="182" t="n"/>
      <c r="B375" s="191" t="n"/>
      <c r="C375" s="192" t="n"/>
      <c r="D375" s="191" t="n"/>
    </row>
    <row r="376">
      <c r="A376" s="29" t="inlineStr">
        <is>
          <t>A. DIRECT PERSONNEL COSTS</t>
        </is>
      </c>
      <c r="B376" s="30" t="n"/>
      <c r="C376" s="110" t="n"/>
      <c r="D376" s="355" t="n"/>
    </row>
    <row r="377">
      <c r="A377" s="28" t="inlineStr">
        <is>
          <t>A.1 Employees (or equivalent)</t>
        </is>
      </c>
      <c r="B377" s="89" t="n"/>
      <c r="C377" s="111" t="n"/>
      <c r="D377" s="356" t="n"/>
    </row>
    <row r="378">
      <c r="A378" s="48" t="inlineStr">
        <is>
          <t>SENIOR SCIENTISTS (or equivalent in the private sector)</t>
        </is>
      </c>
      <c r="B378" s="358" t="n"/>
      <c r="C378" s="248" t="n">
        <v>5000</v>
      </c>
      <c r="D378" s="232">
        <f>B378*C378</f>
        <v/>
      </c>
    </row>
    <row r="379">
      <c r="A379" s="48" t="inlineStr">
        <is>
          <t>JUNIOR SCIENTISTS (or equivalent in the private sector)</t>
        </is>
      </c>
      <c r="B379" s="358" t="n">
        <v>2</v>
      </c>
      <c r="C379" s="248" t="n">
        <v>4000</v>
      </c>
      <c r="D379" s="232">
        <f>B379*C379</f>
        <v/>
      </c>
    </row>
    <row r="380">
      <c r="A380" s="48" t="inlineStr">
        <is>
          <t>TECHNICAL PERSONNEL (or equivalent in the private sector)</t>
        </is>
      </c>
      <c r="B380" s="358" t="n">
        <v>7</v>
      </c>
      <c r="C380" s="248" t="n">
        <v>3400</v>
      </c>
      <c r="D380" s="232">
        <f>B380*C380</f>
        <v/>
      </c>
    </row>
    <row r="381">
      <c r="A381" s="48" t="inlineStr">
        <is>
          <t>ADMINISTRATIVE PERSONNEL (or equivalent in the private sector)</t>
        </is>
      </c>
      <c r="B381" s="358" t="n"/>
      <c r="C381" s="248" t="n">
        <v>3400</v>
      </c>
      <c r="D381" s="232">
        <f>B381*C381</f>
        <v/>
      </c>
    </row>
    <row r="382">
      <c r="A382" s="48" t="inlineStr">
        <is>
          <t>OTHERS</t>
        </is>
      </c>
      <c r="B382" s="358" t="n"/>
      <c r="C382" s="248" t="n"/>
      <c r="D382" s="232">
        <f>B382*C382</f>
        <v/>
      </c>
    </row>
    <row r="383">
      <c r="A383" s="28" t="inlineStr">
        <is>
          <t>A.2 Natural Persons under direct contract</t>
        </is>
      </c>
      <c r="B383" s="358" t="n"/>
      <c r="C383" s="248" t="n"/>
      <c r="D383" s="232">
        <f>B383*C383</f>
        <v/>
      </c>
    </row>
    <row r="384">
      <c r="A384" s="28" t="inlineStr">
        <is>
          <t>A.3 Seconded Persons</t>
        </is>
      </c>
      <c r="B384" s="358" t="n"/>
      <c r="C384" s="248" t="n"/>
      <c r="D384" s="232">
        <f>B384*C384</f>
        <v/>
      </c>
    </row>
    <row r="385">
      <c r="A385" s="28" t="inlineStr">
        <is>
          <t>A.4 SME owners and natural person beneficiaries</t>
        </is>
      </c>
      <c r="B385" s="358" t="n"/>
      <c r="C385" s="256" t="n">
        <v>8360.6024</v>
      </c>
      <c r="D385" s="232">
        <f>B385*C385</f>
        <v/>
      </c>
    </row>
    <row r="386">
      <c r="A386" s="29" t="inlineStr">
        <is>
          <t>B. DIRECT SUBCONTRACTING COSTS</t>
        </is>
      </c>
      <c r="B386" s="359" t="n"/>
      <c r="C386" s="110" t="n"/>
      <c r="D386" s="360" t="n"/>
    </row>
    <row r="387">
      <c r="A387" s="53" t="n"/>
      <c r="B387" s="358" t="n"/>
      <c r="C387" s="248" t="n"/>
      <c r="D387" s="362">
        <f>B387*C387</f>
        <v/>
      </c>
    </row>
    <row r="388">
      <c r="A388" s="29" t="inlineStr">
        <is>
          <t>C. DIRECT PURCHASE COSTS</t>
        </is>
      </c>
      <c r="B388" s="359" t="n"/>
      <c r="C388" s="110" t="n"/>
      <c r="D388" s="360" t="n"/>
    </row>
    <row r="389">
      <c r="A389" s="28" t="inlineStr">
        <is>
          <t>C.1 Travel and subsistence</t>
        </is>
      </c>
      <c r="B389" s="358" t="n"/>
      <c r="C389" s="248" t="n"/>
      <c r="D389" s="362">
        <f>B389*C389</f>
        <v/>
      </c>
    </row>
    <row r="390">
      <c r="A390" s="28" t="inlineStr">
        <is>
          <t>C.2 Equipment (complete 'Depreciation costs' sheet)</t>
        </is>
      </c>
      <c r="B390" s="347" t="n"/>
      <c r="C390" s="111" t="n"/>
      <c r="D390" s="365" t="n"/>
    </row>
    <row r="391">
      <c r="A391" s="49" t="inlineStr">
        <is>
          <t>Equipment</t>
        </is>
      </c>
      <c r="B391" s="358" t="n"/>
      <c r="C391" s="248" t="n"/>
      <c r="D391" s="362">
        <f>B391*C391</f>
        <v/>
      </c>
    </row>
    <row r="392">
      <c r="A392" s="49" t="inlineStr">
        <is>
          <t>Infrastructure</t>
        </is>
      </c>
      <c r="B392" s="358" t="n"/>
      <c r="C392" s="248" t="n"/>
      <c r="D392" s="362">
        <f>B392*C392</f>
        <v/>
      </c>
    </row>
    <row r="393">
      <c r="A393" s="49" t="inlineStr">
        <is>
          <t>Other assets</t>
        </is>
      </c>
      <c r="B393" s="358" t="n"/>
      <c r="C393" s="248" t="n"/>
      <c r="D393" s="362">
        <f>B393*C393</f>
        <v/>
      </c>
    </row>
    <row r="394">
      <c r="A394" s="28" t="inlineStr">
        <is>
          <t>C.3 Other goods, works and services</t>
        </is>
      </c>
      <c r="B394" s="347" t="n"/>
      <c r="C394" s="111" t="n"/>
      <c r="D394" s="365" t="n"/>
    </row>
    <row r="395">
      <c r="A395" s="49" t="inlineStr">
        <is>
          <t>Consumables</t>
        </is>
      </c>
      <c r="B395" s="358" t="n"/>
      <c r="C395" s="248" t="n"/>
      <c r="D395" s="362">
        <f>B395*C395</f>
        <v/>
      </c>
    </row>
    <row r="396">
      <c r="A396" s="49" t="inlineStr">
        <is>
          <t>Services for meetings, seminars</t>
        </is>
      </c>
      <c r="B396" s="358" t="n"/>
      <c r="C396" s="248" t="n"/>
      <c r="D396" s="362">
        <f>B396*C396</f>
        <v/>
      </c>
    </row>
    <row r="397">
      <c r="A397" s="49" t="inlineStr">
        <is>
          <t>Services for dissemination activities (including website)</t>
        </is>
      </c>
      <c r="B397" s="358" t="n"/>
      <c r="C397" s="248" t="n"/>
      <c r="D397" s="362">
        <f>B397*C397</f>
        <v/>
      </c>
    </row>
    <row r="398">
      <c r="A398" s="49" t="inlineStr">
        <is>
          <t>Publication fees</t>
        </is>
      </c>
      <c r="B398" s="358" t="n"/>
      <c r="C398" s="248" t="n"/>
      <c r="D398" s="362">
        <f>B398*C398</f>
        <v/>
      </c>
    </row>
    <row r="399">
      <c r="A399" s="49" t="inlineStr">
        <is>
          <t>Other (shipment, insurance, translation, etc.)</t>
        </is>
      </c>
      <c r="B399" s="358" t="n"/>
      <c r="C399" s="248" t="n"/>
      <c r="D399" s="362">
        <f>B399*C399</f>
        <v/>
      </c>
    </row>
    <row r="400">
      <c r="A400" s="29" t="inlineStr">
        <is>
          <t>D. OTHER COST CATEGORIES</t>
        </is>
      </c>
      <c r="B400" s="359" t="n"/>
      <c r="C400" s="110" t="n"/>
      <c r="D400" s="360" t="n"/>
    </row>
    <row r="401">
      <c r="A401" s="50" t="inlineStr">
        <is>
          <t>D.1 Financial support to third parties (if applicable in the topic specific conditions)</t>
        </is>
      </c>
      <c r="B401" s="358" t="n"/>
      <c r="C401" s="248" t="n"/>
      <c r="D401" s="362">
        <f>B401*C401</f>
        <v/>
      </c>
    </row>
    <row r="402">
      <c r="A402" s="50" t="inlineStr">
        <is>
          <t>D.2 Internally invoiced goods and services</t>
        </is>
      </c>
      <c r="B402" s="358" t="n"/>
      <c r="C402" s="248" t="n"/>
      <c r="D402" s="362">
        <f>B402*C402</f>
        <v/>
      </c>
    </row>
    <row r="403">
      <c r="A403" s="50" t="inlineStr">
        <is>
          <t>D.3 Transnational access to research infrastructure unit costs (if mentioned as eligible in the topic specific conditions)</t>
        </is>
      </c>
      <c r="B403" s="358" t="n"/>
      <c r="C403" s="248" t="n"/>
      <c r="D403" s="362">
        <f>B403*C403</f>
        <v/>
      </c>
    </row>
    <row r="404">
      <c r="A404" s="50" t="inlineStr">
        <is>
          <t>D.4 Virtual access to research infrastructure unit costs (if mentioned as eligible in the topic specific conditions)</t>
        </is>
      </c>
      <c r="B404" s="358" t="n"/>
      <c r="C404" s="248" t="n"/>
      <c r="D404" s="362">
        <f>B404*C404</f>
        <v/>
      </c>
    </row>
    <row r="405">
      <c r="A405" s="50" t="inlineStr">
        <is>
          <t>D.5 PCP/PPI procurement costs (if mentioned as eligible in the topic specific conditions)</t>
        </is>
      </c>
      <c r="B405" s="358" t="n"/>
      <c r="C405" s="248" t="n"/>
      <c r="D405" s="362">
        <f>B405*C405</f>
        <v/>
      </c>
    </row>
    <row r="406">
      <c r="A406" s="50" t="n"/>
      <c r="B406" s="347" t="n"/>
      <c r="C406" s="111" t="n"/>
      <c r="D406" s="366" t="n"/>
    </row>
    <row r="407">
      <c r="A407" s="52" t="inlineStr">
        <is>
          <t>TOTAL DIRECT PERSONNEL COSTS AND PURCHASE COSTS (A+C)</t>
        </is>
      </c>
      <c r="B407" s="370" t="n"/>
      <c r="C407" s="230" t="n"/>
      <c r="D407" s="361">
        <f>SUM(D378:D385,D389:D399)</f>
        <v/>
      </c>
    </row>
    <row r="408">
      <c r="A408" s="52" t="inlineStr">
        <is>
          <t>TOTAL DIRECT COSTS  (A+B+C+D)</t>
        </is>
      </c>
      <c r="B408" s="370" t="n"/>
      <c r="C408" s="230" t="n"/>
      <c r="D408" s="361">
        <f>SUM(D378:D405)</f>
        <v/>
      </c>
    </row>
    <row r="409">
      <c r="A409" s="180" t="n"/>
      <c r="B409" s="373" t="n"/>
      <c r="C409" s="176" t="n"/>
      <c r="D409" s="374" t="n"/>
    </row>
    <row r="410">
      <c r="A410" s="29" t="inlineStr">
        <is>
          <t>E. INDIRECT COSTS (25% * (A+C))</t>
        </is>
      </c>
      <c r="B410" s="359" t="n"/>
      <c r="C410" s="110" t="n"/>
      <c r="D410" s="361">
        <f>D407*0.25</f>
        <v/>
      </c>
    </row>
    <row r="411">
      <c r="A411" s="32" t="n"/>
      <c r="B411" s="373" t="n"/>
      <c r="C411" s="176" t="n"/>
      <c r="D411" s="378" t="n"/>
    </row>
    <row r="412">
      <c r="A412" s="29" t="inlineStr">
        <is>
          <t>F. TOTAL COSTS (A+B+C+D+E)</t>
        </is>
      </c>
      <c r="B412" s="370" t="n"/>
      <c r="C412" s="230" t="n"/>
      <c r="D412" s="361">
        <f>D408+D410</f>
        <v/>
      </c>
    </row>
    <row r="413">
      <c r="A413" s="182" t="n"/>
      <c r="B413" s="183" t="n"/>
      <c r="C413" s="184" t="n"/>
      <c r="D413" s="183" t="n"/>
    </row>
    <row r="414">
      <c r="A414" s="190" t="n"/>
      <c r="B414" s="185" t="n"/>
      <c r="C414" s="186" t="n"/>
      <c r="D414" s="187" t="n"/>
    </row>
    <row r="415" ht="21" customHeight="1">
      <c r="A415" s="306">
        <f>CONCATENATE("COSTS WORK PACKAGE 11:"," ","System integration for unified O&amp;M Platform")</f>
        <v/>
      </c>
      <c r="B415" s="315" t="n"/>
      <c r="C415" s="315" t="n"/>
      <c r="D415" s="316" t="n"/>
    </row>
    <row r="416">
      <c r="A416" s="182" t="n"/>
      <c r="B416" s="191" t="n"/>
      <c r="C416" s="192" t="n"/>
      <c r="D416" s="191" t="n"/>
    </row>
    <row r="417">
      <c r="A417" s="29" t="inlineStr">
        <is>
          <t>A. DIRECT PERSONNEL COSTS</t>
        </is>
      </c>
      <c r="B417" s="30" t="n"/>
      <c r="C417" s="110" t="n"/>
      <c r="D417" s="355" t="n"/>
    </row>
    <row r="418">
      <c r="A418" s="28" t="inlineStr">
        <is>
          <t>A.1 Employees (or equivalent)</t>
        </is>
      </c>
      <c r="B418" s="89" t="n"/>
      <c r="C418" s="111" t="n"/>
      <c r="D418" s="356" t="n"/>
    </row>
    <row r="419">
      <c r="A419" s="48" t="inlineStr">
        <is>
          <t>SENIOR SCIENTISTS (or equivalent in the private sector)</t>
        </is>
      </c>
      <c r="B419" s="358" t="n"/>
      <c r="C419" s="248" t="n">
        <v>5000</v>
      </c>
      <c r="D419" s="232">
        <f>B419*C419</f>
        <v/>
      </c>
    </row>
    <row r="420">
      <c r="A420" s="48" t="inlineStr">
        <is>
          <t>JUNIOR SCIENTISTS (or equivalent in the private sector)</t>
        </is>
      </c>
      <c r="B420" s="358" t="n">
        <v>2</v>
      </c>
      <c r="C420" s="248" t="n">
        <v>4000</v>
      </c>
      <c r="D420" s="232">
        <f>B420*C420</f>
        <v/>
      </c>
    </row>
    <row r="421">
      <c r="A421" s="48" t="inlineStr">
        <is>
          <t>TECHNICAL PERSONNEL (or equivalent in the private sector)</t>
        </is>
      </c>
      <c r="B421" s="358" t="n">
        <v>2</v>
      </c>
      <c r="C421" s="248" t="n">
        <v>3400</v>
      </c>
      <c r="D421" s="232">
        <f>B421*C421</f>
        <v/>
      </c>
    </row>
    <row r="422">
      <c r="A422" s="48" t="inlineStr">
        <is>
          <t>ADMINISTRATIVE PERSONNEL (or equivalent in the private sector)</t>
        </is>
      </c>
      <c r="B422" s="358" t="n"/>
      <c r="C422" s="248" t="n">
        <v>3400</v>
      </c>
      <c r="D422" s="232">
        <f>B422*C422</f>
        <v/>
      </c>
    </row>
    <row r="423">
      <c r="A423" s="48" t="inlineStr">
        <is>
          <t>OTHERS</t>
        </is>
      </c>
      <c r="B423" s="358" t="n"/>
      <c r="C423" s="248" t="n"/>
      <c r="D423" s="232">
        <f>B423*C423</f>
        <v/>
      </c>
    </row>
    <row r="424">
      <c r="A424" s="28" t="inlineStr">
        <is>
          <t>A.2 Natural Persons under direct contract</t>
        </is>
      </c>
      <c r="B424" s="358" t="n"/>
      <c r="C424" s="248" t="n"/>
      <c r="D424" s="232">
        <f>B424*C424</f>
        <v/>
      </c>
    </row>
    <row r="425">
      <c r="A425" s="28" t="inlineStr">
        <is>
          <t>A.3 Seconded Persons</t>
        </is>
      </c>
      <c r="B425" s="358" t="n"/>
      <c r="C425" s="248" t="n"/>
      <c r="D425" s="232">
        <f>B425*C425</f>
        <v/>
      </c>
    </row>
    <row r="426">
      <c r="A426" s="28" t="inlineStr">
        <is>
          <t>A.4 SME owners and natural person beneficiaries</t>
        </is>
      </c>
      <c r="B426" s="358" t="n"/>
      <c r="C426" s="256" t="n">
        <v>8360.6024</v>
      </c>
      <c r="D426" s="232">
        <f>B426*C426</f>
        <v/>
      </c>
    </row>
    <row r="427">
      <c r="A427" s="29" t="inlineStr">
        <is>
          <t>B. DIRECT SUBCONTRACTING COSTS</t>
        </is>
      </c>
      <c r="B427" s="359" t="n"/>
      <c r="C427" s="110" t="n"/>
      <c r="D427" s="360" t="n"/>
    </row>
    <row r="428">
      <c r="A428" s="53" t="n"/>
      <c r="B428" s="358" t="n"/>
      <c r="C428" s="248" t="n"/>
      <c r="D428" s="362">
        <f>B428*C428</f>
        <v/>
      </c>
    </row>
    <row r="429">
      <c r="A429" s="29" t="inlineStr">
        <is>
          <t>C. DIRECT PURCHASE COSTS</t>
        </is>
      </c>
      <c r="B429" s="359" t="n"/>
      <c r="C429" s="110" t="n"/>
      <c r="D429" s="360" t="n"/>
    </row>
    <row r="430">
      <c r="A430" s="28" t="inlineStr">
        <is>
          <t>C.1 Travel and subsistence</t>
        </is>
      </c>
      <c r="B430" s="358" t="n"/>
      <c r="C430" s="248" t="n"/>
      <c r="D430" s="362">
        <f>B430*C430</f>
        <v/>
      </c>
    </row>
    <row r="431">
      <c r="A431" s="28" t="inlineStr">
        <is>
          <t>C.2 Equipment (complete 'Depreciation costs' sheet)</t>
        </is>
      </c>
      <c r="B431" s="347" t="n"/>
      <c r="C431" s="111" t="n"/>
      <c r="D431" s="365" t="n"/>
    </row>
    <row r="432">
      <c r="A432" s="49" t="inlineStr">
        <is>
          <t>Equipment</t>
        </is>
      </c>
      <c r="B432" s="358" t="n"/>
      <c r="C432" s="248" t="n"/>
      <c r="D432" s="362">
        <f>B432*C432</f>
        <v/>
      </c>
    </row>
    <row r="433">
      <c r="A433" s="49" t="inlineStr">
        <is>
          <t>Infrastructure</t>
        </is>
      </c>
      <c r="B433" s="358" t="n"/>
      <c r="C433" s="248" t="n"/>
      <c r="D433" s="362">
        <f>B433*C433</f>
        <v/>
      </c>
    </row>
    <row r="434">
      <c r="A434" s="49" t="inlineStr">
        <is>
          <t>Other assets</t>
        </is>
      </c>
      <c r="B434" s="358" t="n"/>
      <c r="C434" s="248" t="n"/>
      <c r="D434" s="362">
        <f>B434*C434</f>
        <v/>
      </c>
    </row>
    <row r="435">
      <c r="A435" s="28" t="inlineStr">
        <is>
          <t>C.3 Other goods, works and services</t>
        </is>
      </c>
      <c r="B435" s="347" t="n"/>
      <c r="C435" s="111" t="n"/>
      <c r="D435" s="365" t="n"/>
    </row>
    <row r="436">
      <c r="A436" s="49" t="inlineStr">
        <is>
          <t>Consumables</t>
        </is>
      </c>
      <c r="B436" s="358" t="n"/>
      <c r="C436" s="248" t="n"/>
      <c r="D436" s="362">
        <f>B436*C436</f>
        <v/>
      </c>
    </row>
    <row r="437">
      <c r="A437" s="49" t="inlineStr">
        <is>
          <t>Services for meetings, seminars</t>
        </is>
      </c>
      <c r="B437" s="358" t="n"/>
      <c r="C437" s="248" t="n"/>
      <c r="D437" s="362">
        <f>B437*C437</f>
        <v/>
      </c>
    </row>
    <row r="438">
      <c r="A438" s="49" t="inlineStr">
        <is>
          <t>Services for dissemination activities (including website)</t>
        </is>
      </c>
      <c r="B438" s="358" t="n"/>
      <c r="C438" s="248" t="n"/>
      <c r="D438" s="362">
        <f>B438*C438</f>
        <v/>
      </c>
    </row>
    <row r="439">
      <c r="A439" s="49" t="inlineStr">
        <is>
          <t>Publication fees</t>
        </is>
      </c>
      <c r="B439" s="358" t="n"/>
      <c r="C439" s="248" t="n"/>
      <c r="D439" s="362">
        <f>B439*C439</f>
        <v/>
      </c>
    </row>
    <row r="440">
      <c r="A440" s="49" t="inlineStr">
        <is>
          <t>Other (shipment, insurance, translation, etc.)</t>
        </is>
      </c>
      <c r="B440" s="358" t="n"/>
      <c r="C440" s="248" t="n"/>
      <c r="D440" s="362">
        <f>B440*C440</f>
        <v/>
      </c>
    </row>
    <row r="441">
      <c r="A441" s="29" t="inlineStr">
        <is>
          <t>D. OTHER COST CATEGORIES</t>
        </is>
      </c>
      <c r="B441" s="359" t="n"/>
      <c r="C441" s="110" t="n"/>
      <c r="D441" s="360" t="n"/>
    </row>
    <row r="442">
      <c r="A442" s="50" t="inlineStr">
        <is>
          <t>D.1 Financial support to third parties (if applicable in the topic specific conditions)</t>
        </is>
      </c>
      <c r="B442" s="358" t="n"/>
      <c r="C442" s="248" t="n"/>
      <c r="D442" s="362">
        <f>B442*C442</f>
        <v/>
      </c>
    </row>
    <row r="443">
      <c r="A443" s="50" t="inlineStr">
        <is>
          <t>D.2 Internally invoiced goods and services</t>
        </is>
      </c>
      <c r="B443" s="358" t="n"/>
      <c r="C443" s="248" t="n"/>
      <c r="D443" s="362">
        <f>B443*C443</f>
        <v/>
      </c>
    </row>
    <row r="444">
      <c r="A444" s="50" t="inlineStr">
        <is>
          <t>D.3 Transnational access to research infrastructure unit costs (if mentioned as eligible in the topic specific conditions)</t>
        </is>
      </c>
      <c r="B444" s="358" t="n"/>
      <c r="C444" s="248" t="n"/>
      <c r="D444" s="362">
        <f>B444*C444</f>
        <v/>
      </c>
    </row>
    <row r="445">
      <c r="A445" s="50" t="inlineStr">
        <is>
          <t>D.4 Virtual access to research infrastructure unit costs (if mentioned as eligible in the topic specific conditions)</t>
        </is>
      </c>
      <c r="B445" s="358" t="n"/>
      <c r="C445" s="248" t="n"/>
      <c r="D445" s="362">
        <f>B445*C445</f>
        <v/>
      </c>
    </row>
    <row r="446">
      <c r="A446" s="50" t="inlineStr">
        <is>
          <t>D.5 PCP/PPI procurement costs (if mentioned as eligible in the topic specific conditions)</t>
        </is>
      </c>
      <c r="B446" s="358" t="n"/>
      <c r="C446" s="248" t="n"/>
      <c r="D446" s="362">
        <f>B446*C446</f>
        <v/>
      </c>
    </row>
    <row r="447">
      <c r="A447" s="50" t="n"/>
      <c r="B447" s="347" t="n"/>
      <c r="C447" s="111" t="n"/>
      <c r="D447" s="366" t="n"/>
    </row>
    <row r="448">
      <c r="A448" s="52" t="inlineStr">
        <is>
          <t>TOTAL DIRECT PERSONNEL COSTS AND PURCHASE COSTS (A+C)</t>
        </is>
      </c>
      <c r="B448" s="370" t="n"/>
      <c r="C448" s="230" t="n"/>
      <c r="D448" s="361">
        <f>SUM(D419:D426,D430:D440)</f>
        <v/>
      </c>
    </row>
    <row r="449">
      <c r="A449" s="52" t="inlineStr">
        <is>
          <t>TOTAL DIRECT COSTS  (A+B+C+D)</t>
        </is>
      </c>
      <c r="B449" s="370" t="n"/>
      <c r="C449" s="230" t="n"/>
      <c r="D449" s="361">
        <f>SUM(D419:D446)</f>
        <v/>
      </c>
    </row>
    <row r="450">
      <c r="A450" s="180" t="n"/>
      <c r="B450" s="373" t="n"/>
      <c r="C450" s="176" t="n"/>
      <c r="D450" s="374" t="n"/>
    </row>
    <row r="451">
      <c r="A451" s="29" t="inlineStr">
        <is>
          <t>E. INDIRECT COSTS (25% * (A+C))</t>
        </is>
      </c>
      <c r="B451" s="359" t="n"/>
      <c r="C451" s="110" t="n"/>
      <c r="D451" s="361">
        <f>D448*0.25</f>
        <v/>
      </c>
    </row>
    <row r="452">
      <c r="A452" s="32" t="n"/>
      <c r="B452" s="373" t="n"/>
      <c r="C452" s="176" t="n"/>
      <c r="D452" s="378" t="n"/>
    </row>
    <row r="453">
      <c r="A453" s="29" t="inlineStr">
        <is>
          <t>F. TOTAL COSTS (A+B+C+D+E)</t>
        </is>
      </c>
      <c r="B453" s="370" t="n"/>
      <c r="C453" s="230" t="n"/>
      <c r="D453" s="361">
        <f>D449+D451</f>
        <v/>
      </c>
    </row>
    <row r="454">
      <c r="A454" s="182" t="n"/>
      <c r="B454" s="183" t="n"/>
      <c r="C454" s="184" t="n"/>
      <c r="D454" s="183" t="n"/>
    </row>
    <row r="455">
      <c r="A455" s="190" t="n"/>
      <c r="B455" s="185" t="n"/>
      <c r="C455" s="186" t="n"/>
      <c r="D455" s="187" t="n"/>
    </row>
    <row r="456" ht="21" customHeight="1">
      <c r="A456" s="306">
        <f>CONCATENATE("COSTS WORK PACKAGE 12:"," ","System-Level Demonstration and Validation")</f>
        <v/>
      </c>
      <c r="B456" s="315" t="n"/>
      <c r="C456" s="315" t="n"/>
      <c r="D456" s="316" t="n"/>
    </row>
    <row r="457">
      <c r="A457" s="182" t="n"/>
      <c r="B457" s="191" t="n"/>
      <c r="C457" s="192" t="n"/>
      <c r="D457" s="191" t="n"/>
    </row>
    <row r="458">
      <c r="A458" s="29" t="inlineStr">
        <is>
          <t>A. DIRECT PERSONNEL COSTS</t>
        </is>
      </c>
      <c r="B458" s="30" t="n"/>
      <c r="C458" s="110" t="n"/>
      <c r="D458" s="355" t="n"/>
    </row>
    <row r="459">
      <c r="A459" s="28" t="inlineStr">
        <is>
          <t>A.1 Employees (or equivalent)</t>
        </is>
      </c>
      <c r="B459" s="89" t="n"/>
      <c r="C459" s="111" t="n"/>
      <c r="D459" s="356" t="n"/>
    </row>
    <row r="460">
      <c r="A460" s="48" t="inlineStr">
        <is>
          <t>SENIOR SCIENTISTS (or equivalent in the private sector)</t>
        </is>
      </c>
      <c r="B460" s="358" t="n">
        <v>6</v>
      </c>
      <c r="C460" s="248" t="n">
        <v>5000</v>
      </c>
      <c r="D460" s="232">
        <f>B460*C460</f>
        <v/>
      </c>
    </row>
    <row r="461">
      <c r="A461" s="48" t="inlineStr">
        <is>
          <t>JUNIOR SCIENTISTS (or equivalent in the private sector)</t>
        </is>
      </c>
      <c r="B461" s="358" t="n">
        <v>3</v>
      </c>
      <c r="C461" s="248" t="n">
        <v>4000</v>
      </c>
      <c r="D461" s="232">
        <f>B461*C461</f>
        <v/>
      </c>
    </row>
    <row r="462">
      <c r="A462" s="48" t="inlineStr">
        <is>
          <t>TECHNICAL PERSONNEL (or equivalent in the private sector)</t>
        </is>
      </c>
      <c r="B462" s="358" t="n">
        <v>10</v>
      </c>
      <c r="C462" s="248" t="n">
        <v>3400</v>
      </c>
      <c r="D462" s="232">
        <f>B462*C462</f>
        <v/>
      </c>
    </row>
    <row r="463">
      <c r="A463" s="48" t="inlineStr">
        <is>
          <t>ADMINISTRATIVE PERSONNEL (or equivalent in the private sector)</t>
        </is>
      </c>
      <c r="B463" s="358" t="n"/>
      <c r="C463" s="248" t="n">
        <v>3400</v>
      </c>
      <c r="D463" s="232">
        <f>B463*C463</f>
        <v/>
      </c>
    </row>
    <row r="464">
      <c r="A464" s="48" t="inlineStr">
        <is>
          <t>OTHERS</t>
        </is>
      </c>
      <c r="B464" s="358" t="n"/>
      <c r="C464" s="248" t="n"/>
      <c r="D464" s="232">
        <f>B464*C464</f>
        <v/>
      </c>
    </row>
    <row r="465">
      <c r="A465" s="28" t="inlineStr">
        <is>
          <t>A.2 Natural Persons under direct contract</t>
        </is>
      </c>
      <c r="B465" s="358" t="n"/>
      <c r="C465" s="248" t="n"/>
      <c r="D465" s="232">
        <f>B465*C465</f>
        <v/>
      </c>
    </row>
    <row r="466">
      <c r="A466" s="28" t="inlineStr">
        <is>
          <t>A.3 Seconded Persons</t>
        </is>
      </c>
      <c r="B466" s="358" t="n"/>
      <c r="C466" s="248" t="n"/>
      <c r="D466" s="232">
        <f>B466*C466</f>
        <v/>
      </c>
    </row>
    <row r="467">
      <c r="A467" s="28" t="inlineStr">
        <is>
          <t>A.4 SME owners and natural person beneficiaries</t>
        </is>
      </c>
      <c r="B467" s="358" t="n"/>
      <c r="C467" s="256" t="n">
        <v>8360.6024</v>
      </c>
      <c r="D467" s="232">
        <f>B467*C467</f>
        <v/>
      </c>
    </row>
    <row r="468">
      <c r="A468" s="29" t="inlineStr">
        <is>
          <t>B. DIRECT SUBCONTRACTING COSTS</t>
        </is>
      </c>
      <c r="B468" s="359" t="n"/>
      <c r="C468" s="110" t="n"/>
      <c r="D468" s="360" t="n"/>
    </row>
    <row r="469">
      <c r="A469" s="53" t="n"/>
      <c r="B469" s="358" t="n"/>
      <c r="C469" s="248" t="n"/>
      <c r="D469" s="362">
        <f>B469*C469</f>
        <v/>
      </c>
    </row>
    <row r="470">
      <c r="A470" s="29" t="inlineStr">
        <is>
          <t>C. DIRECT PURCHASE COSTS</t>
        </is>
      </c>
      <c r="B470" s="359" t="n"/>
      <c r="C470" s="110" t="n"/>
      <c r="D470" s="360" t="n"/>
    </row>
    <row r="471">
      <c r="A471" s="28" t="inlineStr">
        <is>
          <t>C.1 Travel and subsistence</t>
        </is>
      </c>
      <c r="B471" s="358" t="n"/>
      <c r="C471" s="248" t="n"/>
      <c r="D471" s="362">
        <f>B471*C471</f>
        <v/>
      </c>
    </row>
    <row r="472">
      <c r="A472" s="28" t="inlineStr">
        <is>
          <t>C.2 Equipment (complete 'Depreciation costs' sheet)</t>
        </is>
      </c>
      <c r="B472" s="347" t="n"/>
      <c r="C472" s="111" t="n"/>
      <c r="D472" s="365" t="n"/>
    </row>
    <row r="473">
      <c r="A473" s="49" t="inlineStr">
        <is>
          <t>Equipment</t>
        </is>
      </c>
      <c r="B473" s="358" t="n">
        <v>1</v>
      </c>
      <c r="C473" s="248" t="n">
        <v>15000</v>
      </c>
      <c r="D473" s="362">
        <f>B473*C473</f>
        <v/>
      </c>
    </row>
    <row r="474">
      <c r="A474" s="49" t="inlineStr">
        <is>
          <t>Infrastructure</t>
        </is>
      </c>
      <c r="B474" s="358" t="n"/>
      <c r="C474" s="248" t="n"/>
      <c r="D474" s="362">
        <f>B474*C474</f>
        <v/>
      </c>
    </row>
    <row r="475">
      <c r="A475" s="49" t="inlineStr">
        <is>
          <t>Other assets</t>
        </is>
      </c>
      <c r="B475" s="358" t="n"/>
      <c r="C475" s="248" t="n"/>
      <c r="D475" s="362">
        <f>B475*C475</f>
        <v/>
      </c>
    </row>
    <row r="476">
      <c r="A476" s="28" t="inlineStr">
        <is>
          <t>C.3 Other goods, works and services</t>
        </is>
      </c>
      <c r="B476" s="347" t="n"/>
      <c r="C476" s="111" t="n"/>
      <c r="D476" s="365" t="n"/>
    </row>
    <row r="477">
      <c r="A477" s="49" t="inlineStr">
        <is>
          <t>Consumables</t>
        </is>
      </c>
      <c r="B477" s="358" t="n">
        <v>1</v>
      </c>
      <c r="C477" s="248" t="n">
        <v>4000</v>
      </c>
      <c r="D477" s="362">
        <f>B477*C477</f>
        <v/>
      </c>
    </row>
    <row r="478">
      <c r="A478" s="49" t="inlineStr">
        <is>
          <t>Services for meetings, seminars</t>
        </is>
      </c>
      <c r="B478" s="358" t="n">
        <v>1</v>
      </c>
      <c r="C478" s="248" t="n">
        <v>4500</v>
      </c>
      <c r="D478" s="362">
        <f>B478*C478</f>
        <v/>
      </c>
    </row>
    <row r="479">
      <c r="A479" s="49" t="inlineStr">
        <is>
          <t>Services for dissemination activities (including website)</t>
        </is>
      </c>
      <c r="B479" s="358" t="n"/>
      <c r="C479" s="248" t="n"/>
      <c r="D479" s="362">
        <f>B479*C479</f>
        <v/>
      </c>
    </row>
    <row r="480">
      <c r="A480" s="49" t="inlineStr">
        <is>
          <t>Publication fees</t>
        </is>
      </c>
      <c r="B480" s="358" t="n"/>
      <c r="C480" s="248" t="n"/>
      <c r="D480" s="362">
        <f>B480*C480</f>
        <v/>
      </c>
    </row>
    <row r="481">
      <c r="A481" s="49" t="inlineStr">
        <is>
          <t>Other (shipment, insurance, translation, etc.)</t>
        </is>
      </c>
      <c r="B481" s="358" t="n"/>
      <c r="C481" s="248" t="n"/>
      <c r="D481" s="362">
        <f>B481*C481</f>
        <v/>
      </c>
    </row>
    <row r="482">
      <c r="A482" s="29" t="inlineStr">
        <is>
          <t>D. OTHER COST CATEGORIES</t>
        </is>
      </c>
      <c r="B482" s="359" t="n"/>
      <c r="C482" s="110" t="n"/>
      <c r="D482" s="360" t="n"/>
    </row>
    <row r="483">
      <c r="A483" s="50" t="inlineStr">
        <is>
          <t>D.1 Financial support to third parties (if applicable in the topic specific conditions)</t>
        </is>
      </c>
      <c r="B483" s="358" t="n"/>
      <c r="C483" s="248" t="n"/>
      <c r="D483" s="362">
        <f>B483*C483</f>
        <v/>
      </c>
    </row>
    <row r="484">
      <c r="A484" s="50" t="inlineStr">
        <is>
          <t>D.2 Internally invoiced goods and services</t>
        </is>
      </c>
      <c r="B484" s="358" t="n"/>
      <c r="C484" s="248" t="n"/>
      <c r="D484" s="362">
        <f>B484*C484</f>
        <v/>
      </c>
    </row>
    <row r="485">
      <c r="A485" s="50" t="inlineStr">
        <is>
          <t>D.3 Transnational access to research infrastructure unit costs (if mentioned as eligible in the topic specific conditions)</t>
        </is>
      </c>
      <c r="B485" s="358" t="n"/>
      <c r="C485" s="248" t="n"/>
      <c r="D485" s="362">
        <f>B485*C485</f>
        <v/>
      </c>
    </row>
    <row r="486">
      <c r="A486" s="50" t="inlineStr">
        <is>
          <t>D.4 Virtual access to research infrastructure unit costs (if mentioned as eligible in the topic specific conditions)</t>
        </is>
      </c>
      <c r="B486" s="358" t="n"/>
      <c r="C486" s="248" t="n"/>
      <c r="D486" s="362">
        <f>B486*C486</f>
        <v/>
      </c>
    </row>
    <row r="487">
      <c r="A487" s="50" t="inlineStr">
        <is>
          <t>D.5 PCP/PPI procurement costs (if mentioned as eligible in the topic specific conditions)</t>
        </is>
      </c>
      <c r="B487" s="358" t="n"/>
      <c r="C487" s="248" t="n"/>
      <c r="D487" s="362">
        <f>B487*C487</f>
        <v/>
      </c>
    </row>
    <row r="488">
      <c r="A488" s="50" t="n"/>
      <c r="B488" s="347" t="n"/>
      <c r="C488" s="111" t="n"/>
      <c r="D488" s="366" t="n"/>
    </row>
    <row r="489">
      <c r="A489" s="52" t="inlineStr">
        <is>
          <t>TOTAL DIRECT PERSONNEL COSTS AND PURCHASE COSTS (A+C)</t>
        </is>
      </c>
      <c r="B489" s="370" t="n"/>
      <c r="C489" s="230" t="n"/>
      <c r="D489" s="361">
        <f>SUM(D460:D467,D471:D481)</f>
        <v/>
      </c>
    </row>
    <row r="490">
      <c r="A490" s="52" t="inlineStr">
        <is>
          <t>TOTAL DIRECT COSTS  (A+B+C+D)</t>
        </is>
      </c>
      <c r="B490" s="370" t="n"/>
      <c r="C490" s="230" t="n"/>
      <c r="D490" s="361">
        <f>SUM(D460:D487)</f>
        <v/>
      </c>
    </row>
    <row r="491">
      <c r="A491" s="180" t="n"/>
      <c r="B491" s="373" t="n"/>
      <c r="C491" s="176" t="n"/>
      <c r="D491" s="374" t="n"/>
    </row>
    <row r="492">
      <c r="A492" s="29" t="inlineStr">
        <is>
          <t>E. INDIRECT COSTS (25% * (A+C))</t>
        </is>
      </c>
      <c r="B492" s="359" t="n"/>
      <c r="C492" s="110" t="n"/>
      <c r="D492" s="361">
        <f>D489*0.25</f>
        <v/>
      </c>
    </row>
    <row r="493">
      <c r="A493" s="32" t="n"/>
      <c r="B493" s="373" t="n"/>
      <c r="C493" s="176" t="n"/>
      <c r="D493" s="378" t="n"/>
    </row>
    <row r="494">
      <c r="A494" s="29" t="inlineStr">
        <is>
          <t>F. TOTAL COSTS (A+B+C+D+E)</t>
        </is>
      </c>
      <c r="B494" s="370" t="n"/>
      <c r="C494" s="230" t="n"/>
      <c r="D494" s="361">
        <f>D490+D492</f>
        <v/>
      </c>
    </row>
    <row r="495">
      <c r="A495" s="182" t="n"/>
      <c r="B495" s="183" t="n"/>
      <c r="C495" s="184" t="n"/>
      <c r="D495" s="183" t="n"/>
    </row>
    <row r="496">
      <c r="A496" s="190" t="n"/>
      <c r="B496" s="185" t="n"/>
      <c r="C496" s="186" t="n"/>
      <c r="D496" s="187" t="n"/>
    </row>
    <row r="497" ht="21" customHeight="1">
      <c r="A497" s="306">
        <f>CONCATENATE("COSTS WORK PACKAGE 13:"," ","Dissemination, exploitation and communication general activity")</f>
        <v/>
      </c>
      <c r="B497" s="315" t="n"/>
      <c r="C497" s="315" t="n"/>
      <c r="D497" s="316" t="n"/>
    </row>
    <row r="498">
      <c r="A498" s="182" t="n"/>
      <c r="B498" s="191" t="n"/>
      <c r="C498" s="192" t="n"/>
      <c r="D498" s="191" t="n"/>
    </row>
    <row r="499">
      <c r="A499" s="29" t="inlineStr">
        <is>
          <t>A. DIRECT PERSONNEL COSTS</t>
        </is>
      </c>
      <c r="B499" s="30" t="n"/>
      <c r="C499" s="110" t="n"/>
      <c r="D499" s="355" t="n"/>
    </row>
    <row r="500">
      <c r="A500" s="28" t="inlineStr">
        <is>
          <t>A.1 Employees (or equivalent)</t>
        </is>
      </c>
      <c r="B500" s="89" t="n"/>
      <c r="C500" s="111" t="n"/>
      <c r="D500" s="356" t="n"/>
    </row>
    <row r="501">
      <c r="A501" s="48" t="inlineStr">
        <is>
          <t>SENIOR SCIENTISTS (or equivalent in the private sector)</t>
        </is>
      </c>
      <c r="B501" s="358" t="n">
        <v>1</v>
      </c>
      <c r="C501" s="248" t="n">
        <v>5000</v>
      </c>
      <c r="D501" s="232">
        <f>B501*C501</f>
        <v/>
      </c>
    </row>
    <row r="502">
      <c r="A502" s="48" t="inlineStr">
        <is>
          <t>JUNIOR SCIENTISTS (or equivalent in the private sector)</t>
        </is>
      </c>
      <c r="B502" s="358" t="n"/>
      <c r="C502" s="248" t="n">
        <v>4000</v>
      </c>
      <c r="D502" s="232">
        <f>B502*C502</f>
        <v/>
      </c>
    </row>
    <row r="503">
      <c r="A503" s="48" t="inlineStr">
        <is>
          <t>TECHNICAL PERSONNEL (or equivalent in the private sector)</t>
        </is>
      </c>
      <c r="B503" s="358" t="n">
        <v>0</v>
      </c>
      <c r="C503" s="248" t="n">
        <v>3400</v>
      </c>
      <c r="D503" s="232">
        <f>B503*C503</f>
        <v/>
      </c>
    </row>
    <row r="504">
      <c r="A504" s="48" t="inlineStr">
        <is>
          <t>ADMINISTRATIVE PERSONNEL (or equivalent in the private sector)</t>
        </is>
      </c>
      <c r="B504" s="358" t="n"/>
      <c r="C504" s="248" t="n">
        <v>3400</v>
      </c>
      <c r="D504" s="232">
        <f>B504*C504</f>
        <v/>
      </c>
    </row>
    <row r="505">
      <c r="A505" s="48" t="inlineStr">
        <is>
          <t>OTHERS</t>
        </is>
      </c>
      <c r="B505" s="358" t="n"/>
      <c r="C505" s="248" t="n"/>
      <c r="D505" s="232">
        <f>B505*C505</f>
        <v/>
      </c>
    </row>
    <row r="506">
      <c r="A506" s="28" t="inlineStr">
        <is>
          <t>A.2 Natural Persons under direct contract</t>
        </is>
      </c>
      <c r="B506" s="358" t="n"/>
      <c r="C506" s="248" t="n"/>
      <c r="D506" s="232">
        <f>B506*C506</f>
        <v/>
      </c>
    </row>
    <row r="507">
      <c r="A507" s="28" t="inlineStr">
        <is>
          <t>A.3 Seconded Persons</t>
        </is>
      </c>
      <c r="B507" s="358" t="n"/>
      <c r="C507" s="248" t="n"/>
      <c r="D507" s="232">
        <f>B507*C507</f>
        <v/>
      </c>
    </row>
    <row r="508">
      <c r="A508" s="28" t="inlineStr">
        <is>
          <t>A.4 SME owners and natural person beneficiaries</t>
        </is>
      </c>
      <c r="B508" s="358" t="n"/>
      <c r="C508" s="256" t="n">
        <v>8360.6024</v>
      </c>
      <c r="D508" s="232">
        <f>B508*C508</f>
        <v/>
      </c>
    </row>
    <row r="509">
      <c r="A509" s="29" t="inlineStr">
        <is>
          <t>B. DIRECT SUBCONTRACTING COSTS</t>
        </is>
      </c>
      <c r="B509" s="359" t="n"/>
      <c r="C509" s="110" t="n"/>
      <c r="D509" s="360" t="n"/>
    </row>
    <row r="510">
      <c r="A510" s="53" t="n"/>
      <c r="B510" s="358" t="n"/>
      <c r="C510" s="248" t="n"/>
      <c r="D510" s="362">
        <f>B510*C510</f>
        <v/>
      </c>
    </row>
    <row r="511">
      <c r="A511" s="29" t="inlineStr">
        <is>
          <t>C. DIRECT PURCHASE COSTS</t>
        </is>
      </c>
      <c r="B511" s="359" t="n"/>
      <c r="C511" s="110" t="n"/>
      <c r="D511" s="360" t="n"/>
    </row>
    <row r="512">
      <c r="A512" s="28" t="inlineStr">
        <is>
          <t>C.1 Travel and subsistence</t>
        </is>
      </c>
      <c r="B512" s="358" t="n"/>
      <c r="C512" s="248" t="n"/>
      <c r="D512" s="362">
        <f>B512*C512</f>
        <v/>
      </c>
    </row>
    <row r="513">
      <c r="A513" s="28" t="inlineStr">
        <is>
          <t>C.2 Equipment (complete 'Depreciation costs' sheet)</t>
        </is>
      </c>
      <c r="B513" s="347" t="n"/>
      <c r="C513" s="111" t="n"/>
      <c r="D513" s="365" t="n"/>
    </row>
    <row r="514">
      <c r="A514" s="49" t="inlineStr">
        <is>
          <t>Equipment</t>
        </is>
      </c>
      <c r="B514" s="358" t="n"/>
      <c r="C514" s="248" t="n"/>
      <c r="D514" s="362">
        <f>B514*C514</f>
        <v/>
      </c>
    </row>
    <row r="515">
      <c r="A515" s="49" t="inlineStr">
        <is>
          <t>Infrastructure</t>
        </is>
      </c>
      <c r="B515" s="358" t="n"/>
      <c r="C515" s="248" t="n"/>
      <c r="D515" s="362">
        <f>B515*C515</f>
        <v/>
      </c>
    </row>
    <row r="516">
      <c r="A516" s="49" t="inlineStr">
        <is>
          <t>Other assets</t>
        </is>
      </c>
      <c r="B516" s="358" t="n"/>
      <c r="C516" s="248" t="n"/>
      <c r="D516" s="362">
        <f>B516*C516</f>
        <v/>
      </c>
    </row>
    <row r="517">
      <c r="A517" s="28" t="inlineStr">
        <is>
          <t>C.3 Other goods, works and services</t>
        </is>
      </c>
      <c r="B517" s="347" t="n"/>
      <c r="C517" s="111" t="n"/>
      <c r="D517" s="365" t="n"/>
    </row>
    <row r="518">
      <c r="A518" s="49" t="inlineStr">
        <is>
          <t>Consumables</t>
        </is>
      </c>
      <c r="B518" s="358" t="n"/>
      <c r="C518" s="248" t="n"/>
      <c r="D518" s="362">
        <f>B518*C518</f>
        <v/>
      </c>
    </row>
    <row r="519">
      <c r="A519" s="49" t="inlineStr">
        <is>
          <t>Services for meetings, seminars</t>
        </is>
      </c>
      <c r="B519" s="358" t="n"/>
      <c r="C519" s="248" t="n"/>
      <c r="D519" s="362">
        <f>B519*C519</f>
        <v/>
      </c>
    </row>
    <row r="520">
      <c r="A520" s="49" t="inlineStr">
        <is>
          <t>Services for dissemination activities (including website)</t>
        </is>
      </c>
      <c r="B520" s="358" t="n"/>
      <c r="C520" s="248" t="n"/>
      <c r="D520" s="362">
        <f>B520*C520</f>
        <v/>
      </c>
    </row>
    <row r="521">
      <c r="A521" s="49" t="inlineStr">
        <is>
          <t>Publication fees</t>
        </is>
      </c>
      <c r="B521" s="358" t="n">
        <v>2</v>
      </c>
      <c r="C521" s="248" t="n">
        <v>2500</v>
      </c>
      <c r="D521" s="362">
        <f>B521*C521</f>
        <v/>
      </c>
    </row>
    <row r="522">
      <c r="A522" s="49" t="inlineStr">
        <is>
          <t>Other (shipment, insurance, translation, etc.)</t>
        </is>
      </c>
      <c r="B522" s="358" t="n"/>
      <c r="C522" s="248" t="n"/>
      <c r="D522" s="362">
        <f>B522*C522</f>
        <v/>
      </c>
    </row>
    <row r="523">
      <c r="A523" s="29" t="inlineStr">
        <is>
          <t>D. OTHER COST CATEGORIES</t>
        </is>
      </c>
      <c r="B523" s="359" t="n"/>
      <c r="C523" s="110" t="n"/>
      <c r="D523" s="360" t="n"/>
    </row>
    <row r="524">
      <c r="A524" s="50" t="inlineStr">
        <is>
          <t>D.1 Financial support to third parties (if applicable in the topic specific conditions)</t>
        </is>
      </c>
      <c r="B524" s="358" t="n"/>
      <c r="C524" s="248" t="n"/>
      <c r="D524" s="362">
        <f>B524*C524</f>
        <v/>
      </c>
    </row>
    <row r="525">
      <c r="A525" s="50" t="inlineStr">
        <is>
          <t>D.2 Internally invoiced goods and services</t>
        </is>
      </c>
      <c r="B525" s="358" t="n"/>
      <c r="C525" s="248" t="n"/>
      <c r="D525" s="362">
        <f>B525*C525</f>
        <v/>
      </c>
    </row>
    <row r="526">
      <c r="A526" s="50" t="inlineStr">
        <is>
          <t>D.3 Transnational access to research infrastructure unit costs (if mentioned as eligible in the topic specific conditions)</t>
        </is>
      </c>
      <c r="B526" s="358" t="n"/>
      <c r="C526" s="248" t="n"/>
      <c r="D526" s="362">
        <f>B526*C526</f>
        <v/>
      </c>
    </row>
    <row r="527">
      <c r="A527" s="50" t="inlineStr">
        <is>
          <t>D.4 Virtual access to research infrastructure unit costs (if mentioned as eligible in the topic specific conditions)</t>
        </is>
      </c>
      <c r="B527" s="358" t="n"/>
      <c r="C527" s="248" t="n"/>
      <c r="D527" s="362">
        <f>B527*C527</f>
        <v/>
      </c>
    </row>
    <row r="528">
      <c r="A528" s="50" t="inlineStr">
        <is>
          <t>D.5 PCP/PPI procurement costs (if mentioned as eligible in the topic specific conditions)</t>
        </is>
      </c>
      <c r="B528" s="358" t="n"/>
      <c r="C528" s="248" t="n"/>
      <c r="D528" s="362">
        <f>B528*C528</f>
        <v/>
      </c>
    </row>
    <row r="529">
      <c r="A529" s="50" t="n"/>
      <c r="B529" s="347" t="n"/>
      <c r="C529" s="111" t="n"/>
      <c r="D529" s="366" t="n"/>
    </row>
    <row r="530">
      <c r="A530" s="52" t="inlineStr">
        <is>
          <t>TOTAL DIRECT PERSONNEL COSTS AND PURCHASE COSTS (A+C)</t>
        </is>
      </c>
      <c r="B530" s="370" t="n"/>
      <c r="C530" s="230" t="n"/>
      <c r="D530" s="361">
        <f>SUM(D501:D508,D512:D522)</f>
        <v/>
      </c>
    </row>
    <row r="531">
      <c r="A531" s="52" t="inlineStr">
        <is>
          <t>TOTAL DIRECT COSTS  (A+B+C+D)</t>
        </is>
      </c>
      <c r="B531" s="370" t="n"/>
      <c r="C531" s="230" t="n"/>
      <c r="D531" s="361">
        <f>SUM(D501:D528)</f>
        <v/>
      </c>
    </row>
    <row r="532">
      <c r="A532" s="180" t="n"/>
      <c r="B532" s="373" t="n"/>
      <c r="C532" s="176" t="n"/>
      <c r="D532" s="374" t="n"/>
    </row>
    <row r="533">
      <c r="A533" s="29" t="inlineStr">
        <is>
          <t>E. INDIRECT COSTS (25% * (A+C))</t>
        </is>
      </c>
      <c r="B533" s="359" t="n"/>
      <c r="C533" s="110" t="n"/>
      <c r="D533" s="361">
        <f>D530*0.25</f>
        <v/>
      </c>
    </row>
    <row r="534">
      <c r="A534" s="32" t="n"/>
      <c r="B534" s="373" t="n"/>
      <c r="C534" s="176" t="n"/>
      <c r="D534" s="378" t="n"/>
    </row>
    <row r="535">
      <c r="A535" s="29" t="inlineStr">
        <is>
          <t>F. TOTAL COSTS (A+B+C+D+E)</t>
        </is>
      </c>
      <c r="B535" s="370" t="n"/>
      <c r="C535" s="230" t="n"/>
      <c r="D535" s="361">
        <f>D531+D533</f>
        <v/>
      </c>
    </row>
    <row r="536">
      <c r="A536" s="182" t="n"/>
      <c r="B536" s="183" t="n"/>
      <c r="C536" s="184" t="n"/>
      <c r="D536" s="183" t="n"/>
    </row>
    <row r="537">
      <c r="A537" s="190" t="n"/>
      <c r="B537" s="185" t="n"/>
      <c r="C537" s="186" t="n"/>
      <c r="D537" s="187" t="n"/>
    </row>
    <row r="538" ht="21" customHeight="1">
      <c r="A538" s="306">
        <f>CONCATENATE("COSTS WORK PACKAGE 14:"," ","Key Exploitable Results (KER) Strategy and related Plans towards future exploitation and full-scale deployment")</f>
        <v/>
      </c>
      <c r="B538" s="315" t="n"/>
      <c r="C538" s="315" t="n"/>
      <c r="D538" s="316" t="n"/>
    </row>
    <row r="539">
      <c r="A539" s="182" t="n"/>
      <c r="B539" s="191" t="n"/>
      <c r="C539" s="192" t="n"/>
      <c r="D539" s="191" t="n"/>
    </row>
    <row r="540">
      <c r="A540" s="29" t="inlineStr">
        <is>
          <t>A. DIRECT PERSONNEL COSTS</t>
        </is>
      </c>
      <c r="B540" s="30" t="n"/>
      <c r="C540" s="110" t="n"/>
      <c r="D540" s="355" t="n"/>
    </row>
    <row r="541">
      <c r="A541" s="28" t="inlineStr">
        <is>
          <t>A.1 Employees (or equivalent)</t>
        </is>
      </c>
      <c r="B541" s="89" t="n"/>
      <c r="C541" s="111" t="n"/>
      <c r="D541" s="356" t="n"/>
    </row>
    <row r="542">
      <c r="A542" s="48" t="inlineStr">
        <is>
          <t>SENIOR SCIENTISTS (or equivalent in the private sector)</t>
        </is>
      </c>
      <c r="B542" s="358" t="n"/>
      <c r="C542" s="248" t="n"/>
      <c r="D542" s="232">
        <f>B542*C542</f>
        <v/>
      </c>
    </row>
    <row r="543">
      <c r="A543" s="48" t="inlineStr">
        <is>
          <t>JUNIOR SCIENTISTS (or equivalent in the private sector)</t>
        </is>
      </c>
      <c r="B543" s="358" t="n"/>
      <c r="C543" s="248" t="n"/>
      <c r="D543" s="232">
        <f>B543*C543</f>
        <v/>
      </c>
    </row>
    <row r="544">
      <c r="A544" s="48" t="inlineStr">
        <is>
          <t>TECHNICAL PERSONNEL (or equivalent in the private sector)</t>
        </is>
      </c>
      <c r="B544" s="358" t="n">
        <v>2</v>
      </c>
      <c r="C544" s="248" t="n">
        <v>3400</v>
      </c>
      <c r="D544" s="232">
        <f>B544*C544</f>
        <v/>
      </c>
    </row>
    <row r="545">
      <c r="A545" s="48" t="inlineStr">
        <is>
          <t>ADMINISTRATIVE PERSONNEL (or equivalent in the private sector)</t>
        </is>
      </c>
      <c r="B545" s="358" t="n"/>
      <c r="C545" s="248" t="n"/>
      <c r="D545" s="232">
        <f>B545*C545</f>
        <v/>
      </c>
    </row>
    <row r="546">
      <c r="A546" s="48" t="inlineStr">
        <is>
          <t>OTHERS</t>
        </is>
      </c>
      <c r="B546" s="358" t="n"/>
      <c r="C546" s="248" t="n"/>
      <c r="D546" s="232">
        <f>B546*C546</f>
        <v/>
      </c>
    </row>
    <row r="547">
      <c r="A547" s="28" t="inlineStr">
        <is>
          <t>A.2 Natural Persons under direct contract</t>
        </is>
      </c>
      <c r="B547" s="358" t="n"/>
      <c r="C547" s="248" t="n"/>
      <c r="D547" s="232">
        <f>B547*C547</f>
        <v/>
      </c>
    </row>
    <row r="548">
      <c r="A548" s="28" t="inlineStr">
        <is>
          <t>A.3 Seconded Persons</t>
        </is>
      </c>
      <c r="B548" s="358" t="n"/>
      <c r="C548" s="248" t="n"/>
      <c r="D548" s="232">
        <f>B548*C548</f>
        <v/>
      </c>
    </row>
    <row r="549">
      <c r="A549" s="28" t="inlineStr">
        <is>
          <t>A.4 SME owners and natural person beneficiaries</t>
        </is>
      </c>
      <c r="B549" s="358" t="n"/>
      <c r="C549" s="256" t="n">
        <v>8360.6024</v>
      </c>
      <c r="D549" s="232">
        <f>B549*C549</f>
        <v/>
      </c>
    </row>
    <row r="550">
      <c r="A550" s="29" t="inlineStr">
        <is>
          <t>B. DIRECT SUBCONTRACTING COSTS</t>
        </is>
      </c>
      <c r="B550" s="359" t="n"/>
      <c r="C550" s="110" t="n"/>
      <c r="D550" s="360" t="n"/>
    </row>
    <row r="551">
      <c r="A551" s="53" t="n"/>
      <c r="B551" s="358" t="n"/>
      <c r="C551" s="248" t="n"/>
      <c r="D551" s="362">
        <f>B551*C551</f>
        <v/>
      </c>
    </row>
    <row r="552">
      <c r="A552" s="29" t="inlineStr">
        <is>
          <t>C. DIRECT PURCHASE COSTS</t>
        </is>
      </c>
      <c r="B552" s="359" t="n"/>
      <c r="C552" s="110" t="n"/>
      <c r="D552" s="360" t="n"/>
    </row>
    <row r="553">
      <c r="A553" s="28" t="inlineStr">
        <is>
          <t>C.1 Travel and subsistence</t>
        </is>
      </c>
      <c r="B553" s="358" t="n"/>
      <c r="C553" s="248" t="n"/>
      <c r="D553" s="362">
        <f>B553*C553</f>
        <v/>
      </c>
    </row>
    <row r="554">
      <c r="A554" s="28" t="inlineStr">
        <is>
          <t>C.2 Equipment (complete 'Depreciation costs' sheet)</t>
        </is>
      </c>
      <c r="B554" s="347" t="n"/>
      <c r="C554" s="111" t="n"/>
      <c r="D554" s="365" t="n"/>
    </row>
    <row r="555">
      <c r="A555" s="49" t="inlineStr">
        <is>
          <t>Equipment</t>
        </is>
      </c>
      <c r="B555" s="358" t="n"/>
      <c r="C555" s="248" t="n"/>
      <c r="D555" s="362">
        <f>B555*C555</f>
        <v/>
      </c>
    </row>
    <row r="556">
      <c r="A556" s="49" t="inlineStr">
        <is>
          <t>Infrastructure</t>
        </is>
      </c>
      <c r="B556" s="358" t="n"/>
      <c r="C556" s="248" t="n"/>
      <c r="D556" s="362">
        <f>B556*C556</f>
        <v/>
      </c>
    </row>
    <row r="557">
      <c r="A557" s="49" t="inlineStr">
        <is>
          <t>Other assets</t>
        </is>
      </c>
      <c r="B557" s="358" t="n"/>
      <c r="C557" s="248" t="n"/>
      <c r="D557" s="362">
        <f>B557*C557</f>
        <v/>
      </c>
    </row>
    <row r="558">
      <c r="A558" s="28" t="inlineStr">
        <is>
          <t>C.3 Other goods, works and services</t>
        </is>
      </c>
      <c r="B558" s="347" t="n"/>
      <c r="C558" s="111" t="n"/>
      <c r="D558" s="365" t="n"/>
    </row>
    <row r="559">
      <c r="A559" s="49" t="inlineStr">
        <is>
          <t>Consumables</t>
        </is>
      </c>
      <c r="B559" s="358" t="n"/>
      <c r="C559" s="248" t="n"/>
      <c r="D559" s="362">
        <f>B559*C559</f>
        <v/>
      </c>
    </row>
    <row r="560">
      <c r="A560" s="49" t="inlineStr">
        <is>
          <t>Services for meetings, seminars</t>
        </is>
      </c>
      <c r="B560" s="358" t="n"/>
      <c r="C560" s="248" t="n"/>
      <c r="D560" s="362">
        <f>B560*C560</f>
        <v/>
      </c>
    </row>
    <row r="561">
      <c r="A561" s="49" t="inlineStr">
        <is>
          <t>Services for dissemination activities (including website)</t>
        </is>
      </c>
      <c r="B561" s="358" t="n"/>
      <c r="C561" s="248" t="n"/>
      <c r="D561" s="362">
        <f>B561*C561</f>
        <v/>
      </c>
    </row>
    <row r="562">
      <c r="A562" s="49" t="inlineStr">
        <is>
          <t>Publication fees</t>
        </is>
      </c>
      <c r="B562" s="358" t="n"/>
      <c r="C562" s="248" t="n"/>
      <c r="D562" s="362">
        <f>B562*C562</f>
        <v/>
      </c>
    </row>
    <row r="563">
      <c r="A563" s="49" t="inlineStr">
        <is>
          <t>Other (shipment, insurance, translation, etc.)</t>
        </is>
      </c>
      <c r="B563" s="358" t="n"/>
      <c r="C563" s="248" t="n"/>
      <c r="D563" s="362">
        <f>B563*C563</f>
        <v/>
      </c>
    </row>
    <row r="564">
      <c r="A564" s="29" t="inlineStr">
        <is>
          <t>D. OTHER COST CATEGORIES</t>
        </is>
      </c>
      <c r="B564" s="359" t="n"/>
      <c r="C564" s="110" t="n"/>
      <c r="D564" s="360" t="n"/>
    </row>
    <row r="565">
      <c r="A565" s="50" t="inlineStr">
        <is>
          <t>D.1 Financial support to third parties (if applicable in the topic specific conditions)</t>
        </is>
      </c>
      <c r="B565" s="358" t="n"/>
      <c r="C565" s="248" t="n"/>
      <c r="D565" s="362">
        <f>B565*C565</f>
        <v/>
      </c>
    </row>
    <row r="566">
      <c r="A566" s="50" t="inlineStr">
        <is>
          <t>D.2 Internally invoiced goods and services</t>
        </is>
      </c>
      <c r="B566" s="358" t="n"/>
      <c r="C566" s="248" t="n"/>
      <c r="D566" s="362">
        <f>B566*C566</f>
        <v/>
      </c>
    </row>
    <row r="567">
      <c r="A567" s="50" t="inlineStr">
        <is>
          <t>D.3 Transnational access to research infrastructure unit costs (if mentioned as eligible in the topic specific conditions)</t>
        </is>
      </c>
      <c r="B567" s="358" t="n"/>
      <c r="C567" s="248" t="n"/>
      <c r="D567" s="362">
        <f>B567*C567</f>
        <v/>
      </c>
    </row>
    <row r="568">
      <c r="A568" s="50" t="inlineStr">
        <is>
          <t>D.4 Virtual access to research infrastructure unit costs (if mentioned as eligible in the topic specific conditions)</t>
        </is>
      </c>
      <c r="B568" s="358" t="n"/>
      <c r="C568" s="248" t="n"/>
      <c r="D568" s="362">
        <f>B568*C568</f>
        <v/>
      </c>
    </row>
    <row r="569">
      <c r="A569" s="50" t="inlineStr">
        <is>
          <t>D.5 PCP/PPI procurement costs (if mentioned as eligible in the topic specific conditions)</t>
        </is>
      </c>
      <c r="B569" s="358" t="n"/>
      <c r="C569" s="248" t="n"/>
      <c r="D569" s="362">
        <f>B569*C569</f>
        <v/>
      </c>
    </row>
    <row r="570">
      <c r="A570" s="50" t="n"/>
      <c r="B570" s="347" t="n"/>
      <c r="C570" s="111" t="n"/>
      <c r="D570" s="366" t="n"/>
    </row>
    <row r="571">
      <c r="A571" s="52" t="inlineStr">
        <is>
          <t>TOTAL DIRECT PERSONNEL COSTS AND PURCHASE COSTS (A+C)</t>
        </is>
      </c>
      <c r="B571" s="370" t="n"/>
      <c r="C571" s="230" t="n"/>
      <c r="D571" s="361">
        <f>SUM(D542:D549,D553:D563)</f>
        <v/>
      </c>
    </row>
    <row r="572">
      <c r="A572" s="52" t="inlineStr">
        <is>
          <t>TOTAL DIRECT COSTS  (A+B+C+D)</t>
        </is>
      </c>
      <c r="B572" s="370" t="n"/>
      <c r="C572" s="230" t="n"/>
      <c r="D572" s="361">
        <f>SUM(D542:D569)</f>
        <v/>
      </c>
    </row>
    <row r="573">
      <c r="A573" s="180" t="n"/>
      <c r="B573" s="373" t="n"/>
      <c r="C573" s="176" t="n"/>
      <c r="D573" s="374" t="n"/>
    </row>
    <row r="574">
      <c r="A574" s="29" t="inlineStr">
        <is>
          <t>E. INDIRECT COSTS (25% * (A+C))</t>
        </is>
      </c>
      <c r="B574" s="359" t="n"/>
      <c r="C574" s="110" t="n"/>
      <c r="D574" s="361">
        <f>D571*0.25</f>
        <v/>
      </c>
    </row>
    <row r="575">
      <c r="A575" s="32" t="n"/>
      <c r="B575" s="373" t="n"/>
      <c r="C575" s="176" t="n"/>
      <c r="D575" s="378" t="n"/>
    </row>
    <row r="576">
      <c r="A576" s="29" t="inlineStr">
        <is>
          <t>F. TOTAL COSTS (A+B+C+D+E)</t>
        </is>
      </c>
      <c r="B576" s="370" t="n"/>
      <c r="C576" s="230" t="n"/>
      <c r="D576" s="361">
        <f>D572+D574</f>
        <v/>
      </c>
    </row>
    <row r="578">
      <c r="A578" s="190" t="n"/>
      <c r="B578" s="185" t="n"/>
      <c r="C578" s="186" t="n"/>
      <c r="D578" s="187" t="n"/>
    </row>
    <row r="579" ht="21" customHeight="1">
      <c r="A579" s="306" t="inlineStr">
        <is>
          <t>SUMMARY</t>
        </is>
      </c>
      <c r="B579" s="315" t="n"/>
      <c r="C579" s="315" t="n"/>
      <c r="D579" s="316" t="n"/>
    </row>
    <row r="580">
      <c r="A580" s="56" t="n"/>
      <c r="B580" s="174" t="n"/>
      <c r="C580" s="175" t="n"/>
      <c r="D580" s="174" t="n"/>
    </row>
    <row r="581">
      <c r="A581" s="29" t="inlineStr">
        <is>
          <t>A. DIRECT PERSONNEL COSTS</t>
        </is>
      </c>
      <c r="B581" s="30" t="n"/>
      <c r="C581" s="110" t="n"/>
      <c r="D581" s="355" t="n"/>
    </row>
    <row r="582">
      <c r="A582" s="28" t="inlineStr">
        <is>
          <t>A.1 Employees (or equivalent)</t>
        </is>
      </c>
      <c r="B582" s="89" t="n"/>
      <c r="C582" s="111" t="n"/>
      <c r="D582" s="356" t="n"/>
    </row>
    <row r="583">
      <c r="A583" s="48" t="inlineStr">
        <is>
          <t>SENIOR SCIENTISTS (or equivalent in the private sector)</t>
        </is>
      </c>
      <c r="B583" s="379">
        <f>B9+B50+B91+B132+B173+B214+B255+B296+B337+B378+B419+B460+B501+B542</f>
        <v/>
      </c>
      <c r="C583" s="249">
        <f>IF(B583&gt;0,D583/B583," ")</f>
        <v/>
      </c>
      <c r="D583" s="362">
        <f>D9+D50+D91+D132+D173+D214+D255+D296+D337+D378+D419+D460+D501+D542</f>
        <v/>
      </c>
    </row>
    <row r="584">
      <c r="A584" s="48" t="inlineStr">
        <is>
          <t>JUNIOR SCIENTISTS (or equivalent in the private sector)</t>
        </is>
      </c>
      <c r="B584" s="379">
        <f>B10+B51+B92+B133+B174+B215+B256+B297+B338+B379+B420+B461+B502+B543</f>
        <v/>
      </c>
      <c r="C584" s="249">
        <f>IF(B584&gt;0,D584/B584," ")</f>
        <v/>
      </c>
      <c r="D584" s="362">
        <f>D10+D51+D92+D133+D174+D215+D256+D297+D338+D379+D420+D461+D502+D543</f>
        <v/>
      </c>
    </row>
    <row r="585">
      <c r="A585" s="48" t="inlineStr">
        <is>
          <t>TECHNICAL PERSONNEL (or equivalent in the private sector)</t>
        </is>
      </c>
      <c r="B585" s="379">
        <f>B11+B52+B93+B134+B175+B216+B257+B298+B339+B380+B421+B462+B503+B544</f>
        <v/>
      </c>
      <c r="C585" s="249">
        <f>IF(B585&gt;0,D585/B585," ")</f>
        <v/>
      </c>
      <c r="D585" s="362">
        <f>D11+D52+D93+D134+D175+D216+D257+D298+D339+D380+D421+D462+D503+D544</f>
        <v/>
      </c>
    </row>
    <row r="586">
      <c r="A586" s="48" t="inlineStr">
        <is>
          <t>ADMINISTRATIVE PERSONNEL (or equivalent in the private sector)</t>
        </is>
      </c>
      <c r="B586" s="379">
        <f>B12+B53+B94+B135+B176+B217+B258+B299+B340+B381+B422+B463+B504+B545</f>
        <v/>
      </c>
      <c r="C586" s="249">
        <f>IF(B586&gt;0,D586/B586," ")</f>
        <v/>
      </c>
      <c r="D586" s="362">
        <f>D12+D53+D94+D135+D176+D217+D258+D299+D340+D381+D422+D463+D504+D545</f>
        <v/>
      </c>
    </row>
    <row r="587">
      <c r="A587" s="48" t="inlineStr">
        <is>
          <t>OTHERS</t>
        </is>
      </c>
      <c r="B587" s="379">
        <f>B13+B54+B95+B136+B177+B218+B259+B300+B341+B382+B423+B464+B505+B546</f>
        <v/>
      </c>
      <c r="C587" s="249">
        <f>IF(B587&gt;0,D587/B587," ")</f>
        <v/>
      </c>
      <c r="D587" s="362">
        <f>D13+D54+D95+D136+D177+D218+D259+D300+D341+D382+D423+D464+D505+D546</f>
        <v/>
      </c>
    </row>
    <row r="588">
      <c r="A588" s="28" t="inlineStr">
        <is>
          <t>A.2 Natural Persons under direct contract</t>
        </is>
      </c>
      <c r="B588" s="379">
        <f>B14+B55+B96+B137+B178+B219+B260+B301+B342+B383+B424+B465+B506+B547</f>
        <v/>
      </c>
      <c r="C588" s="249">
        <f>IF(B588&gt;0,D588/B588," ")</f>
        <v/>
      </c>
      <c r="D588" s="362">
        <f>D14+D55+D96+D137+D178+D219+D260+D301+D342+D383+D424+D465+D506+D547</f>
        <v/>
      </c>
    </row>
    <row r="589">
      <c r="A589" s="28" t="inlineStr">
        <is>
          <t>A.3 Seconded Persons</t>
        </is>
      </c>
      <c r="B589" s="379">
        <f>B15+B56+B97+B138+B179+B220+B261+B302+B343+B384+B425+B466+B507+B548</f>
        <v/>
      </c>
      <c r="C589" s="249">
        <f>IF(B589&gt;0,D589/B589," ")</f>
        <v/>
      </c>
      <c r="D589" s="362">
        <f>D15+D56+D97+D138+D179+D220+D261+D302+D343+D384+D425+D466+D507+D548</f>
        <v/>
      </c>
    </row>
    <row r="590">
      <c r="A590" s="28" t="inlineStr">
        <is>
          <t>A.4 SME owners and natural person beneficiaries</t>
        </is>
      </c>
      <c r="B590" s="379">
        <f>B16+B57+B98+B139+B180+B221+B262+B303+B344+B385+B426+B467+B508+B549</f>
        <v/>
      </c>
      <c r="C590" s="249">
        <f>IF(B590&gt;0,D590/B590," ")</f>
        <v/>
      </c>
      <c r="D590" s="362">
        <f>D16+D57+D98+D139+D180+D221+D262+D303+D344+D385+D426+D467+D508+D549</f>
        <v/>
      </c>
    </row>
    <row r="591">
      <c r="A591" s="29" t="inlineStr">
        <is>
          <t>B. DIRECT SUBCONTRACTING COSTS</t>
        </is>
      </c>
      <c r="B591" s="381" t="n"/>
      <c r="C591" s="250" t="n"/>
      <c r="D591" s="360" t="n"/>
    </row>
    <row r="592">
      <c r="A592" s="28" t="n"/>
      <c r="B592" s="379">
        <f>B18+B59+B100+B141+B182+B223+B264+B305+B346+B387+B428+B469+B510+B551</f>
        <v/>
      </c>
      <c r="C592" s="249">
        <f>IF(B592&gt;0,D592/B592," ")</f>
        <v/>
      </c>
      <c r="D592" s="362">
        <f>D18+D59+D100+D141+D182+D223+D264+D305+D346+D387+D428+D469+D510+D551</f>
        <v/>
      </c>
    </row>
    <row r="593">
      <c r="A593" s="29" t="inlineStr">
        <is>
          <t>C. DIRECT PURCHASE COSTS</t>
        </is>
      </c>
      <c r="B593" s="381" t="n"/>
      <c r="C593" s="250" t="n"/>
      <c r="D593" s="360" t="n"/>
    </row>
    <row r="594">
      <c r="A594" s="28" t="inlineStr">
        <is>
          <t>C.1 Travel and subsistence</t>
        </is>
      </c>
      <c r="B594" s="379">
        <f>B20+B61+B102+B143+B184+B225+B266+B307+B348+B389+B430+B471+B512+B553</f>
        <v/>
      </c>
      <c r="C594" s="249">
        <f>IF(B594&gt;0,D594/B594," ")</f>
        <v/>
      </c>
      <c r="D594" s="362">
        <f>D20+D61+D102+D143+D184+D225+D266+D307+D348+D389+D430+D471+D512+D553</f>
        <v/>
      </c>
    </row>
    <row r="595">
      <c r="A595" s="28" t="inlineStr">
        <is>
          <t>C.2 Equipment (complete 'Depreciation costs' sheet)</t>
        </is>
      </c>
      <c r="B595" s="382" t="n"/>
      <c r="C595" s="251" t="n"/>
      <c r="D595" s="365" t="n"/>
    </row>
    <row r="596">
      <c r="A596" s="49" t="inlineStr">
        <is>
          <t>Equipment</t>
        </is>
      </c>
      <c r="B596" s="379">
        <f>B22+B63+B104+B145+B186+B227+B268+B309+B350+B391+B432+B473+B514+B555</f>
        <v/>
      </c>
      <c r="C596" s="249">
        <f>IF(B596&gt;0,D596/B596," ")</f>
        <v/>
      </c>
      <c r="D596" s="362">
        <f>D22+D63+D104+D145+D186+D227+D268+D309+D350+D391+D432+D473+D514+D555</f>
        <v/>
      </c>
    </row>
    <row r="597">
      <c r="A597" s="49" t="inlineStr">
        <is>
          <t>Infrastructure</t>
        </is>
      </c>
      <c r="B597" s="379">
        <f>B23+B64+B105+B146+B187+B228+B269+B310+B351+B392+B433+B474+B515+B556</f>
        <v/>
      </c>
      <c r="C597" s="249">
        <f>IF(B597&gt;0,D597/B597," ")</f>
        <v/>
      </c>
      <c r="D597" s="362">
        <f>D23+D64+D105+D146+D187+D228+D269+D310+D351+D392+D433+D474+D515+D556</f>
        <v/>
      </c>
    </row>
    <row r="598">
      <c r="A598" s="49" t="inlineStr">
        <is>
          <t>Other assets</t>
        </is>
      </c>
      <c r="B598" s="379">
        <f>B24+B65+B106+B147+B188+B229+B270+B311+B352+B393+B434+B475+B516+B557</f>
        <v/>
      </c>
      <c r="C598" s="249">
        <f>IF(B598&gt;0,D598/B598," ")</f>
        <v/>
      </c>
      <c r="D598" s="362">
        <f>D24+D65+D106+D147+D188+D229+D270+D311+D352+D393+D434+D475+D516+D557</f>
        <v/>
      </c>
    </row>
    <row r="599">
      <c r="A599" s="28" t="inlineStr">
        <is>
          <t>C.3 Other goods, works and services</t>
        </is>
      </c>
      <c r="B599" s="382" t="n"/>
      <c r="C599" s="251" t="n"/>
      <c r="D599" s="365" t="n"/>
    </row>
    <row r="600">
      <c r="A600" s="49" t="inlineStr">
        <is>
          <t>Consumables</t>
        </is>
      </c>
      <c r="B600" s="379">
        <f>B26+B67+B108+B149+B190+B231+B272+B313+B354+B395+B436+B477+B518+B559</f>
        <v/>
      </c>
      <c r="C600" s="249">
        <f>IF(B600&gt;0,D600/B600," ")</f>
        <v/>
      </c>
      <c r="D600" s="362">
        <f>D26+D67+D108+D149+D190+D231+D272+D313+D354+D395+D436+D477+D518+D559</f>
        <v/>
      </c>
    </row>
    <row r="601">
      <c r="A601" s="49" t="inlineStr">
        <is>
          <t>Services for meetings, seminars</t>
        </is>
      </c>
      <c r="B601" s="379">
        <f>B27+B68+B109+B150+B191+B232+B273+B314+B355+B396+B437+B478+B519+B560</f>
        <v/>
      </c>
      <c r="C601" s="249">
        <f>IF(B601&gt;0,D601/B601," ")</f>
        <v/>
      </c>
      <c r="D601" s="362">
        <f>D27+D68+D109+D150+D191+D232+D273+D314+D355+D396+D437+D478+D519+D560</f>
        <v/>
      </c>
    </row>
    <row r="602">
      <c r="A602" s="49" t="inlineStr">
        <is>
          <t>Services for dissemination activities (including website)</t>
        </is>
      </c>
      <c r="B602" s="379">
        <f>B28+B69+B110+B151+B192+B233+B274+B315+B356+B397+B438+B479+B520+B561</f>
        <v/>
      </c>
      <c r="C602" s="249">
        <f>IF(B602&gt;0,D602/B602," ")</f>
        <v/>
      </c>
      <c r="D602" s="362">
        <f>D28+D69+D110+D151+D192+D233+D274+D315+D356+D397+D438+D479+D520+D561</f>
        <v/>
      </c>
    </row>
    <row r="603">
      <c r="A603" s="49" t="inlineStr">
        <is>
          <t>Publication fees</t>
        </is>
      </c>
      <c r="B603" s="379">
        <f>B29+B70+B111+B152+B193+B234+B275+B316+B357+B398+B439+B480+B521+B562</f>
        <v/>
      </c>
      <c r="C603" s="249">
        <f>IF(B603&gt;0,D603/B603," ")</f>
        <v/>
      </c>
      <c r="D603" s="362">
        <f>D29+D70+D111+D152+D193+D234+D275+D316+D357+D398+D439+D480+D521+D562</f>
        <v/>
      </c>
    </row>
    <row r="604">
      <c r="A604" s="49" t="inlineStr">
        <is>
          <t>Other (shipment, insurance, translation, etc.)</t>
        </is>
      </c>
      <c r="B604" s="379">
        <f>B30+B71+B112+B153+B194+B235+B276+B317+B358+B399+B440+B481+B522+B563</f>
        <v/>
      </c>
      <c r="C604" s="249">
        <f>IF(B604&gt;0,D604/B604," ")</f>
        <v/>
      </c>
      <c r="D604" s="362">
        <f>D30+D71+D112+D153+D194+D235+D276+D317+D358+D399+D440+D481+D522+D563</f>
        <v/>
      </c>
    </row>
    <row r="605">
      <c r="A605" s="29" t="inlineStr">
        <is>
          <t>D. OTHER COST CATEGORIES</t>
        </is>
      </c>
      <c r="B605" s="381" t="n"/>
      <c r="C605" s="250" t="n"/>
      <c r="D605" s="360" t="n"/>
    </row>
    <row r="606">
      <c r="A606" s="50" t="inlineStr">
        <is>
          <t>D.1 Financial support to third parties (if applicable in the topic specific conditions)</t>
        </is>
      </c>
      <c r="B606" s="379">
        <f>B32+B73+B114+B155+B196+B237+B278+B319+B360+B401+B442+B483+B524+B565</f>
        <v/>
      </c>
      <c r="C606" s="249">
        <f>IF(B606&gt;0,D606/B606," ")</f>
        <v/>
      </c>
      <c r="D606" s="362">
        <f>D32+D73+D114+D155+D196+D237+D278+D319+D360+D401+D442+D483+D524+D565</f>
        <v/>
      </c>
    </row>
    <row r="607">
      <c r="A607" s="50" t="inlineStr">
        <is>
          <t>D.2 Internally invoiced goods and services</t>
        </is>
      </c>
      <c r="B607" s="379">
        <f>B33+B74+B115+B156+B197+B238+B279+B320+B361+B402+B443+B484+B525+B566</f>
        <v/>
      </c>
      <c r="C607" s="249">
        <f>IF(B607&gt;0,D607/B607," ")</f>
        <v/>
      </c>
      <c r="D607" s="362">
        <f>D33+D74+D115+D156+D197+D238+D279+D320+D361+D402+D443+D484+D525+D566</f>
        <v/>
      </c>
    </row>
    <row r="608">
      <c r="A608" s="50" t="inlineStr">
        <is>
          <t>D.3 Transnational access to research infrastructure unit costs (if mentioned as eligible in the topic specific conditions)</t>
        </is>
      </c>
      <c r="B608" s="379">
        <f>B34+B75+B116+B157+B198+B239+B280+B321+B362+B403+B444+B485+B526+B567</f>
        <v/>
      </c>
      <c r="C608" s="249">
        <f>IF(B608&gt;0,D608/B608," ")</f>
        <v/>
      </c>
      <c r="D608" s="362">
        <f>D34+D75+D116+D157+D198+D239+D280+D321+D362+D403+D444+D485+D526+D567</f>
        <v/>
      </c>
    </row>
    <row r="609">
      <c r="A609" s="50" t="inlineStr">
        <is>
          <t>D.4 Virtual access to research infrastructure unit costs (if mentioned as eligible in the topic specific conditions)</t>
        </is>
      </c>
      <c r="B609" s="379">
        <f>B35+B76+B117+B158+B199+B240+B281+B322+B363+B404+B445+B486+B527+B568</f>
        <v/>
      </c>
      <c r="C609" s="249">
        <f>IF(B609&gt;0,D609/B609," ")</f>
        <v/>
      </c>
      <c r="D609" s="362">
        <f>D35+D76+D117+D158+D199+D240+D281+D322+D363+D404+D445+D486+D527+D568</f>
        <v/>
      </c>
    </row>
    <row r="610">
      <c r="A610" s="50" t="inlineStr">
        <is>
          <t>D.5 PCP/PPI procurement costs (if mentioned as eligible in the topic specific conditions)</t>
        </is>
      </c>
      <c r="B610" s="379">
        <f>B36+B77+B118+B159+B200+B241+B282+B323+B364+B405+B446+B487+B528+B569</f>
        <v/>
      </c>
      <c r="C610" s="249">
        <f>IF(B610&gt;0,D610/B610," ")</f>
        <v/>
      </c>
      <c r="D610" s="362">
        <f>D36+D77+D118+D159+D200+D241+D282+D323+D364+D405+D446+D487+D528+D569</f>
        <v/>
      </c>
    </row>
    <row r="611">
      <c r="A611" s="51" t="n"/>
      <c r="B611" s="347" t="n"/>
      <c r="C611" s="111" t="n"/>
      <c r="D611" s="366" t="n"/>
    </row>
    <row r="612">
      <c r="A612" s="52" t="inlineStr">
        <is>
          <t>TOTAL DIRECT PERSONNEL COSTS AND PURCHASE COSTS (A+C)</t>
        </is>
      </c>
      <c r="B612" s="370" t="n"/>
      <c r="C612" s="230" t="n"/>
      <c r="D612" s="383">
        <f>D38+D79+D120+D161+D202+D243+D284+D325+D366+D407+D448+D489+D530+D571</f>
        <v/>
      </c>
    </row>
    <row r="613">
      <c r="A613" s="52" t="inlineStr">
        <is>
          <t>TOTAL DIRECT COSTS  (A+B+C+D)</t>
        </is>
      </c>
      <c r="B613" s="370" t="n"/>
      <c r="C613" s="230" t="n"/>
      <c r="D613" s="383">
        <f>D39+D80+D121+D162+D203+D244+D285+D326+D367+D408+D449+D490+D531+D572</f>
        <v/>
      </c>
    </row>
    <row r="614">
      <c r="A614" s="182" t="n"/>
      <c r="B614" s="384" t="n"/>
      <c r="C614" s="192" t="n"/>
      <c r="D614" s="191" t="n"/>
    </row>
    <row r="615">
      <c r="A615" s="29" t="inlineStr">
        <is>
          <t>E. INDIRECT COSTS (25% * (A+C))</t>
        </is>
      </c>
      <c r="B615" s="370" t="n"/>
      <c r="C615" s="230" t="n"/>
      <c r="D615" s="383">
        <f>D41+D82+D123+D164+D205+D246+D287+D328+D369+D410+D451+D492+D533+D574</f>
        <v/>
      </c>
    </row>
    <row r="616">
      <c r="A616" s="182" t="n"/>
      <c r="B616" s="384" t="n"/>
      <c r="C616" s="192" t="n"/>
      <c r="D616" s="191" t="n"/>
    </row>
    <row r="617">
      <c r="A617" s="29" t="inlineStr">
        <is>
          <t>F. TOTAL COSTS (A+B+C+D+E)</t>
        </is>
      </c>
      <c r="B617" s="370" t="n"/>
      <c r="C617" s="230" t="n"/>
      <c r="D617" s="383">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9USXkM52Witf7EKiZlDkfQ==" formatRows="1" sort="1" spinCount="100000" hashValue="wq4ltGGchzea4P0DLJCLVzxwDQJBSPUofvyRdkNQXSkcLkyGHh01A22U+oHmwdUbidHFfFl/PDv9Z2F2XeF/yQ=="/>
  <mergeCells count="16">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3.xml><?xml version="1.0" encoding="utf-8"?>
<worksheet xmlns="http://schemas.openxmlformats.org/spreadsheetml/2006/main">
  <sheetPr codeName="General101">
    <tabColor theme="7" tint="0.5999938962981048"/>
    <outlinePr summaryBelow="1" summaryRight="1"/>
    <pageSetUpPr/>
  </sheetPr>
  <dimension ref="A1:C9"/>
  <sheetViews>
    <sheetView zoomScale="90" zoomScaleNormal="90" workbookViewId="0">
      <pane ySplit="2" topLeftCell="A3" activePane="bottomLeft" state="frozenSplit"/>
      <selection pane="bottomLeft" activeCell="A10" sqref="A10"/>
      <selection activeCell="B7" sqref="B7"/>
    </sheetView>
  </sheetViews>
  <sheetFormatPr baseColWidth="8" defaultColWidth="8.7109375" defaultRowHeight="14.45"/>
  <cols>
    <col width="9.7109375" customWidth="1" style="78" min="1" max="1"/>
    <col width="21.7109375" customWidth="1" style="389" min="2" max="2"/>
    <col width="89.7109375" customWidth="1" style="247" min="3" max="3"/>
  </cols>
  <sheetData>
    <row r="1" ht="21.6" customHeight="1" thickBot="1">
      <c r="A1" s="390" t="inlineStr">
        <is>
          <t>Change log</t>
        </is>
      </c>
      <c r="B1" s="321" t="n"/>
      <c r="C1" s="391" t="n"/>
    </row>
    <row r="2" ht="15" customFormat="1" customHeight="1" s="42" thickBot="1">
      <c r="A2" s="99" t="inlineStr">
        <is>
          <t>Version</t>
        </is>
      </c>
      <c r="B2" s="392" t="inlineStr">
        <is>
          <t>Publication date</t>
        </is>
      </c>
      <c r="C2" s="246" t="inlineStr">
        <is>
          <t>Changes - Comments</t>
        </is>
      </c>
    </row>
    <row r="3">
      <c r="A3" s="77" t="inlineStr">
        <is>
          <t>1.0</t>
        </is>
      </c>
      <c r="B3" s="393" t="n">
        <v>44341</v>
      </c>
      <c r="C3" s="245" t="inlineStr">
        <is>
          <t>- Initial version</t>
        </is>
      </c>
    </row>
    <row r="4">
      <c r="A4" s="78" t="inlineStr">
        <is>
          <t>2.0</t>
        </is>
      </c>
      <c r="B4" s="389" t="n">
        <v>44679</v>
      </c>
      <c r="C4" s="247" t="inlineStr">
        <is>
          <t>- Improved layout and user-friendliness</t>
        </is>
      </c>
    </row>
    <row r="5" ht="29.1" customHeight="1">
      <c r="A5" s="78" t="inlineStr">
        <is>
          <t>2.1</t>
        </is>
      </c>
      <c r="B5" s="389" t="n">
        <v>44904</v>
      </c>
      <c r="C5" s="247" t="inlineStr">
        <is>
          <t>- Updated Instructions.
- Separate version available for topics with 60% and 100% funding rates.</t>
        </is>
      </c>
    </row>
    <row r="6" ht="130.5" customHeight="1">
      <c r="A6" s="78" t="inlineStr">
        <is>
          <t>3.0</t>
        </is>
      </c>
      <c r="B6" s="389" t="n">
        <v>45204</v>
      </c>
      <c r="C6" s="247" t="inlineStr">
        <is>
          <t>- Participant numbering aligned with numbering in Part A.
- BE List with country names and country codes.
- The terms ‘units’ and ‘cost per unit’ were replaced by ‘items’ and ‘cost per item’ (to avoid confusion with unit costs).
- Number of items can be entered with one decimal place only.
- Updated instructions (e.g., difference between maximum grant amount and requested EU contribution, handling of own resources, associated partners, discrepancies between the Excel budget table and Part A).
- Added tab: Change Log.</t>
        </is>
      </c>
    </row>
    <row r="7" ht="57.95" customHeight="1">
      <c r="A7" s="78" t="inlineStr">
        <is>
          <t>3.1</t>
        </is>
      </c>
      <c r="B7" s="389" t="n">
        <v>45405</v>
      </c>
      <c r="C7" s="247" t="inlineStr">
        <is>
          <t>- Updated instructions (Horizon dasboard for lump sum evaluations)
- Updated SME owner cost rate and updated country correction coefficients
- Automatic naming in the depreciation costs tab
- Bug fixing (compatibility with some systems)</t>
        </is>
      </c>
    </row>
    <row r="8">
      <c r="A8" s="78" t="inlineStr">
        <is>
          <t>3.2</t>
        </is>
      </c>
      <c r="B8" s="389" t="n">
        <v>45589</v>
      </c>
      <c r="C8" s="247" t="inlineStr">
        <is>
          <t>- Updated SME owner unit cost rate</t>
        </is>
      </c>
    </row>
    <row r="9">
      <c r="A9" s="78" t="inlineStr">
        <is>
          <t>3.3</t>
        </is>
      </c>
      <c r="B9" s="389" t="n">
        <v>45791</v>
      </c>
      <c r="C9" s="247" t="inlineStr">
        <is>
          <t>- Updated country correction coefficients</t>
        </is>
      </c>
    </row>
  </sheetData>
  <sheetProtection selectLockedCells="1" selectUnlockedCells="1" algorithmName="SHA-512" sheet="1" objects="0" insertRows="1" insertHyperlinks="1" autoFilter="1" scenarios="0" formatColumns="1" deleteColumns="1" insertColumns="1" pivotTables="1" deleteRows="1" formatCells="1" saltValue="ANz7FLx8v2WH4hMY32+f6w==" formatRows="1" sort="1" spinCount="100000" hashValue="1wQRwLVwAwvOohoU8cT2sv2o9SvahG09Di2dlqrZv8tI09PsFJ/ktZ0yv1hFKEIbeUcQJQgGTGeNOi7KzIL8KQ=="/>
  <mergeCells count="1">
    <mergeCell ref="A1:C1"/>
  </mergeCells>
  <pageMargins left="0.7" right="0.7" top="0.75" bottom="0.75" header="0.3" footer="0.3"/>
  <pageSetup orientation="portrait" paperSize="9" verticalDpi="0"/>
</worksheet>
</file>

<file path=xl/worksheets/sheet24.xml><?xml version="1.0" encoding="utf-8"?>
<worksheet xmlns="http://schemas.openxmlformats.org/spreadsheetml/2006/main">
  <sheetPr codeName="Data01">
    <tabColor theme="9" tint="0.7999816888943144"/>
    <outlinePr summaryBelow="1" summaryRight="1"/>
    <pageSetUpPr/>
  </sheetPr>
  <dimension ref="A1:H255"/>
  <sheetViews>
    <sheetView workbookViewId="0">
      <pane ySplit="1" topLeftCell="A170" activePane="bottomLeft" state="frozen"/>
      <selection pane="bottomLeft" activeCell="A184" sqref="A184"/>
    </sheetView>
  </sheetViews>
  <sheetFormatPr baseColWidth="8" defaultColWidth="8.7109375" defaultRowHeight="14.45"/>
  <cols>
    <col width="32.7109375" customWidth="1" min="1" max="1"/>
    <col width="10.85546875" bestFit="1" customWidth="1" min="2" max="2"/>
    <col width="37.7109375" bestFit="1" customWidth="1" style="17" min="5" max="5"/>
    <col width="12.85546875" customWidth="1" style="17" min="6" max="6"/>
    <col width="13.85546875" bestFit="1" customWidth="1" style="17" min="7" max="7"/>
    <col width="11.5703125" bestFit="1" customWidth="1" min="8" max="8"/>
  </cols>
  <sheetData>
    <row r="1">
      <c r="A1" t="inlineStr">
        <is>
          <t>Country</t>
        </is>
      </c>
      <c r="B1" t="inlineStr">
        <is>
          <t>Coefficient</t>
        </is>
      </c>
      <c r="E1" s="17" t="inlineStr">
        <is>
          <t>Upd 2505</t>
        </is>
      </c>
      <c r="F1" s="17" t="inlineStr">
        <is>
          <t>Coeff 2505</t>
        </is>
      </c>
      <c r="G1" s="17" t="inlineStr">
        <is>
          <t>Check Country</t>
        </is>
      </c>
      <c r="H1" s="17" t="inlineStr">
        <is>
          <t>Check Coeff</t>
        </is>
      </c>
    </row>
    <row r="2">
      <c r="A2" t="inlineStr">
        <is>
          <t>Austria (AT)</t>
        </is>
      </c>
      <c r="B2" s="394" t="n">
        <v>1.097</v>
      </c>
      <c r="E2" t="inlineStr">
        <is>
          <t>Austria (AT)</t>
        </is>
      </c>
      <c r="F2" s="143" t="n">
        <v>1.097</v>
      </c>
      <c r="G2" s="17">
        <f>IF(A2=E2,"OK","NOK")</f>
        <v/>
      </c>
      <c r="H2" s="17">
        <f>IF(B2=F2,"OK","NOK")</f>
        <v/>
      </c>
    </row>
    <row r="3">
      <c r="A3" t="inlineStr">
        <is>
          <t>Belgium (BE)</t>
        </is>
      </c>
      <c r="B3" s="394" t="n">
        <v>1</v>
      </c>
      <c r="E3" t="inlineStr">
        <is>
          <t>Belgium (BE)</t>
        </is>
      </c>
      <c r="F3" s="143" t="n">
        <v>1</v>
      </c>
      <c r="G3" s="17">
        <f>IF(A3=E3,"OK","NOK")</f>
        <v/>
      </c>
      <c r="H3" s="17">
        <f>IF(B3=F3,"OK","NOK")</f>
        <v/>
      </c>
    </row>
    <row r="4">
      <c r="A4" t="inlineStr">
        <is>
          <t>Bulgaria (BG)</t>
        </is>
      </c>
      <c r="B4" s="394" t="n">
        <v>0.647</v>
      </c>
      <c r="E4" t="inlineStr">
        <is>
          <t>Bulgaria (BG)</t>
        </is>
      </c>
      <c r="F4" s="143" t="n">
        <v>0.647</v>
      </c>
      <c r="G4" s="17">
        <f>IF(A4=E4,"OK","NOK")</f>
        <v/>
      </c>
      <c r="H4" s="17">
        <f>IF(B4=F4,"OK","NOK")</f>
        <v/>
      </c>
    </row>
    <row r="5">
      <c r="A5" t="inlineStr">
        <is>
          <t>Croatia (HR)</t>
        </is>
      </c>
      <c r="B5" s="394" t="n">
        <v>0.801</v>
      </c>
      <c r="E5" t="inlineStr">
        <is>
          <t>Croatia (HR)</t>
        </is>
      </c>
      <c r="F5" s="143" t="n">
        <v>0.801</v>
      </c>
      <c r="G5" s="17">
        <f>IF(A5=E5,"OK","NOK")</f>
        <v/>
      </c>
      <c r="H5" s="17">
        <f>IF(B5=F5,"OK","NOK")</f>
        <v/>
      </c>
    </row>
    <row r="6">
      <c r="A6" t="inlineStr">
        <is>
          <t xml:space="preserve">Cyprus (CY) </t>
        </is>
      </c>
      <c r="B6" s="394" t="n">
        <v>0.819</v>
      </c>
      <c r="E6" t="inlineStr">
        <is>
          <t xml:space="preserve">Cyprus (CY) </t>
        </is>
      </c>
      <c r="F6" s="143" t="n">
        <v>0.819</v>
      </c>
      <c r="G6" s="17">
        <f>IF(A6=E6,"OK","NOK")</f>
        <v/>
      </c>
      <c r="H6" s="17">
        <f>IF(B6=F6,"OK","NOK")</f>
        <v/>
      </c>
    </row>
    <row r="7">
      <c r="A7" t="inlineStr">
        <is>
          <t>Czechia (CZ)</t>
        </is>
      </c>
      <c r="B7" s="394" t="n">
        <v>0.9409999999999999</v>
      </c>
      <c r="E7" t="inlineStr">
        <is>
          <t>Czechia (CZ)</t>
        </is>
      </c>
      <c r="F7" s="143" t="n">
        <v>0.9409999999999999</v>
      </c>
      <c r="G7" s="17">
        <f>IF(A7=E7,"OK","NOK")</f>
        <v/>
      </c>
      <c r="H7" s="17">
        <f>IF(B7=F7,"OK","NOK")</f>
        <v/>
      </c>
    </row>
    <row r="8">
      <c r="A8" t="inlineStr">
        <is>
          <t>Denmark (DK)</t>
        </is>
      </c>
      <c r="B8" s="394" t="n">
        <v>1.328</v>
      </c>
      <c r="E8" t="inlineStr">
        <is>
          <t>Denmark (DK)</t>
        </is>
      </c>
      <c r="F8" s="143" t="n">
        <v>1.328</v>
      </c>
      <c r="G8" s="17">
        <f>IF(A8=E8,"OK","NOK")</f>
        <v/>
      </c>
      <c r="H8" s="17">
        <f>IF(B8=F8,"OK","NOK")</f>
        <v/>
      </c>
    </row>
    <row r="9">
      <c r="A9" t="inlineStr">
        <is>
          <t>Estonia (EE)</t>
        </is>
      </c>
      <c r="B9" s="394" t="n">
        <v>0.927</v>
      </c>
      <c r="E9" t="inlineStr">
        <is>
          <t>Estonia (EE)</t>
        </is>
      </c>
      <c r="F9" s="143" t="n">
        <v>0.927</v>
      </c>
      <c r="G9" s="17">
        <f>IF(A9=E9,"OK","NOK")</f>
        <v/>
      </c>
      <c r="H9" s="17">
        <f>IF(B9=F9,"OK","NOK")</f>
        <v/>
      </c>
    </row>
    <row r="10">
      <c r="A10" t="inlineStr">
        <is>
          <t>Finland (FI)</t>
        </is>
      </c>
      <c r="B10" s="394" t="n">
        <v>1.18</v>
      </c>
      <c r="E10" t="inlineStr">
        <is>
          <t>Finland (FI)</t>
        </is>
      </c>
      <c r="F10" s="143" t="n">
        <v>1.18</v>
      </c>
      <c r="G10" s="17">
        <f>IF(A10=E10,"OK","NOK")</f>
        <v/>
      </c>
      <c r="H10" s="17">
        <f>IF(B10=F10,"OK","NOK")</f>
        <v/>
      </c>
    </row>
    <row r="11">
      <c r="A11" t="inlineStr">
        <is>
          <t>France (FR)</t>
        </is>
      </c>
      <c r="B11" s="394" t="n">
        <v>1.181</v>
      </c>
      <c r="E11" t="inlineStr">
        <is>
          <t>France (FR)</t>
        </is>
      </c>
      <c r="F11" s="143" t="n">
        <v>1.181</v>
      </c>
      <c r="G11" s="17">
        <f>IF(A11=E11,"OK","NOK")</f>
        <v/>
      </c>
      <c r="H11" s="17">
        <f>IF(B11=F11,"OK","NOK")</f>
        <v/>
      </c>
    </row>
    <row r="12">
      <c r="A12" t="inlineStr">
        <is>
          <t>Germany (DE)</t>
        </is>
      </c>
      <c r="B12" s="394" t="n">
        <v>1.012</v>
      </c>
      <c r="E12" t="inlineStr">
        <is>
          <t>Germany (DE)</t>
        </is>
      </c>
      <c r="F12" s="143" t="n">
        <v>1.012</v>
      </c>
      <c r="G12" s="17">
        <f>IF(A12=E12,"OK","NOK")</f>
        <v/>
      </c>
      <c r="H12" s="17">
        <f>IF(B12=F12,"OK","NOK")</f>
        <v/>
      </c>
    </row>
    <row r="13">
      <c r="A13" t="inlineStr">
        <is>
          <t>Greece (EL)</t>
        </is>
      </c>
      <c r="B13" s="394" t="n">
        <v>0.868</v>
      </c>
      <c r="E13" t="inlineStr">
        <is>
          <t>Greece (EL)</t>
        </is>
      </c>
      <c r="F13" s="143" t="n">
        <v>0.868</v>
      </c>
      <c r="G13" s="17">
        <f>IF(A13=E13,"OK","NOK")</f>
        <v/>
      </c>
      <c r="H13" s="17">
        <f>IF(B13=F13,"OK","NOK")</f>
        <v/>
      </c>
    </row>
    <row r="14">
      <c r="A14" t="inlineStr">
        <is>
          <t>Hungary (HU)</t>
        </is>
      </c>
      <c r="B14" s="394" t="n">
        <v>0.767</v>
      </c>
      <c r="E14" t="inlineStr">
        <is>
          <t>Hungary (HU)</t>
        </is>
      </c>
      <c r="F14" s="143" t="n">
        <v>0.767</v>
      </c>
      <c r="G14" s="17">
        <f>IF(A14=E14,"OK","NOK")</f>
        <v/>
      </c>
      <c r="H14" s="17">
        <f>IF(B14=F14,"OK","NOK")</f>
        <v/>
      </c>
    </row>
    <row r="15">
      <c r="A15" t="inlineStr">
        <is>
          <t>Ireland (IE)</t>
        </is>
      </c>
      <c r="B15" s="394" t="n">
        <v>1.364</v>
      </c>
      <c r="E15" t="inlineStr">
        <is>
          <t>Ireland (IE)</t>
        </is>
      </c>
      <c r="F15" s="143" t="n">
        <v>1.364</v>
      </c>
      <c r="G15" s="17">
        <f>IF(A15=E15,"OK","NOK")</f>
        <v/>
      </c>
      <c r="H15" s="17">
        <f>IF(B15=F15,"OK","NOK")</f>
        <v/>
      </c>
    </row>
    <row r="16">
      <c r="A16" t="inlineStr">
        <is>
          <t>Italy (IT)</t>
        </is>
      </c>
      <c r="B16" s="394" t="n">
        <v>0.953</v>
      </c>
      <c r="E16" t="inlineStr">
        <is>
          <t>Italy (IT)</t>
        </is>
      </c>
      <c r="F16" s="143" t="n">
        <v>0.953</v>
      </c>
      <c r="G16" s="17">
        <f>IF(A16=E16,"OK","NOK")</f>
        <v/>
      </c>
      <c r="H16" s="17">
        <f>IF(B16=F16,"OK","NOK")</f>
        <v/>
      </c>
    </row>
    <row r="17">
      <c r="A17" t="inlineStr">
        <is>
          <t>Latvia (LV)</t>
        </is>
      </c>
      <c r="B17" s="394" t="n">
        <v>0.838</v>
      </c>
      <c r="E17" t="inlineStr">
        <is>
          <t>Latvia (LV)</t>
        </is>
      </c>
      <c r="F17" s="143" t="n">
        <v>0.838</v>
      </c>
      <c r="G17" s="17">
        <f>IF(A17=E17,"OK","NOK")</f>
        <v/>
      </c>
      <c r="H17" s="17">
        <f>IF(B17=F17,"OK","NOK")</f>
        <v/>
      </c>
    </row>
    <row r="18">
      <c r="A18" t="inlineStr">
        <is>
          <t>Lithuania (LT)</t>
        </is>
      </c>
      <c r="B18" s="394" t="n">
        <v>0.866</v>
      </c>
      <c r="E18" t="inlineStr">
        <is>
          <t>Lithuania (LT)</t>
        </is>
      </c>
      <c r="F18" s="143" t="n">
        <v>0.866</v>
      </c>
      <c r="G18" s="17">
        <f>IF(A18=E18,"OK","NOK")</f>
        <v/>
      </c>
      <c r="H18" s="17">
        <f>IF(B18=F18,"OK","NOK")</f>
        <v/>
      </c>
    </row>
    <row r="19">
      <c r="A19" t="inlineStr">
        <is>
          <t>Luxembourg (LU)</t>
        </is>
      </c>
      <c r="B19" s="394" t="n">
        <v>1</v>
      </c>
      <c r="E19" t="inlineStr">
        <is>
          <t>Luxembourg (LU)</t>
        </is>
      </c>
      <c r="F19" s="143" t="n">
        <v>1</v>
      </c>
      <c r="G19" s="17">
        <f>IF(A19=E19,"OK","NOK")</f>
        <v/>
      </c>
      <c r="H19" s="17">
        <f>IF(B19=F19,"OK","NOK")</f>
        <v/>
      </c>
    </row>
    <row r="20">
      <c r="A20" t="inlineStr">
        <is>
          <t>Malta (MT)</t>
        </is>
      </c>
      <c r="B20" s="394" t="n">
        <v>0.924</v>
      </c>
      <c r="E20" t="inlineStr">
        <is>
          <t>Malta (MT)</t>
        </is>
      </c>
      <c r="F20" s="143" t="n">
        <v>0.924</v>
      </c>
      <c r="G20" s="17">
        <f>IF(A20=E20,"OK","NOK")</f>
        <v/>
      </c>
      <c r="H20" s="17">
        <f>IF(B20=F20,"OK","NOK")</f>
        <v/>
      </c>
    </row>
    <row r="21">
      <c r="A21" t="inlineStr">
        <is>
          <t>Netherlands (NL)</t>
        </is>
      </c>
      <c r="B21" s="394" t="n">
        <v>1.116</v>
      </c>
      <c r="E21" t="inlineStr">
        <is>
          <t>Netherlands (NL)</t>
        </is>
      </c>
      <c r="F21" s="143" t="n">
        <v>1.116</v>
      </c>
      <c r="G21" s="17">
        <f>IF(A21=E21,"OK","NOK")</f>
        <v/>
      </c>
      <c r="H21" s="17">
        <f>IF(B21=F21,"OK","NOK")</f>
        <v/>
      </c>
    </row>
    <row r="22">
      <c r="A22" t="inlineStr">
        <is>
          <t>Poland (PL)</t>
        </is>
      </c>
      <c r="B22" s="394" t="n">
        <v>0.741</v>
      </c>
      <c r="E22" t="inlineStr">
        <is>
          <t>Poland (PL)</t>
        </is>
      </c>
      <c r="F22" s="143" t="n">
        <v>0.741</v>
      </c>
      <c r="G22" s="17">
        <f>IF(A22=E22,"OK","NOK")</f>
        <v/>
      </c>
      <c r="H22" s="17">
        <f>IF(B22=F22,"OK","NOK")</f>
        <v/>
      </c>
    </row>
    <row r="23">
      <c r="A23" t="inlineStr">
        <is>
          <t>Portugal (PT)</t>
        </is>
      </c>
      <c r="B23" s="394" t="n">
        <v>0.9370000000000001</v>
      </c>
      <c r="E23" t="inlineStr">
        <is>
          <t>Portugal (PT)</t>
        </is>
      </c>
      <c r="F23" s="143" t="n">
        <v>0.9370000000000001</v>
      </c>
      <c r="G23" s="17">
        <f>IF(A23=E23,"OK","NOK")</f>
        <v/>
      </c>
      <c r="H23" s="17">
        <f>IF(B23=F23,"OK","NOK")</f>
        <v/>
      </c>
    </row>
    <row r="24">
      <c r="A24" t="inlineStr">
        <is>
          <t>Romania (RO)</t>
        </is>
      </c>
      <c r="B24" s="394" t="n">
        <v>0.707</v>
      </c>
      <c r="E24" t="inlineStr">
        <is>
          <t>Romania (RO)</t>
        </is>
      </c>
      <c r="F24" s="143" t="n">
        <v>0.707</v>
      </c>
      <c r="G24" s="17">
        <f>IF(A24=E24,"OK","NOK")</f>
        <v/>
      </c>
      <c r="H24" s="17">
        <f>IF(B24=F24,"OK","NOK")</f>
        <v/>
      </c>
    </row>
    <row r="25">
      <c r="A25" t="inlineStr">
        <is>
          <t>Slovakia (SK)</t>
        </is>
      </c>
      <c r="B25" s="394" t="n">
        <v>0.8090000000000001</v>
      </c>
      <c r="E25" t="inlineStr">
        <is>
          <t>Slovakia (SK)</t>
        </is>
      </c>
      <c r="F25" s="143" t="n">
        <v>0.8090000000000001</v>
      </c>
      <c r="G25" s="17">
        <f>IF(A25=E25,"OK","NOK")</f>
        <v/>
      </c>
      <c r="H25" s="17">
        <f>IF(B25=F25,"OK","NOK")</f>
        <v/>
      </c>
    </row>
    <row r="26">
      <c r="A26" t="inlineStr">
        <is>
          <t>Slovenia (SI)</t>
        </is>
      </c>
      <c r="B26" s="394" t="n">
        <v>0.877</v>
      </c>
      <c r="E26" t="inlineStr">
        <is>
          <t>Slovenia (SI)</t>
        </is>
      </c>
      <c r="F26" s="143" t="n">
        <v>0.877</v>
      </c>
      <c r="G26" s="17">
        <f>IF(A26=E26,"OK","NOK")</f>
        <v/>
      </c>
      <c r="H26" s="17">
        <f>IF(B26=F26,"OK","NOK")</f>
        <v/>
      </c>
    </row>
    <row r="27">
      <c r="A27" t="inlineStr">
        <is>
          <t>Spain (ES)</t>
        </is>
      </c>
      <c r="B27" s="394" t="n">
        <v>0.956</v>
      </c>
      <c r="E27" t="inlineStr">
        <is>
          <t>Spain (ES)</t>
        </is>
      </c>
      <c r="F27" s="143" t="n">
        <v>0.956</v>
      </c>
      <c r="G27" s="17">
        <f>IF(A27=E27,"OK","NOK")</f>
        <v/>
      </c>
      <c r="H27" s="17">
        <f>IF(B27=F27,"OK","NOK")</f>
        <v/>
      </c>
    </row>
    <row r="28">
      <c r="A28" t="inlineStr">
        <is>
          <t>Sweden (SE)</t>
        </is>
      </c>
      <c r="B28" s="394" t="n">
        <v>1.25</v>
      </c>
      <c r="E28" t="inlineStr">
        <is>
          <t>Sweden (SE)</t>
        </is>
      </c>
      <c r="F28" s="143" t="n">
        <v>1.25</v>
      </c>
      <c r="G28" s="17">
        <f>IF(A28=E28,"OK","NOK")</f>
        <v/>
      </c>
      <c r="H28" s="17">
        <f>IF(B28=F28,"OK","NOK")</f>
        <v/>
      </c>
    </row>
    <row r="29">
      <c r="A29" t="inlineStr">
        <is>
          <t>Albania (AL)</t>
        </is>
      </c>
      <c r="B29" s="394" t="n">
        <v>0.5610000000000001</v>
      </c>
      <c r="E29" t="inlineStr">
        <is>
          <t>Albania (AL)</t>
        </is>
      </c>
      <c r="F29" s="143" t="n">
        <v>0.5610000000000001</v>
      </c>
      <c r="G29" s="17">
        <f>IF(A29=E29,"OK","NOK")</f>
        <v/>
      </c>
      <c r="H29" s="17">
        <f>IF(B29=F29,"OK","NOK")</f>
        <v/>
      </c>
    </row>
    <row r="30">
      <c r="A30" t="inlineStr">
        <is>
          <t>Algeria (DZ)</t>
        </is>
      </c>
      <c r="B30" s="394" t="n">
        <v>0.648</v>
      </c>
      <c r="E30" t="inlineStr">
        <is>
          <t>Algeria (DZ)</t>
        </is>
      </c>
      <c r="F30" s="143" t="n">
        <v>0.648</v>
      </c>
      <c r="G30" s="17">
        <f>IF(A30=E30,"OK","NOK")</f>
        <v/>
      </c>
      <c r="H30" s="17">
        <f>IF(B30=F30,"OK","NOK")</f>
        <v/>
      </c>
    </row>
    <row r="31">
      <c r="A31" t="inlineStr">
        <is>
          <t>Angola (AO)</t>
        </is>
      </c>
      <c r="B31" s="394" t="n">
        <v>1.289</v>
      </c>
      <c r="E31" t="inlineStr">
        <is>
          <t>Angola (AO)</t>
        </is>
      </c>
      <c r="F31" s="143" t="n">
        <v>1.289</v>
      </c>
      <c r="G31" s="17">
        <f>IF(A31=E31,"OK","NOK")</f>
        <v/>
      </c>
      <c r="H31" s="17">
        <f>IF(B31=F31,"OK","NOK")</f>
        <v/>
      </c>
    </row>
    <row r="32">
      <c r="A32" t="inlineStr">
        <is>
          <t>Anguilla (AI)</t>
        </is>
      </c>
      <c r="B32" s="394" t="n">
        <v>1.369</v>
      </c>
      <c r="E32" t="inlineStr">
        <is>
          <t>Anguilla (AI)</t>
        </is>
      </c>
      <c r="F32" s="143" t="n">
        <v>1.369</v>
      </c>
      <c r="G32" s="17">
        <f>IF(A32=E32,"OK","NOK")</f>
        <v/>
      </c>
      <c r="H32" s="17">
        <f>IF(B32=F32,"OK","NOK")</f>
        <v/>
      </c>
    </row>
    <row r="33">
      <c r="A33" t="inlineStr">
        <is>
          <t>Antigua and Barbuda (AG)</t>
        </is>
      </c>
      <c r="B33" s="394" t="n">
        <v>0.672</v>
      </c>
      <c r="E33" t="inlineStr">
        <is>
          <t>Antigua and Barbuda (AG)</t>
        </is>
      </c>
      <c r="F33" s="143" t="n">
        <v>0.672</v>
      </c>
      <c r="G33" s="17">
        <f>IF(A33=E33,"OK","NOK")</f>
        <v/>
      </c>
      <c r="H33" s="17">
        <f>IF(B33=F33,"OK","NOK")</f>
        <v/>
      </c>
    </row>
    <row r="34">
      <c r="A34" t="inlineStr">
        <is>
          <t>Argentina (AR)</t>
        </is>
      </c>
      <c r="B34" s="394" t="n">
        <v>0.827</v>
      </c>
      <c r="E34" t="inlineStr">
        <is>
          <t>Argentina (AR)</t>
        </is>
      </c>
      <c r="F34" s="143" t="n">
        <v>0.827</v>
      </c>
      <c r="G34" s="17">
        <f>IF(A34=E34,"OK","NOK")</f>
        <v/>
      </c>
      <c r="H34" s="17">
        <f>IF(B34=F34,"OK","NOK")</f>
        <v/>
      </c>
    </row>
    <row r="35">
      <c r="A35" t="inlineStr">
        <is>
          <t>Armenia (AM)</t>
        </is>
      </c>
      <c r="B35" s="394" t="n">
        <v>1.071</v>
      </c>
      <c r="E35" t="inlineStr">
        <is>
          <t>Armenia (AM)</t>
        </is>
      </c>
      <c r="F35" s="143" t="n">
        <v>1.071</v>
      </c>
      <c r="G35" s="17">
        <f>IF(A35=E35,"OK","NOK")</f>
        <v/>
      </c>
      <c r="H35" s="17">
        <f>IF(B35=F35,"OK","NOK")</f>
        <v/>
      </c>
    </row>
    <row r="36">
      <c r="A36" t="inlineStr">
        <is>
          <t>Aruba (AW)</t>
        </is>
      </c>
      <c r="B36" s="394" t="n">
        <v>1.116</v>
      </c>
      <c r="E36" t="inlineStr">
        <is>
          <t>Aruba (AW)</t>
        </is>
      </c>
      <c r="F36" s="143" t="n">
        <v>1.116</v>
      </c>
      <c r="G36" s="17">
        <f>IF(A36=E36,"OK","NOK")</f>
        <v/>
      </c>
      <c r="H36" s="17">
        <f>IF(B36=F36,"OK","NOK")</f>
        <v/>
      </c>
    </row>
    <row r="37">
      <c r="A37" t="inlineStr">
        <is>
          <t>Australia (AU)</t>
        </is>
      </c>
      <c r="B37" s="394" t="n">
        <v>1.083</v>
      </c>
      <c r="E37" t="inlineStr">
        <is>
          <t>Australia (AU)</t>
        </is>
      </c>
      <c r="F37" s="143" t="n">
        <v>1.083</v>
      </c>
      <c r="G37" s="17">
        <f>IF(A37=E37,"OK","NOK")</f>
        <v/>
      </c>
      <c r="H37" s="17">
        <f>IF(B37=F37,"OK","NOK")</f>
        <v/>
      </c>
    </row>
    <row r="38">
      <c r="A38" t="inlineStr">
        <is>
          <t>Azerbaijan (AZ)</t>
        </is>
      </c>
      <c r="B38" s="394" t="n">
        <v>0.991</v>
      </c>
      <c r="E38" t="inlineStr">
        <is>
          <t>Azerbaijan (AZ)</t>
        </is>
      </c>
      <c r="F38" s="143" t="n">
        <v>0.991</v>
      </c>
      <c r="G38" s="17">
        <f>IF(A38=E38,"OK","NOK")</f>
        <v/>
      </c>
      <c r="H38" s="17">
        <f>IF(B38=F38,"OK","NOK")</f>
        <v/>
      </c>
    </row>
    <row r="39">
      <c r="A39" t="inlineStr">
        <is>
          <t>Bangladesh (BD)</t>
        </is>
      </c>
      <c r="B39" s="394" t="n">
        <v>0.837</v>
      </c>
      <c r="E39" t="inlineStr">
        <is>
          <t>Bangladesh (BD)</t>
        </is>
      </c>
      <c r="F39" s="143" t="n">
        <v>0.837</v>
      </c>
      <c r="G39" s="17">
        <f>IF(A39=E39,"OK","NOK")</f>
        <v/>
      </c>
      <c r="H39" s="17">
        <f>IF(B39=F39,"OK","NOK")</f>
        <v/>
      </c>
    </row>
    <row r="40">
      <c r="A40" t="inlineStr">
        <is>
          <t>Barbados (BB)</t>
        </is>
      </c>
      <c r="B40" s="394" t="n">
        <v>1.156</v>
      </c>
      <c r="E40" t="inlineStr">
        <is>
          <t>Barbados (BB)</t>
        </is>
      </c>
      <c r="F40" s="143" t="n">
        <v>1.156</v>
      </c>
      <c r="G40" s="17">
        <f>IF(A40=E40,"OK","NOK")</f>
        <v/>
      </c>
      <c r="H40" s="17">
        <f>IF(B40=F40,"OK","NOK")</f>
        <v/>
      </c>
    </row>
    <row r="41">
      <c r="A41" t="inlineStr">
        <is>
          <t>Belarus (BY)</t>
        </is>
      </c>
      <c r="B41" s="394" t="n">
        <v>0.718</v>
      </c>
      <c r="E41" t="inlineStr">
        <is>
          <t>Belarus (BY)</t>
        </is>
      </c>
      <c r="F41" s="143" t="n">
        <v>0.718</v>
      </c>
      <c r="G41" s="17">
        <f>IF(A41=E41,"OK","NOK")</f>
        <v/>
      </c>
      <c r="H41" s="17">
        <f>IF(B41=F41,"OK","NOK")</f>
        <v/>
      </c>
    </row>
    <row r="42">
      <c r="A42" t="inlineStr">
        <is>
          <t>Belize (BZ)</t>
        </is>
      </c>
      <c r="B42" s="394" t="n">
        <v>0.799</v>
      </c>
      <c r="E42" t="inlineStr">
        <is>
          <t>Belize (BZ)</t>
        </is>
      </c>
      <c r="F42" s="143" t="n">
        <v>0.799</v>
      </c>
      <c r="G42" s="17">
        <f>IF(A42=E42,"OK","NOK")</f>
        <v/>
      </c>
      <c r="H42" s="17">
        <f>IF(B42=F42,"OK","NOK")</f>
        <v/>
      </c>
    </row>
    <row r="43">
      <c r="A43" t="inlineStr">
        <is>
          <t>Benin (BJ)</t>
        </is>
      </c>
      <c r="B43" s="394" t="n">
        <v>0.945</v>
      </c>
      <c r="E43" t="inlineStr">
        <is>
          <t>Benin (BJ)</t>
        </is>
      </c>
      <c r="F43" s="143" t="n">
        <v>0.945</v>
      </c>
      <c r="G43" s="17">
        <f>IF(A43=E43,"OK","NOK")</f>
        <v/>
      </c>
      <c r="H43" s="17">
        <f>IF(B43=F43,"OK","NOK")</f>
        <v/>
      </c>
    </row>
    <row r="44">
      <c r="A44" t="inlineStr">
        <is>
          <t>Bolivia (BO)</t>
        </is>
      </c>
      <c r="B44" s="394" t="n">
        <v>0.7829999999999999</v>
      </c>
      <c r="E44" t="inlineStr">
        <is>
          <t>Bolivia (BO)</t>
        </is>
      </c>
      <c r="F44" s="143" t="n">
        <v>0.7829999999999999</v>
      </c>
      <c r="G44" s="17">
        <f>IF(A44=E44,"OK","NOK")</f>
        <v/>
      </c>
      <c r="H44" s="17">
        <f>IF(B44=F44,"OK","NOK")</f>
        <v/>
      </c>
    </row>
    <row r="45">
      <c r="A45" t="inlineStr">
        <is>
          <t>Bonaire Sint Eustatius and Saba (BQ)</t>
        </is>
      </c>
      <c r="B45" s="394" t="n">
        <v>1.096</v>
      </c>
      <c r="E45" t="inlineStr">
        <is>
          <t>Bonaire Sint Eustatius and Saba (BQ)</t>
        </is>
      </c>
      <c r="F45" s="143" t="n">
        <v>1.096</v>
      </c>
      <c r="G45" s="17">
        <f>IF(A45=E45,"OK","NOK")</f>
        <v/>
      </c>
      <c r="H45" s="17">
        <f>IF(B45=F45,"OK","NOK")</f>
        <v/>
      </c>
    </row>
    <row r="46">
      <c r="A46" t="inlineStr">
        <is>
          <t>Bosnia and Herzegovina (BA)</t>
        </is>
      </c>
      <c r="B46" s="394" t="n">
        <v>0.599</v>
      </c>
      <c r="E46" t="inlineStr">
        <is>
          <t>Bosnia and Herzegovina (BA)</t>
        </is>
      </c>
      <c r="F46" s="143" t="n">
        <v>0.599</v>
      </c>
      <c r="G46" s="17">
        <f>IF(A46=E46,"OK","NOK")</f>
        <v/>
      </c>
      <c r="H46" s="17">
        <f>IF(B46=F46,"OK","NOK")</f>
        <v/>
      </c>
    </row>
    <row r="47">
      <c r="A47" t="inlineStr">
        <is>
          <t>Botswana (BW)</t>
        </is>
      </c>
      <c r="B47" s="394" t="n">
        <v>0.6909999999999999</v>
      </c>
      <c r="E47" t="inlineStr">
        <is>
          <t>Botswana (BW)</t>
        </is>
      </c>
      <c r="F47" s="143" t="n">
        <v>0.6909999999999999</v>
      </c>
      <c r="G47" s="17">
        <f>IF(A47=E47,"OK","NOK")</f>
        <v/>
      </c>
      <c r="H47" s="17">
        <f>IF(B47=F47,"OK","NOK")</f>
        <v/>
      </c>
    </row>
    <row r="48">
      <c r="A48" t="inlineStr">
        <is>
          <t>Brazil (BR)</t>
        </is>
      </c>
      <c r="B48" s="394" t="n">
        <v>0.901</v>
      </c>
      <c r="E48" t="inlineStr">
        <is>
          <t>Brazil (BR)</t>
        </is>
      </c>
      <c r="F48" s="143" t="n">
        <v>0.901</v>
      </c>
      <c r="G48" s="17">
        <f>IF(A48=E48,"OK","NOK")</f>
        <v/>
      </c>
      <c r="H48" s="17">
        <f>IF(B48=F48,"OK","NOK")</f>
        <v/>
      </c>
    </row>
    <row r="49">
      <c r="A49" t="inlineStr">
        <is>
          <t>Burkina Faso (BF)</t>
        </is>
      </c>
      <c r="B49" s="394" t="n">
        <v>0.92</v>
      </c>
      <c r="E49" t="inlineStr">
        <is>
          <t>Burkina Faso (BF)</t>
        </is>
      </c>
      <c r="F49" s="253" t="n">
        <v>0.92</v>
      </c>
      <c r="G49" s="17">
        <f>IF(A49=E49,"OK","NOK")</f>
        <v/>
      </c>
      <c r="H49" s="17">
        <f>IF(B49=F49,"OK","NOK")</f>
        <v/>
      </c>
    </row>
    <row r="50">
      <c r="A50" t="inlineStr">
        <is>
          <t>Burundi (BI)</t>
        </is>
      </c>
      <c r="B50" s="394" t="n">
        <v>0.856</v>
      </c>
      <c r="E50" t="inlineStr">
        <is>
          <t>Burundi (BI)</t>
        </is>
      </c>
      <c r="F50" s="143" t="n">
        <v>0.856</v>
      </c>
      <c r="G50" s="17">
        <f>IF(A50=E50,"OK","NOK")</f>
        <v/>
      </c>
      <c r="H50" s="17">
        <f>IF(B50=F50,"OK","NOK")</f>
        <v/>
      </c>
    </row>
    <row r="51">
      <c r="A51" t="inlineStr">
        <is>
          <t>Cambodia (KH)</t>
        </is>
      </c>
      <c r="B51" s="394" t="n">
        <v>0.855</v>
      </c>
      <c r="E51" t="inlineStr">
        <is>
          <t>Cambodia (KH)</t>
        </is>
      </c>
      <c r="F51" s="143" t="n">
        <v>0.855</v>
      </c>
      <c r="G51" s="17">
        <f>IF(A51=E51,"OK","NOK")</f>
        <v/>
      </c>
      <c r="H51" s="17">
        <f>IF(B51=F51,"OK","NOK")</f>
        <v/>
      </c>
    </row>
    <row r="52">
      <c r="A52" t="inlineStr">
        <is>
          <t>Cameroon (CM)</t>
        </is>
      </c>
      <c r="B52" s="394" t="n">
        <v>0.918</v>
      </c>
      <c r="E52" t="inlineStr">
        <is>
          <t>Cameroon (CM)</t>
        </is>
      </c>
      <c r="F52" s="143" t="n">
        <v>0.918</v>
      </c>
      <c r="G52" s="17">
        <f>IF(A52=E52,"OK","NOK")</f>
        <v/>
      </c>
      <c r="H52" s="17">
        <f>IF(B52=F52,"OK","NOK")</f>
        <v/>
      </c>
    </row>
    <row r="53">
      <c r="A53" t="inlineStr">
        <is>
          <t>Canada (CA)</t>
        </is>
      </c>
      <c r="B53" s="394" t="n">
        <v>1.144</v>
      </c>
      <c r="E53" t="inlineStr">
        <is>
          <t>Canada (CA)</t>
        </is>
      </c>
      <c r="F53" s="143" t="n">
        <v>1.144</v>
      </c>
      <c r="G53" s="17">
        <f>IF(A53=E53,"OK","NOK")</f>
        <v/>
      </c>
      <c r="H53" s="17">
        <f>IF(B53=F53,"OK","NOK")</f>
        <v/>
      </c>
    </row>
    <row r="54">
      <c r="A54" t="inlineStr">
        <is>
          <t>Cape Verde (CV)</t>
        </is>
      </c>
      <c r="B54" s="394" t="n">
        <v>0.6899999999999999</v>
      </c>
      <c r="E54" t="inlineStr">
        <is>
          <t>Cape Verde (CV)</t>
        </is>
      </c>
      <c r="F54" s="253" t="n">
        <v>0.6899999999999999</v>
      </c>
      <c r="G54" s="17">
        <f>IF(A54=E54,"OK","NOK")</f>
        <v/>
      </c>
      <c r="H54" s="17">
        <f>IF(B54=F54,"OK","NOK")</f>
        <v/>
      </c>
    </row>
    <row r="55">
      <c r="A55" t="inlineStr">
        <is>
          <t>Central African Republic (CF)</t>
        </is>
      </c>
      <c r="B55" s="394" t="n">
        <v>1.066</v>
      </c>
      <c r="E55" t="inlineStr">
        <is>
          <t>Central African Republic (CF)</t>
        </is>
      </c>
      <c r="F55" s="143" t="n">
        <v>1.066</v>
      </c>
      <c r="G55" s="17">
        <f>IF(A55=E55,"OK","NOK")</f>
        <v/>
      </c>
      <c r="H55" s="17">
        <f>IF(B55=F55,"OK","NOK")</f>
        <v/>
      </c>
    </row>
    <row r="56">
      <c r="A56" t="inlineStr">
        <is>
          <t>Chad (TD)</t>
        </is>
      </c>
      <c r="B56" s="394" t="n">
        <v>0.986</v>
      </c>
      <c r="E56" t="inlineStr">
        <is>
          <t>Chad (TD)</t>
        </is>
      </c>
      <c r="F56" s="143" t="n">
        <v>0.986</v>
      </c>
      <c r="G56" s="17">
        <f>IF(A56=E56,"OK","NOK")</f>
        <v/>
      </c>
      <c r="H56" s="17">
        <f>IF(B56=F56,"OK","NOK")</f>
        <v/>
      </c>
    </row>
    <row r="57">
      <c r="A57" t="inlineStr">
        <is>
          <t>Chile (CL)</t>
        </is>
      </c>
      <c r="B57" s="394" t="n">
        <v>0.676</v>
      </c>
      <c r="E57" t="inlineStr">
        <is>
          <t>Chile (CL)</t>
        </is>
      </c>
      <c r="F57" s="143" t="n">
        <v>0.676</v>
      </c>
      <c r="G57" s="17">
        <f>IF(A57=E57,"OK","NOK")</f>
        <v/>
      </c>
      <c r="H57" s="17">
        <f>IF(B57=F57,"OK","NOK")</f>
        <v/>
      </c>
    </row>
    <row r="58">
      <c r="A58" t="inlineStr">
        <is>
          <t>China (People's Republic of) (CN)</t>
        </is>
      </c>
      <c r="B58" s="394" t="n">
        <v>0.852</v>
      </c>
      <c r="E58" t="inlineStr">
        <is>
          <t>China (People's Republic of) (CN)</t>
        </is>
      </c>
      <c r="F58" s="143" t="n">
        <v>0.852</v>
      </c>
      <c r="G58" s="17">
        <f>IF(A58=E58,"OK","NOK")</f>
        <v/>
      </c>
      <c r="H58" s="17">
        <f>IF(B58=F58,"OK","NOK")</f>
        <v/>
      </c>
    </row>
    <row r="59">
      <c r="A59" t="inlineStr">
        <is>
          <t>Colombia (CO)</t>
        </is>
      </c>
      <c r="B59" s="394" t="n">
        <v>0.694</v>
      </c>
      <c r="E59" t="inlineStr">
        <is>
          <t>Colombia (CO)</t>
        </is>
      </c>
      <c r="F59" s="143" t="n">
        <v>0.694</v>
      </c>
      <c r="G59" s="17">
        <f>IF(A59=E59,"OK","NOK")</f>
        <v/>
      </c>
      <c r="H59" s="17">
        <f>IF(B59=F59,"OK","NOK")</f>
        <v/>
      </c>
    </row>
    <row r="60">
      <c r="A60" t="inlineStr">
        <is>
          <t>Comoros (KM)</t>
        </is>
      </c>
      <c r="B60" s="394" t="n">
        <v>0.757</v>
      </c>
      <c r="E60" t="inlineStr">
        <is>
          <t>Comoros (KM)</t>
        </is>
      </c>
      <c r="F60" s="143" t="n">
        <v>0.757</v>
      </c>
      <c r="G60" s="17">
        <f>IF(A60=E60,"OK","NOK")</f>
        <v/>
      </c>
      <c r="H60" s="17">
        <f>IF(B60=F60,"OK","NOK")</f>
        <v/>
      </c>
    </row>
    <row r="61">
      <c r="A61" t="inlineStr">
        <is>
          <t>Congo (CG)</t>
        </is>
      </c>
      <c r="B61" s="394" t="n">
        <v>1.207</v>
      </c>
      <c r="E61" t="inlineStr">
        <is>
          <t>Congo (CG)</t>
        </is>
      </c>
      <c r="F61" s="143" t="n">
        <v>1.207</v>
      </c>
      <c r="G61" s="17">
        <f>IF(A61=E61,"OK","NOK")</f>
        <v/>
      </c>
      <c r="H61" s="17">
        <f>IF(B61=F61,"OK","NOK")</f>
        <v/>
      </c>
    </row>
    <row r="62">
      <c r="A62" t="inlineStr">
        <is>
          <t>Congo (Democratic Republic of) (CD)</t>
        </is>
      </c>
      <c r="B62" s="394" t="n">
        <v>1.393</v>
      </c>
      <c r="E62" t="inlineStr">
        <is>
          <t>Congo (Democratic Republic of) (CD)</t>
        </is>
      </c>
      <c r="F62" s="143" t="n">
        <v>1.393</v>
      </c>
      <c r="G62" s="17">
        <f>IF(A62=E62,"OK","NOK")</f>
        <v/>
      </c>
      <c r="H62" s="17">
        <f>IF(B62=F62,"OK","NOK")</f>
        <v/>
      </c>
    </row>
    <row r="63">
      <c r="A63" t="inlineStr">
        <is>
          <t>Costa Rica (CR)</t>
        </is>
      </c>
      <c r="B63" s="394" t="n">
        <v>0.854</v>
      </c>
      <c r="E63" t="inlineStr">
        <is>
          <t>Costa Rica (CR)</t>
        </is>
      </c>
      <c r="F63" s="143" t="n">
        <v>0.854</v>
      </c>
      <c r="G63" s="17">
        <f>IF(A63=E63,"OK","NOK")</f>
        <v/>
      </c>
      <c r="H63" s="17">
        <f>IF(B63=F63,"OK","NOK")</f>
        <v/>
      </c>
    </row>
    <row r="64">
      <c r="A64" t="inlineStr">
        <is>
          <t>Cote d'Ivoire (CI)</t>
        </is>
      </c>
      <c r="B64" s="394" t="n">
        <v>0.886</v>
      </c>
      <c r="E64" t="inlineStr">
        <is>
          <t>Cote d'Ivoire (CI)</t>
        </is>
      </c>
      <c r="F64" s="143" t="n">
        <v>0.886</v>
      </c>
      <c r="G64" s="17">
        <f>IF(A64=E64,"OK","NOK")</f>
        <v/>
      </c>
      <c r="H64" s="17">
        <f>IF(B64=F64,"OK","NOK")</f>
        <v/>
      </c>
    </row>
    <row r="65">
      <c r="A65" t="inlineStr">
        <is>
          <t>Cuba (CU)</t>
        </is>
      </c>
      <c r="B65" s="394" t="n">
        <v>1.214</v>
      </c>
      <c r="E65" t="inlineStr">
        <is>
          <t>Cuba (CU)</t>
        </is>
      </c>
      <c r="F65" s="143" t="n">
        <v>1.214</v>
      </c>
      <c r="G65" s="17">
        <f>IF(A65=E65,"OK","NOK")</f>
        <v/>
      </c>
      <c r="H65" s="17">
        <f>IF(B65=F65,"OK","NOK")</f>
        <v/>
      </c>
    </row>
    <row r="66">
      <c r="A66" t="inlineStr">
        <is>
          <t>Curaçao (CW)</t>
        </is>
      </c>
      <c r="B66" s="394" t="n">
        <v>1.116</v>
      </c>
      <c r="E66" t="inlineStr">
        <is>
          <t>Curaçao (CW)</t>
        </is>
      </c>
      <c r="F66" s="143" t="n">
        <v>1.116</v>
      </c>
      <c r="G66" s="17">
        <f>IF(A66=E66,"OK","NOK")</f>
        <v/>
      </c>
      <c r="H66" s="17">
        <f>IF(B66=F66,"OK","NOK")</f>
        <v/>
      </c>
    </row>
    <row r="67">
      <c r="A67" t="inlineStr">
        <is>
          <t>Djibouti (DJ)</t>
        </is>
      </c>
      <c r="B67" s="394" t="n">
        <v>1.079</v>
      </c>
      <c r="E67" t="inlineStr">
        <is>
          <t>Djibouti (DJ)</t>
        </is>
      </c>
      <c r="F67" s="143" t="n">
        <v>1.079</v>
      </c>
      <c r="G67" s="17">
        <f>IF(A67=E67,"OK","NOK")</f>
        <v/>
      </c>
      <c r="H67" s="17">
        <f>IF(B67=F67,"OK","NOK")</f>
        <v/>
      </c>
    </row>
    <row r="68">
      <c r="A68" t="inlineStr">
        <is>
          <t>Dominican Republic (DO)</t>
        </is>
      </c>
      <c r="B68" s="394" t="n">
        <v>0.752</v>
      </c>
      <c r="E68" t="inlineStr">
        <is>
          <t>Dominican Republic (DO)</t>
        </is>
      </c>
      <c r="F68" s="143" t="n">
        <v>0.752</v>
      </c>
      <c r="G68" s="17">
        <f>IF(A68=E68,"OK","NOK")</f>
        <v/>
      </c>
      <c r="H68" s="17">
        <f>IF(B68=F68,"OK","NOK")</f>
        <v/>
      </c>
    </row>
    <row r="69">
      <c r="A69" t="inlineStr">
        <is>
          <t>Ecuador (EC)</t>
        </is>
      </c>
      <c r="B69" s="394" t="n">
        <v>0.827</v>
      </c>
      <c r="E69" t="inlineStr">
        <is>
          <t>Ecuador (EC)</t>
        </is>
      </c>
      <c r="F69" s="143" t="n">
        <v>0.827</v>
      </c>
      <c r="G69" s="17">
        <f>IF(A69=E69,"OK","NOK")</f>
        <v/>
      </c>
      <c r="H69" s="17">
        <f>IF(B69=F69,"OK","NOK")</f>
        <v/>
      </c>
    </row>
    <row r="70">
      <c r="A70" t="inlineStr">
        <is>
          <t>Egypt (EG)</t>
        </is>
      </c>
      <c r="B70" s="394" t="n">
        <v>0.723</v>
      </c>
      <c r="E70" t="inlineStr">
        <is>
          <t>Egypt (EG)</t>
        </is>
      </c>
      <c r="F70" s="143" t="n">
        <v>0.723</v>
      </c>
      <c r="G70" s="17">
        <f>IF(A70=E70,"OK","NOK")</f>
        <v/>
      </c>
      <c r="H70" s="17">
        <f>IF(B70=F70,"OK","NOK")</f>
        <v/>
      </c>
    </row>
    <row r="71">
      <c r="A71" t="inlineStr">
        <is>
          <t>El Salvador (SV)</t>
        </is>
      </c>
      <c r="B71" s="394" t="n">
        <v>0.798</v>
      </c>
      <c r="E71" t="inlineStr">
        <is>
          <t>El Salvador (SV)</t>
        </is>
      </c>
      <c r="F71" s="143" t="n">
        <v>0.798</v>
      </c>
      <c r="G71" s="17">
        <f>IF(A71=E71,"OK","NOK")</f>
        <v/>
      </c>
      <c r="H71" s="17">
        <f>IF(B71=F71,"OK","NOK")</f>
        <v/>
      </c>
    </row>
    <row r="72">
      <c r="A72" t="inlineStr">
        <is>
          <t>Eritrea (ER)</t>
        </is>
      </c>
      <c r="B72" s="394" t="n">
        <v>1.063</v>
      </c>
      <c r="E72" t="inlineStr">
        <is>
          <t>Eritrea (ER)</t>
        </is>
      </c>
      <c r="F72" s="143" t="n">
        <v>1.063</v>
      </c>
      <c r="G72" s="17">
        <f>IF(A72=E72,"OK","NOK")</f>
        <v/>
      </c>
      <c r="H72" s="17">
        <f>IF(B72=F72,"OK","NOK")</f>
        <v/>
      </c>
    </row>
    <row r="73">
      <c r="A73" t="inlineStr">
        <is>
          <t>Eswatini (SZ)</t>
        </is>
      </c>
      <c r="B73" s="394" t="n">
        <v>0.651</v>
      </c>
      <c r="E73" t="inlineStr">
        <is>
          <t>Eswatini (SZ)</t>
        </is>
      </c>
      <c r="F73" s="143" t="n">
        <v>0.651</v>
      </c>
      <c r="G73" s="17">
        <f>IF(A73=E73,"OK","NOK")</f>
        <v/>
      </c>
      <c r="H73" s="17">
        <f>IF(B73=F73,"OK","NOK")</f>
        <v/>
      </c>
    </row>
    <row r="74">
      <c r="A74" t="inlineStr">
        <is>
          <t>Ethiopia (ET)</t>
        </is>
      </c>
      <c r="B74" s="394" t="n">
        <v>0.801</v>
      </c>
      <c r="E74" t="inlineStr">
        <is>
          <t>Ethiopia (ET)</t>
        </is>
      </c>
      <c r="F74" s="143" t="n">
        <v>0.801</v>
      </c>
      <c r="G74" s="17">
        <f>IF(A74=E74,"OK","NOK")</f>
        <v/>
      </c>
      <c r="H74" s="17">
        <f>IF(B74=F74,"OK","NOK")</f>
        <v/>
      </c>
    </row>
    <row r="75">
      <c r="A75" t="inlineStr">
        <is>
          <t>Faroe Islands (FO)</t>
        </is>
      </c>
      <c r="B75" s="394" t="n">
        <v>1.342</v>
      </c>
      <c r="E75" t="inlineStr">
        <is>
          <t>Faroe Islands (FO)</t>
        </is>
      </c>
      <c r="F75" s="143" t="n">
        <v>1.342</v>
      </c>
      <c r="G75" s="17">
        <f>IF(A75=E75,"OK","NOK")</f>
        <v/>
      </c>
      <c r="H75" s="17">
        <f>IF(B75=F75,"OK","NOK")</f>
        <v/>
      </c>
    </row>
    <row r="76">
      <c r="A76" t="inlineStr">
        <is>
          <t>Fiji (FJ)</t>
        </is>
      </c>
      <c r="B76" s="394" t="n">
        <v>0.726</v>
      </c>
      <c r="E76" t="inlineStr">
        <is>
          <t>Fiji (FJ)</t>
        </is>
      </c>
      <c r="F76" s="143" t="n">
        <v>0.726</v>
      </c>
      <c r="G76" s="17">
        <f>IF(A76=E76,"OK","NOK")</f>
        <v/>
      </c>
      <c r="H76" s="17">
        <f>IF(B76=F76,"OK","NOK")</f>
        <v/>
      </c>
    </row>
    <row r="77">
      <c r="A77" t="inlineStr">
        <is>
          <t>French Polynesia (PF)</t>
        </is>
      </c>
      <c r="B77" s="394" t="n">
        <v>1.164</v>
      </c>
      <c r="E77" t="inlineStr">
        <is>
          <t>French Polynesia (PF)</t>
        </is>
      </c>
      <c r="F77" s="143" t="n">
        <v>1.164</v>
      </c>
      <c r="G77" s="17">
        <f>IF(A77=E77,"OK","NOK")</f>
        <v/>
      </c>
      <c r="H77" s="17">
        <f>IF(B77=F77,"OK","NOK")</f>
        <v/>
      </c>
    </row>
    <row r="78">
      <c r="A78" t="inlineStr">
        <is>
          <t>French Southern and Antarctic Lands (TF)</t>
        </is>
      </c>
      <c r="B78" s="394" t="n">
        <v>1.181</v>
      </c>
      <c r="E78" t="inlineStr">
        <is>
          <t>French Southern and Antarctic Lands (TF)</t>
        </is>
      </c>
      <c r="F78" s="143" t="n">
        <v>1.181</v>
      </c>
      <c r="G78" s="17">
        <f>IF(A78=E78,"OK","NOK")</f>
        <v/>
      </c>
      <c r="H78" s="17">
        <f>IF(B78=F78,"OK","NOK")</f>
        <v/>
      </c>
    </row>
    <row r="79">
      <c r="A79" t="inlineStr">
        <is>
          <t>Gabon (GA)</t>
        </is>
      </c>
      <c r="B79" s="394" t="n">
        <v>1.077</v>
      </c>
      <c r="E79" t="inlineStr">
        <is>
          <t>Gabon (GA)</t>
        </is>
      </c>
      <c r="F79" s="143" t="n">
        <v>1.077</v>
      </c>
      <c r="G79" s="17">
        <f>IF(A79=E79,"OK","NOK")</f>
        <v/>
      </c>
      <c r="H79" s="17">
        <f>IF(B79=F79,"OK","NOK")</f>
        <v/>
      </c>
    </row>
    <row r="80">
      <c r="A80" t="inlineStr">
        <is>
          <t>Gambia (GM)</t>
        </is>
      </c>
      <c r="B80" s="394" t="n">
        <v>0.929</v>
      </c>
      <c r="E80" t="inlineStr">
        <is>
          <t>Gambia (GM)</t>
        </is>
      </c>
      <c r="F80" s="143" t="n">
        <v>0.929</v>
      </c>
      <c r="G80" s="17">
        <f>IF(A80=E80,"OK","NOK")</f>
        <v/>
      </c>
      <c r="H80" s="17">
        <f>IF(B80=F80,"OK","NOK")</f>
        <v/>
      </c>
    </row>
    <row r="81">
      <c r="A81" t="inlineStr">
        <is>
          <t>Georgia (GE)</t>
        </is>
      </c>
      <c r="B81" s="394" t="n">
        <v>0.777</v>
      </c>
      <c r="E81" t="inlineStr">
        <is>
          <t>Georgia (GE)</t>
        </is>
      </c>
      <c r="F81" s="143" t="n">
        <v>0.777</v>
      </c>
      <c r="G81" s="17">
        <f>IF(A81=E81,"OK","NOK")</f>
        <v/>
      </c>
      <c r="H81" s="17">
        <f>IF(B81=F81,"OK","NOK")</f>
        <v/>
      </c>
    </row>
    <row r="82">
      <c r="A82" t="inlineStr">
        <is>
          <t>Ghana (GH)</t>
        </is>
      </c>
      <c r="B82" s="394" t="n">
        <v>0.837</v>
      </c>
      <c r="E82" t="inlineStr">
        <is>
          <t>Ghana (GH)</t>
        </is>
      </c>
      <c r="F82" s="143" t="n">
        <v>0.837</v>
      </c>
      <c r="G82" s="17">
        <f>IF(A82=E82,"OK","NOK")</f>
        <v/>
      </c>
      <c r="H82" s="17">
        <f>IF(B82=F82,"OK","NOK")</f>
        <v/>
      </c>
    </row>
    <row r="83">
      <c r="A83" t="inlineStr">
        <is>
          <t>Greenland (GL)</t>
        </is>
      </c>
      <c r="B83" s="394" t="n">
        <v>1.32</v>
      </c>
      <c r="E83" t="inlineStr">
        <is>
          <t>Greenland (GL)</t>
        </is>
      </c>
      <c r="F83" s="143" t="n">
        <v>1.32</v>
      </c>
      <c r="G83" s="17">
        <f>IF(A83=E83,"OK","NOK")</f>
        <v/>
      </c>
      <c r="H83" s="17">
        <f>IF(B83=F83,"OK","NOK")</f>
        <v/>
      </c>
    </row>
    <row r="84">
      <c r="A84" t="inlineStr">
        <is>
          <t>Guam (GU)</t>
        </is>
      </c>
      <c r="B84" s="394" t="n">
        <v>1.023</v>
      </c>
      <c r="E84" t="inlineStr">
        <is>
          <t>Guam (GU)</t>
        </is>
      </c>
      <c r="F84" s="143" t="n">
        <v>1.023</v>
      </c>
      <c r="G84" s="17">
        <f>IF(A84=E84,"OK","NOK")</f>
        <v/>
      </c>
      <c r="H84" s="17">
        <f>IF(B84=F84,"OK","NOK")</f>
        <v/>
      </c>
    </row>
    <row r="85">
      <c r="A85" t="inlineStr">
        <is>
          <t>Guatemala (GT)</t>
        </is>
      </c>
      <c r="B85" s="394" t="n">
        <v>0.969</v>
      </c>
      <c r="E85" t="inlineStr">
        <is>
          <t>Guatemala (GT)</t>
        </is>
      </c>
      <c r="F85" s="143" t="n">
        <v>0.969</v>
      </c>
      <c r="G85" s="17">
        <f>IF(A85=E85,"OK","NOK")</f>
        <v/>
      </c>
      <c r="H85" s="17">
        <f>IF(B85=F85,"OK","NOK")</f>
        <v/>
      </c>
    </row>
    <row r="86">
      <c r="A86" t="inlineStr">
        <is>
          <t>Guinea (GN)</t>
        </is>
      </c>
      <c r="B86" s="394" t="n">
        <v>1.155</v>
      </c>
      <c r="E86" t="inlineStr">
        <is>
          <t>Guinea (GN)</t>
        </is>
      </c>
      <c r="F86" s="143" t="n">
        <v>1.155</v>
      </c>
      <c r="G86" s="17">
        <f>IF(A86=E86,"OK","NOK")</f>
        <v/>
      </c>
      <c r="H86" s="17">
        <f>IF(B86=F86,"OK","NOK")</f>
        <v/>
      </c>
    </row>
    <row r="87">
      <c r="A87" t="inlineStr">
        <is>
          <t>Guinea-Bissau (GW)</t>
        </is>
      </c>
      <c r="B87" s="394" t="n">
        <v>0.756</v>
      </c>
      <c r="E87" t="inlineStr">
        <is>
          <t>Guinea-Bissau (GW)</t>
        </is>
      </c>
      <c r="F87" s="143" t="n">
        <v>0.756</v>
      </c>
      <c r="G87" s="17">
        <f>IF(A87=E87,"OK","NOK")</f>
        <v/>
      </c>
      <c r="H87" s="17">
        <f>IF(B87=F87,"OK","NOK")</f>
        <v/>
      </c>
    </row>
    <row r="88">
      <c r="A88" t="inlineStr">
        <is>
          <t>Guyana (GY)</t>
        </is>
      </c>
      <c r="B88" s="394" t="n">
        <v>0.89</v>
      </c>
      <c r="E88" t="inlineStr">
        <is>
          <t>Guyana (GY)</t>
        </is>
      </c>
      <c r="F88" s="253" t="n">
        <v>0.89</v>
      </c>
      <c r="G88" s="17">
        <f>IF(A88=E88,"OK","NOK")</f>
        <v/>
      </c>
      <c r="H88" s="17">
        <f>IF(B88=F88,"OK","NOK")</f>
        <v/>
      </c>
    </row>
    <row r="89">
      <c r="A89" t="inlineStr">
        <is>
          <t>Haiti (HT)</t>
        </is>
      </c>
      <c r="B89" s="394" t="n">
        <v>1.078</v>
      </c>
      <c r="E89" t="inlineStr">
        <is>
          <t>Haiti (HT)</t>
        </is>
      </c>
      <c r="F89" s="143" t="n">
        <v>1.078</v>
      </c>
      <c r="G89" s="17">
        <f>IF(A89=E89,"OK","NOK")</f>
        <v/>
      </c>
      <c r="H89" s="17">
        <f>IF(B89=F89,"OK","NOK")</f>
        <v/>
      </c>
    </row>
    <row r="90">
      <c r="A90" t="inlineStr">
        <is>
          <t>Holy See (VA)</t>
        </is>
      </c>
      <c r="B90" s="394" t="n">
        <v>0.974</v>
      </c>
      <c r="E90" t="inlineStr">
        <is>
          <t>Holy See (VA)</t>
        </is>
      </c>
      <c r="F90" s="143" t="n">
        <v>0.974</v>
      </c>
      <c r="G90" s="17">
        <f>IF(A90=E90,"OK","NOK")</f>
        <v/>
      </c>
      <c r="H90" s="17">
        <f>IF(B90=F90,"OK","NOK")</f>
        <v/>
      </c>
    </row>
    <row r="91">
      <c r="A91" t="inlineStr">
        <is>
          <t>Honduras (HN)</t>
        </is>
      </c>
      <c r="B91" s="394" t="n">
        <v>0.851</v>
      </c>
      <c r="E91" t="inlineStr">
        <is>
          <t>Honduras (HN)</t>
        </is>
      </c>
      <c r="F91" s="143" t="n">
        <v>0.851</v>
      </c>
      <c r="G91" s="17">
        <f>IF(A91=E91,"OK","NOK")</f>
        <v/>
      </c>
      <c r="H91" s="17">
        <f>IF(B91=F91,"OK","NOK")</f>
        <v/>
      </c>
    </row>
    <row r="92">
      <c r="A92" t="inlineStr">
        <is>
          <t>Hong Kong (HK)</t>
        </is>
      </c>
      <c r="B92" s="394" t="n">
        <v>1.17</v>
      </c>
      <c r="E92" t="inlineStr">
        <is>
          <t>Hong Kong (HK)</t>
        </is>
      </c>
      <c r="F92" s="253" t="n">
        <v>1.17</v>
      </c>
      <c r="G92" s="17">
        <f>IF(A92=E92,"OK","NOK")</f>
        <v/>
      </c>
      <c r="H92" s="17">
        <f>IF(B92=F92,"OK","NOK")</f>
        <v/>
      </c>
    </row>
    <row r="93">
      <c r="A93" t="inlineStr">
        <is>
          <t>Iceland (IS)</t>
        </is>
      </c>
      <c r="B93" s="394" t="n">
        <v>1.389</v>
      </c>
      <c r="E93" t="inlineStr">
        <is>
          <t>Iceland (IS)</t>
        </is>
      </c>
      <c r="F93" s="143" t="n">
        <v>1.389</v>
      </c>
      <c r="G93" s="17">
        <f>IF(A93=E93,"OK","NOK")</f>
        <v/>
      </c>
      <c r="H93" s="17">
        <f>IF(B93=F93,"OK","NOK")</f>
        <v/>
      </c>
    </row>
    <row r="94">
      <c r="A94" t="inlineStr">
        <is>
          <t>India (IN)</t>
        </is>
      </c>
      <c r="B94" s="394" t="n">
        <v>0.913</v>
      </c>
      <c r="E94" t="inlineStr">
        <is>
          <t>India (IN)</t>
        </is>
      </c>
      <c r="F94" s="143" t="n">
        <v>0.913</v>
      </c>
      <c r="G94" s="17">
        <f>IF(A94=E94,"OK","NOK")</f>
        <v/>
      </c>
      <c r="H94" s="17">
        <f>IF(B94=F94,"OK","NOK")</f>
        <v/>
      </c>
    </row>
    <row r="95">
      <c r="A95" t="inlineStr">
        <is>
          <t>Indonesia (ID)</t>
        </is>
      </c>
      <c r="B95" s="394" t="n">
        <v>0.716</v>
      </c>
      <c r="E95" t="inlineStr">
        <is>
          <t>Indonesia (ID)</t>
        </is>
      </c>
      <c r="F95" s="143" t="n">
        <v>0.716</v>
      </c>
      <c r="G95" s="17">
        <f>IF(A95=E95,"OK","NOK")</f>
        <v/>
      </c>
      <c r="H95" s="17">
        <f>IF(B95=F95,"OK","NOK")</f>
        <v/>
      </c>
    </row>
    <row r="96">
      <c r="A96" t="inlineStr">
        <is>
          <t>Iran (Islamic Republic of) (IR)</t>
        </is>
      </c>
      <c r="B96" s="394" t="n">
        <v>1.358</v>
      </c>
      <c r="E96" t="inlineStr">
        <is>
          <t>Iran (Islamic Republic of) (IR)</t>
        </is>
      </c>
      <c r="F96" s="143" t="n">
        <v>1.358</v>
      </c>
      <c r="G96" s="17">
        <f>IF(A96=E96,"OK","NOK")</f>
        <v/>
      </c>
      <c r="H96" s="17">
        <f>IF(B96=F96,"OK","NOK")</f>
        <v/>
      </c>
    </row>
    <row r="97">
      <c r="A97" t="inlineStr">
        <is>
          <t>Isle of Man (IM)</t>
        </is>
      </c>
      <c r="B97" s="394" t="n">
        <v>1.369</v>
      </c>
      <c r="E97" t="inlineStr">
        <is>
          <t>Isle of Man (IM)</t>
        </is>
      </c>
      <c r="F97" s="143" t="n">
        <v>1.369</v>
      </c>
      <c r="G97" s="17">
        <f>IF(A97=E97,"OK","NOK")</f>
        <v/>
      </c>
      <c r="H97" s="17">
        <f>IF(B97=F97,"OK","NOK")</f>
        <v/>
      </c>
    </row>
    <row r="98">
      <c r="A98" t="inlineStr">
        <is>
          <t>Israel (IL)</t>
        </is>
      </c>
      <c r="B98" s="394" t="n">
        <v>1.215</v>
      </c>
      <c r="E98" t="inlineStr">
        <is>
          <t>Israel (IL)</t>
        </is>
      </c>
      <c r="F98" s="143" t="n">
        <v>1.215</v>
      </c>
      <c r="G98" s="17">
        <f>IF(A98=E98,"OK","NOK")</f>
        <v/>
      </c>
      <c r="H98" s="17">
        <f>IF(B98=F98,"OK","NOK")</f>
        <v/>
      </c>
    </row>
    <row r="99">
      <c r="A99" t="inlineStr">
        <is>
          <t>Jamaica (JM)</t>
        </is>
      </c>
      <c r="B99" s="394" t="n">
        <v>1.031</v>
      </c>
      <c r="E99" t="inlineStr">
        <is>
          <t>Jamaica (JM)</t>
        </is>
      </c>
      <c r="F99" s="143" t="n">
        <v>1.031</v>
      </c>
      <c r="G99" s="17">
        <f>IF(A99=E99,"OK","NOK")</f>
        <v/>
      </c>
      <c r="H99" s="17">
        <f>IF(B99=F99,"OK","NOK")</f>
        <v/>
      </c>
    </row>
    <row r="100">
      <c r="A100" t="inlineStr">
        <is>
          <t>Japan(JP)</t>
        </is>
      </c>
      <c r="B100" s="394" t="n">
        <v>1.61</v>
      </c>
      <c r="E100" t="inlineStr">
        <is>
          <t>Japan(JP)</t>
        </is>
      </c>
      <c r="F100" s="253" t="n">
        <v>1.61</v>
      </c>
      <c r="G100" s="17">
        <f>IF(A100=E100,"OK","NOK")</f>
        <v/>
      </c>
      <c r="H100" s="17">
        <f>IF(B100=F100,"OK","NOK")</f>
        <v/>
      </c>
    </row>
    <row r="101">
      <c r="A101" t="inlineStr">
        <is>
          <t>Jordan (JO)</t>
        </is>
      </c>
      <c r="B101" s="394" t="n">
        <v>0.928</v>
      </c>
      <c r="E101" t="inlineStr">
        <is>
          <t>Jordan (JO)</t>
        </is>
      </c>
      <c r="F101" s="143" t="n">
        <v>0.928</v>
      </c>
      <c r="G101" s="17">
        <f>IF(A101=E101,"OK","NOK")</f>
        <v/>
      </c>
      <c r="H101" s="17">
        <f>IF(B101=F101,"OK","NOK")</f>
        <v/>
      </c>
    </row>
    <row r="102">
      <c r="A102" t="inlineStr">
        <is>
          <t>Kazakhstan (KZ)</t>
        </is>
      </c>
      <c r="B102" s="394" t="n">
        <v>0.798</v>
      </c>
      <c r="E102" t="inlineStr">
        <is>
          <t>Kazakhstan (KZ)</t>
        </is>
      </c>
      <c r="F102" s="143" t="n">
        <v>0.798</v>
      </c>
      <c r="G102" s="17">
        <f>IF(A102=E102,"OK","NOK")</f>
        <v/>
      </c>
      <c r="H102" s="17">
        <f>IF(B102=F102,"OK","NOK")</f>
        <v/>
      </c>
    </row>
    <row r="103">
      <c r="A103" t="inlineStr">
        <is>
          <t>Kenya (KE)</t>
        </is>
      </c>
      <c r="B103" s="394" t="n">
        <v>0.908</v>
      </c>
      <c r="E103" t="inlineStr">
        <is>
          <t>Kenya (KE)</t>
        </is>
      </c>
      <c r="F103" s="143" t="n">
        <v>0.908</v>
      </c>
      <c r="G103" s="17">
        <f>IF(A103=E103,"OK","NOK")</f>
        <v/>
      </c>
      <c r="H103" s="17">
        <f>IF(B103=F103,"OK","NOK")</f>
        <v/>
      </c>
    </row>
    <row r="104">
      <c r="A104" t="inlineStr">
        <is>
          <t>Korea (Republic of) (KR)</t>
        </is>
      </c>
      <c r="B104" s="394" t="n">
        <v>1.279</v>
      </c>
      <c r="E104" t="inlineStr">
        <is>
          <t>Korea (Republic of) (KR)</t>
        </is>
      </c>
      <c r="F104" s="143" t="n">
        <v>1.279</v>
      </c>
      <c r="G104" s="17">
        <f>IF(A104=E104,"OK","NOK")</f>
        <v/>
      </c>
      <c r="H104" s="17">
        <f>IF(B104=F104,"OK","NOK")</f>
        <v/>
      </c>
    </row>
    <row r="105">
      <c r="A105" t="inlineStr">
        <is>
          <t>Kosovo * UN resolution (XK)</t>
        </is>
      </c>
      <c r="B105" s="394" t="n">
        <v>0.531</v>
      </c>
      <c r="E105" t="inlineStr">
        <is>
          <t>Kosovo * UN resolution (XK)</t>
        </is>
      </c>
      <c r="F105" s="143" t="n">
        <v>0.531</v>
      </c>
      <c r="G105" s="17">
        <f>IF(A105=E105,"OK","NOK")</f>
        <v/>
      </c>
      <c r="H105" s="17">
        <f>IF(B105=F105,"OK","NOK")</f>
        <v/>
      </c>
    </row>
    <row r="106">
      <c r="A106" t="inlineStr">
        <is>
          <t>Kyrgyzstan (KG)</t>
        </is>
      </c>
      <c r="B106" s="394" t="n">
        <v>0.797</v>
      </c>
      <c r="E106" t="inlineStr">
        <is>
          <t>Kyrgyzstan (KG)</t>
        </is>
      </c>
      <c r="F106" s="143" t="n">
        <v>0.797</v>
      </c>
      <c r="G106" s="17">
        <f>IF(A106=E106,"OK","NOK")</f>
        <v/>
      </c>
      <c r="H106" s="17">
        <f>IF(B106=F106,"OK","NOK")</f>
        <v/>
      </c>
    </row>
    <row r="107">
      <c r="A107" t="inlineStr">
        <is>
          <t>Lao (People's Democratic Republic) (LA)</t>
        </is>
      </c>
      <c r="B107" s="394" t="n">
        <v>0.643</v>
      </c>
      <c r="E107" t="inlineStr">
        <is>
          <t>Lao (People's Democratic Republic) (LA)</t>
        </is>
      </c>
      <c r="F107" s="143" t="n">
        <v>0.643</v>
      </c>
      <c r="G107" s="17">
        <f>IF(A107=E107,"OK","NOK")</f>
        <v/>
      </c>
      <c r="H107" s="17">
        <f>IF(B107=F107,"OK","NOK")</f>
        <v/>
      </c>
    </row>
    <row r="108">
      <c r="A108" t="inlineStr">
        <is>
          <t>Lebanon (LB)</t>
        </is>
      </c>
      <c r="B108" s="394" t="n">
        <v>1.162</v>
      </c>
      <c r="E108" t="inlineStr">
        <is>
          <t>Lebanon (LB)</t>
        </is>
      </c>
      <c r="F108" s="143" t="n">
        <v>1.162</v>
      </c>
      <c r="G108" s="17">
        <f>IF(A108=E108,"OK","NOK")</f>
        <v/>
      </c>
      <c r="H108" s="17">
        <f>IF(B108=F108,"OK","NOK")</f>
        <v/>
      </c>
    </row>
    <row r="109">
      <c r="A109" t="inlineStr">
        <is>
          <t>Lesotho (LS)</t>
        </is>
      </c>
      <c r="B109" s="394" t="n">
        <v>0.617</v>
      </c>
      <c r="E109" t="inlineStr">
        <is>
          <t>Lesotho (LS)</t>
        </is>
      </c>
      <c r="F109" s="143" t="n">
        <v>0.617</v>
      </c>
      <c r="G109" s="17">
        <f>IF(A109=E109,"OK","NOK")</f>
        <v/>
      </c>
      <c r="H109" s="17">
        <f>IF(B109=F109,"OK","NOK")</f>
        <v/>
      </c>
    </row>
    <row r="110">
      <c r="A110" t="inlineStr">
        <is>
          <t>Liberia (LR)</t>
        </is>
      </c>
      <c r="B110" s="394" t="n">
        <v>1.344</v>
      </c>
      <c r="E110" t="inlineStr">
        <is>
          <t>Liberia (LR)</t>
        </is>
      </c>
      <c r="F110" s="143" t="n">
        <v>1.344</v>
      </c>
      <c r="G110" s="17">
        <f>IF(A110=E110,"OK","NOK")</f>
        <v/>
      </c>
      <c r="H110" s="17">
        <f>IF(B110=F110,"OK","NOK")</f>
        <v/>
      </c>
    </row>
    <row r="111">
      <c r="A111" t="inlineStr">
        <is>
          <t>Liechtenstein (LI)</t>
        </is>
      </c>
      <c r="B111" s="394" t="n">
        <v>1.51</v>
      </c>
      <c r="E111" t="inlineStr">
        <is>
          <t>Liechtenstein (LI)</t>
        </is>
      </c>
      <c r="F111" s="253" t="n">
        <v>1.51</v>
      </c>
      <c r="G111" s="17">
        <f>IF(A111=E111,"OK","NOK")</f>
        <v/>
      </c>
      <c r="H111" s="17">
        <f>IF(B111=F111,"OK","NOK")</f>
        <v/>
      </c>
    </row>
    <row r="112">
      <c r="A112" t="inlineStr">
        <is>
          <t>Madagascar (MG)</t>
        </is>
      </c>
      <c r="B112" s="394" t="n">
        <v>0.841</v>
      </c>
      <c r="E112" t="inlineStr">
        <is>
          <t>Madagascar (MG)</t>
        </is>
      </c>
      <c r="F112" s="143" t="n">
        <v>0.841</v>
      </c>
      <c r="G112" s="17">
        <f>IF(A112=E112,"OK","NOK")</f>
        <v/>
      </c>
      <c r="H112" s="17">
        <f>IF(B112=F112,"OK","NOK")</f>
        <v/>
      </c>
    </row>
    <row r="113">
      <c r="A113" t="inlineStr">
        <is>
          <t>Malawi (MW)</t>
        </is>
      </c>
      <c r="B113" s="394" t="n">
        <v>0.723</v>
      </c>
      <c r="E113" t="inlineStr">
        <is>
          <t>Malawi (MW)</t>
        </is>
      </c>
      <c r="F113" s="143" t="n">
        <v>0.723</v>
      </c>
      <c r="G113" s="17">
        <f>IF(A113=E113,"OK","NOK")</f>
        <v/>
      </c>
      <c r="H113" s="17">
        <f>IF(B113=F113,"OK","NOK")</f>
        <v/>
      </c>
    </row>
    <row r="114">
      <c r="A114" t="inlineStr">
        <is>
          <t>Malaysia (MY)</t>
        </is>
      </c>
      <c r="B114" s="394" t="n">
        <v>0.786</v>
      </c>
      <c r="E114" t="inlineStr">
        <is>
          <t>Malaysia (MY)</t>
        </is>
      </c>
      <c r="F114" s="143" t="n">
        <v>0.786</v>
      </c>
      <c r="G114" s="17">
        <f>IF(A114=E114,"OK","NOK")</f>
        <v/>
      </c>
      <c r="H114" s="17">
        <f>IF(B114=F114,"OK","NOK")</f>
        <v/>
      </c>
    </row>
    <row r="115">
      <c r="A115" t="inlineStr">
        <is>
          <t>Maldives (MV)</t>
        </is>
      </c>
      <c r="B115" s="394" t="n">
        <v>0.913</v>
      </c>
      <c r="E115" t="inlineStr">
        <is>
          <t>Maldives (MV)</t>
        </is>
      </c>
      <c r="F115" s="143" t="n">
        <v>0.913</v>
      </c>
      <c r="G115" s="17">
        <f>IF(A115=E115,"OK","NOK")</f>
        <v/>
      </c>
      <c r="H115" s="17">
        <f>IF(B115=F115,"OK","NOK")</f>
        <v/>
      </c>
    </row>
    <row r="116">
      <c r="A116" t="inlineStr">
        <is>
          <t>Mali (ML)</t>
        </is>
      </c>
      <c r="B116" s="394" t="n">
        <v>0.906</v>
      </c>
      <c r="E116" t="inlineStr">
        <is>
          <t>Mali (ML)</t>
        </is>
      </c>
      <c r="F116" s="143" t="n">
        <v>0.906</v>
      </c>
      <c r="G116" s="17">
        <f>IF(A116=E116,"OK","NOK")</f>
        <v/>
      </c>
      <c r="H116" s="17">
        <f>IF(B116=F116,"OK","NOK")</f>
        <v/>
      </c>
    </row>
    <row r="117">
      <c r="A117" t="inlineStr">
        <is>
          <t>Mauritania (MR)</t>
        </is>
      </c>
      <c r="B117" s="394" t="n">
        <v>0.85</v>
      </c>
      <c r="E117" t="inlineStr">
        <is>
          <t>Mauritania (MR)</t>
        </is>
      </c>
      <c r="F117" s="253" t="n">
        <v>0.85</v>
      </c>
      <c r="G117" s="17">
        <f>IF(A117=E117,"OK","NOK")</f>
        <v/>
      </c>
      <c r="H117" s="17">
        <f>IF(B117=F117,"OK","NOK")</f>
        <v/>
      </c>
    </row>
    <row r="118">
      <c r="A118" t="inlineStr">
        <is>
          <t>Mauritius (MU)</t>
        </is>
      </c>
      <c r="B118" s="394" t="n">
        <v>0.747</v>
      </c>
      <c r="E118" t="inlineStr">
        <is>
          <t>Mauritius (MU)</t>
        </is>
      </c>
      <c r="F118" s="143" t="n">
        <v>0.747</v>
      </c>
      <c r="G118" s="17">
        <f>IF(A118=E118,"OK","NOK")</f>
        <v/>
      </c>
      <c r="H118" s="17">
        <f>IF(B118=F118,"OK","NOK")</f>
        <v/>
      </c>
    </row>
    <row r="119">
      <c r="A119" t="inlineStr">
        <is>
          <t>Mexico (MX)</t>
        </is>
      </c>
      <c r="B119" s="394" t="n">
        <v>0.717</v>
      </c>
      <c r="E119" t="inlineStr">
        <is>
          <t>Mexico (MX)</t>
        </is>
      </c>
      <c r="F119" s="143" t="n">
        <v>0.717</v>
      </c>
      <c r="G119" s="17">
        <f>IF(A119=E119,"OK","NOK")</f>
        <v/>
      </c>
      <c r="H119" s="17">
        <f>IF(B119=F119,"OK","NOK")</f>
        <v/>
      </c>
    </row>
    <row r="120">
      <c r="A120" t="inlineStr">
        <is>
          <t>Moldova (Republic of) (MD)</t>
        </is>
      </c>
      <c r="B120" s="394" t="n">
        <v>0.8080000000000001</v>
      </c>
      <c r="E120" t="inlineStr">
        <is>
          <t>Moldova (Republic of) (MD)</t>
        </is>
      </c>
      <c r="F120" s="143" t="n">
        <v>0.8080000000000001</v>
      </c>
      <c r="G120" s="17">
        <f>IF(A120=E120,"OK","NOK")</f>
        <v/>
      </c>
      <c r="H120" s="17">
        <f>IF(B120=F120,"OK","NOK")</f>
        <v/>
      </c>
    </row>
    <row r="121">
      <c r="A121" t="inlineStr">
        <is>
          <t>Montenegro (ME)</t>
        </is>
      </c>
      <c r="B121" s="394" t="n">
        <v>0.575</v>
      </c>
      <c r="E121" t="inlineStr">
        <is>
          <t>Montenegro (ME)</t>
        </is>
      </c>
      <c r="F121" s="143" t="n">
        <v>0.575</v>
      </c>
      <c r="G121" s="17">
        <f>IF(A121=E121,"OK","NOK")</f>
        <v/>
      </c>
      <c r="H121" s="17">
        <f>IF(B121=F121,"OK","NOK")</f>
        <v/>
      </c>
    </row>
    <row r="122">
      <c r="A122" t="inlineStr">
        <is>
          <t>Morocco (MA)</t>
        </is>
      </c>
      <c r="B122" s="394" t="n">
        <v>0.8080000000000001</v>
      </c>
      <c r="E122" t="inlineStr">
        <is>
          <t>Morocco (MA)</t>
        </is>
      </c>
      <c r="F122" s="143" t="n">
        <v>0.8080000000000001</v>
      </c>
      <c r="G122" s="17">
        <f>IF(A122=E122,"OK","NOK")</f>
        <v/>
      </c>
      <c r="H122" s="17">
        <f>IF(B122=F122,"OK","NOK")</f>
        <v/>
      </c>
    </row>
    <row r="123">
      <c r="A123" t="inlineStr">
        <is>
          <t>Mozambique (MZ)</t>
        </is>
      </c>
      <c r="B123" s="394" t="n">
        <v>1.022</v>
      </c>
      <c r="E123" t="inlineStr">
        <is>
          <t>Mozambique (MZ)</t>
        </is>
      </c>
      <c r="F123" s="143" t="n">
        <v>1.022</v>
      </c>
      <c r="G123" s="17">
        <f>IF(A123=E123,"OK","NOK")</f>
        <v/>
      </c>
      <c r="H123" s="17">
        <f>IF(B123=F123,"OK","NOK")</f>
        <v/>
      </c>
    </row>
    <row r="124">
      <c r="A124" t="inlineStr">
        <is>
          <t>Myanmar (MM)</t>
        </is>
      </c>
      <c r="B124" s="394" t="n">
        <v>0.666</v>
      </c>
      <c r="E124" t="inlineStr">
        <is>
          <t>Myanmar (MM)</t>
        </is>
      </c>
      <c r="F124" s="143" t="n">
        <v>0.666</v>
      </c>
      <c r="G124" s="17">
        <f>IF(A124=E124,"OK","NOK")</f>
        <v/>
      </c>
      <c r="H124" s="17">
        <f>IF(B124=F124,"OK","NOK")</f>
        <v/>
      </c>
    </row>
    <row r="125">
      <c r="A125" t="inlineStr">
        <is>
          <t>Namibia (NA)</t>
        </is>
      </c>
      <c r="B125" s="394" t="n">
        <v>0.742</v>
      </c>
      <c r="E125" t="inlineStr">
        <is>
          <t>Namibia (NA)</t>
        </is>
      </c>
      <c r="F125" s="143" t="n">
        <v>0.742</v>
      </c>
      <c r="G125" s="17">
        <f>IF(A125=E125,"OK","NOK")</f>
        <v/>
      </c>
      <c r="H125" s="17">
        <f>IF(B125=F125,"OK","NOK")</f>
        <v/>
      </c>
    </row>
    <row r="126">
      <c r="A126" t="inlineStr">
        <is>
          <t>Nepal (NP)</t>
        </is>
      </c>
      <c r="B126" s="394" t="n">
        <v>0.701</v>
      </c>
      <c r="E126" t="inlineStr">
        <is>
          <t>Nepal (NP)</t>
        </is>
      </c>
      <c r="F126" s="143" t="n">
        <v>0.701</v>
      </c>
      <c r="G126" s="17">
        <f>IF(A126=E126,"OK","NOK")</f>
        <v/>
      </c>
      <c r="H126" s="17">
        <f>IF(B126=F126,"OK","NOK")</f>
        <v/>
      </c>
    </row>
    <row r="127">
      <c r="A127" t="inlineStr">
        <is>
          <t>Netherlands Antilles (AN)</t>
        </is>
      </c>
      <c r="B127" s="394" t="n">
        <v>1.096</v>
      </c>
      <c r="E127" t="inlineStr">
        <is>
          <t>Netherlands Antilles (AN)</t>
        </is>
      </c>
      <c r="F127" s="143" t="n">
        <v>1.096</v>
      </c>
      <c r="G127" s="17">
        <f>IF(A127=E127,"OK","NOK")</f>
        <v/>
      </c>
      <c r="H127" s="17">
        <f>IF(B127=F127,"OK","NOK")</f>
        <v/>
      </c>
    </row>
    <row r="128">
      <c r="A128" t="inlineStr">
        <is>
          <t>New Caledonia (NC)</t>
        </is>
      </c>
      <c r="B128" s="394" t="n">
        <v>0.985</v>
      </c>
      <c r="E128" t="inlineStr">
        <is>
          <t>New Caledonia (NC)</t>
        </is>
      </c>
      <c r="F128" s="143" t="n">
        <v>0.985</v>
      </c>
      <c r="G128" s="17">
        <f>IF(A128=E128,"OK","NOK")</f>
        <v/>
      </c>
      <c r="H128" s="17">
        <f>IF(B128=F128,"OK","NOK")</f>
        <v/>
      </c>
    </row>
    <row r="129">
      <c r="A129" t="inlineStr">
        <is>
          <t>New Zealand (NZ)</t>
        </is>
      </c>
      <c r="B129" s="394" t="n">
        <v>1.005</v>
      </c>
      <c r="E129" t="inlineStr">
        <is>
          <t>New Zealand (NZ)</t>
        </is>
      </c>
      <c r="F129" s="143" t="n">
        <v>1.005</v>
      </c>
      <c r="G129" s="17">
        <f>IF(A129=E129,"OK","NOK")</f>
        <v/>
      </c>
      <c r="H129" s="17">
        <f>IF(B129=F129,"OK","NOK")</f>
        <v/>
      </c>
    </row>
    <row r="130">
      <c r="A130" t="inlineStr">
        <is>
          <t>Nicaragua (NI)</t>
        </is>
      </c>
      <c r="B130" s="394" t="n">
        <v>0.865</v>
      </c>
      <c r="E130" t="inlineStr">
        <is>
          <t>Nicaragua (NI)</t>
        </is>
      </c>
      <c r="F130" s="143" t="n">
        <v>0.865</v>
      </c>
      <c r="G130" s="17">
        <f>IF(A130=E130,"OK","NOK")</f>
        <v/>
      </c>
      <c r="H130" s="17">
        <f>IF(B130=F130,"OK","NOK")</f>
        <v/>
      </c>
    </row>
    <row r="131">
      <c r="A131" t="inlineStr">
        <is>
          <t>Niger (NE)</t>
        </is>
      </c>
      <c r="B131" s="394" t="n">
        <v>0.821</v>
      </c>
      <c r="E131" t="inlineStr">
        <is>
          <t>Niger (NE)</t>
        </is>
      </c>
      <c r="F131" s="143" t="n">
        <v>0.821</v>
      </c>
      <c r="G131" s="17">
        <f>IF(A131=E131,"OK","NOK")</f>
        <v/>
      </c>
      <c r="H131" s="17">
        <f>IF(B131=F131,"OK","NOK")</f>
        <v/>
      </c>
    </row>
    <row r="132">
      <c r="A132" t="inlineStr">
        <is>
          <t>Nigeria (NG)</t>
        </is>
      </c>
      <c r="B132" s="394" t="n">
        <v>0.771</v>
      </c>
      <c r="E132" t="inlineStr">
        <is>
          <t>Nigeria (NG)</t>
        </is>
      </c>
      <c r="F132" s="143" t="n">
        <v>0.771</v>
      </c>
      <c r="G132" s="17">
        <f>IF(A132=E132,"OK","NOK")</f>
        <v/>
      </c>
      <c r="H132" s="17">
        <f>IF(B132=F132,"OK","NOK")</f>
        <v/>
      </c>
    </row>
    <row r="133">
      <c r="A133" t="inlineStr">
        <is>
          <t>North Macedonia (MK)</t>
        </is>
      </c>
      <c r="B133" s="394" t="n">
        <v>0.495</v>
      </c>
      <c r="E133" t="inlineStr">
        <is>
          <t>North Macedonia (MK)</t>
        </is>
      </c>
      <c r="F133" s="143" t="n">
        <v>0.495</v>
      </c>
      <c r="G133" s="17">
        <f>IF(A133=E133,"OK","NOK")</f>
        <v/>
      </c>
      <c r="H133" s="17">
        <f>IF(B133=F133,"OK","NOK")</f>
        <v/>
      </c>
    </row>
    <row r="134">
      <c r="A134" t="inlineStr">
        <is>
          <t>Norway (NO)</t>
        </is>
      </c>
      <c r="B134" s="394" t="n">
        <v>1.356</v>
      </c>
      <c r="E134" t="inlineStr">
        <is>
          <t>Norway (NO)</t>
        </is>
      </c>
      <c r="F134" s="143" t="n">
        <v>1.356</v>
      </c>
      <c r="G134" s="17">
        <f>IF(A134=E134,"OK","NOK")</f>
        <v/>
      </c>
      <c r="H134" s="17">
        <f>IF(B134=F134,"OK","NOK")</f>
        <v/>
      </c>
    </row>
    <row r="135">
      <c r="A135" t="inlineStr">
        <is>
          <t>Pakistan (PK)</t>
        </is>
      </c>
      <c r="B135" s="394" t="n">
        <v>0.6919999999999999</v>
      </c>
      <c r="E135" t="inlineStr">
        <is>
          <t>Pakistan (PK)</t>
        </is>
      </c>
      <c r="F135" s="143" t="n">
        <v>0.6919999999999999</v>
      </c>
      <c r="G135" s="17">
        <f>IF(A135=E135,"OK","NOK")</f>
        <v/>
      </c>
      <c r="H135" s="17">
        <f>IF(B135=F135,"OK","NOK")</f>
        <v/>
      </c>
    </row>
    <row r="136">
      <c r="A136" t="inlineStr">
        <is>
          <t>Palestine (PS)</t>
        </is>
      </c>
      <c r="B136" s="394" t="n">
        <v>1.215</v>
      </c>
      <c r="E136" t="inlineStr">
        <is>
          <t>Palestine (PS)</t>
        </is>
      </c>
      <c r="F136" s="143" t="n">
        <v>1.215</v>
      </c>
      <c r="G136" s="17">
        <f>IF(A136=E136,"OK","NOK")</f>
        <v/>
      </c>
      <c r="H136" s="17">
        <f>IF(B136=F136,"OK","NOK")</f>
        <v/>
      </c>
    </row>
    <row r="137">
      <c r="A137" t="inlineStr">
        <is>
          <t>Panama (PA)</t>
        </is>
      </c>
      <c r="B137" s="394" t="n">
        <v>0.993</v>
      </c>
      <c r="E137" t="inlineStr">
        <is>
          <t>Panama (PA)</t>
        </is>
      </c>
      <c r="F137" s="143" t="n">
        <v>0.993</v>
      </c>
      <c r="G137" s="17">
        <f>IF(A137=E137,"OK","NOK")</f>
        <v/>
      </c>
      <c r="H137" s="17">
        <f>IF(B137=F137,"OK","NOK")</f>
        <v/>
      </c>
    </row>
    <row r="138">
      <c r="A138" t="inlineStr">
        <is>
          <t>Papua New Guinea (PG)</t>
        </is>
      </c>
      <c r="B138" s="394" t="n">
        <v>1</v>
      </c>
      <c r="E138" t="inlineStr">
        <is>
          <t>Papua New Guinea (PG)</t>
        </is>
      </c>
      <c r="F138" s="253" t="n">
        <v>1</v>
      </c>
      <c r="G138" s="17">
        <f>IF(A138=E138,"OK","NOK")</f>
        <v/>
      </c>
      <c r="H138" s="17">
        <f>IF(B138=F138,"OK","NOK")</f>
        <v/>
      </c>
    </row>
    <row r="139">
      <c r="A139" t="inlineStr">
        <is>
          <t>Paraguay (PY)</t>
        </is>
      </c>
      <c r="B139" s="394" t="n">
        <v>0.632</v>
      </c>
      <c r="E139" t="inlineStr">
        <is>
          <t>Paraguay (PY)</t>
        </is>
      </c>
      <c r="F139" s="143" t="n">
        <v>0.632</v>
      </c>
      <c r="G139" s="17">
        <f>IF(A139=E139,"OK","NOK")</f>
        <v/>
      </c>
      <c r="H139" s="17">
        <f>IF(B139=F139,"OK","NOK")</f>
        <v/>
      </c>
    </row>
    <row r="140">
      <c r="A140" t="inlineStr">
        <is>
          <t>Peru (PE)</t>
        </is>
      </c>
      <c r="B140" s="394" t="n">
        <v>0.872</v>
      </c>
      <c r="E140" t="inlineStr">
        <is>
          <t>Peru (PE)</t>
        </is>
      </c>
      <c r="F140" s="143" t="n">
        <v>0.872</v>
      </c>
      <c r="G140" s="17">
        <f>IF(A140=E140,"OK","NOK")</f>
        <v/>
      </c>
      <c r="H140" s="17">
        <f>IF(B140=F140,"OK","NOK")</f>
        <v/>
      </c>
    </row>
    <row r="141">
      <c r="A141" t="inlineStr">
        <is>
          <t>Philippines (PH)</t>
        </is>
      </c>
      <c r="B141" s="394" t="n">
        <v>0.889</v>
      </c>
      <c r="E141" t="inlineStr">
        <is>
          <t>Philippines (PH)</t>
        </is>
      </c>
      <c r="F141" s="143" t="n">
        <v>0.889</v>
      </c>
      <c r="G141" s="17">
        <f>IF(A141=E141,"OK","NOK")</f>
        <v/>
      </c>
      <c r="H141" s="17">
        <f>IF(B141=F141,"OK","NOK")</f>
        <v/>
      </c>
    </row>
    <row r="142">
      <c r="A142" t="inlineStr">
        <is>
          <t>Qatar (QA)</t>
        </is>
      </c>
      <c r="B142" s="394" t="n">
        <v>0.955</v>
      </c>
      <c r="E142" t="inlineStr">
        <is>
          <t>Qatar (QA)</t>
        </is>
      </c>
      <c r="F142" s="143" t="n">
        <v>0.955</v>
      </c>
      <c r="G142" s="17">
        <f>IF(A142=E142,"OK","NOK")</f>
        <v/>
      </c>
      <c r="H142" s="17">
        <f>IF(B142=F142,"OK","NOK")</f>
        <v/>
      </c>
    </row>
    <row r="143">
      <c r="A143" t="inlineStr">
        <is>
          <t>Russian Federation (RU)</t>
        </is>
      </c>
      <c r="B143" s="394" t="n">
        <v>1.105</v>
      </c>
      <c r="E143" t="inlineStr">
        <is>
          <t>Russian Federation (RU)</t>
        </is>
      </c>
      <c r="F143" s="143" t="n">
        <v>1.105</v>
      </c>
      <c r="G143" s="17">
        <f>IF(A143=E143,"OK","NOK")</f>
        <v/>
      </c>
      <c r="H143" s="17">
        <f>IF(B143=F143,"OK","NOK")</f>
        <v/>
      </c>
    </row>
    <row r="144">
      <c r="A144" t="inlineStr">
        <is>
          <t>Rwanda (RW)</t>
        </is>
      </c>
      <c r="B144" s="394" t="n">
        <v>0.842</v>
      </c>
      <c r="E144" t="inlineStr">
        <is>
          <t>Rwanda (RW)</t>
        </is>
      </c>
      <c r="F144" s="143" t="n">
        <v>0.842</v>
      </c>
      <c r="G144" s="17">
        <f>IF(A144=E144,"OK","NOK")</f>
        <v/>
      </c>
      <c r="H144" s="17">
        <f>IF(B144=F144,"OK","NOK")</f>
        <v/>
      </c>
    </row>
    <row r="145">
      <c r="A145" t="inlineStr">
        <is>
          <t>Saint Barthélemy (BL)</t>
        </is>
      </c>
      <c r="B145" s="394" t="n">
        <v>1.181</v>
      </c>
      <c r="E145" t="inlineStr">
        <is>
          <t>Saint Barthélemy (BL)</t>
        </is>
      </c>
      <c r="F145" s="143" t="n">
        <v>1.181</v>
      </c>
      <c r="G145" s="17">
        <f>IF(A145=E145,"OK","NOK")</f>
        <v/>
      </c>
      <c r="H145" s="17">
        <f>IF(B145=F145,"OK","NOK")</f>
        <v/>
      </c>
    </row>
    <row r="146">
      <c r="A146" t="inlineStr">
        <is>
          <t>Saint Pierre and Miquelon (PM)</t>
        </is>
      </c>
      <c r="B146" s="394" t="n">
        <v>1.181</v>
      </c>
      <c r="E146" t="inlineStr">
        <is>
          <t>Saint Pierre and Miquelon (PM)</t>
        </is>
      </c>
      <c r="F146" s="143" t="n">
        <v>1.181</v>
      </c>
      <c r="G146" s="17">
        <f>IF(A146=E146,"OK","NOK")</f>
        <v/>
      </c>
      <c r="H146" s="17">
        <f>IF(B146=F146,"OK","NOK")</f>
        <v/>
      </c>
    </row>
    <row r="147">
      <c r="A147" t="inlineStr">
        <is>
          <t>Samoa (WS)</t>
        </is>
      </c>
      <c r="B147" s="394" t="n">
        <v>0.822</v>
      </c>
      <c r="E147" t="inlineStr">
        <is>
          <t>Samoa (WS)</t>
        </is>
      </c>
      <c r="F147" s="143" t="n">
        <v>0.822</v>
      </c>
      <c r="G147" s="17">
        <f>IF(A147=E147,"OK","NOK")</f>
        <v/>
      </c>
      <c r="H147" s="17">
        <f>IF(B147=F147,"OK","NOK")</f>
        <v/>
      </c>
    </row>
    <row r="148">
      <c r="A148" t="inlineStr">
        <is>
          <t>Sao Tome and Principe (ST)</t>
        </is>
      </c>
      <c r="B148" s="394" t="n">
        <v>1.077</v>
      </c>
      <c r="E148" t="inlineStr">
        <is>
          <t>Sao Tome and Principe (ST)</t>
        </is>
      </c>
      <c r="F148" s="143" t="n">
        <v>1.077</v>
      </c>
      <c r="G148" s="17">
        <f>IF(A148=E148,"OK","NOK")</f>
        <v/>
      </c>
      <c r="H148" s="17">
        <f>IF(B148=F148,"OK","NOK")</f>
        <v/>
      </c>
    </row>
    <row r="149">
      <c r="A149" t="inlineStr">
        <is>
          <t>Saudi Arabia (SA)</t>
        </is>
      </c>
      <c r="B149" s="394" t="n">
        <v>0.9419999999999999</v>
      </c>
      <c r="E149" t="inlineStr">
        <is>
          <t>Saudi Arabia (SA)</t>
        </is>
      </c>
      <c r="F149" s="143" t="n">
        <v>0.9419999999999999</v>
      </c>
      <c r="G149" s="17">
        <f>IF(A149=E149,"OK","NOK")</f>
        <v/>
      </c>
      <c r="H149" s="17">
        <f>IF(B149=F149,"OK","NOK")</f>
        <v/>
      </c>
    </row>
    <row r="150">
      <c r="A150" t="inlineStr">
        <is>
          <t>Senegal (SN)</t>
        </is>
      </c>
      <c r="B150" s="394" t="n">
        <v>0.86</v>
      </c>
      <c r="E150" t="inlineStr">
        <is>
          <t>Senegal (SN)</t>
        </is>
      </c>
      <c r="F150" s="253" t="n">
        <v>0.86</v>
      </c>
      <c r="G150" s="17">
        <f>IF(A150=E150,"OK","NOK")</f>
        <v/>
      </c>
      <c r="H150" s="17">
        <f>IF(B150=F150,"OK","NOK")</f>
        <v/>
      </c>
    </row>
    <row r="151">
      <c r="A151" t="inlineStr">
        <is>
          <t>Serbia (RS)</t>
        </is>
      </c>
      <c r="B151" s="394" t="n">
        <v>0.725</v>
      </c>
      <c r="E151" t="inlineStr">
        <is>
          <t>Serbia (RS)</t>
        </is>
      </c>
      <c r="F151" s="143" t="n">
        <v>0.725</v>
      </c>
      <c r="G151" s="17">
        <f>IF(A151=E151,"OK","NOK")</f>
        <v/>
      </c>
      <c r="H151" s="17">
        <f>IF(B151=F151,"OK","NOK")</f>
        <v/>
      </c>
    </row>
    <row r="152">
      <c r="A152" t="inlineStr">
        <is>
          <t>Sierra Leone (SL)</t>
        </is>
      </c>
      <c r="B152" s="394" t="n">
        <v>0.926</v>
      </c>
      <c r="E152" t="inlineStr">
        <is>
          <t>Sierra Leone (SL)</t>
        </is>
      </c>
      <c r="F152" s="143" t="n">
        <v>0.926</v>
      </c>
      <c r="G152" s="17">
        <f>IF(A152=E152,"OK","NOK")</f>
        <v/>
      </c>
      <c r="H152" s="17">
        <f>IF(B152=F152,"OK","NOK")</f>
        <v/>
      </c>
    </row>
    <row r="153">
      <c r="A153" t="inlineStr">
        <is>
          <t>Singapore (SG)</t>
        </is>
      </c>
      <c r="B153" s="394" t="n">
        <v>1.214</v>
      </c>
      <c r="E153" t="inlineStr">
        <is>
          <t>Singapore (SG)</t>
        </is>
      </c>
      <c r="F153" s="143" t="n">
        <v>1.214</v>
      </c>
      <c r="G153" s="17">
        <f>IF(A153=E153,"OK","NOK")</f>
        <v/>
      </c>
      <c r="H153" s="17">
        <f>IF(B153=F153,"OK","NOK")</f>
        <v/>
      </c>
    </row>
    <row r="154">
      <c r="A154" t="inlineStr">
        <is>
          <t>Sint Maarten (SX)</t>
        </is>
      </c>
      <c r="B154" s="394" t="n">
        <v>1.116</v>
      </c>
      <c r="E154" t="inlineStr">
        <is>
          <t>Sint Maarten (SX)</t>
        </is>
      </c>
      <c r="F154" s="143" t="n">
        <v>1.116</v>
      </c>
      <c r="G154" s="17">
        <f>IF(A154=E154,"OK","NOK")</f>
        <v/>
      </c>
      <c r="H154" s="17">
        <f>IF(B154=F154,"OK","NOK")</f>
        <v/>
      </c>
    </row>
    <row r="155">
      <c r="A155" t="inlineStr">
        <is>
          <t>Solomon Islands (SB)</t>
        </is>
      </c>
      <c r="B155" s="394" t="n">
        <v>1.127</v>
      </c>
      <c r="E155" t="inlineStr">
        <is>
          <t>Solomon Islands (SB)</t>
        </is>
      </c>
      <c r="F155" s="143" t="n">
        <v>1.127</v>
      </c>
      <c r="G155" s="17">
        <f>IF(A155=E155,"OK","NOK")</f>
        <v/>
      </c>
      <c r="H155" s="17">
        <f>IF(B155=F155,"OK","NOK")</f>
        <v/>
      </c>
    </row>
    <row r="156">
      <c r="A156" t="inlineStr">
        <is>
          <t>South Africa (ZA)</t>
        </is>
      </c>
      <c r="B156" s="394" t="n">
        <v>0.63</v>
      </c>
      <c r="E156" t="inlineStr">
        <is>
          <t>South Africa (ZA)</t>
        </is>
      </c>
      <c r="F156" s="253" t="n">
        <v>0.63</v>
      </c>
      <c r="G156" s="17">
        <f>IF(A156=E156,"OK","NOK")</f>
        <v/>
      </c>
      <c r="H156" s="17">
        <f>IF(B156=F156,"OK","NOK")</f>
        <v/>
      </c>
    </row>
    <row r="157">
      <c r="A157" t="inlineStr">
        <is>
          <t>Sri Lanka (LK)</t>
        </is>
      </c>
      <c r="B157" s="394" t="n">
        <v>0.727</v>
      </c>
      <c r="E157" t="inlineStr">
        <is>
          <t>Sri Lanka (LK)</t>
        </is>
      </c>
      <c r="F157" s="143" t="n">
        <v>0.727</v>
      </c>
      <c r="G157" s="17">
        <f>IF(A157=E157,"OK","NOK")</f>
        <v/>
      </c>
      <c r="H157" s="17">
        <f>IF(B157=F157,"OK","NOK")</f>
        <v/>
      </c>
    </row>
    <row r="158">
      <c r="A158" t="inlineStr">
        <is>
          <t>Sudan (SD)</t>
        </is>
      </c>
      <c r="B158" s="394" t="n">
        <v>0.833</v>
      </c>
      <c r="E158" t="inlineStr">
        <is>
          <t>Sudan (SD)</t>
        </is>
      </c>
      <c r="F158" s="143" t="n">
        <v>0.833</v>
      </c>
      <c r="G158" s="17">
        <f>IF(A158=E158,"OK","NOK")</f>
        <v/>
      </c>
      <c r="H158" s="17">
        <f>IF(B158=F158,"OK","NOK")</f>
        <v/>
      </c>
    </row>
    <row r="159">
      <c r="A159" t="inlineStr">
        <is>
          <t>Suriname (SR)</t>
        </is>
      </c>
      <c r="B159" s="394" t="n">
        <v>0.6909999999999999</v>
      </c>
      <c r="E159" t="inlineStr">
        <is>
          <t>Suriname (SR)</t>
        </is>
      </c>
      <c r="F159" s="143" t="n">
        <v>0.6909999999999999</v>
      </c>
      <c r="G159" s="17">
        <f>IF(A159=E159,"OK","NOK")</f>
        <v/>
      </c>
      <c r="H159" s="17">
        <f>IF(B159=F159,"OK","NOK")</f>
        <v/>
      </c>
    </row>
    <row r="160">
      <c r="A160" t="inlineStr">
        <is>
          <t>Switzerland (CH)</t>
        </is>
      </c>
      <c r="B160" s="394" t="n">
        <v>1.638</v>
      </c>
      <c r="E160" t="inlineStr">
        <is>
          <t>Switzerland (CH)</t>
        </is>
      </c>
      <c r="F160" s="143" t="n">
        <v>1.638</v>
      </c>
      <c r="G160" s="17">
        <f>IF(A160=E160,"OK","NOK")</f>
        <v/>
      </c>
      <c r="H160" s="17">
        <f>IF(B160=F160,"OK","NOK")</f>
        <v/>
      </c>
    </row>
    <row r="161">
      <c r="A161" t="inlineStr">
        <is>
          <t>Taiwan (TW)</t>
        </is>
      </c>
      <c r="B161" s="394" t="n">
        <v>0.819</v>
      </c>
      <c r="E161" t="inlineStr">
        <is>
          <t>Taiwan (TW)</t>
        </is>
      </c>
      <c r="F161" s="143" t="n">
        <v>0.819</v>
      </c>
      <c r="G161" s="17">
        <f>IF(A161=E161,"OK","NOK")</f>
        <v/>
      </c>
      <c r="H161" s="17">
        <f>IF(B161=F161,"OK","NOK")</f>
        <v/>
      </c>
    </row>
    <row r="162">
      <c r="A162" t="inlineStr">
        <is>
          <t>Tajikistan (TJ)</t>
        </is>
      </c>
      <c r="B162" s="394" t="n">
        <v>0.711</v>
      </c>
      <c r="E162" t="inlineStr">
        <is>
          <t>Tajikistan (TJ)</t>
        </is>
      </c>
      <c r="F162" s="143" t="n">
        <v>0.711</v>
      </c>
      <c r="G162" s="17">
        <f>IF(A162=E162,"OK","NOK")</f>
        <v/>
      </c>
      <c r="H162" s="17">
        <f>IF(B162=F162,"OK","NOK")</f>
        <v/>
      </c>
    </row>
    <row r="163">
      <c r="A163" t="inlineStr">
        <is>
          <t>Tanzania (United Republic of) (TZ)</t>
        </is>
      </c>
      <c r="B163" s="394" t="n">
        <v>0.923</v>
      </c>
      <c r="E163" t="inlineStr">
        <is>
          <t>Tanzania (United Republic of) (TZ)</t>
        </is>
      </c>
      <c r="F163" s="143" t="n">
        <v>0.923</v>
      </c>
      <c r="G163" s="17">
        <f>IF(A163=E163,"OK","NOK")</f>
        <v/>
      </c>
      <c r="H163" s="17">
        <f>IF(B163=F163,"OK","NOK")</f>
        <v/>
      </c>
    </row>
    <row r="164">
      <c r="A164" t="inlineStr">
        <is>
          <t>Thailand (TH)</t>
        </is>
      </c>
      <c r="B164" s="394" t="n">
        <v>0.73</v>
      </c>
      <c r="E164" t="inlineStr">
        <is>
          <t>Thailand (TH)</t>
        </is>
      </c>
      <c r="F164" s="253" t="n">
        <v>0.73</v>
      </c>
      <c r="G164" s="17">
        <f>IF(A164=E164,"OK","NOK")</f>
        <v/>
      </c>
      <c r="H164" s="17">
        <f>IF(B164=F164,"OK","NOK")</f>
        <v/>
      </c>
    </row>
    <row r="165">
      <c r="A165" t="inlineStr">
        <is>
          <t>Togo (TG)</t>
        </is>
      </c>
      <c r="B165" s="394" t="n">
        <v>0.972</v>
      </c>
      <c r="E165" t="inlineStr">
        <is>
          <t>Togo (TG)</t>
        </is>
      </c>
      <c r="F165" s="143" t="n">
        <v>0.972</v>
      </c>
      <c r="G165" s="17">
        <f>IF(A165=E165,"OK","NOK")</f>
        <v/>
      </c>
      <c r="H165" s="17">
        <f>IF(B165=F165,"OK","NOK")</f>
        <v/>
      </c>
    </row>
    <row r="166">
      <c r="A166" t="inlineStr">
        <is>
          <t>Trinidad and Tobago (TT)</t>
        </is>
      </c>
      <c r="B166" s="394" t="n">
        <v>0.927</v>
      </c>
      <c r="E166" t="inlineStr">
        <is>
          <t>Trinidad and Tobago (TT)</t>
        </is>
      </c>
      <c r="F166" s="143" t="n">
        <v>0.927</v>
      </c>
      <c r="G166" s="17">
        <f>IF(A166=E166,"OK","NOK")</f>
        <v/>
      </c>
      <c r="H166" s="17">
        <f>IF(B166=F166,"OK","NOK")</f>
        <v/>
      </c>
    </row>
    <row r="167">
      <c r="A167" t="inlineStr">
        <is>
          <t>Tunisia (TN)</t>
        </is>
      </c>
      <c r="B167" s="394" t="n">
        <v>0.747</v>
      </c>
      <c r="E167" t="inlineStr">
        <is>
          <t>Tunisia (TN)</t>
        </is>
      </c>
      <c r="F167" s="143" t="n">
        <v>0.747</v>
      </c>
      <c r="G167" s="17">
        <f>IF(A167=E167,"OK","NOK")</f>
        <v/>
      </c>
      <c r="H167" s="17">
        <f>IF(B167=F167,"OK","NOK")</f>
        <v/>
      </c>
    </row>
    <row r="168">
      <c r="A168" t="inlineStr">
        <is>
          <t>Turkiye (TR)</t>
        </is>
      </c>
      <c r="B168" s="394" t="n">
        <v>0.645</v>
      </c>
      <c r="E168" t="inlineStr">
        <is>
          <t>Turkiye (TR)</t>
        </is>
      </c>
      <c r="F168" s="143" t="n">
        <v>0.645</v>
      </c>
      <c r="G168" s="17">
        <f>IF(A168=E168,"OK","NOK")</f>
        <v/>
      </c>
      <c r="H168" s="17">
        <f>IF(B168=F168,"OK","NOK")</f>
        <v/>
      </c>
    </row>
    <row r="169">
      <c r="A169" t="inlineStr">
        <is>
          <t>Turkmenistan (TM)</t>
        </is>
      </c>
      <c r="B169" s="394" t="n">
        <v>1.385</v>
      </c>
      <c r="E169" t="inlineStr">
        <is>
          <t>Turkmenistan (TM)</t>
        </is>
      </c>
      <c r="F169" s="143" t="n">
        <v>1.385</v>
      </c>
      <c r="G169" s="17">
        <f>IF(A169=E169,"OK","NOK")</f>
        <v/>
      </c>
      <c r="H169" s="17">
        <f>IF(B169=F169,"OK","NOK")</f>
        <v/>
      </c>
    </row>
    <row r="170">
      <c r="A170" t="inlineStr">
        <is>
          <t>Uganda (UG)</t>
        </is>
      </c>
      <c r="B170" s="394" t="n">
        <v>0.765</v>
      </c>
      <c r="E170" t="inlineStr">
        <is>
          <t>Uganda (UG)</t>
        </is>
      </c>
      <c r="F170" s="143" t="n">
        <v>0.765</v>
      </c>
      <c r="G170" s="17">
        <f>IF(A170=E170,"OK","NOK")</f>
        <v/>
      </c>
      <c r="H170" s="17">
        <f>IF(B170=F170,"OK","NOK")</f>
        <v/>
      </c>
    </row>
    <row r="171">
      <c r="A171" t="inlineStr">
        <is>
          <t>Ukraine (UA)</t>
        </is>
      </c>
      <c r="B171" s="394" t="n">
        <v>0.824</v>
      </c>
      <c r="E171" t="inlineStr">
        <is>
          <t>Ukraine (UA)</t>
        </is>
      </c>
      <c r="F171" s="143" t="n">
        <v>0.824</v>
      </c>
      <c r="G171" s="17">
        <f>IF(A171=E171,"OK","NOK")</f>
        <v/>
      </c>
      <c r="H171" s="17">
        <f>IF(B171=F171,"OK","NOK")</f>
        <v/>
      </c>
    </row>
    <row r="172">
      <c r="A172" t="inlineStr">
        <is>
          <t>United Arab Emirates (AE)</t>
        </is>
      </c>
      <c r="B172" s="394" t="n">
        <v>0.955</v>
      </c>
      <c r="E172" t="inlineStr">
        <is>
          <t>United Arab Emirates (AE)</t>
        </is>
      </c>
      <c r="F172" s="143" t="n">
        <v>0.955</v>
      </c>
      <c r="G172" s="17">
        <f>IF(A172=E172,"OK","NOK")</f>
        <v/>
      </c>
      <c r="H172" s="17">
        <f>IF(B172=F172,"OK","NOK")</f>
        <v/>
      </c>
    </row>
    <row r="173">
      <c r="A173" t="inlineStr">
        <is>
          <t>United Kingdom (UK)</t>
        </is>
      </c>
      <c r="B173" s="394" t="n">
        <v>1.417</v>
      </c>
      <c r="E173" t="inlineStr">
        <is>
          <t>United Kingdom (UK)</t>
        </is>
      </c>
      <c r="F173" s="143" t="n">
        <v>1.417</v>
      </c>
      <c r="G173" s="17">
        <f>IF(A173=E173,"OK","NOK")</f>
        <v/>
      </c>
      <c r="H173" s="17">
        <f>IF(B173=F173,"OK","NOK")</f>
        <v/>
      </c>
    </row>
    <row r="174">
      <c r="A174" t="inlineStr">
        <is>
          <t>United States (US)</t>
        </is>
      </c>
      <c r="B174" s="394" t="n">
        <v>1.694</v>
      </c>
      <c r="E174" t="inlineStr">
        <is>
          <t>United States (US)</t>
        </is>
      </c>
      <c r="F174" s="143" t="n">
        <v>1.694</v>
      </c>
      <c r="G174" s="17">
        <f>IF(A174=E174,"OK","NOK")</f>
        <v/>
      </c>
      <c r="H174" s="17">
        <f>IF(B174=F174,"OK","NOK")</f>
        <v/>
      </c>
    </row>
    <row r="175">
      <c r="A175" t="inlineStr">
        <is>
          <t>Uruguay (UY)</t>
        </is>
      </c>
      <c r="B175" s="394" t="n">
        <v>0.911</v>
      </c>
      <c r="E175" t="inlineStr">
        <is>
          <t>Uruguay (UY)</t>
        </is>
      </c>
      <c r="F175" s="143" t="n">
        <v>0.911</v>
      </c>
      <c r="G175" s="17">
        <f>IF(A175=E175,"OK","NOK")</f>
        <v/>
      </c>
      <c r="H175" s="17">
        <f>IF(B175=F175,"OK","NOK")</f>
        <v/>
      </c>
    </row>
    <row r="176">
      <c r="A176" t="inlineStr">
        <is>
          <t>Uzbekistan (UZ)</t>
        </is>
      </c>
      <c r="B176" s="394" t="n">
        <v>0.701</v>
      </c>
      <c r="E176" t="inlineStr">
        <is>
          <t>Uzbekistan (UZ)</t>
        </is>
      </c>
      <c r="F176" s="143" t="n">
        <v>0.701</v>
      </c>
      <c r="G176" s="17">
        <f>IF(A176=E176,"OK","NOK")</f>
        <v/>
      </c>
      <c r="H176" s="17">
        <f>IF(B176=F176,"OK","NOK")</f>
        <v/>
      </c>
    </row>
    <row r="177">
      <c r="A177" t="inlineStr">
        <is>
          <t>Vanuatu (VU)</t>
        </is>
      </c>
      <c r="B177" s="394" t="n">
        <v>1.048</v>
      </c>
      <c r="E177" t="inlineStr">
        <is>
          <t>Vanuatu (VU)</t>
        </is>
      </c>
      <c r="F177" s="143" t="n">
        <v>1.048</v>
      </c>
      <c r="G177" s="17">
        <f>IF(A177=E177,"OK","NOK")</f>
        <v/>
      </c>
      <c r="H177" s="17">
        <f>IF(B177=F177,"OK","NOK")</f>
        <v/>
      </c>
    </row>
    <row r="178">
      <c r="A178" t="inlineStr">
        <is>
          <t>Venezuela (VE)</t>
        </is>
      </c>
      <c r="B178" s="394" t="n">
        <v>1.392</v>
      </c>
      <c r="E178" t="inlineStr">
        <is>
          <t>Venezuela (VE)</t>
        </is>
      </c>
      <c r="F178" s="143" t="n">
        <v>1.392</v>
      </c>
      <c r="G178" s="17">
        <f>IF(A178=E178,"OK","NOK")</f>
        <v/>
      </c>
      <c r="H178" s="17">
        <f>IF(B178=F178,"OK","NOK")</f>
        <v/>
      </c>
    </row>
    <row r="179">
      <c r="A179" t="inlineStr">
        <is>
          <t>Vietnam (VN)</t>
        </is>
      </c>
      <c r="B179" s="394" t="n">
        <v>0.722</v>
      </c>
      <c r="E179" t="inlineStr">
        <is>
          <t>Vietnam (VN)</t>
        </is>
      </c>
      <c r="F179" s="143" t="n">
        <v>0.722</v>
      </c>
      <c r="G179" s="17">
        <f>IF(A179=E179,"OK","NOK")</f>
        <v/>
      </c>
      <c r="H179" s="17">
        <f>IF(B179=F179,"OK","NOK")</f>
        <v/>
      </c>
    </row>
    <row r="180">
      <c r="A180" t="inlineStr">
        <is>
          <t>Wallis and Futuna (WF)</t>
        </is>
      </c>
      <c r="B180" s="394" t="n">
        <v>1.181</v>
      </c>
      <c r="E180" t="inlineStr">
        <is>
          <t>Wallis and Futuna (WF)</t>
        </is>
      </c>
      <c r="F180" s="143" t="n">
        <v>1.181</v>
      </c>
      <c r="G180" s="17">
        <f>IF(A180=E180,"OK","NOK")</f>
        <v/>
      </c>
      <c r="H180" s="17">
        <f>IF(B180=F180,"OK","NOK")</f>
        <v/>
      </c>
    </row>
    <row r="181">
      <c r="A181" t="inlineStr">
        <is>
          <t>Yemen (YE)</t>
        </is>
      </c>
      <c r="B181" s="394" t="n">
        <v>1.044</v>
      </c>
      <c r="E181" t="inlineStr">
        <is>
          <t>Yemen (YE)</t>
        </is>
      </c>
      <c r="F181" s="143" t="n">
        <v>1.044</v>
      </c>
      <c r="G181" s="17">
        <f>IF(A181=E181,"OK","NOK")</f>
        <v/>
      </c>
      <c r="H181" s="17">
        <f>IF(B181=F181,"OK","NOK")</f>
        <v/>
      </c>
    </row>
    <row r="182">
      <c r="A182" t="inlineStr">
        <is>
          <t>Zambia (ZM)</t>
        </is>
      </c>
      <c r="B182" s="394" t="n">
        <v>0.8179999999999999</v>
      </c>
      <c r="E182" t="inlineStr">
        <is>
          <t>Zambia (ZM)</t>
        </is>
      </c>
      <c r="F182" s="143" t="n">
        <v>0.8179999999999999</v>
      </c>
      <c r="G182" s="17">
        <f>IF(A182=E182,"OK","NOK")</f>
        <v/>
      </c>
      <c r="H182" s="17">
        <f>IF(B182=F182,"OK","NOK")</f>
        <v/>
      </c>
    </row>
    <row r="183">
      <c r="A183" t="inlineStr">
        <is>
          <t>Zimbabwe (ZW)</t>
        </is>
      </c>
      <c r="B183" s="394" t="n">
        <v>0.983</v>
      </c>
      <c r="E183" t="inlineStr">
        <is>
          <t>Zimbabwe (ZW)</t>
        </is>
      </c>
      <c r="F183" s="143" t="n">
        <v>0.983</v>
      </c>
      <c r="G183" s="17">
        <f>IF(A183=E183,"OK","NOK")</f>
        <v/>
      </c>
      <c r="H183" s="17">
        <f>IF(B183=F183,"OK","NOK")</f>
        <v/>
      </c>
    </row>
    <row r="184">
      <c r="B184" s="394" t="n"/>
    </row>
    <row r="185">
      <c r="B185" s="394" t="n"/>
    </row>
    <row r="186">
      <c r="B186" s="394" t="n"/>
    </row>
    <row r="187">
      <c r="B187" s="394" t="n"/>
    </row>
    <row r="188">
      <c r="B188" s="394" t="n"/>
    </row>
    <row r="189">
      <c r="B189" s="394" t="n"/>
    </row>
    <row r="190">
      <c r="B190" s="394" t="n"/>
    </row>
    <row r="191">
      <c r="B191" s="394" t="n"/>
    </row>
    <row r="192">
      <c r="B192" s="394" t="n"/>
    </row>
    <row r="193">
      <c r="B193" s="394" t="n"/>
    </row>
    <row r="194">
      <c r="B194" s="394" t="n"/>
    </row>
    <row r="195">
      <c r="B195" s="394" t="n"/>
    </row>
    <row r="196">
      <c r="B196" s="394" t="n"/>
    </row>
    <row r="197">
      <c r="B197" s="394" t="n"/>
    </row>
    <row r="198">
      <c r="B198" s="394" t="n"/>
    </row>
    <row r="199">
      <c r="B199" s="394" t="n"/>
    </row>
    <row r="200">
      <c r="B200" s="394" t="n"/>
    </row>
    <row r="201">
      <c r="B201" s="394" t="n"/>
    </row>
    <row r="202">
      <c r="B202" s="394" t="n"/>
    </row>
    <row r="203">
      <c r="B203" s="394" t="n"/>
    </row>
    <row r="204">
      <c r="B204" s="394" t="n"/>
    </row>
    <row r="205">
      <c r="B205" s="394" t="n"/>
    </row>
    <row r="206">
      <c r="B206" s="394" t="n"/>
    </row>
    <row r="207">
      <c r="B207" s="394" t="n"/>
    </row>
    <row r="208">
      <c r="B208" s="394" t="n"/>
    </row>
    <row r="209">
      <c r="B209" s="394" t="n"/>
    </row>
    <row r="210">
      <c r="B210" s="394" t="n"/>
    </row>
    <row r="211">
      <c r="B211" s="394" t="n"/>
    </row>
    <row r="212">
      <c r="B212" s="394" t="n"/>
    </row>
    <row r="213">
      <c r="B213" s="394" t="n"/>
    </row>
    <row r="214">
      <c r="B214" s="394" t="n"/>
    </row>
    <row r="215">
      <c r="B215" s="394" t="n"/>
    </row>
    <row r="216">
      <c r="B216" s="394" t="n"/>
    </row>
    <row r="217">
      <c r="B217" s="394" t="n"/>
    </row>
    <row r="218">
      <c r="B218" s="394" t="n"/>
    </row>
    <row r="219">
      <c r="B219" s="394" t="n"/>
    </row>
    <row r="220">
      <c r="B220" s="394" t="n"/>
    </row>
    <row r="221">
      <c r="B221" s="394" t="n"/>
    </row>
    <row r="222">
      <c r="B222" s="394" t="n"/>
    </row>
    <row r="223">
      <c r="B223" s="394" t="n"/>
    </row>
    <row r="224">
      <c r="B224" s="394" t="n"/>
    </row>
    <row r="225">
      <c r="B225" s="394" t="n"/>
    </row>
    <row r="226">
      <c r="B226" s="394" t="n"/>
    </row>
    <row r="227">
      <c r="B227" s="394" t="n"/>
    </row>
    <row r="228">
      <c r="B228" s="394" t="n"/>
    </row>
    <row r="229">
      <c r="B229" s="394" t="n"/>
    </row>
    <row r="230">
      <c r="B230" s="394" t="n"/>
    </row>
    <row r="231">
      <c r="B231" s="394" t="n"/>
    </row>
    <row r="232">
      <c r="B232" s="394" t="n"/>
    </row>
    <row r="233">
      <c r="B233" s="394" t="n"/>
    </row>
    <row r="234">
      <c r="B234" s="394" t="n"/>
    </row>
    <row r="235">
      <c r="B235" s="394" t="n"/>
    </row>
    <row r="236">
      <c r="B236" s="394" t="n"/>
    </row>
    <row r="237">
      <c r="B237" s="394" t="n"/>
    </row>
    <row r="238">
      <c r="B238" s="394" t="n"/>
    </row>
    <row r="239">
      <c r="B239" s="394" t="n"/>
    </row>
    <row r="240">
      <c r="B240" s="394" t="n"/>
    </row>
    <row r="241">
      <c r="B241" s="394" t="n"/>
    </row>
    <row r="242">
      <c r="B242" s="394" t="n"/>
    </row>
    <row r="243">
      <c r="B243" s="394" t="n"/>
    </row>
    <row r="244">
      <c r="B244" s="394" t="n"/>
    </row>
    <row r="245">
      <c r="B245" s="394" t="n"/>
    </row>
    <row r="246">
      <c r="B246" s="394" t="n"/>
    </row>
    <row r="247">
      <c r="B247" s="394" t="n"/>
    </row>
    <row r="248">
      <c r="B248" s="394" t="n"/>
    </row>
    <row r="249">
      <c r="B249" s="394" t="n"/>
    </row>
    <row r="250">
      <c r="B250" s="394" t="n"/>
    </row>
    <row r="251">
      <c r="B251" s="394" t="n"/>
    </row>
    <row r="252">
      <c r="B252" s="394" t="n"/>
    </row>
    <row r="253">
      <c r="B253" s="394" t="n"/>
    </row>
    <row r="254">
      <c r="B254" s="394" t="n"/>
    </row>
    <row r="255">
      <c r="B255" s="394" t="n"/>
    </row>
  </sheetData>
  <sheetProtection selectLockedCells="0" selectUnlockedCells="0" algorithmName="SHA-512" sheet="1" objects="1" insertRows="1" insertHyperlinks="1" autoFilter="1" scenarios="1" formatColumns="1" deleteColumns="1" insertColumns="1" pivotTables="1" deleteRows="1" formatCells="1" saltValue="UJHmvk6FlD/24n+FIFtYNw==" formatRows="1" sort="1" spinCount="100000" hashValue="pbKtvgI0pD/a7D/wkWGcie9j59uWXSScSeJSBN4k1mgjOkY9piJ1CG2Ji5xiPmCM1n2Vv7MnkjOSkhVvCI3Pdw=="/>
  <pageMargins left="0.7" right="0.7" top="0.75" bottom="0.75" header="0.3" footer="0.3"/>
  <pageSetup orientation="portrait" paperSize="9"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 COCK Marc (RTD)</dc:creator>
  <dc:title>EC Horizon Europe RTD Lump Sum</dc:title>
  <dc:subject>Lumpsum Horizon Europe Budget Table</dc:subject>
  <dcterms:created xsi:type="dcterms:W3CDTF">2017-06-28T07:17:07Z</dcterms:created>
  <dcterms:modified xsi:type="dcterms:W3CDTF">2026-09-16T11:25:48Z</dcterms:modified>
  <cp:category>Budget Table;Lump Sum;EC</cp:category>
  <cp:contentStatus>Stable - Version 231003</cp:contentStatus>
  <cp:revision>1</cp:revision>
  <cp:keywords>Budget; Lumpsum; RTD; Horizon Europe; European Commission; EC; HE</cp:keywords>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0x01010081E47ACAFF52AF459B5732986CC03649</vt:lpwstr>
  </property>
  <property name="MSIP_Label_f4cdc456-5864-460f-beda-883d23b78bbb_Enabled" fmtid="{D5CDD505-2E9C-101B-9397-08002B2CF9AE}" pid="3">
    <vt:lpwstr>true</vt:lpwstr>
  </property>
  <property name="MSIP_Label_f4cdc456-5864-460f-beda-883d23b78bbb_SetDate" fmtid="{D5CDD505-2E9C-101B-9397-08002B2CF9AE}" pid="4">
    <vt:lpwstr>2022-06-21T08:46:21Z</vt:lpwstr>
  </property>
  <property name="MSIP_Label_f4cdc456-5864-460f-beda-883d23b78bbb_Method" fmtid="{D5CDD505-2E9C-101B-9397-08002B2CF9AE}" pid="5">
    <vt:lpwstr>Privileged</vt:lpwstr>
  </property>
  <property name="MSIP_Label_f4cdc456-5864-460f-beda-883d23b78bbb_Name" fmtid="{D5CDD505-2E9C-101B-9397-08002B2CF9AE}" pid="6">
    <vt:lpwstr>Publicly Available</vt:lpwstr>
  </property>
  <property name="MSIP_Label_f4cdc456-5864-460f-beda-883d23b78bbb_SiteId" fmtid="{D5CDD505-2E9C-101B-9397-08002B2CF9AE}" pid="7">
    <vt:lpwstr>b24c8b06-522c-46fe-9080-70926f8dddb1</vt:lpwstr>
  </property>
  <property name="MSIP_Label_f4cdc456-5864-460f-beda-883d23b78bbb_ActionId" fmtid="{D5CDD505-2E9C-101B-9397-08002B2CF9AE}" pid="8">
    <vt:lpwstr>1730cc51-9f69-4c18-a686-525affb4354a</vt:lpwstr>
  </property>
  <property name="MSIP_Label_f4cdc456-5864-460f-beda-883d23b78bbb_ContentBits" fmtid="{D5CDD505-2E9C-101B-9397-08002B2CF9AE}" pid="9">
    <vt:lpwstr>0</vt:lpwstr>
  </property>
</Properties>
</file>